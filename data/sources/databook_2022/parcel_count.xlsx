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2 Data Book\Final Drafts\"/>
    </mc:Choice>
  </mc:AlternateContent>
  <xr:revisionPtr revIDLastSave="0" documentId="13_ncr:1_{1FF8B17B-EA8E-40B5-809B-80C54CD068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 Index" sheetId="7" r:id="rId1"/>
    <sheet name="State Summary by Type" sheetId="6" r:id="rId2"/>
    <sheet name="Parcel Ct by Type" sheetId="1" r:id="rId3"/>
    <sheet name="Just Value by Type " sheetId="4" r:id="rId4"/>
    <sheet name="Taxable Value by Type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4" l="1"/>
  <c r="U73" i="4" s="1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5" i="4"/>
  <c r="C6" i="6"/>
  <c r="C12" i="6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5" i="5"/>
  <c r="D15" i="6"/>
  <c r="T10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C1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D6" i="6"/>
  <c r="U73" i="5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T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C73" i="5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D73" i="4"/>
  <c r="C73" i="4"/>
  <c r="S15" i="6"/>
  <c r="H15" i="6"/>
  <c r="G15" i="6"/>
  <c r="I15" i="6"/>
  <c r="U10" i="6"/>
  <c r="J10" i="6"/>
  <c r="G10" i="6"/>
  <c r="L10" i="6"/>
  <c r="S10" i="6"/>
  <c r="Q6" i="6"/>
  <c r="K6" i="6"/>
  <c r="F15" i="6"/>
  <c r="M15" i="6"/>
  <c r="O15" i="6"/>
  <c r="U15" i="6"/>
  <c r="C15" i="6"/>
  <c r="E15" i="6"/>
  <c r="Q15" i="6"/>
  <c r="L15" i="6"/>
  <c r="T15" i="6"/>
  <c r="N10" i="6"/>
  <c r="K10" i="6"/>
  <c r="K15" i="6"/>
  <c r="R15" i="6"/>
  <c r="J15" i="6"/>
  <c r="P15" i="6"/>
  <c r="N15" i="6"/>
  <c r="O10" i="6"/>
  <c r="M10" i="6"/>
  <c r="R6" i="6"/>
  <c r="J6" i="6"/>
  <c r="O6" i="6"/>
  <c r="S6" i="6"/>
  <c r="I6" i="6"/>
  <c r="T6" i="6"/>
  <c r="F6" i="6"/>
  <c r="M6" i="6"/>
  <c r="G6" i="6"/>
  <c r="U6" i="6"/>
  <c r="U17" i="6"/>
  <c r="H6" i="6"/>
  <c r="E6" i="6"/>
  <c r="L6" i="6"/>
  <c r="P6" i="6"/>
  <c r="N6" i="6"/>
  <c r="U73" i="1" l="1"/>
  <c r="U12" i="6"/>
  <c r="Q10" i="6"/>
  <c r="R10" i="6"/>
  <c r="I10" i="6"/>
  <c r="E10" i="6"/>
  <c r="D10" i="6"/>
  <c r="P10" i="6"/>
  <c r="C10" i="6"/>
  <c r="F10" i="6"/>
  <c r="H10" i="6"/>
</calcChain>
</file>

<file path=xl/sharedStrings.xml><?xml version="1.0" encoding="utf-8"?>
<sst xmlns="http://schemas.openxmlformats.org/spreadsheetml/2006/main" count="461" uniqueCount="114">
  <si>
    <t>County</t>
  </si>
  <si>
    <t>Status</t>
  </si>
  <si>
    <t>Vacant Residential</t>
  </si>
  <si>
    <t>Cooperatives</t>
  </si>
  <si>
    <t>Vacant Industrial</t>
  </si>
  <si>
    <t>Industrial</t>
  </si>
  <si>
    <t>Agricultural</t>
  </si>
  <si>
    <t>Institutional</t>
  </si>
  <si>
    <t>Government</t>
  </si>
  <si>
    <t>Total Real Property</t>
  </si>
  <si>
    <t>Mobile Homes</t>
  </si>
  <si>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</si>
  <si>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</si>
  <si>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</si>
  <si>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</si>
  <si>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</si>
  <si>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</si>
  <si>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</si>
  <si>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</si>
  <si>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</si>
  <si>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</si>
  <si>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</si>
  <si>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</si>
  <si>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</si>
  <si>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</si>
  <si>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</si>
  <si>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</si>
  <si>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</si>
  <si>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</si>
  <si>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</si>
  <si>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</si>
  <si>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</si>
  <si>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</si>
  <si>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</si>
  <si>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</si>
  <si>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</si>
  <si>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</si>
  <si>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</si>
  <si>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</si>
  <si>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</si>
  <si>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</si>
  <si>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</si>
  <si>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</si>
  <si>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</si>
  <si>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</si>
  <si>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</si>
  <si>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</si>
  <si>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</si>
  <si>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</si>
  <si>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</si>
  <si>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</si>
  <si>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</si>
  <si>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</si>
  <si>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</si>
  <si>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</si>
  <si>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</si>
  <si>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</si>
  <si>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</si>
  <si>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</si>
  <si>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</si>
  <si>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</si>
  <si>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</si>
  <si>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</si>
  <si>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</si>
  <si>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</si>
  <si>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</si>
  <si>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</si>
  <si>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</si>
  <si>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</si>
  <si>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</si>
  <si>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</si>
  <si>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</si>
  <si>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</si>
  <si>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</si>
  <si>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</si>
  <si>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</si>
  <si>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</si>
  <si>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</si>
  <si>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Number of Parcels</t>
  </si>
  <si>
    <t>Real Property Just Value</t>
  </si>
  <si>
    <t>Real Property Taxable Value</t>
  </si>
  <si>
    <t>Pct of Total Just Value</t>
  </si>
  <si>
    <t>Pct of Total Taxable Value</t>
  </si>
  <si>
    <t>Pct of Total Parcels</t>
  </si>
  <si>
    <t>State Summary by Property Type</t>
  </si>
  <si>
    <t>Parcel Count by Property Type</t>
  </si>
  <si>
    <t>Just Value by Property Type</t>
  </si>
  <si>
    <t>Taxable Value by Property Type</t>
  </si>
  <si>
    <t>Condominiums</t>
  </si>
  <si>
    <t>Multi Family (Less Than 10)</t>
  </si>
  <si>
    <t>Multi Family (More Than 10)</t>
  </si>
  <si>
    <t>Single Family Residential</t>
  </si>
  <si>
    <t>Improved Commercial</t>
  </si>
  <si>
    <t>Misc.</t>
  </si>
  <si>
    <t>Retirement Homes &amp; Misc. Residential</t>
  </si>
  <si>
    <t>Vacant Commercial</t>
  </si>
  <si>
    <t>Leasehold Interest</t>
  </si>
  <si>
    <t>Non-Agricultural  Acreage</t>
  </si>
  <si>
    <t xml:space="preserve">Contact Information: </t>
  </si>
  <si>
    <t xml:space="preserve">Property Tax Oversight, Research &amp; Analysis  </t>
  </si>
  <si>
    <t>* As Reported by County Property Appraiser</t>
  </si>
  <si>
    <t>Parcel Count Reports*</t>
  </si>
  <si>
    <t>Average Just Value Per Parcel</t>
  </si>
  <si>
    <t>Average Taxable Value Per Parcel</t>
  </si>
  <si>
    <t>Miami-Dade</t>
  </si>
  <si>
    <t>PTOResearchAnalysis@dor.state.fl.us</t>
  </si>
  <si>
    <t>Pct increase in parcels from 2021</t>
  </si>
  <si>
    <t>Pct Increase in Just Value  from 2021</t>
  </si>
  <si>
    <t>Pct Increase in Taxable Value  from 2021</t>
  </si>
  <si>
    <t xml:space="preserve">Data Extract: </t>
  </si>
  <si>
    <t>R-NVAB</t>
  </si>
  <si>
    <t>R-Final</t>
  </si>
  <si>
    <t>Data Extract: November 2022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</si>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</sst>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u/>
      <sz val="11"/>
      <color indexed="12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4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/>
    <xf numFmtId="0" fontId="9" fillId="0" borderId="0" xfId="3" applyFont="1" applyAlignment="1" applyProtection="1"/>
    <xf numFmtId="0" fontId="1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/>
    <xf numFmtId="3" fontId="15" fillId="0" borderId="0" xfId="0" applyNumberFormat="1" applyFont="1"/>
    <xf numFmtId="0" fontId="15" fillId="3" borderId="0" xfId="0" applyFont="1" applyFill="1"/>
    <xf numFmtId="0" fontId="15" fillId="0" borderId="0" xfId="0" applyFont="1" applyAlignment="1">
      <alignment horizontal="center"/>
    </xf>
    <xf numFmtId="10" fontId="15" fillId="0" borderId="0" xfId="4" applyNumberFormat="1" applyFont="1"/>
    <xf numFmtId="2" fontId="15" fillId="0" borderId="0" xfId="2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0" fontId="7" fillId="2" borderId="7" xfId="0" applyFont="1" applyFill="1" applyBorder="1"/>
    <xf numFmtId="0" fontId="7" fillId="2" borderId="8" xfId="0" applyFont="1" applyFill="1" applyBorder="1" applyAlignment="1">
      <alignment horizontal="center"/>
    </xf>
    <xf numFmtId="3" fontId="7" fillId="2" borderId="8" xfId="0" applyNumberFormat="1" applyFont="1" applyFill="1" applyBorder="1"/>
    <xf numFmtId="3" fontId="8" fillId="0" borderId="0" xfId="0" applyNumberFormat="1" applyFont="1"/>
    <xf numFmtId="3" fontId="7" fillId="0" borderId="9" xfId="0" applyNumberFormat="1" applyFont="1" applyBorder="1"/>
    <xf numFmtId="0" fontId="14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8" fillId="2" borderId="10" xfId="0" applyFont="1" applyFill="1" applyBorder="1"/>
    <xf numFmtId="0" fontId="8" fillId="2" borderId="6" xfId="0" applyFont="1" applyFill="1" applyBorder="1"/>
    <xf numFmtId="0" fontId="11" fillId="3" borderId="4" xfId="0" applyFont="1" applyFill="1" applyBorder="1" applyAlignment="1">
      <alignment wrapText="1"/>
    </xf>
    <xf numFmtId="164" fontId="8" fillId="3" borderId="5" xfId="2" applyNumberFormat="1" applyFont="1" applyFill="1" applyBorder="1"/>
    <xf numFmtId="164" fontId="8" fillId="3" borderId="6" xfId="2" applyNumberFormat="1" applyFont="1" applyFill="1" applyBorder="1"/>
    <xf numFmtId="0" fontId="11" fillId="0" borderId="7" xfId="0" applyFont="1" applyBorder="1" applyAlignment="1">
      <alignment wrapText="1"/>
    </xf>
    <xf numFmtId="0" fontId="8" fillId="0" borderId="8" xfId="0" applyFont="1" applyBorder="1" applyAlignment="1">
      <alignment horizontal="center"/>
    </xf>
    <xf numFmtId="43" fontId="8" fillId="0" borderId="8" xfId="2" applyFont="1" applyBorder="1"/>
    <xf numFmtId="43" fontId="8" fillId="0" borderId="9" xfId="2" applyFont="1" applyBorder="1"/>
    <xf numFmtId="0" fontId="11" fillId="0" borderId="0" xfId="0" applyFont="1" applyAlignment="1">
      <alignment wrapText="1"/>
    </xf>
    <xf numFmtId="9" fontId="8" fillId="0" borderId="0" xfId="4" applyFont="1"/>
    <xf numFmtId="1" fontId="8" fillId="0" borderId="0" xfId="4" applyNumberFormat="1" applyFont="1"/>
    <xf numFmtId="0" fontId="16" fillId="0" borderId="0" xfId="0" applyFont="1" applyAlignment="1">
      <alignment horizontal="center" vertical="center" wrapText="1"/>
    </xf>
    <xf numFmtId="10" fontId="8" fillId="0" borderId="5" xfId="4" applyNumberFormat="1" applyFont="1" applyBorder="1"/>
    <xf numFmtId="10" fontId="8" fillId="0" borderId="11" xfId="4" applyNumberFormat="1" applyFont="1" applyBorder="1"/>
    <xf numFmtId="10" fontId="8" fillId="0" borderId="6" xfId="4" applyNumberFormat="1" applyFont="1" applyBorder="1"/>
    <xf numFmtId="0" fontId="9" fillId="0" borderId="0" xfId="3" applyFont="1" applyAlignment="1" applyProtection="1">
      <alignment horizontal="left"/>
    </xf>
  </cellXfs>
  <cellStyles count="5">
    <cellStyle name="AccountingNoDecimals" xfId="1" xr:uid="{00000000-0005-0000-0000-000000000000}"/>
    <cellStyle name="Comma" xfId="2" builtinId="3"/>
    <cellStyle name="Hyperlink" xfId="3" builtinId="8"/>
    <cellStyle name="Normal" xfId="0" builtinId="0"/>
    <cellStyle name="Percent" xfId="4" builtinId="5"/>
  </cellStyles>
  <dxfs count="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dor.state.fl.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17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101</v>
      </c>
    </row>
    <row r="4" spans="1:8" x14ac:dyDescent="0.2">
      <c r="B4" s="51" t="s">
        <v>84</v>
      </c>
      <c r="C4" s="51"/>
      <c r="D4" s="51"/>
      <c r="E4" s="51"/>
      <c r="F4" s="51"/>
      <c r="G4" s="51"/>
      <c r="H4" s="51"/>
    </row>
    <row r="6" spans="1:8" x14ac:dyDescent="0.2">
      <c r="B6" s="51" t="s">
        <v>85</v>
      </c>
      <c r="C6" s="51"/>
      <c r="D6" s="51"/>
      <c r="E6" s="51"/>
      <c r="F6" s="51"/>
      <c r="G6" s="51"/>
      <c r="H6" s="51"/>
    </row>
    <row r="8" spans="1:8" x14ac:dyDescent="0.2">
      <c r="B8" s="51" t="s">
        <v>86</v>
      </c>
      <c r="C8" s="51"/>
      <c r="D8" s="51"/>
      <c r="E8" s="51"/>
      <c r="F8" s="51"/>
      <c r="G8" s="51"/>
      <c r="H8" s="51"/>
    </row>
    <row r="10" spans="1:8" x14ac:dyDescent="0.2">
      <c r="B10" s="51" t="s">
        <v>87</v>
      </c>
      <c r="C10" s="51"/>
      <c r="D10" s="51"/>
      <c r="E10" s="51"/>
      <c r="F10" s="51"/>
      <c r="G10" s="51"/>
      <c r="H10" s="51"/>
    </row>
    <row r="14" spans="1:8" x14ac:dyDescent="0.2">
      <c r="A14" s="3" t="s">
        <v>100</v>
      </c>
    </row>
    <row r="16" spans="1:8" x14ac:dyDescent="0.2">
      <c r="A16" s="4" t="s">
        <v>98</v>
      </c>
      <c r="B16" s="5"/>
      <c r="C16" s="5"/>
      <c r="D16" s="4" t="s">
        <v>99</v>
      </c>
      <c r="E16" s="5"/>
      <c r="F16" s="5"/>
      <c r="G16" s="5"/>
      <c r="H16" s="5"/>
    </row>
    <row r="17" spans="1:8" x14ac:dyDescent="0.2">
      <c r="A17" s="5"/>
      <c r="B17" s="5"/>
      <c r="C17" s="5"/>
      <c r="D17" s="7" t="s">
        <v>105</v>
      </c>
      <c r="E17" s="5"/>
      <c r="F17" s="5"/>
      <c r="G17" s="5"/>
      <c r="H17" s="5"/>
    </row>
  </sheetData>
  <mergeCells count="4">
    <mergeCell ref="B4:H4"/>
    <mergeCell ref="B6:H6"/>
    <mergeCell ref="B8:H8"/>
    <mergeCell ref="B10:H10"/>
  </mergeCells>
  <phoneticPr fontId="2" type="noConversion"/>
  <hyperlinks>
    <hyperlink ref="B4:H4" location="'State Summary by Type'!A1" display="State Summary by Property Type" xr:uid="{00000000-0004-0000-0000-000000000000}"/>
    <hyperlink ref="B6:H6" location="'Parcel Ct by Type'!A1" display="Parcel Count by Property Type" xr:uid="{00000000-0004-0000-0000-000001000000}"/>
    <hyperlink ref="B8:H8" location="'Just Value by Type '!A1" display="Just Value by Property Type" xr:uid="{00000000-0004-0000-0000-000002000000}"/>
    <hyperlink ref="B10:H10" location="'Taxable Value by Type '!A1" display="Taxable Value by Property Type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53"/>
  <sheetViews>
    <sheetView zoomScaleNormal="100" workbookViewId="0">
      <pane xSplit="1" ySplit="4" topLeftCell="M5" activePane="bottomRight" state="frozen"/>
      <selection pane="topRight"/>
      <selection pane="bottomLeft"/>
      <selection pane="bottomRight"/>
    </sheetView>
  </sheetViews>
  <sheetFormatPr defaultColWidth="23.28515625" defaultRowHeight="14.25" x14ac:dyDescent="0.2"/>
  <cols>
    <col min="1" max="1" width="43.140625" style="44" customWidth="1"/>
    <col min="2" max="2" width="23.28515625" style="18"/>
    <col min="3" max="21" width="23.28515625" style="3"/>
    <col min="22" max="16384" width="23.28515625" style="12"/>
  </cols>
  <sheetData>
    <row r="1" spans="1:21" ht="23.25" x14ac:dyDescent="0.35">
      <c r="A1" s="6" t="s">
        <v>84</v>
      </c>
    </row>
    <row r="2" spans="1:21" ht="15" x14ac:dyDescent="0.25">
      <c r="A2" s="29">
        <v>2022</v>
      </c>
    </row>
    <row r="3" spans="1:21" ht="15" thickBot="1" x14ac:dyDescent="0.25">
      <c r="A3" s="30"/>
    </row>
    <row r="4" spans="1:21" s="47" customFormat="1" ht="38.25" x14ac:dyDescent="0.25">
      <c r="A4" s="8" t="s">
        <v>11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29.25" customHeight="1" x14ac:dyDescent="0.2">
      <c r="A5" s="31" t="s">
        <v>78</v>
      </c>
      <c r="B5" s="21" t="s">
        <v>113</v>
      </c>
      <c r="C5" s="22">
        <v>1401627</v>
      </c>
      <c r="D5" s="22">
        <v>5675592</v>
      </c>
      <c r="E5" s="22">
        <v>438612</v>
      </c>
      <c r="F5" s="22">
        <v>1601498</v>
      </c>
      <c r="G5" s="22">
        <v>156267</v>
      </c>
      <c r="H5" s="22">
        <v>14968</v>
      </c>
      <c r="I5" s="22">
        <v>49935</v>
      </c>
      <c r="J5" s="22">
        <v>157669</v>
      </c>
      <c r="K5" s="22">
        <v>86022</v>
      </c>
      <c r="L5" s="22">
        <v>257583</v>
      </c>
      <c r="M5" s="22">
        <v>14526</v>
      </c>
      <c r="N5" s="22">
        <v>79754</v>
      </c>
      <c r="O5" s="22">
        <v>237987</v>
      </c>
      <c r="P5" s="22">
        <v>48702</v>
      </c>
      <c r="Q5" s="22">
        <v>245252</v>
      </c>
      <c r="R5" s="22">
        <v>2108</v>
      </c>
      <c r="S5" s="22">
        <v>157895</v>
      </c>
      <c r="T5" s="22">
        <v>99586</v>
      </c>
      <c r="U5" s="23">
        <v>10725583</v>
      </c>
    </row>
    <row r="6" spans="1:21" ht="29.25" customHeight="1" x14ac:dyDescent="0.2">
      <c r="A6" s="31" t="s">
        <v>83</v>
      </c>
      <c r="B6" s="21" t="s">
        <v>113</v>
      </c>
      <c r="C6" s="48">
        <f>C5/$U$5</f>
        <v>0.13068072849746257</v>
      </c>
      <c r="D6" s="48">
        <f>D5/$U$5</f>
        <v>0.52916396246246011</v>
      </c>
      <c r="E6" s="48">
        <f t="shared" ref="E6:Q6" si="0">E5/$U$5</f>
        <v>4.0894000820281752E-2</v>
      </c>
      <c r="F6" s="48">
        <f>F5/$U$5</f>
        <v>0.14931570619517839</v>
      </c>
      <c r="G6" s="48">
        <f t="shared" si="0"/>
        <v>1.4569557664138163E-2</v>
      </c>
      <c r="H6" s="48">
        <f t="shared" si="0"/>
        <v>1.3955418553937813E-3</v>
      </c>
      <c r="I6" s="48">
        <f t="shared" si="0"/>
        <v>4.6556909773575947E-3</v>
      </c>
      <c r="J6" s="48">
        <f t="shared" si="0"/>
        <v>1.4700273169299982E-2</v>
      </c>
      <c r="K6" s="48">
        <f t="shared" si="0"/>
        <v>8.0202633274107336E-3</v>
      </c>
      <c r="L6" s="48">
        <f t="shared" si="0"/>
        <v>2.4015757465118678E-2</v>
      </c>
      <c r="M6" s="48">
        <f t="shared" si="0"/>
        <v>1.3543319743085293E-3</v>
      </c>
      <c r="N6" s="48">
        <f t="shared" si="0"/>
        <v>7.4358661902108256E-3</v>
      </c>
      <c r="O6" s="48">
        <f t="shared" si="0"/>
        <v>2.218872391365579E-2</v>
      </c>
      <c r="P6" s="48">
        <f t="shared" si="0"/>
        <v>4.540732191434256E-3</v>
      </c>
      <c r="Q6" s="48">
        <f t="shared" si="0"/>
        <v>2.2866076370860213E-2</v>
      </c>
      <c r="R6" s="48">
        <f>R5/$U$5</f>
        <v>1.9653943286812475E-4</v>
      </c>
      <c r="S6" s="48">
        <f>S5/$U$5</f>
        <v>1.4721344284968007E-2</v>
      </c>
      <c r="T6" s="49">
        <f>T5/$U$5</f>
        <v>9.2849032075925375E-3</v>
      </c>
      <c r="U6" s="50">
        <f>U5/$U$5</f>
        <v>1</v>
      </c>
    </row>
    <row r="7" spans="1:21" ht="29.25" customHeight="1" x14ac:dyDescent="0.2">
      <c r="A7" s="31" t="s">
        <v>106</v>
      </c>
      <c r="B7" s="21" t="s">
        <v>113</v>
      </c>
      <c r="C7" s="48">
        <v>-5.9312477393457241E-3</v>
      </c>
      <c r="D7" s="48">
        <v>1.9875891804161938E-2</v>
      </c>
      <c r="E7" s="48">
        <v>7.5738258502464628E-3</v>
      </c>
      <c r="F7" s="48">
        <v>6.1228131015385046E-3</v>
      </c>
      <c r="G7" s="48">
        <v>2.5019727092514543E-3</v>
      </c>
      <c r="H7" s="48">
        <v>-7.0021745883814823E-2</v>
      </c>
      <c r="I7" s="48">
        <v>-6.1697681361329026E-3</v>
      </c>
      <c r="J7" s="48">
        <v>5.5764994207886609E-2</v>
      </c>
      <c r="K7" s="48">
        <v>-4.2993760094822697E-4</v>
      </c>
      <c r="L7" s="48">
        <v>-1.2717467545160788E-2</v>
      </c>
      <c r="M7" s="48">
        <v>-2.175230655262983E-2</v>
      </c>
      <c r="N7" s="48">
        <v>1.0721346378060437E-2</v>
      </c>
      <c r="O7" s="48">
        <v>-1.6192373834248319E-2</v>
      </c>
      <c r="P7" s="48">
        <v>-1.8797219703837964E-2</v>
      </c>
      <c r="Q7" s="48">
        <v>5.3442993460373067E-4</v>
      </c>
      <c r="R7" s="48">
        <v>1.3949013949013933E-2</v>
      </c>
      <c r="S7" s="48">
        <v>5.4444727457971798E-3</v>
      </c>
      <c r="T7" s="48">
        <v>3.9867179015955267E-2</v>
      </c>
      <c r="U7" s="50">
        <v>1.1287644337707903E-2</v>
      </c>
    </row>
    <row r="8" spans="1:21" ht="26.25" customHeight="1" x14ac:dyDescent="0.2">
      <c r="A8" s="32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6"/>
    </row>
    <row r="9" spans="1:21" ht="29.25" customHeight="1" x14ac:dyDescent="0.2">
      <c r="A9" s="31" t="s">
        <v>79</v>
      </c>
      <c r="B9" s="21" t="s">
        <v>113</v>
      </c>
      <c r="C9" s="22">
        <v>68658035455</v>
      </c>
      <c r="D9" s="22">
        <v>2170637943446</v>
      </c>
      <c r="E9" s="22">
        <v>41892373601</v>
      </c>
      <c r="F9" s="22">
        <v>492076873400</v>
      </c>
      <c r="G9" s="22">
        <v>60141837611</v>
      </c>
      <c r="H9" s="22">
        <v>174923691905</v>
      </c>
      <c r="I9" s="22">
        <v>7408855750</v>
      </c>
      <c r="J9" s="22">
        <v>9054564711</v>
      </c>
      <c r="K9" s="22">
        <v>27999759223</v>
      </c>
      <c r="L9" s="22">
        <v>384432382762</v>
      </c>
      <c r="M9" s="22">
        <v>5419152867</v>
      </c>
      <c r="N9" s="22">
        <v>121770744741</v>
      </c>
      <c r="O9" s="22">
        <v>98613620877</v>
      </c>
      <c r="P9" s="22">
        <v>74763863349</v>
      </c>
      <c r="Q9" s="22">
        <v>202516754697</v>
      </c>
      <c r="R9" s="22">
        <v>6127749858</v>
      </c>
      <c r="S9" s="22">
        <v>8784118568</v>
      </c>
      <c r="T9" s="22">
        <v>10069221444</v>
      </c>
      <c r="U9" s="23">
        <v>3965291544265</v>
      </c>
    </row>
    <row r="10" spans="1:21" ht="29.25" customHeight="1" x14ac:dyDescent="0.2">
      <c r="A10" s="31" t="s">
        <v>81</v>
      </c>
      <c r="B10" s="21" t="s">
        <v>113</v>
      </c>
      <c r="C10" s="48">
        <f>C9/$U$9</f>
        <v>1.7314750930306776E-2</v>
      </c>
      <c r="D10" s="48">
        <f t="shared" ref="D10:U10" si="1">D9/$U$9</f>
        <v>0.54740941976521074</v>
      </c>
      <c r="E10" s="48">
        <f t="shared" si="1"/>
        <v>1.0564765070449593E-2</v>
      </c>
      <c r="F10" s="48">
        <f t="shared" si="1"/>
        <v>0.12409601359872029</v>
      </c>
      <c r="G10" s="48">
        <f t="shared" si="1"/>
        <v>1.5167065760393615E-2</v>
      </c>
      <c r="H10" s="48">
        <f t="shared" si="1"/>
        <v>4.4113702599747576E-2</v>
      </c>
      <c r="I10" s="48">
        <f t="shared" si="1"/>
        <v>1.868426487004575E-3</v>
      </c>
      <c r="J10" s="48">
        <f t="shared" si="1"/>
        <v>2.2834549767458117E-3</v>
      </c>
      <c r="K10" s="48">
        <f t="shared" si="1"/>
        <v>7.0612107358148848E-3</v>
      </c>
      <c r="L10" s="48">
        <f t="shared" si="1"/>
        <v>9.6949336125865565E-2</v>
      </c>
      <c r="M10" s="48">
        <f t="shared" si="1"/>
        <v>1.3666467664496748E-3</v>
      </c>
      <c r="N10" s="48">
        <f t="shared" si="1"/>
        <v>3.0709153004680575E-2</v>
      </c>
      <c r="O10" s="48">
        <f t="shared" si="1"/>
        <v>2.4869198084469944E-2</v>
      </c>
      <c r="P10" s="48">
        <f t="shared" si="1"/>
        <v>1.885456908134055E-2</v>
      </c>
      <c r="Q10" s="48">
        <f t="shared" si="1"/>
        <v>5.1072349267710197E-2</v>
      </c>
      <c r="R10" s="48">
        <f t="shared" si="1"/>
        <v>1.5453466131292572E-3</v>
      </c>
      <c r="S10" s="48">
        <f t="shared" si="1"/>
        <v>2.2152516328098164E-3</v>
      </c>
      <c r="T10" s="49">
        <f t="shared" si="1"/>
        <v>2.5393394991506013E-3</v>
      </c>
      <c r="U10" s="50">
        <f t="shared" si="1"/>
        <v>1</v>
      </c>
    </row>
    <row r="11" spans="1:21" ht="23.25" customHeight="1" x14ac:dyDescent="0.2">
      <c r="A11" s="31" t="s">
        <v>107</v>
      </c>
      <c r="B11" s="21" t="s">
        <v>113</v>
      </c>
      <c r="C11" s="48">
        <v>0.34175167662592432</v>
      </c>
      <c r="D11" s="48">
        <v>0.32472867174433251</v>
      </c>
      <c r="E11" s="48">
        <v>0.29866528864210862</v>
      </c>
      <c r="F11" s="48">
        <v>0.26323157394181407</v>
      </c>
      <c r="G11" s="48">
        <v>0.26509838344479286</v>
      </c>
      <c r="H11" s="48">
        <v>0.32969965077700047</v>
      </c>
      <c r="I11" s="48">
        <v>0.20159116005623789</v>
      </c>
      <c r="J11" s="48">
        <v>0.2913263656788061</v>
      </c>
      <c r="K11" s="48">
        <v>0.21310138314939575</v>
      </c>
      <c r="L11" s="48">
        <v>0.15786981817307377</v>
      </c>
      <c r="M11" s="48">
        <v>0.23341902968491324</v>
      </c>
      <c r="N11" s="48">
        <v>0.25762470198311438</v>
      </c>
      <c r="O11" s="48">
        <v>0.16677986578576132</v>
      </c>
      <c r="P11" s="48">
        <v>0.12532191252326164</v>
      </c>
      <c r="Q11" s="48">
        <v>0.13205889045844188</v>
      </c>
      <c r="R11" s="48">
        <v>0.18907966426996459</v>
      </c>
      <c r="S11" s="48">
        <v>9.3735784681177492E-2</v>
      </c>
      <c r="T11" s="49">
        <v>0.42255805208894848</v>
      </c>
      <c r="U11" s="50">
        <v>0.27492473172294352</v>
      </c>
    </row>
    <row r="12" spans="1:21" s="14" customFormat="1" ht="29.25" customHeight="1" x14ac:dyDescent="0.2">
      <c r="A12" s="37" t="s">
        <v>102</v>
      </c>
      <c r="B12" s="21" t="s">
        <v>113</v>
      </c>
      <c r="C12" s="38">
        <f>C9/C5</f>
        <v>48984.526878406308</v>
      </c>
      <c r="D12" s="38">
        <f t="shared" ref="D12:U12" si="2">D9/D5</f>
        <v>382451.3713187981</v>
      </c>
      <c r="E12" s="38">
        <f t="shared" si="2"/>
        <v>95511.234533026916</v>
      </c>
      <c r="F12" s="38">
        <f t="shared" si="2"/>
        <v>307260.37335045065</v>
      </c>
      <c r="G12" s="38">
        <f t="shared" si="2"/>
        <v>384865.88730186154</v>
      </c>
      <c r="H12" s="38">
        <f t="shared" si="2"/>
        <v>11686510.683123998</v>
      </c>
      <c r="I12" s="38">
        <f t="shared" si="2"/>
        <v>148369.99599479322</v>
      </c>
      <c r="J12" s="38">
        <f t="shared" si="2"/>
        <v>57427.678941326449</v>
      </c>
      <c r="K12" s="38">
        <f t="shared" si="2"/>
        <v>325495.32936923113</v>
      </c>
      <c r="L12" s="38">
        <f t="shared" si="2"/>
        <v>1492460.2274296053</v>
      </c>
      <c r="M12" s="38">
        <f t="shared" si="2"/>
        <v>373065.73502684839</v>
      </c>
      <c r="N12" s="38">
        <f t="shared" si="2"/>
        <v>1526829.3093888708</v>
      </c>
      <c r="O12" s="38">
        <f t="shared" si="2"/>
        <v>414365.57827528391</v>
      </c>
      <c r="P12" s="38">
        <f t="shared" si="2"/>
        <v>1535129.2215720094</v>
      </c>
      <c r="Q12" s="38">
        <f t="shared" si="2"/>
        <v>825749.65625968389</v>
      </c>
      <c r="R12" s="38">
        <f t="shared" si="2"/>
        <v>2906902.2096774192</v>
      </c>
      <c r="S12" s="38">
        <f t="shared" si="2"/>
        <v>55632.65820956965</v>
      </c>
      <c r="T12" s="38">
        <f t="shared" si="2"/>
        <v>101110.81320667564</v>
      </c>
      <c r="U12" s="39">
        <f t="shared" si="2"/>
        <v>369704.05657808995</v>
      </c>
    </row>
    <row r="13" spans="1:21" ht="26.25" customHeight="1" x14ac:dyDescent="0.2">
      <c r="A13" s="32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</row>
    <row r="14" spans="1:21" ht="29.25" customHeight="1" x14ac:dyDescent="0.2">
      <c r="A14" s="31" t="s">
        <v>80</v>
      </c>
      <c r="B14" s="21" t="s">
        <v>113</v>
      </c>
      <c r="C14" s="22">
        <v>52607718123</v>
      </c>
      <c r="D14" s="22">
        <v>1263722381697</v>
      </c>
      <c r="E14" s="22">
        <v>21495130719</v>
      </c>
      <c r="F14" s="22">
        <v>366782809204</v>
      </c>
      <c r="G14" s="22">
        <v>43178721770</v>
      </c>
      <c r="H14" s="22">
        <v>145971666812</v>
      </c>
      <c r="I14" s="22">
        <v>5259089674</v>
      </c>
      <c r="J14" s="22">
        <v>7247961506</v>
      </c>
      <c r="K14" s="22">
        <v>22458529486</v>
      </c>
      <c r="L14" s="22">
        <v>342380712302</v>
      </c>
      <c r="M14" s="22">
        <v>4208076545</v>
      </c>
      <c r="N14" s="22">
        <v>103455628918</v>
      </c>
      <c r="O14" s="22">
        <v>18850533172</v>
      </c>
      <c r="P14" s="22">
        <v>17768048910</v>
      </c>
      <c r="Q14" s="22">
        <v>1577314607</v>
      </c>
      <c r="R14" s="22">
        <v>3314809098</v>
      </c>
      <c r="S14" s="22">
        <v>4959391669</v>
      </c>
      <c r="T14" s="22">
        <v>7698924733</v>
      </c>
      <c r="U14" s="23">
        <v>2432937448945</v>
      </c>
    </row>
    <row r="15" spans="1:21" ht="29.25" customHeight="1" x14ac:dyDescent="0.2">
      <c r="A15" s="31" t="s">
        <v>82</v>
      </c>
      <c r="B15" s="21" t="s">
        <v>113</v>
      </c>
      <c r="C15" s="48">
        <f>C14/$U$14</f>
        <v>2.162312810212708E-2</v>
      </c>
      <c r="D15" s="48">
        <f t="shared" ref="D15:U15" si="3">D14/$U$14</f>
        <v>0.51942247107297834</v>
      </c>
      <c r="E15" s="48">
        <f t="shared" si="3"/>
        <v>8.8350527582700417E-3</v>
      </c>
      <c r="F15" s="48">
        <f t="shared" si="3"/>
        <v>0.1507571883375172</v>
      </c>
      <c r="G15" s="48">
        <f t="shared" si="3"/>
        <v>1.7747567570520026E-2</v>
      </c>
      <c r="H15" s="48">
        <f t="shared" si="3"/>
        <v>5.9998117450696491E-2</v>
      </c>
      <c r="I15" s="48">
        <f t="shared" si="3"/>
        <v>2.1616214080146245E-3</v>
      </c>
      <c r="J15" s="48">
        <f t="shared" si="3"/>
        <v>2.9790989937464071E-3</v>
      </c>
      <c r="K15" s="48">
        <f t="shared" si="3"/>
        <v>9.231034482920529E-3</v>
      </c>
      <c r="L15" s="48">
        <f t="shared" si="3"/>
        <v>0.14072729755155328</v>
      </c>
      <c r="M15" s="48">
        <f t="shared" si="3"/>
        <v>1.7296279223392107E-3</v>
      </c>
      <c r="N15" s="48">
        <f t="shared" si="3"/>
        <v>4.2522930033758857E-2</v>
      </c>
      <c r="O15" s="48">
        <f t="shared" si="3"/>
        <v>7.7480550024720931E-3</v>
      </c>
      <c r="P15" s="48">
        <f t="shared" si="3"/>
        <v>7.3031260699714237E-3</v>
      </c>
      <c r="Q15" s="48">
        <f t="shared" si="3"/>
        <v>6.4831695845035979E-4</v>
      </c>
      <c r="R15" s="48">
        <f t="shared" si="3"/>
        <v>1.3624719778296841E-3</v>
      </c>
      <c r="S15" s="48">
        <f t="shared" si="3"/>
        <v>2.0384378033025683E-3</v>
      </c>
      <c r="T15" s="49">
        <f t="shared" si="3"/>
        <v>3.1644565035317705E-3</v>
      </c>
      <c r="U15" s="50">
        <f t="shared" si="3"/>
        <v>1</v>
      </c>
    </row>
    <row r="16" spans="1:21" ht="28.5" customHeight="1" x14ac:dyDescent="0.2">
      <c r="A16" s="31" t="s">
        <v>108</v>
      </c>
      <c r="B16" s="21" t="s">
        <v>113</v>
      </c>
      <c r="C16" s="48">
        <v>0.18923891505701596</v>
      </c>
      <c r="D16" s="48">
        <v>0.16145412081991006</v>
      </c>
      <c r="E16" s="48">
        <v>0.17068967624462461</v>
      </c>
      <c r="F16" s="48">
        <v>0.1387465356263593</v>
      </c>
      <c r="G16" s="48">
        <v>0.14785294895358359</v>
      </c>
      <c r="H16" s="48">
        <v>0.21244497825257147</v>
      </c>
      <c r="I16" s="48">
        <v>0.10707441919959249</v>
      </c>
      <c r="J16" s="48">
        <v>0.20628157945508518</v>
      </c>
      <c r="K16" s="48">
        <v>0.15647167610215718</v>
      </c>
      <c r="L16" s="48">
        <v>0.10131171297493879</v>
      </c>
      <c r="M16" s="48">
        <v>0.15079005067915818</v>
      </c>
      <c r="N16" s="48">
        <v>0.15462621780478703</v>
      </c>
      <c r="O16" s="48">
        <v>8.0403702105286579E-2</v>
      </c>
      <c r="P16" s="48">
        <v>0.1134949309715092</v>
      </c>
      <c r="Q16" s="48">
        <v>0.1603606938802058</v>
      </c>
      <c r="R16" s="48">
        <v>0.14553635514573982</v>
      </c>
      <c r="S16" s="48">
        <v>7.7052973232704103E-2</v>
      </c>
      <c r="T16" s="49">
        <v>0.39357666714153972</v>
      </c>
      <c r="U16" s="50">
        <v>0.15148896718319049</v>
      </c>
    </row>
    <row r="17" spans="1:21" ht="29.25" customHeight="1" thickBot="1" x14ac:dyDescent="0.25">
      <c r="A17" s="40" t="s">
        <v>103</v>
      </c>
      <c r="B17" s="41" t="s">
        <v>113</v>
      </c>
      <c r="C17" s="42">
        <f>C14/C5</f>
        <v>37533.322433857225</v>
      </c>
      <c r="D17" s="42">
        <f t="shared" ref="D17:U17" si="4">D14/D5</f>
        <v>222659.1308355146</v>
      </c>
      <c r="E17" s="42">
        <f t="shared" si="4"/>
        <v>49007.16514596044</v>
      </c>
      <c r="F17" s="42">
        <f t="shared" si="4"/>
        <v>229024.83125423823</v>
      </c>
      <c r="G17" s="42">
        <f t="shared" si="4"/>
        <v>276313.7563913046</v>
      </c>
      <c r="H17" s="42">
        <f t="shared" si="4"/>
        <v>9752249.2525387499</v>
      </c>
      <c r="I17" s="42">
        <f t="shared" si="4"/>
        <v>105318.70780014018</v>
      </c>
      <c r="J17" s="42">
        <f t="shared" si="4"/>
        <v>45969.477233952137</v>
      </c>
      <c r="K17" s="42">
        <f t="shared" si="4"/>
        <v>261078.9040710516</v>
      </c>
      <c r="L17" s="42">
        <f t="shared" si="4"/>
        <v>1329205.3912797039</v>
      </c>
      <c r="M17" s="42">
        <f t="shared" si="4"/>
        <v>289692.72649043094</v>
      </c>
      <c r="N17" s="42">
        <f t="shared" si="4"/>
        <v>1297184.2028989142</v>
      </c>
      <c r="O17" s="42">
        <f t="shared" si="4"/>
        <v>79208.247391664248</v>
      </c>
      <c r="P17" s="42">
        <f t="shared" si="4"/>
        <v>364832.01737094985</v>
      </c>
      <c r="Q17" s="42">
        <f t="shared" si="4"/>
        <v>6431.4036460457</v>
      </c>
      <c r="R17" s="42">
        <f t="shared" si="4"/>
        <v>1572490.0844402276</v>
      </c>
      <c r="S17" s="42">
        <f t="shared" si="4"/>
        <v>31409.428221286296</v>
      </c>
      <c r="T17" s="42">
        <f t="shared" si="4"/>
        <v>77309.307864559276</v>
      </c>
      <c r="U17" s="43">
        <f t="shared" si="4"/>
        <v>226834.98406986363</v>
      </c>
    </row>
    <row r="19" spans="1:21" x14ac:dyDescent="0.2">
      <c r="A19" s="5" t="s">
        <v>112</v>
      </c>
    </row>
    <row r="21" spans="1:21" x14ac:dyDescent="0.2">
      <c r="C21" s="45"/>
      <c r="D21" s="46"/>
    </row>
    <row r="22" spans="1:21" x14ac:dyDescent="0.2">
      <c r="C22" s="27"/>
    </row>
    <row r="24" spans="1:21" x14ac:dyDescent="0.2">
      <c r="B24" s="15"/>
      <c r="C24" s="12"/>
      <c r="D24" s="12"/>
      <c r="E24" s="12"/>
      <c r="F24" s="12"/>
      <c r="G24" s="12"/>
      <c r="H24" s="12"/>
    </row>
    <row r="25" spans="1:21" x14ac:dyDescent="0.2">
      <c r="B25" s="15"/>
      <c r="C25" s="12"/>
      <c r="D25" s="12"/>
      <c r="E25" s="12"/>
      <c r="F25" s="12"/>
      <c r="G25" s="12"/>
      <c r="H25" s="12"/>
      <c r="I25" s="12"/>
    </row>
    <row r="26" spans="1:21" x14ac:dyDescent="0.2">
      <c r="B26" s="15"/>
      <c r="C26" s="12"/>
      <c r="D26" s="12"/>
      <c r="E26" s="12"/>
      <c r="F26" s="12"/>
      <c r="G26" s="12"/>
      <c r="H26" s="12"/>
      <c r="I26" s="12"/>
    </row>
    <row r="27" spans="1:21" x14ac:dyDescent="0.2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">
      <c r="B28" s="15"/>
      <c r="C28" s="12"/>
      <c r="D28" s="12"/>
      <c r="E28" s="12"/>
      <c r="F28" s="12"/>
      <c r="G28" s="12"/>
      <c r="H28" s="12"/>
      <c r="I28" s="12"/>
    </row>
    <row r="29" spans="1:21" x14ac:dyDescent="0.2">
      <c r="B29" s="15"/>
      <c r="C29" s="12"/>
      <c r="D29" s="12"/>
      <c r="E29" s="12"/>
      <c r="F29" s="12"/>
      <c r="G29" s="12"/>
      <c r="H29" s="12"/>
      <c r="I29" s="12"/>
    </row>
    <row r="30" spans="1:21" x14ac:dyDescent="0.2"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">
      <c r="B31" s="15"/>
      <c r="C31" s="12"/>
      <c r="D31" s="12"/>
      <c r="E31" s="12"/>
      <c r="F31" s="12"/>
      <c r="G31" s="12"/>
      <c r="H31" s="12"/>
      <c r="I31" s="12"/>
    </row>
    <row r="32" spans="1:21" x14ac:dyDescent="0.2">
      <c r="B32" s="15"/>
      <c r="C32" s="12"/>
      <c r="D32" s="12"/>
      <c r="E32" s="12"/>
      <c r="F32" s="12"/>
      <c r="G32" s="12"/>
      <c r="H32" s="12"/>
      <c r="I32" s="12"/>
    </row>
    <row r="33" spans="2:21" x14ac:dyDescent="0.2"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2:21" x14ac:dyDescent="0.2">
      <c r="B34" s="15"/>
      <c r="C34" s="12"/>
      <c r="D34" s="12"/>
      <c r="E34" s="12"/>
      <c r="F34" s="12"/>
      <c r="G34" s="12"/>
      <c r="H34" s="12"/>
      <c r="I34" s="12"/>
    </row>
    <row r="35" spans="2:21" x14ac:dyDescent="0.2">
      <c r="B35" s="15"/>
      <c r="C35" s="12"/>
      <c r="D35" s="12"/>
      <c r="E35" s="12"/>
      <c r="F35" s="12"/>
      <c r="G35" s="12"/>
      <c r="H35" s="12"/>
      <c r="I35" s="12"/>
    </row>
    <row r="36" spans="2:21" x14ac:dyDescent="0.2">
      <c r="B36" s="15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2:21" x14ac:dyDescent="0.2">
      <c r="B37" s="15"/>
      <c r="C37" s="12"/>
      <c r="D37" s="12"/>
      <c r="E37" s="12"/>
      <c r="F37" s="12"/>
      <c r="G37" s="12"/>
      <c r="H37" s="12"/>
      <c r="I37" s="12"/>
    </row>
    <row r="38" spans="2:21" x14ac:dyDescent="0.2">
      <c r="B38" s="1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2:21" x14ac:dyDescent="0.2">
      <c r="B39" s="15"/>
      <c r="C39" s="12"/>
      <c r="D39" s="12"/>
      <c r="E39" s="12"/>
      <c r="F39" s="12"/>
      <c r="G39" s="12"/>
      <c r="H39" s="12"/>
      <c r="I39" s="12"/>
    </row>
    <row r="40" spans="2:21" x14ac:dyDescent="0.2">
      <c r="B40" s="15"/>
      <c r="C40" s="12"/>
      <c r="D40" s="12"/>
      <c r="E40" s="12"/>
      <c r="F40" s="12"/>
      <c r="G40" s="12"/>
      <c r="H40" s="12"/>
      <c r="I40" s="12"/>
    </row>
    <row r="41" spans="2:21" x14ac:dyDescent="0.2">
      <c r="B41" s="15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2:21" x14ac:dyDescent="0.2">
      <c r="B42" s="15"/>
      <c r="C42" s="12"/>
      <c r="D42" s="12"/>
      <c r="E42" s="12"/>
      <c r="F42" s="12"/>
      <c r="G42" s="12"/>
      <c r="H42" s="12"/>
      <c r="I42" s="12"/>
    </row>
    <row r="43" spans="2:21" x14ac:dyDescent="0.2">
      <c r="B43" s="1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2:21" x14ac:dyDescent="0.2">
      <c r="B44" s="15"/>
      <c r="C44" s="12"/>
      <c r="D44" s="12"/>
      <c r="E44" s="12"/>
      <c r="F44" s="12"/>
      <c r="G44" s="12"/>
      <c r="H44" s="12"/>
      <c r="I44" s="12"/>
    </row>
    <row r="45" spans="2:21" x14ac:dyDescent="0.2">
      <c r="B45" s="15"/>
      <c r="C45" s="12"/>
      <c r="D45" s="12"/>
      <c r="E45" s="12"/>
      <c r="F45" s="12"/>
      <c r="G45" s="12"/>
      <c r="H45" s="12"/>
      <c r="I45" s="12"/>
    </row>
    <row r="46" spans="2:21" x14ac:dyDescent="0.2">
      <c r="B46" s="15"/>
      <c r="C46" s="12"/>
      <c r="D46" s="12"/>
      <c r="E46" s="12"/>
      <c r="F46" s="12"/>
      <c r="G46" s="12"/>
      <c r="H46" s="12"/>
      <c r="I46" s="12"/>
    </row>
    <row r="47" spans="2:21" x14ac:dyDescent="0.2">
      <c r="B47" s="15"/>
      <c r="C47" s="12"/>
      <c r="D47" s="12"/>
      <c r="E47" s="12"/>
      <c r="F47" s="12"/>
      <c r="G47" s="12"/>
      <c r="H47" s="12"/>
      <c r="I47" s="12"/>
    </row>
    <row r="48" spans="2:21" x14ac:dyDescent="0.2">
      <c r="B48" s="15"/>
      <c r="C48" s="12"/>
      <c r="D48" s="12"/>
      <c r="E48" s="12"/>
      <c r="F48" s="12"/>
      <c r="G48" s="12"/>
      <c r="H48" s="12"/>
      <c r="I48" s="12"/>
    </row>
    <row r="49" spans="2:9" x14ac:dyDescent="0.2">
      <c r="B49" s="15"/>
      <c r="C49" s="12"/>
      <c r="D49" s="12"/>
      <c r="E49" s="12"/>
      <c r="F49" s="12"/>
      <c r="G49" s="12"/>
      <c r="H49" s="12"/>
      <c r="I49" s="12"/>
    </row>
    <row r="50" spans="2:9" x14ac:dyDescent="0.2">
      <c r="B50" s="15"/>
      <c r="C50" s="12"/>
      <c r="D50" s="12"/>
      <c r="E50" s="12"/>
      <c r="F50" s="12"/>
      <c r="G50" s="12"/>
      <c r="H50" s="12"/>
      <c r="I50" s="12"/>
    </row>
    <row r="51" spans="2:9" x14ac:dyDescent="0.2">
      <c r="B51" s="15"/>
      <c r="C51" s="12"/>
      <c r="D51" s="12"/>
      <c r="E51" s="12"/>
      <c r="F51" s="12"/>
      <c r="G51" s="12"/>
      <c r="H51" s="12"/>
      <c r="I51" s="12"/>
    </row>
    <row r="52" spans="2:9" x14ac:dyDescent="0.2">
      <c r="B52" s="15"/>
      <c r="C52" s="12"/>
      <c r="D52" s="12"/>
      <c r="E52" s="12"/>
      <c r="F52" s="12"/>
      <c r="G52" s="12"/>
      <c r="H52" s="12"/>
      <c r="I52" s="12"/>
    </row>
    <row r="53" spans="2:9" x14ac:dyDescent="0.2">
      <c r="C53" s="12"/>
      <c r="D53" s="12"/>
      <c r="E53" s="12"/>
      <c r="F53" s="12"/>
      <c r="G53" s="12"/>
      <c r="H53" s="12"/>
      <c r="I53" s="12"/>
    </row>
  </sheetData>
  <phoneticPr fontId="0" type="noConversion"/>
  <pageMargins left="0.7" right="0.7" top="0.75" bottom="0.75" header="0.3" footer="0.3"/>
  <pageSetup scale="71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6" style="3" customWidth="1"/>
    <col min="2" max="2" width="12.42578125" style="18" bestFit="1" customWidth="1"/>
    <col min="3" max="3" width="18.42578125" style="3" bestFit="1" customWidth="1"/>
    <col min="4" max="4" width="15.42578125" style="3" bestFit="1" customWidth="1"/>
    <col min="5" max="5" width="16.5703125" style="3" bestFit="1" customWidth="1"/>
    <col min="6" max="6" width="15.42578125" style="3" bestFit="1" customWidth="1"/>
    <col min="7" max="7" width="16.5703125" style="3" bestFit="1" customWidth="1"/>
    <col min="8" max="8" width="14.5703125" style="3" bestFit="1" customWidth="1"/>
    <col min="9" max="9" width="14.28515625" style="3" bestFit="1" customWidth="1"/>
    <col min="10" max="10" width="15.42578125" style="3" bestFit="1" customWidth="1"/>
    <col min="11" max="11" width="16.5703125" style="3" bestFit="1" customWidth="1"/>
    <col min="12" max="12" width="14.28515625" style="3" bestFit="1" customWidth="1"/>
    <col min="13" max="13" width="16.5703125" style="3" bestFit="1" customWidth="1"/>
    <col min="14" max="15" width="15.42578125" style="3" bestFit="1" customWidth="1"/>
    <col min="16" max="16" width="16.5703125" style="3" bestFit="1" customWidth="1"/>
    <col min="17" max="18" width="14.28515625" style="3" bestFit="1" customWidth="1"/>
    <col min="19" max="19" width="15.42578125" style="3" bestFit="1" customWidth="1"/>
    <col min="20" max="20" width="11.5703125" style="3" bestFit="1" customWidth="1"/>
    <col min="21" max="21" width="18.42578125" style="3" bestFit="1" customWidth="1"/>
    <col min="22" max="16384" width="9.140625" style="12"/>
  </cols>
  <sheetData>
    <row r="1" spans="1:21" ht="23.25" x14ac:dyDescent="0.35">
      <c r="A1" s="1" t="s">
        <v>85</v>
      </c>
    </row>
    <row r="2" spans="1:21" ht="15" x14ac:dyDescent="0.25">
      <c r="A2" s="19">
        <v>2022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110</v>
      </c>
      <c r="C5" s="22">
        <v>8708</v>
      </c>
      <c r="D5" s="22">
        <v>62376</v>
      </c>
      <c r="E5" s="22">
        <v>5562</v>
      </c>
      <c r="F5" s="22">
        <v>7200</v>
      </c>
      <c r="G5" s="22">
        <v>1596</v>
      </c>
      <c r="H5" s="22">
        <v>341</v>
      </c>
      <c r="I5" s="22">
        <v>0</v>
      </c>
      <c r="J5" s="22">
        <v>2552</v>
      </c>
      <c r="K5" s="22">
        <v>1058</v>
      </c>
      <c r="L5" s="22">
        <v>3301</v>
      </c>
      <c r="M5" s="22">
        <v>309</v>
      </c>
      <c r="N5" s="22">
        <v>873</v>
      </c>
      <c r="O5" s="22">
        <v>7927</v>
      </c>
      <c r="P5" s="22">
        <v>1048</v>
      </c>
      <c r="Q5" s="22">
        <v>1941</v>
      </c>
      <c r="R5" s="22">
        <v>1</v>
      </c>
      <c r="S5" s="22">
        <v>1220</v>
      </c>
      <c r="T5" s="22">
        <v>301</v>
      </c>
      <c r="U5" s="23">
        <v>106314</v>
      </c>
    </row>
    <row r="6" spans="1:21" ht="14.25" customHeight="1" x14ac:dyDescent="0.2">
      <c r="A6" s="20" t="s">
        <v>13</v>
      </c>
      <c r="B6" s="21" t="s">
        <v>111</v>
      </c>
      <c r="C6" s="22">
        <v>1535</v>
      </c>
      <c r="D6" s="22">
        <v>4925</v>
      </c>
      <c r="E6" s="22">
        <v>2434</v>
      </c>
      <c r="F6" s="22">
        <v>0</v>
      </c>
      <c r="G6" s="22">
        <v>53</v>
      </c>
      <c r="H6" s="22">
        <v>4</v>
      </c>
      <c r="I6" s="22">
        <v>0</v>
      </c>
      <c r="J6" s="22">
        <v>37</v>
      </c>
      <c r="K6" s="22">
        <v>30</v>
      </c>
      <c r="L6" s="22">
        <v>325</v>
      </c>
      <c r="M6" s="22">
        <v>3</v>
      </c>
      <c r="N6" s="22">
        <v>38</v>
      </c>
      <c r="O6" s="22">
        <v>2283</v>
      </c>
      <c r="P6" s="22">
        <v>169</v>
      </c>
      <c r="Q6" s="22">
        <v>582</v>
      </c>
      <c r="R6" s="22">
        <v>33</v>
      </c>
      <c r="S6" s="22">
        <v>105</v>
      </c>
      <c r="T6" s="22">
        <v>323</v>
      </c>
      <c r="U6" s="23">
        <v>12879</v>
      </c>
    </row>
    <row r="7" spans="1:21" ht="14.25" customHeight="1" x14ac:dyDescent="0.2">
      <c r="A7" s="20" t="s">
        <v>14</v>
      </c>
      <c r="B7" s="21" t="s">
        <v>110</v>
      </c>
      <c r="C7" s="22">
        <v>21447</v>
      </c>
      <c r="D7" s="22">
        <v>59066</v>
      </c>
      <c r="E7" s="22">
        <v>8622</v>
      </c>
      <c r="F7" s="22">
        <v>19334</v>
      </c>
      <c r="G7" s="22">
        <v>1948</v>
      </c>
      <c r="H7" s="22">
        <v>123</v>
      </c>
      <c r="I7" s="22">
        <v>15</v>
      </c>
      <c r="J7" s="22">
        <v>1198</v>
      </c>
      <c r="K7" s="22">
        <v>2348</v>
      </c>
      <c r="L7" s="22">
        <v>3379</v>
      </c>
      <c r="M7" s="22">
        <v>81</v>
      </c>
      <c r="N7" s="22">
        <v>756</v>
      </c>
      <c r="O7" s="22">
        <v>1180</v>
      </c>
      <c r="P7" s="22">
        <v>445</v>
      </c>
      <c r="Q7" s="22">
        <v>1899</v>
      </c>
      <c r="R7" s="22">
        <v>62</v>
      </c>
      <c r="S7" s="22">
        <v>372</v>
      </c>
      <c r="T7" s="22">
        <v>194</v>
      </c>
      <c r="U7" s="23">
        <v>122469</v>
      </c>
    </row>
    <row r="8" spans="1:21" ht="14.25" customHeight="1" x14ac:dyDescent="0.2">
      <c r="A8" s="20" t="s">
        <v>15</v>
      </c>
      <c r="B8" s="21" t="s">
        <v>111</v>
      </c>
      <c r="C8" s="22">
        <v>2983</v>
      </c>
      <c r="D8" s="22">
        <v>5892</v>
      </c>
      <c r="E8" s="22">
        <v>2622</v>
      </c>
      <c r="F8" s="22">
        <v>21</v>
      </c>
      <c r="G8" s="22">
        <v>26</v>
      </c>
      <c r="H8" s="22">
        <v>13</v>
      </c>
      <c r="I8" s="22">
        <v>0</v>
      </c>
      <c r="J8" s="22">
        <v>9</v>
      </c>
      <c r="K8" s="22">
        <v>62</v>
      </c>
      <c r="L8" s="22">
        <v>400</v>
      </c>
      <c r="M8" s="22">
        <v>2</v>
      </c>
      <c r="N8" s="22">
        <v>61</v>
      </c>
      <c r="O8" s="22">
        <v>2594</v>
      </c>
      <c r="P8" s="22">
        <v>242</v>
      </c>
      <c r="Q8" s="22">
        <v>277</v>
      </c>
      <c r="R8" s="22">
        <v>6</v>
      </c>
      <c r="S8" s="22">
        <v>51</v>
      </c>
      <c r="T8" s="22">
        <v>193</v>
      </c>
      <c r="U8" s="23">
        <v>15454</v>
      </c>
    </row>
    <row r="9" spans="1:21" ht="14.25" customHeight="1" x14ac:dyDescent="0.2">
      <c r="A9" s="20" t="s">
        <v>16</v>
      </c>
      <c r="B9" s="21" t="s">
        <v>110</v>
      </c>
      <c r="C9" s="22">
        <v>56812</v>
      </c>
      <c r="D9" s="22">
        <v>199968</v>
      </c>
      <c r="E9" s="22">
        <v>11243</v>
      </c>
      <c r="F9" s="22">
        <v>35900</v>
      </c>
      <c r="G9" s="22">
        <v>2984</v>
      </c>
      <c r="H9" s="22">
        <v>281</v>
      </c>
      <c r="I9" s="22">
        <v>1108</v>
      </c>
      <c r="J9" s="22">
        <v>7751</v>
      </c>
      <c r="K9" s="22">
        <v>2858</v>
      </c>
      <c r="L9" s="22">
        <v>7804</v>
      </c>
      <c r="M9" s="22">
        <v>675</v>
      </c>
      <c r="N9" s="22">
        <v>2092</v>
      </c>
      <c r="O9" s="22">
        <v>1612</v>
      </c>
      <c r="P9" s="22">
        <v>879</v>
      </c>
      <c r="Q9" s="22">
        <v>8605</v>
      </c>
      <c r="R9" s="22">
        <v>2</v>
      </c>
      <c r="S9" s="22">
        <v>764</v>
      </c>
      <c r="T9" s="22">
        <v>898</v>
      </c>
      <c r="U9" s="23">
        <v>342351</v>
      </c>
    </row>
    <row r="10" spans="1:21" ht="14.25" customHeight="1" x14ac:dyDescent="0.2">
      <c r="A10" s="20" t="s">
        <v>17</v>
      </c>
      <c r="B10" s="21" t="s">
        <v>110</v>
      </c>
      <c r="C10" s="22">
        <v>9473</v>
      </c>
      <c r="D10" s="22">
        <v>390442</v>
      </c>
      <c r="E10" s="22">
        <v>4147</v>
      </c>
      <c r="F10" s="22">
        <v>253584</v>
      </c>
      <c r="G10" s="22">
        <v>16471</v>
      </c>
      <c r="H10" s="22">
        <v>1616</v>
      </c>
      <c r="I10" s="22">
        <v>11665</v>
      </c>
      <c r="J10" s="22">
        <v>9430</v>
      </c>
      <c r="K10" s="22">
        <v>1636</v>
      </c>
      <c r="L10" s="22">
        <v>22191</v>
      </c>
      <c r="M10" s="22">
        <v>320</v>
      </c>
      <c r="N10" s="22">
        <v>8693</v>
      </c>
      <c r="O10" s="22">
        <v>1171</v>
      </c>
      <c r="P10" s="22">
        <v>2167</v>
      </c>
      <c r="Q10" s="22">
        <v>3479</v>
      </c>
      <c r="R10" s="22">
        <v>0</v>
      </c>
      <c r="S10" s="22">
        <v>18054</v>
      </c>
      <c r="T10" s="22">
        <v>11</v>
      </c>
      <c r="U10" s="23">
        <v>754550</v>
      </c>
    </row>
    <row r="11" spans="1:21" ht="14.25" customHeight="1" x14ac:dyDescent="0.2">
      <c r="A11" s="20" t="s">
        <v>18</v>
      </c>
      <c r="B11" s="21" t="s">
        <v>111</v>
      </c>
      <c r="C11" s="22">
        <v>2875</v>
      </c>
      <c r="D11" s="22">
        <v>2617</v>
      </c>
      <c r="E11" s="22">
        <v>1185</v>
      </c>
      <c r="F11" s="22">
        <v>0</v>
      </c>
      <c r="G11" s="22">
        <v>13</v>
      </c>
      <c r="H11" s="22">
        <v>2</v>
      </c>
      <c r="I11" s="22">
        <v>0</v>
      </c>
      <c r="J11" s="22">
        <v>1</v>
      </c>
      <c r="K11" s="22">
        <v>126</v>
      </c>
      <c r="L11" s="22">
        <v>240</v>
      </c>
      <c r="M11" s="22">
        <v>0</v>
      </c>
      <c r="N11" s="22">
        <v>46</v>
      </c>
      <c r="O11" s="22">
        <v>3596</v>
      </c>
      <c r="P11" s="22">
        <v>166</v>
      </c>
      <c r="Q11" s="22">
        <v>311</v>
      </c>
      <c r="R11" s="22">
        <v>0</v>
      </c>
      <c r="S11" s="22">
        <v>1642</v>
      </c>
      <c r="T11" s="22">
        <v>67</v>
      </c>
      <c r="U11" s="23">
        <v>12887</v>
      </c>
    </row>
    <row r="12" spans="1:21" ht="14.25" customHeight="1" x14ac:dyDescent="0.2">
      <c r="A12" s="20" t="s">
        <v>19</v>
      </c>
      <c r="B12" s="21" t="s">
        <v>110</v>
      </c>
      <c r="C12" s="22">
        <v>95883</v>
      </c>
      <c r="D12" s="22">
        <v>78523</v>
      </c>
      <c r="E12" s="22">
        <v>5475</v>
      </c>
      <c r="F12" s="22">
        <v>14177</v>
      </c>
      <c r="G12" s="22">
        <v>1417</v>
      </c>
      <c r="H12" s="22">
        <v>83</v>
      </c>
      <c r="I12" s="22">
        <v>4047</v>
      </c>
      <c r="J12" s="22">
        <v>1206</v>
      </c>
      <c r="K12" s="22">
        <v>3736</v>
      </c>
      <c r="L12" s="22">
        <v>2645</v>
      </c>
      <c r="M12" s="22">
        <v>136</v>
      </c>
      <c r="N12" s="22">
        <v>1051</v>
      </c>
      <c r="O12" s="22">
        <v>1754</v>
      </c>
      <c r="P12" s="22">
        <v>199</v>
      </c>
      <c r="Q12" s="22">
        <v>866</v>
      </c>
      <c r="R12" s="22">
        <v>23</v>
      </c>
      <c r="S12" s="22">
        <v>1405</v>
      </c>
      <c r="T12" s="22">
        <v>880</v>
      </c>
      <c r="U12" s="23">
        <v>213506</v>
      </c>
    </row>
    <row r="13" spans="1:21" ht="14.25" customHeight="1" x14ac:dyDescent="0.2">
      <c r="A13" s="20" t="s">
        <v>20</v>
      </c>
      <c r="B13" s="21" t="s">
        <v>110</v>
      </c>
      <c r="C13" s="22">
        <v>60387</v>
      </c>
      <c r="D13" s="22">
        <v>57300</v>
      </c>
      <c r="E13" s="22">
        <v>15606</v>
      </c>
      <c r="F13" s="22">
        <v>1621</v>
      </c>
      <c r="G13" s="22">
        <v>541</v>
      </c>
      <c r="H13" s="22">
        <v>43</v>
      </c>
      <c r="I13" s="22">
        <v>0</v>
      </c>
      <c r="J13" s="22">
        <v>42</v>
      </c>
      <c r="K13" s="22">
        <v>1840</v>
      </c>
      <c r="L13" s="22">
        <v>2115</v>
      </c>
      <c r="M13" s="22">
        <v>114</v>
      </c>
      <c r="N13" s="22">
        <v>292</v>
      </c>
      <c r="O13" s="22">
        <v>2217</v>
      </c>
      <c r="P13" s="22">
        <v>683</v>
      </c>
      <c r="Q13" s="22">
        <v>2301</v>
      </c>
      <c r="R13" s="22">
        <v>0</v>
      </c>
      <c r="S13" s="22">
        <v>1746</v>
      </c>
      <c r="T13" s="22">
        <v>701</v>
      </c>
      <c r="U13" s="23">
        <v>147549</v>
      </c>
    </row>
    <row r="14" spans="1:21" ht="14.25" customHeight="1" x14ac:dyDescent="0.2">
      <c r="A14" s="20" t="s">
        <v>21</v>
      </c>
      <c r="B14" s="21" t="s">
        <v>110</v>
      </c>
      <c r="C14" s="22">
        <v>11525</v>
      </c>
      <c r="D14" s="22">
        <v>64109</v>
      </c>
      <c r="E14" s="22">
        <v>9521</v>
      </c>
      <c r="F14" s="22">
        <v>2400</v>
      </c>
      <c r="G14" s="22">
        <v>280</v>
      </c>
      <c r="H14" s="22">
        <v>52</v>
      </c>
      <c r="I14" s="22">
        <v>0</v>
      </c>
      <c r="J14" s="22">
        <v>2891</v>
      </c>
      <c r="K14" s="22">
        <v>609</v>
      </c>
      <c r="L14" s="22">
        <v>1778</v>
      </c>
      <c r="M14" s="22">
        <v>19</v>
      </c>
      <c r="N14" s="22">
        <v>231</v>
      </c>
      <c r="O14" s="22">
        <v>1280</v>
      </c>
      <c r="P14" s="22">
        <v>467</v>
      </c>
      <c r="Q14" s="22">
        <v>903</v>
      </c>
      <c r="R14" s="22">
        <v>0</v>
      </c>
      <c r="S14" s="22">
        <v>966</v>
      </c>
      <c r="T14" s="22">
        <v>390</v>
      </c>
      <c r="U14" s="23">
        <v>97421</v>
      </c>
    </row>
    <row r="15" spans="1:21" ht="14.25" customHeight="1" x14ac:dyDescent="0.2">
      <c r="A15" s="20" t="s">
        <v>22</v>
      </c>
      <c r="B15" s="21" t="s">
        <v>110</v>
      </c>
      <c r="C15" s="22">
        <v>19299</v>
      </c>
      <c r="D15" s="22">
        <v>102071</v>
      </c>
      <c r="E15" s="22">
        <v>3512</v>
      </c>
      <c r="F15" s="22">
        <v>99880</v>
      </c>
      <c r="G15" s="22">
        <v>1954</v>
      </c>
      <c r="H15" s="22">
        <v>115</v>
      </c>
      <c r="I15" s="22">
        <v>3072</v>
      </c>
      <c r="J15" s="22">
        <v>943</v>
      </c>
      <c r="K15" s="22">
        <v>790</v>
      </c>
      <c r="L15" s="22">
        <v>3379</v>
      </c>
      <c r="M15" s="22">
        <v>120</v>
      </c>
      <c r="N15" s="22">
        <v>965</v>
      </c>
      <c r="O15" s="22">
        <v>1957</v>
      </c>
      <c r="P15" s="22">
        <v>652</v>
      </c>
      <c r="Q15" s="22">
        <v>34758</v>
      </c>
      <c r="R15" s="22">
        <v>2</v>
      </c>
      <c r="S15" s="22">
        <v>7536</v>
      </c>
      <c r="T15" s="22">
        <v>7576</v>
      </c>
      <c r="U15" s="23">
        <v>288581</v>
      </c>
    </row>
    <row r="16" spans="1:21" ht="14.25" customHeight="1" x14ac:dyDescent="0.2">
      <c r="A16" s="20" t="s">
        <v>23</v>
      </c>
      <c r="B16" s="21" t="s">
        <v>110</v>
      </c>
      <c r="C16" s="22">
        <v>5476</v>
      </c>
      <c r="D16" s="22">
        <v>13535</v>
      </c>
      <c r="E16" s="22">
        <v>7629</v>
      </c>
      <c r="F16" s="22">
        <v>45</v>
      </c>
      <c r="G16" s="22">
        <v>217</v>
      </c>
      <c r="H16" s="22">
        <v>41</v>
      </c>
      <c r="I16" s="22">
        <v>0</v>
      </c>
      <c r="J16" s="22">
        <v>954</v>
      </c>
      <c r="K16" s="22">
        <v>351</v>
      </c>
      <c r="L16" s="22">
        <v>1026</v>
      </c>
      <c r="M16" s="22">
        <v>28</v>
      </c>
      <c r="N16" s="22">
        <v>174</v>
      </c>
      <c r="O16" s="22">
        <v>5210</v>
      </c>
      <c r="P16" s="22">
        <v>352</v>
      </c>
      <c r="Q16" s="22">
        <v>1029</v>
      </c>
      <c r="R16" s="22">
        <v>0</v>
      </c>
      <c r="S16" s="22">
        <v>404</v>
      </c>
      <c r="T16" s="22">
        <v>695</v>
      </c>
      <c r="U16" s="23">
        <v>37166</v>
      </c>
    </row>
    <row r="17" spans="1:21" ht="14.25" customHeight="1" x14ac:dyDescent="0.2">
      <c r="A17" s="20" t="s">
        <v>104</v>
      </c>
      <c r="B17" s="21" t="s">
        <v>110</v>
      </c>
      <c r="C17" s="22">
        <v>22865</v>
      </c>
      <c r="D17" s="22">
        <v>386495</v>
      </c>
      <c r="E17" s="22">
        <v>301</v>
      </c>
      <c r="F17" s="22">
        <v>379566</v>
      </c>
      <c r="G17" s="22">
        <v>31781</v>
      </c>
      <c r="H17" s="22">
        <v>3567</v>
      </c>
      <c r="I17" s="22">
        <v>2791</v>
      </c>
      <c r="J17" s="22">
        <v>1465</v>
      </c>
      <c r="K17" s="22">
        <v>6247</v>
      </c>
      <c r="L17" s="22">
        <v>33020</v>
      </c>
      <c r="M17" s="22">
        <v>2124</v>
      </c>
      <c r="N17" s="22">
        <v>16213</v>
      </c>
      <c r="O17" s="22">
        <v>7477</v>
      </c>
      <c r="P17" s="22">
        <v>2315</v>
      </c>
      <c r="Q17" s="22">
        <v>22640</v>
      </c>
      <c r="R17" s="22">
        <v>95</v>
      </c>
      <c r="S17" s="22">
        <v>3999</v>
      </c>
      <c r="T17" s="22">
        <v>6308</v>
      </c>
      <c r="U17" s="23">
        <v>929269</v>
      </c>
    </row>
    <row r="18" spans="1:21" ht="14.25" customHeight="1" x14ac:dyDescent="0.2">
      <c r="A18" s="20" t="s">
        <v>24</v>
      </c>
      <c r="B18" s="21" t="s">
        <v>110</v>
      </c>
      <c r="C18" s="22">
        <v>3347</v>
      </c>
      <c r="D18" s="22">
        <v>5960</v>
      </c>
      <c r="E18" s="22">
        <v>2701</v>
      </c>
      <c r="F18" s="22">
        <v>606</v>
      </c>
      <c r="G18" s="22">
        <v>262</v>
      </c>
      <c r="H18" s="22">
        <v>31</v>
      </c>
      <c r="I18" s="22">
        <v>0</v>
      </c>
      <c r="J18" s="22">
        <v>27</v>
      </c>
      <c r="K18" s="22">
        <v>234</v>
      </c>
      <c r="L18" s="22">
        <v>415</v>
      </c>
      <c r="M18" s="22">
        <v>24</v>
      </c>
      <c r="N18" s="22">
        <v>113</v>
      </c>
      <c r="O18" s="22">
        <v>5352</v>
      </c>
      <c r="P18" s="22">
        <v>126</v>
      </c>
      <c r="Q18" s="22">
        <v>390</v>
      </c>
      <c r="R18" s="22">
        <v>0</v>
      </c>
      <c r="S18" s="22">
        <v>304</v>
      </c>
      <c r="T18" s="22">
        <v>118</v>
      </c>
      <c r="U18" s="23">
        <v>20010</v>
      </c>
    </row>
    <row r="19" spans="1:21" ht="14.25" customHeight="1" x14ac:dyDescent="0.2">
      <c r="A19" s="20" t="s">
        <v>25</v>
      </c>
      <c r="B19" s="21" t="s">
        <v>111</v>
      </c>
      <c r="C19" s="22">
        <v>5549</v>
      </c>
      <c r="D19" s="22">
        <v>2917</v>
      </c>
      <c r="E19" s="22">
        <v>3829</v>
      </c>
      <c r="F19" s="22">
        <v>159</v>
      </c>
      <c r="G19" s="22">
        <v>3</v>
      </c>
      <c r="H19" s="22">
        <v>1</v>
      </c>
      <c r="I19" s="22">
        <v>3</v>
      </c>
      <c r="J19" s="22">
        <v>0</v>
      </c>
      <c r="K19" s="22">
        <v>141</v>
      </c>
      <c r="L19" s="22">
        <v>209</v>
      </c>
      <c r="M19" s="22">
        <v>5</v>
      </c>
      <c r="N19" s="22">
        <v>29</v>
      </c>
      <c r="O19" s="22">
        <v>2743</v>
      </c>
      <c r="P19" s="22">
        <v>74</v>
      </c>
      <c r="Q19" s="22">
        <v>642</v>
      </c>
      <c r="R19" s="22">
        <v>0</v>
      </c>
      <c r="S19" s="22">
        <v>163</v>
      </c>
      <c r="T19" s="22">
        <v>22</v>
      </c>
      <c r="U19" s="23">
        <v>16489</v>
      </c>
    </row>
    <row r="20" spans="1:21" ht="14.25" customHeight="1" x14ac:dyDescent="0.2">
      <c r="A20" s="20" t="s">
        <v>26</v>
      </c>
      <c r="B20" s="21" t="s">
        <v>110</v>
      </c>
      <c r="C20" s="22">
        <v>20961</v>
      </c>
      <c r="D20" s="22">
        <v>279384</v>
      </c>
      <c r="E20" s="22">
        <v>9375</v>
      </c>
      <c r="F20" s="22">
        <v>27573</v>
      </c>
      <c r="G20" s="22">
        <v>5154</v>
      </c>
      <c r="H20" s="22">
        <v>670</v>
      </c>
      <c r="I20" s="22">
        <v>121</v>
      </c>
      <c r="J20" s="22">
        <v>6273</v>
      </c>
      <c r="K20" s="22">
        <v>3469</v>
      </c>
      <c r="L20" s="22">
        <v>12291</v>
      </c>
      <c r="M20" s="22">
        <v>1345</v>
      </c>
      <c r="N20" s="22">
        <v>4246</v>
      </c>
      <c r="O20" s="22">
        <v>1566</v>
      </c>
      <c r="P20" s="22">
        <v>2668</v>
      </c>
      <c r="Q20" s="22">
        <v>6571</v>
      </c>
      <c r="R20" s="22">
        <v>156</v>
      </c>
      <c r="S20" s="22">
        <v>3998</v>
      </c>
      <c r="T20" s="22">
        <v>85</v>
      </c>
      <c r="U20" s="23">
        <v>385906</v>
      </c>
    </row>
    <row r="21" spans="1:21" ht="14.25" customHeight="1" x14ac:dyDescent="0.2">
      <c r="A21" s="20" t="s">
        <v>27</v>
      </c>
      <c r="B21" s="21" t="s">
        <v>110</v>
      </c>
      <c r="C21" s="22">
        <v>17719</v>
      </c>
      <c r="D21" s="22">
        <v>101697</v>
      </c>
      <c r="E21" s="22">
        <v>4877</v>
      </c>
      <c r="F21" s="22">
        <v>8749</v>
      </c>
      <c r="G21" s="22">
        <v>4704</v>
      </c>
      <c r="H21" s="22">
        <v>198</v>
      </c>
      <c r="I21" s="22">
        <v>0</v>
      </c>
      <c r="J21" s="22">
        <v>2207</v>
      </c>
      <c r="K21" s="22">
        <v>3129</v>
      </c>
      <c r="L21" s="22">
        <v>5483</v>
      </c>
      <c r="M21" s="22">
        <v>157</v>
      </c>
      <c r="N21" s="22">
        <v>880</v>
      </c>
      <c r="O21" s="22">
        <v>2574</v>
      </c>
      <c r="P21" s="22">
        <v>1026</v>
      </c>
      <c r="Q21" s="22">
        <v>944</v>
      </c>
      <c r="R21" s="22">
        <v>87</v>
      </c>
      <c r="S21" s="22">
        <v>12823</v>
      </c>
      <c r="T21" s="22">
        <v>604</v>
      </c>
      <c r="U21" s="23">
        <v>167858</v>
      </c>
    </row>
    <row r="22" spans="1:21" ht="14.25" customHeight="1" x14ac:dyDescent="0.2">
      <c r="A22" s="20" t="s">
        <v>28</v>
      </c>
      <c r="B22" s="21" t="s">
        <v>110</v>
      </c>
      <c r="C22" s="22">
        <v>20858</v>
      </c>
      <c r="D22" s="22">
        <v>46209</v>
      </c>
      <c r="E22" s="22">
        <v>1632</v>
      </c>
      <c r="F22" s="22">
        <v>4435</v>
      </c>
      <c r="G22" s="22">
        <v>1266</v>
      </c>
      <c r="H22" s="22">
        <v>18</v>
      </c>
      <c r="I22" s="22">
        <v>346</v>
      </c>
      <c r="J22" s="22">
        <v>1610</v>
      </c>
      <c r="K22" s="22">
        <v>587</v>
      </c>
      <c r="L22" s="22">
        <v>1321</v>
      </c>
      <c r="M22" s="22">
        <v>114</v>
      </c>
      <c r="N22" s="22">
        <v>283</v>
      </c>
      <c r="O22" s="22">
        <v>1808</v>
      </c>
      <c r="P22" s="22">
        <v>185</v>
      </c>
      <c r="Q22" s="22">
        <v>1641</v>
      </c>
      <c r="R22" s="22">
        <v>4</v>
      </c>
      <c r="S22" s="22">
        <v>678</v>
      </c>
      <c r="T22" s="22">
        <v>113</v>
      </c>
      <c r="U22" s="23">
        <v>83108</v>
      </c>
    </row>
    <row r="23" spans="1:21" ht="14.25" customHeight="1" x14ac:dyDescent="0.2">
      <c r="A23" s="20" t="s">
        <v>29</v>
      </c>
      <c r="B23" s="21" t="s">
        <v>111</v>
      </c>
      <c r="C23" s="22">
        <v>6958</v>
      </c>
      <c r="D23" s="22">
        <v>6601</v>
      </c>
      <c r="E23" s="22">
        <v>1287</v>
      </c>
      <c r="F23" s="22">
        <v>432</v>
      </c>
      <c r="G23" s="22">
        <v>6</v>
      </c>
      <c r="H23" s="22">
        <v>1</v>
      </c>
      <c r="I23" s="22">
        <v>1</v>
      </c>
      <c r="J23" s="22">
        <v>559</v>
      </c>
      <c r="K23" s="22">
        <v>174</v>
      </c>
      <c r="L23" s="22">
        <v>293</v>
      </c>
      <c r="M23" s="22">
        <v>1</v>
      </c>
      <c r="N23" s="22">
        <v>99</v>
      </c>
      <c r="O23" s="22">
        <v>140</v>
      </c>
      <c r="P23" s="22">
        <v>90</v>
      </c>
      <c r="Q23" s="22">
        <v>1544</v>
      </c>
      <c r="R23" s="22">
        <v>25</v>
      </c>
      <c r="S23" s="22">
        <v>42</v>
      </c>
      <c r="T23" s="22">
        <v>40</v>
      </c>
      <c r="U23" s="23">
        <v>18293</v>
      </c>
    </row>
    <row r="24" spans="1:21" ht="14.25" customHeight="1" x14ac:dyDescent="0.2">
      <c r="A24" s="20" t="s">
        <v>30</v>
      </c>
      <c r="B24" s="21" t="s">
        <v>111</v>
      </c>
      <c r="C24" s="22">
        <v>5416</v>
      </c>
      <c r="D24" s="22">
        <v>11335</v>
      </c>
      <c r="E24" s="22">
        <v>3685</v>
      </c>
      <c r="F24" s="22">
        <v>0</v>
      </c>
      <c r="G24" s="22">
        <v>142</v>
      </c>
      <c r="H24" s="22">
        <v>16</v>
      </c>
      <c r="I24" s="22">
        <v>0</v>
      </c>
      <c r="J24" s="22">
        <v>44</v>
      </c>
      <c r="K24" s="22">
        <v>330</v>
      </c>
      <c r="L24" s="22">
        <v>517</v>
      </c>
      <c r="M24" s="22">
        <v>0</v>
      </c>
      <c r="N24" s="22">
        <v>138</v>
      </c>
      <c r="O24" s="22">
        <v>3550</v>
      </c>
      <c r="P24" s="22">
        <v>470</v>
      </c>
      <c r="Q24" s="22">
        <v>713</v>
      </c>
      <c r="R24" s="22">
        <v>0</v>
      </c>
      <c r="S24" s="22">
        <v>1070</v>
      </c>
      <c r="T24" s="22">
        <v>580</v>
      </c>
      <c r="U24" s="23">
        <v>28006</v>
      </c>
    </row>
    <row r="25" spans="1:21" ht="14.25" customHeight="1" x14ac:dyDescent="0.2">
      <c r="A25" s="20" t="s">
        <v>31</v>
      </c>
      <c r="B25" s="21" t="s">
        <v>111</v>
      </c>
      <c r="C25" s="22">
        <v>3153</v>
      </c>
      <c r="D25" s="22">
        <v>2783</v>
      </c>
      <c r="E25" s="22">
        <v>2859</v>
      </c>
      <c r="F25" s="22">
        <v>0</v>
      </c>
      <c r="G25" s="22">
        <v>28</v>
      </c>
      <c r="H25" s="22">
        <v>2</v>
      </c>
      <c r="I25" s="22">
        <v>0</v>
      </c>
      <c r="J25" s="22">
        <v>485</v>
      </c>
      <c r="K25" s="22">
        <v>48</v>
      </c>
      <c r="L25" s="22">
        <v>155</v>
      </c>
      <c r="M25" s="22">
        <v>1</v>
      </c>
      <c r="N25" s="22">
        <v>32</v>
      </c>
      <c r="O25" s="22">
        <v>3582</v>
      </c>
      <c r="P25" s="22">
        <v>80</v>
      </c>
      <c r="Q25" s="22">
        <v>400</v>
      </c>
      <c r="R25" s="22">
        <v>0</v>
      </c>
      <c r="S25" s="22">
        <v>820</v>
      </c>
      <c r="T25" s="22">
        <v>262</v>
      </c>
      <c r="U25" s="23">
        <v>14690</v>
      </c>
    </row>
    <row r="26" spans="1:21" ht="14.25" customHeight="1" x14ac:dyDescent="0.2">
      <c r="A26" s="20" t="s">
        <v>32</v>
      </c>
      <c r="B26" s="21" t="s">
        <v>111</v>
      </c>
      <c r="C26" s="22">
        <v>3054</v>
      </c>
      <c r="D26" s="22">
        <v>1786</v>
      </c>
      <c r="E26" s="22">
        <v>2234</v>
      </c>
      <c r="F26" s="22">
        <v>262</v>
      </c>
      <c r="G26" s="22">
        <v>146</v>
      </c>
      <c r="H26" s="22">
        <v>1</v>
      </c>
      <c r="I26" s="22">
        <v>0</v>
      </c>
      <c r="J26" s="22">
        <v>115</v>
      </c>
      <c r="K26" s="22">
        <v>59</v>
      </c>
      <c r="L26" s="22">
        <v>125</v>
      </c>
      <c r="M26" s="22">
        <v>12</v>
      </c>
      <c r="N26" s="22">
        <v>25</v>
      </c>
      <c r="O26" s="22">
        <v>2078</v>
      </c>
      <c r="P26" s="22">
        <v>89</v>
      </c>
      <c r="Q26" s="22">
        <v>822</v>
      </c>
      <c r="R26" s="22">
        <v>0</v>
      </c>
      <c r="S26" s="22">
        <v>455</v>
      </c>
      <c r="T26" s="22">
        <v>66</v>
      </c>
      <c r="U26" s="23">
        <v>11329</v>
      </c>
    </row>
    <row r="27" spans="1:21" ht="14.25" customHeight="1" x14ac:dyDescent="0.2">
      <c r="A27" s="20" t="s">
        <v>33</v>
      </c>
      <c r="B27" s="21" t="s">
        <v>111</v>
      </c>
      <c r="C27" s="22">
        <v>7649</v>
      </c>
      <c r="D27" s="22">
        <v>6535</v>
      </c>
      <c r="E27" s="22">
        <v>1613</v>
      </c>
      <c r="F27" s="22">
        <v>274</v>
      </c>
      <c r="G27" s="22">
        <v>23</v>
      </c>
      <c r="H27" s="22">
        <v>5</v>
      </c>
      <c r="I27" s="22">
        <v>0</v>
      </c>
      <c r="J27" s="22">
        <v>114</v>
      </c>
      <c r="K27" s="22">
        <v>7</v>
      </c>
      <c r="L27" s="22">
        <v>282</v>
      </c>
      <c r="M27" s="22">
        <v>0</v>
      </c>
      <c r="N27" s="22">
        <v>42</v>
      </c>
      <c r="O27" s="22">
        <v>878</v>
      </c>
      <c r="P27" s="22">
        <v>87</v>
      </c>
      <c r="Q27" s="22">
        <v>435</v>
      </c>
      <c r="R27" s="22">
        <v>2</v>
      </c>
      <c r="S27" s="22">
        <v>971</v>
      </c>
      <c r="T27" s="22">
        <v>126</v>
      </c>
      <c r="U27" s="23">
        <v>19043</v>
      </c>
    </row>
    <row r="28" spans="1:21" ht="14.25" customHeight="1" x14ac:dyDescent="0.2">
      <c r="A28" s="20" t="s">
        <v>34</v>
      </c>
      <c r="B28" s="21" t="s">
        <v>111</v>
      </c>
      <c r="C28" s="22">
        <v>4551</v>
      </c>
      <c r="D28" s="22">
        <v>1997</v>
      </c>
      <c r="E28" s="22">
        <v>1478</v>
      </c>
      <c r="F28" s="22">
        <v>0</v>
      </c>
      <c r="G28" s="22">
        <v>145</v>
      </c>
      <c r="H28" s="22">
        <v>8</v>
      </c>
      <c r="I28" s="22">
        <v>0</v>
      </c>
      <c r="J28" s="22">
        <v>5</v>
      </c>
      <c r="K28" s="22">
        <v>115</v>
      </c>
      <c r="L28" s="22">
        <v>204</v>
      </c>
      <c r="M28" s="22">
        <v>2</v>
      </c>
      <c r="N28" s="22">
        <v>22</v>
      </c>
      <c r="O28" s="22">
        <v>3022</v>
      </c>
      <c r="P28" s="22">
        <v>171</v>
      </c>
      <c r="Q28" s="22">
        <v>570</v>
      </c>
      <c r="R28" s="22">
        <v>0</v>
      </c>
      <c r="S28" s="22">
        <v>659</v>
      </c>
      <c r="T28" s="22">
        <v>164</v>
      </c>
      <c r="U28" s="23">
        <v>13113</v>
      </c>
    </row>
    <row r="29" spans="1:21" ht="14.25" customHeight="1" x14ac:dyDescent="0.2">
      <c r="A29" s="20" t="s">
        <v>35</v>
      </c>
      <c r="B29" s="21" t="s">
        <v>110</v>
      </c>
      <c r="C29" s="22">
        <v>2024</v>
      </c>
      <c r="D29" s="22">
        <v>4310</v>
      </c>
      <c r="E29" s="22">
        <v>1676</v>
      </c>
      <c r="F29" s="22">
        <v>0</v>
      </c>
      <c r="G29" s="22">
        <v>195</v>
      </c>
      <c r="H29" s="22">
        <v>17</v>
      </c>
      <c r="I29" s="22">
        <v>0</v>
      </c>
      <c r="J29" s="22">
        <v>12</v>
      </c>
      <c r="K29" s="22">
        <v>188</v>
      </c>
      <c r="L29" s="22">
        <v>354</v>
      </c>
      <c r="M29" s="22">
        <v>19</v>
      </c>
      <c r="N29" s="22">
        <v>72</v>
      </c>
      <c r="O29" s="22">
        <v>4637</v>
      </c>
      <c r="P29" s="22">
        <v>223</v>
      </c>
      <c r="Q29" s="22">
        <v>247</v>
      </c>
      <c r="R29" s="22">
        <v>0</v>
      </c>
      <c r="S29" s="22">
        <v>881</v>
      </c>
      <c r="T29" s="22">
        <v>180</v>
      </c>
      <c r="U29" s="23">
        <v>15035</v>
      </c>
    </row>
    <row r="30" spans="1:21" ht="14.25" customHeight="1" x14ac:dyDescent="0.2">
      <c r="A30" s="20" t="s">
        <v>36</v>
      </c>
      <c r="B30" s="21" t="s">
        <v>110</v>
      </c>
      <c r="C30" s="22">
        <v>17259</v>
      </c>
      <c r="D30" s="22">
        <v>7000</v>
      </c>
      <c r="E30" s="22">
        <v>4471</v>
      </c>
      <c r="F30" s="22">
        <v>265</v>
      </c>
      <c r="G30" s="22">
        <v>347</v>
      </c>
      <c r="H30" s="22">
        <v>17</v>
      </c>
      <c r="I30" s="22">
        <v>0</v>
      </c>
      <c r="J30" s="22">
        <v>86</v>
      </c>
      <c r="K30" s="22">
        <v>361</v>
      </c>
      <c r="L30" s="22">
        <v>634</v>
      </c>
      <c r="M30" s="22">
        <v>103</v>
      </c>
      <c r="N30" s="22">
        <v>185</v>
      </c>
      <c r="O30" s="22">
        <v>2906</v>
      </c>
      <c r="P30" s="22">
        <v>211</v>
      </c>
      <c r="Q30" s="22">
        <v>1662</v>
      </c>
      <c r="R30" s="22">
        <v>14</v>
      </c>
      <c r="S30" s="22">
        <v>319</v>
      </c>
      <c r="T30" s="22">
        <v>15</v>
      </c>
      <c r="U30" s="23">
        <v>35855</v>
      </c>
    </row>
    <row r="31" spans="1:21" ht="14.25" customHeight="1" x14ac:dyDescent="0.2">
      <c r="A31" s="20" t="s">
        <v>37</v>
      </c>
      <c r="B31" s="21" t="s">
        <v>110</v>
      </c>
      <c r="C31" s="22">
        <v>21311</v>
      </c>
      <c r="D31" s="22">
        <v>67672</v>
      </c>
      <c r="E31" s="22">
        <v>11943</v>
      </c>
      <c r="F31" s="22">
        <v>636</v>
      </c>
      <c r="G31" s="22">
        <v>486</v>
      </c>
      <c r="H31" s="22">
        <v>64</v>
      </c>
      <c r="I31" s="22">
        <v>72</v>
      </c>
      <c r="J31" s="22">
        <v>509</v>
      </c>
      <c r="K31" s="22">
        <v>1096</v>
      </c>
      <c r="L31" s="22">
        <v>1518</v>
      </c>
      <c r="M31" s="22">
        <v>46</v>
      </c>
      <c r="N31" s="22">
        <v>310</v>
      </c>
      <c r="O31" s="22">
        <v>2643</v>
      </c>
      <c r="P31" s="22">
        <v>389</v>
      </c>
      <c r="Q31" s="22">
        <v>2400</v>
      </c>
      <c r="R31" s="22">
        <v>101</v>
      </c>
      <c r="S31" s="22">
        <v>3818</v>
      </c>
      <c r="T31" s="22">
        <v>1448</v>
      </c>
      <c r="U31" s="23">
        <v>116462</v>
      </c>
    </row>
    <row r="32" spans="1:21" ht="14.25" customHeight="1" x14ac:dyDescent="0.2">
      <c r="A32" s="20" t="s">
        <v>38</v>
      </c>
      <c r="B32" s="21" t="s">
        <v>110</v>
      </c>
      <c r="C32" s="22">
        <v>53232</v>
      </c>
      <c r="D32" s="22">
        <v>33925</v>
      </c>
      <c r="E32" s="22">
        <v>5292</v>
      </c>
      <c r="F32" s="22">
        <v>1349</v>
      </c>
      <c r="G32" s="22">
        <v>794</v>
      </c>
      <c r="H32" s="22">
        <v>58</v>
      </c>
      <c r="I32" s="22">
        <v>635</v>
      </c>
      <c r="J32" s="22">
        <v>2053</v>
      </c>
      <c r="K32" s="22">
        <v>705</v>
      </c>
      <c r="L32" s="22">
        <v>1548</v>
      </c>
      <c r="M32" s="22">
        <v>179</v>
      </c>
      <c r="N32" s="22">
        <v>472</v>
      </c>
      <c r="O32" s="22">
        <v>4570</v>
      </c>
      <c r="P32" s="22">
        <v>1372</v>
      </c>
      <c r="Q32" s="22">
        <v>5494</v>
      </c>
      <c r="R32" s="22">
        <v>61</v>
      </c>
      <c r="S32" s="22">
        <v>180</v>
      </c>
      <c r="T32" s="22">
        <v>882</v>
      </c>
      <c r="U32" s="23">
        <v>112801</v>
      </c>
    </row>
    <row r="33" spans="1:21" ht="14.25" customHeight="1" x14ac:dyDescent="0.2">
      <c r="A33" s="20" t="s">
        <v>39</v>
      </c>
      <c r="B33" s="21" t="s">
        <v>110</v>
      </c>
      <c r="C33" s="22">
        <v>27635</v>
      </c>
      <c r="D33" s="22">
        <v>374640</v>
      </c>
      <c r="E33" s="22">
        <v>13665</v>
      </c>
      <c r="F33" s="22">
        <v>40684</v>
      </c>
      <c r="G33" s="22">
        <v>4621</v>
      </c>
      <c r="H33" s="22">
        <v>853</v>
      </c>
      <c r="I33" s="22">
        <v>1768</v>
      </c>
      <c r="J33" s="22">
        <v>7082</v>
      </c>
      <c r="K33" s="22">
        <v>3065</v>
      </c>
      <c r="L33" s="22">
        <v>14143</v>
      </c>
      <c r="M33" s="22">
        <v>570</v>
      </c>
      <c r="N33" s="22">
        <v>3514</v>
      </c>
      <c r="O33" s="22">
        <v>5853</v>
      </c>
      <c r="P33" s="22">
        <v>5570</v>
      </c>
      <c r="Q33" s="22">
        <v>9764</v>
      </c>
      <c r="R33" s="22">
        <v>214</v>
      </c>
      <c r="S33" s="22">
        <v>1229</v>
      </c>
      <c r="T33" s="22">
        <v>335</v>
      </c>
      <c r="U33" s="23">
        <v>515205</v>
      </c>
    </row>
    <row r="34" spans="1:21" ht="14.25" customHeight="1" x14ac:dyDescent="0.2">
      <c r="A34" s="20" t="s">
        <v>40</v>
      </c>
      <c r="B34" s="21" t="s">
        <v>111</v>
      </c>
      <c r="C34" s="22">
        <v>2604</v>
      </c>
      <c r="D34" s="22">
        <v>3447</v>
      </c>
      <c r="E34" s="22">
        <v>1365</v>
      </c>
      <c r="F34" s="22">
        <v>0</v>
      </c>
      <c r="G34" s="22">
        <v>8</v>
      </c>
      <c r="H34" s="22">
        <v>6</v>
      </c>
      <c r="I34" s="22">
        <v>0</v>
      </c>
      <c r="J34" s="22">
        <v>2</v>
      </c>
      <c r="K34" s="22">
        <v>57</v>
      </c>
      <c r="L34" s="22">
        <v>278</v>
      </c>
      <c r="M34" s="22">
        <v>2</v>
      </c>
      <c r="N34" s="22">
        <v>35</v>
      </c>
      <c r="O34" s="22">
        <v>5737</v>
      </c>
      <c r="P34" s="22">
        <v>227</v>
      </c>
      <c r="Q34" s="22">
        <v>394</v>
      </c>
      <c r="R34" s="22">
        <v>1</v>
      </c>
      <c r="S34" s="22">
        <v>106</v>
      </c>
      <c r="T34" s="22">
        <v>51</v>
      </c>
      <c r="U34" s="23">
        <v>14320</v>
      </c>
    </row>
    <row r="35" spans="1:21" ht="14.25" customHeight="1" x14ac:dyDescent="0.2">
      <c r="A35" s="20" t="s">
        <v>41</v>
      </c>
      <c r="B35" s="21" t="s">
        <v>110</v>
      </c>
      <c r="C35" s="22">
        <v>10487</v>
      </c>
      <c r="D35" s="22">
        <v>56828</v>
      </c>
      <c r="E35" s="22">
        <v>1094</v>
      </c>
      <c r="F35" s="22">
        <v>15030</v>
      </c>
      <c r="G35" s="22">
        <v>735</v>
      </c>
      <c r="H35" s="22">
        <v>53</v>
      </c>
      <c r="I35" s="22">
        <v>57</v>
      </c>
      <c r="J35" s="22">
        <v>1402</v>
      </c>
      <c r="K35" s="22">
        <v>1030</v>
      </c>
      <c r="L35" s="22">
        <v>1633</v>
      </c>
      <c r="M35" s="22">
        <v>156</v>
      </c>
      <c r="N35" s="22">
        <v>496</v>
      </c>
      <c r="O35" s="22">
        <v>1953</v>
      </c>
      <c r="P35" s="22">
        <v>451</v>
      </c>
      <c r="Q35" s="22">
        <v>1425</v>
      </c>
      <c r="R35" s="22">
        <v>56</v>
      </c>
      <c r="S35" s="22">
        <v>377</v>
      </c>
      <c r="T35" s="22">
        <v>121</v>
      </c>
      <c r="U35" s="23">
        <v>93384</v>
      </c>
    </row>
    <row r="36" spans="1:21" ht="14.25" customHeight="1" x14ac:dyDescent="0.2">
      <c r="A36" s="20" t="s">
        <v>42</v>
      </c>
      <c r="B36" s="21" t="s">
        <v>111</v>
      </c>
      <c r="C36" s="22">
        <v>13968</v>
      </c>
      <c r="D36" s="22">
        <v>10275</v>
      </c>
      <c r="E36" s="22">
        <v>3058</v>
      </c>
      <c r="F36" s="22">
        <v>0</v>
      </c>
      <c r="G36" s="22">
        <v>57</v>
      </c>
      <c r="H36" s="22">
        <v>59</v>
      </c>
      <c r="I36" s="22">
        <v>0</v>
      </c>
      <c r="J36" s="22">
        <v>4</v>
      </c>
      <c r="K36" s="22">
        <v>362</v>
      </c>
      <c r="L36" s="22">
        <v>786</v>
      </c>
      <c r="M36" s="22">
        <v>25</v>
      </c>
      <c r="N36" s="22">
        <v>137</v>
      </c>
      <c r="O36" s="22">
        <v>9309</v>
      </c>
      <c r="P36" s="22">
        <v>473</v>
      </c>
      <c r="Q36" s="22">
        <v>753</v>
      </c>
      <c r="R36" s="22">
        <v>0</v>
      </c>
      <c r="S36" s="22">
        <v>193</v>
      </c>
      <c r="T36" s="22">
        <v>177</v>
      </c>
      <c r="U36" s="23">
        <v>39636</v>
      </c>
    </row>
    <row r="37" spans="1:21" ht="14.25" customHeight="1" x14ac:dyDescent="0.2">
      <c r="A37" s="20" t="s">
        <v>43</v>
      </c>
      <c r="B37" s="21" t="s">
        <v>110</v>
      </c>
      <c r="C37" s="22">
        <v>2015</v>
      </c>
      <c r="D37" s="22">
        <v>2898</v>
      </c>
      <c r="E37" s="22">
        <v>1316</v>
      </c>
      <c r="F37" s="22">
        <v>0</v>
      </c>
      <c r="G37" s="22">
        <v>53</v>
      </c>
      <c r="H37" s="22">
        <v>13</v>
      </c>
      <c r="I37" s="22">
        <v>8</v>
      </c>
      <c r="J37" s="22">
        <v>38</v>
      </c>
      <c r="K37" s="22">
        <v>70</v>
      </c>
      <c r="L37" s="22">
        <v>224</v>
      </c>
      <c r="M37" s="22">
        <v>3</v>
      </c>
      <c r="N37" s="22">
        <v>54</v>
      </c>
      <c r="O37" s="22">
        <v>4229</v>
      </c>
      <c r="P37" s="22">
        <v>304</v>
      </c>
      <c r="Q37" s="22">
        <v>367</v>
      </c>
      <c r="R37" s="22">
        <v>0</v>
      </c>
      <c r="S37" s="22">
        <v>652</v>
      </c>
      <c r="T37" s="22">
        <v>99</v>
      </c>
      <c r="U37" s="23">
        <v>12343</v>
      </c>
    </row>
    <row r="38" spans="1:21" ht="14.25" customHeight="1" x14ac:dyDescent="0.2">
      <c r="A38" s="20" t="s">
        <v>44</v>
      </c>
      <c r="B38" s="21" t="s">
        <v>111</v>
      </c>
      <c r="C38" s="22">
        <v>1576</v>
      </c>
      <c r="D38" s="22">
        <v>1018</v>
      </c>
      <c r="E38" s="22">
        <v>816</v>
      </c>
      <c r="F38" s="22">
        <v>0</v>
      </c>
      <c r="G38" s="22">
        <v>7</v>
      </c>
      <c r="H38" s="22">
        <v>1</v>
      </c>
      <c r="I38" s="22">
        <v>0</v>
      </c>
      <c r="J38" s="22">
        <v>7</v>
      </c>
      <c r="K38" s="22">
        <v>21</v>
      </c>
      <c r="L38" s="22">
        <v>86</v>
      </c>
      <c r="M38" s="22">
        <v>1</v>
      </c>
      <c r="N38" s="22">
        <v>15</v>
      </c>
      <c r="O38" s="22">
        <v>3092</v>
      </c>
      <c r="P38" s="22">
        <v>95</v>
      </c>
      <c r="Q38" s="22">
        <v>282</v>
      </c>
      <c r="R38" s="22">
        <v>0</v>
      </c>
      <c r="S38" s="22">
        <v>269</v>
      </c>
      <c r="T38" s="22">
        <v>39</v>
      </c>
      <c r="U38" s="23">
        <v>7325</v>
      </c>
    </row>
    <row r="39" spans="1:21" ht="14.25" customHeight="1" x14ac:dyDescent="0.2">
      <c r="A39" s="20" t="s">
        <v>45</v>
      </c>
      <c r="B39" s="21" t="s">
        <v>110</v>
      </c>
      <c r="C39" s="22">
        <v>24743</v>
      </c>
      <c r="D39" s="22">
        <v>116540</v>
      </c>
      <c r="E39" s="22">
        <v>16264</v>
      </c>
      <c r="F39" s="22">
        <v>3623</v>
      </c>
      <c r="G39" s="22">
        <v>1329</v>
      </c>
      <c r="H39" s="22">
        <v>169</v>
      </c>
      <c r="I39" s="22">
        <v>3363</v>
      </c>
      <c r="J39" s="22">
        <v>4818</v>
      </c>
      <c r="K39" s="22">
        <v>2113</v>
      </c>
      <c r="L39" s="22">
        <v>4097</v>
      </c>
      <c r="M39" s="22">
        <v>319</v>
      </c>
      <c r="N39" s="22">
        <v>1163</v>
      </c>
      <c r="O39" s="22">
        <v>5700</v>
      </c>
      <c r="P39" s="22">
        <v>1210</v>
      </c>
      <c r="Q39" s="22">
        <v>4462</v>
      </c>
      <c r="R39" s="22">
        <v>0</v>
      </c>
      <c r="S39" s="22">
        <v>2285</v>
      </c>
      <c r="T39" s="22">
        <v>547</v>
      </c>
      <c r="U39" s="23">
        <v>192745</v>
      </c>
    </row>
    <row r="40" spans="1:21" ht="14.25" customHeight="1" x14ac:dyDescent="0.2">
      <c r="A40" s="20" t="s">
        <v>46</v>
      </c>
      <c r="B40" s="21" t="s">
        <v>110</v>
      </c>
      <c r="C40" s="22">
        <v>148897</v>
      </c>
      <c r="D40" s="22">
        <v>243116</v>
      </c>
      <c r="E40" s="22">
        <v>16726</v>
      </c>
      <c r="F40" s="22">
        <v>84636</v>
      </c>
      <c r="G40" s="22">
        <v>10332</v>
      </c>
      <c r="H40" s="22">
        <v>281</v>
      </c>
      <c r="I40" s="22">
        <v>3726</v>
      </c>
      <c r="J40" s="22">
        <v>9981</v>
      </c>
      <c r="K40" s="22">
        <v>6494</v>
      </c>
      <c r="L40" s="22">
        <v>7520</v>
      </c>
      <c r="M40" s="22">
        <v>564</v>
      </c>
      <c r="N40" s="22">
        <v>3331</v>
      </c>
      <c r="O40" s="22">
        <v>3040</v>
      </c>
      <c r="P40" s="22">
        <v>1795</v>
      </c>
      <c r="Q40" s="22">
        <v>7372</v>
      </c>
      <c r="R40" s="22">
        <v>49</v>
      </c>
      <c r="S40" s="22">
        <v>2659</v>
      </c>
      <c r="T40" s="22">
        <v>226</v>
      </c>
      <c r="U40" s="23">
        <v>550745</v>
      </c>
    </row>
    <row r="41" spans="1:21" ht="14.25" customHeight="1" x14ac:dyDescent="0.2">
      <c r="A41" s="20" t="s">
        <v>47</v>
      </c>
      <c r="B41" s="21" t="s">
        <v>110</v>
      </c>
      <c r="C41" s="22">
        <v>9302</v>
      </c>
      <c r="D41" s="22">
        <v>74514</v>
      </c>
      <c r="E41" s="22">
        <v>6777</v>
      </c>
      <c r="F41" s="22">
        <v>4850</v>
      </c>
      <c r="G41" s="22">
        <v>2317</v>
      </c>
      <c r="H41" s="22">
        <v>359</v>
      </c>
      <c r="I41" s="22">
        <v>0</v>
      </c>
      <c r="J41" s="22">
        <v>1627</v>
      </c>
      <c r="K41" s="22">
        <v>956</v>
      </c>
      <c r="L41" s="22">
        <v>4123</v>
      </c>
      <c r="M41" s="22">
        <v>243</v>
      </c>
      <c r="N41" s="22">
        <v>742</v>
      </c>
      <c r="O41" s="22">
        <v>1510</v>
      </c>
      <c r="P41" s="22">
        <v>710</v>
      </c>
      <c r="Q41" s="22">
        <v>1594</v>
      </c>
      <c r="R41" s="22">
        <v>0</v>
      </c>
      <c r="S41" s="22">
        <v>905</v>
      </c>
      <c r="T41" s="22">
        <v>489</v>
      </c>
      <c r="U41" s="23">
        <v>111018</v>
      </c>
    </row>
    <row r="42" spans="1:21" ht="14.25" customHeight="1" x14ac:dyDescent="0.2">
      <c r="A42" s="20" t="s">
        <v>48</v>
      </c>
      <c r="B42" s="21" t="s">
        <v>111</v>
      </c>
      <c r="C42" s="22">
        <v>20172</v>
      </c>
      <c r="D42" s="22">
        <v>8001</v>
      </c>
      <c r="E42" s="22">
        <v>9451</v>
      </c>
      <c r="F42" s="22">
        <v>238</v>
      </c>
      <c r="G42" s="22">
        <v>68</v>
      </c>
      <c r="H42" s="22">
        <v>12</v>
      </c>
      <c r="I42" s="22">
        <v>0</v>
      </c>
      <c r="J42" s="22">
        <v>88</v>
      </c>
      <c r="K42" s="22">
        <v>510</v>
      </c>
      <c r="L42" s="22">
        <v>761</v>
      </c>
      <c r="M42" s="22">
        <v>5</v>
      </c>
      <c r="N42" s="22">
        <v>111</v>
      </c>
      <c r="O42" s="22">
        <v>6453</v>
      </c>
      <c r="P42" s="22">
        <v>298</v>
      </c>
      <c r="Q42" s="22">
        <v>980</v>
      </c>
      <c r="R42" s="22">
        <v>10</v>
      </c>
      <c r="S42" s="22">
        <v>104</v>
      </c>
      <c r="T42" s="22">
        <v>148</v>
      </c>
      <c r="U42" s="23">
        <v>47410</v>
      </c>
    </row>
    <row r="43" spans="1:21" ht="14.25" customHeight="1" x14ac:dyDescent="0.2">
      <c r="A43" s="20" t="s">
        <v>49</v>
      </c>
      <c r="B43" s="21" t="s">
        <v>111</v>
      </c>
      <c r="C43" s="22">
        <v>1084</v>
      </c>
      <c r="D43" s="22">
        <v>1392</v>
      </c>
      <c r="E43" s="22">
        <v>797</v>
      </c>
      <c r="F43" s="22">
        <v>0</v>
      </c>
      <c r="G43" s="22">
        <v>61</v>
      </c>
      <c r="H43" s="22">
        <v>4</v>
      </c>
      <c r="I43" s="22">
        <v>0</v>
      </c>
      <c r="J43" s="22">
        <v>2</v>
      </c>
      <c r="K43" s="22">
        <v>15</v>
      </c>
      <c r="L43" s="22">
        <v>118</v>
      </c>
      <c r="M43" s="22">
        <v>0</v>
      </c>
      <c r="N43" s="22">
        <v>23</v>
      </c>
      <c r="O43" s="22">
        <v>1508</v>
      </c>
      <c r="P43" s="22">
        <v>111</v>
      </c>
      <c r="Q43" s="22">
        <v>765</v>
      </c>
      <c r="R43" s="22">
        <v>0</v>
      </c>
      <c r="S43" s="22">
        <v>32</v>
      </c>
      <c r="T43" s="22">
        <v>31</v>
      </c>
      <c r="U43" s="23">
        <v>5943</v>
      </c>
    </row>
    <row r="44" spans="1:21" ht="14.25" customHeight="1" x14ac:dyDescent="0.2">
      <c r="A44" s="20" t="s">
        <v>50</v>
      </c>
      <c r="B44" s="21" t="s">
        <v>110</v>
      </c>
      <c r="C44" s="22">
        <v>4090</v>
      </c>
      <c r="D44" s="22">
        <v>3218</v>
      </c>
      <c r="E44" s="22">
        <v>1717</v>
      </c>
      <c r="F44" s="22">
        <v>0</v>
      </c>
      <c r="G44" s="22">
        <v>135</v>
      </c>
      <c r="H44" s="22">
        <v>10</v>
      </c>
      <c r="I44" s="22">
        <v>0</v>
      </c>
      <c r="J44" s="22">
        <v>0</v>
      </c>
      <c r="K44" s="22">
        <v>60</v>
      </c>
      <c r="L44" s="22">
        <v>293</v>
      </c>
      <c r="M44" s="22">
        <v>1</v>
      </c>
      <c r="N44" s="22">
        <v>42</v>
      </c>
      <c r="O44" s="22">
        <v>5805</v>
      </c>
      <c r="P44" s="22">
        <v>211</v>
      </c>
      <c r="Q44" s="22">
        <v>459</v>
      </c>
      <c r="R44" s="22">
        <v>0</v>
      </c>
      <c r="S44" s="22">
        <v>75</v>
      </c>
      <c r="T44" s="22">
        <v>181</v>
      </c>
      <c r="U44" s="23">
        <v>16297</v>
      </c>
    </row>
    <row r="45" spans="1:21" ht="14.25" customHeight="1" x14ac:dyDescent="0.2">
      <c r="A45" s="20" t="s">
        <v>51</v>
      </c>
      <c r="B45" s="21" t="s">
        <v>110</v>
      </c>
      <c r="C45" s="22">
        <v>20104</v>
      </c>
      <c r="D45" s="22">
        <v>112869</v>
      </c>
      <c r="E45" s="22">
        <v>4681</v>
      </c>
      <c r="F45" s="22">
        <v>35344</v>
      </c>
      <c r="G45" s="22">
        <v>4454</v>
      </c>
      <c r="H45" s="22">
        <v>163</v>
      </c>
      <c r="I45" s="22">
        <v>7430</v>
      </c>
      <c r="J45" s="22">
        <v>12160</v>
      </c>
      <c r="K45" s="22">
        <v>1225</v>
      </c>
      <c r="L45" s="22">
        <v>4011</v>
      </c>
      <c r="M45" s="22">
        <v>380</v>
      </c>
      <c r="N45" s="22">
        <v>1487</v>
      </c>
      <c r="O45" s="22">
        <v>2140</v>
      </c>
      <c r="P45" s="22">
        <v>873</v>
      </c>
      <c r="Q45" s="22">
        <v>1860</v>
      </c>
      <c r="R45" s="22">
        <v>45</v>
      </c>
      <c r="S45" s="22">
        <v>933</v>
      </c>
      <c r="T45" s="22">
        <v>451</v>
      </c>
      <c r="U45" s="23">
        <v>210610</v>
      </c>
    </row>
    <row r="46" spans="1:21" ht="14.25" customHeight="1" x14ac:dyDescent="0.2">
      <c r="A46" s="20" t="s">
        <v>52</v>
      </c>
      <c r="B46" s="21" t="s">
        <v>110</v>
      </c>
      <c r="C46" s="22">
        <v>91686</v>
      </c>
      <c r="D46" s="22">
        <v>121169</v>
      </c>
      <c r="E46" s="22">
        <v>24728</v>
      </c>
      <c r="F46" s="22">
        <v>2495</v>
      </c>
      <c r="G46" s="22">
        <v>3594</v>
      </c>
      <c r="H46" s="22">
        <v>105</v>
      </c>
      <c r="I46" s="22">
        <v>0</v>
      </c>
      <c r="J46" s="22">
        <v>2128</v>
      </c>
      <c r="K46" s="22">
        <v>2934</v>
      </c>
      <c r="L46" s="22">
        <v>3942</v>
      </c>
      <c r="M46" s="22">
        <v>361</v>
      </c>
      <c r="N46" s="22">
        <v>1216</v>
      </c>
      <c r="O46" s="22">
        <v>11346</v>
      </c>
      <c r="P46" s="22">
        <v>961</v>
      </c>
      <c r="Q46" s="22">
        <v>5492</v>
      </c>
      <c r="R46" s="22">
        <v>137</v>
      </c>
      <c r="S46" s="22">
        <v>1982</v>
      </c>
      <c r="T46" s="22">
        <v>1735</v>
      </c>
      <c r="U46" s="23">
        <v>276011</v>
      </c>
    </row>
    <row r="47" spans="1:21" ht="14.25" customHeight="1" x14ac:dyDescent="0.2">
      <c r="A47" s="20" t="s">
        <v>53</v>
      </c>
      <c r="B47" s="21" t="s">
        <v>110</v>
      </c>
      <c r="C47" s="22">
        <v>4147</v>
      </c>
      <c r="D47" s="22">
        <v>49972</v>
      </c>
      <c r="E47" s="22">
        <v>2941</v>
      </c>
      <c r="F47" s="22">
        <v>14997</v>
      </c>
      <c r="G47" s="22">
        <v>1069</v>
      </c>
      <c r="H47" s="22">
        <v>66</v>
      </c>
      <c r="I47" s="22">
        <v>1787</v>
      </c>
      <c r="J47" s="22">
        <v>383</v>
      </c>
      <c r="K47" s="22">
        <v>422</v>
      </c>
      <c r="L47" s="22">
        <v>1958</v>
      </c>
      <c r="M47" s="22">
        <v>142</v>
      </c>
      <c r="N47" s="22">
        <v>972</v>
      </c>
      <c r="O47" s="22">
        <v>2114</v>
      </c>
      <c r="P47" s="22">
        <v>274</v>
      </c>
      <c r="Q47" s="22">
        <v>6259</v>
      </c>
      <c r="R47" s="22">
        <v>7</v>
      </c>
      <c r="S47" s="22">
        <v>2194</v>
      </c>
      <c r="T47" s="22">
        <v>6390</v>
      </c>
      <c r="U47" s="23">
        <v>96094</v>
      </c>
    </row>
    <row r="48" spans="1:21" ht="14.25" customHeight="1" x14ac:dyDescent="0.2">
      <c r="A48" s="20" t="s">
        <v>54</v>
      </c>
      <c r="B48" s="21" t="s">
        <v>110</v>
      </c>
      <c r="C48" s="22">
        <v>7139</v>
      </c>
      <c r="D48" s="22">
        <v>29404</v>
      </c>
      <c r="E48" s="22">
        <v>4776</v>
      </c>
      <c r="F48" s="22">
        <v>7014</v>
      </c>
      <c r="G48" s="22">
        <v>1773</v>
      </c>
      <c r="H48" s="22">
        <v>43</v>
      </c>
      <c r="I48" s="22">
        <v>35</v>
      </c>
      <c r="J48" s="22">
        <v>195</v>
      </c>
      <c r="K48" s="22">
        <v>684</v>
      </c>
      <c r="L48" s="22">
        <v>4966</v>
      </c>
      <c r="M48" s="22">
        <v>6</v>
      </c>
      <c r="N48" s="22">
        <v>324</v>
      </c>
      <c r="O48" s="22">
        <v>6</v>
      </c>
      <c r="P48" s="22">
        <v>433</v>
      </c>
      <c r="Q48" s="22">
        <v>28385</v>
      </c>
      <c r="R48" s="22">
        <v>2</v>
      </c>
      <c r="S48" s="22">
        <v>1481</v>
      </c>
      <c r="T48" s="22">
        <v>3327</v>
      </c>
      <c r="U48" s="23">
        <v>89993</v>
      </c>
    </row>
    <row r="49" spans="1:21" ht="14.25" customHeight="1" x14ac:dyDescent="0.2">
      <c r="A49" s="20" t="s">
        <v>55</v>
      </c>
      <c r="B49" s="21" t="s">
        <v>110</v>
      </c>
      <c r="C49" s="22">
        <v>10233</v>
      </c>
      <c r="D49" s="22">
        <v>28439</v>
      </c>
      <c r="E49" s="22">
        <v>6263</v>
      </c>
      <c r="F49" s="22">
        <v>4065</v>
      </c>
      <c r="G49" s="22">
        <v>381</v>
      </c>
      <c r="H49" s="22">
        <v>25</v>
      </c>
      <c r="I49" s="22">
        <v>0</v>
      </c>
      <c r="J49" s="22">
        <v>104</v>
      </c>
      <c r="K49" s="22">
        <v>452</v>
      </c>
      <c r="L49" s="22">
        <v>891</v>
      </c>
      <c r="M49" s="22">
        <v>58</v>
      </c>
      <c r="N49" s="22">
        <v>116</v>
      </c>
      <c r="O49" s="22">
        <v>3485</v>
      </c>
      <c r="P49" s="22">
        <v>344</v>
      </c>
      <c r="Q49" s="22">
        <v>961</v>
      </c>
      <c r="R49" s="22">
        <v>12</v>
      </c>
      <c r="S49" s="22">
        <v>775</v>
      </c>
      <c r="T49" s="22">
        <v>133</v>
      </c>
      <c r="U49" s="23">
        <v>56737</v>
      </c>
    </row>
    <row r="50" spans="1:21" ht="14.25" customHeight="1" x14ac:dyDescent="0.2">
      <c r="A50" s="20" t="s">
        <v>56</v>
      </c>
      <c r="B50" s="21" t="s">
        <v>110</v>
      </c>
      <c r="C50" s="22">
        <v>10153</v>
      </c>
      <c r="D50" s="22">
        <v>69112</v>
      </c>
      <c r="E50" s="22">
        <v>3330</v>
      </c>
      <c r="F50" s="22">
        <v>13552</v>
      </c>
      <c r="G50" s="22">
        <v>760</v>
      </c>
      <c r="H50" s="22">
        <v>180</v>
      </c>
      <c r="I50" s="22">
        <v>10</v>
      </c>
      <c r="J50" s="22">
        <v>729</v>
      </c>
      <c r="K50" s="22">
        <v>1187</v>
      </c>
      <c r="L50" s="22">
        <v>3531</v>
      </c>
      <c r="M50" s="22">
        <v>17</v>
      </c>
      <c r="N50" s="22">
        <v>677</v>
      </c>
      <c r="O50" s="22">
        <v>3150</v>
      </c>
      <c r="P50" s="22">
        <v>587</v>
      </c>
      <c r="Q50" s="22">
        <v>1515</v>
      </c>
      <c r="R50" s="22">
        <v>0</v>
      </c>
      <c r="S50" s="22">
        <v>1563</v>
      </c>
      <c r="T50" s="22">
        <v>585</v>
      </c>
      <c r="U50" s="23">
        <v>110638</v>
      </c>
    </row>
    <row r="51" spans="1:21" ht="14.25" customHeight="1" x14ac:dyDescent="0.2">
      <c r="A51" s="20" t="s">
        <v>57</v>
      </c>
      <c r="B51" s="21" t="s">
        <v>110</v>
      </c>
      <c r="C51" s="22">
        <v>11766</v>
      </c>
      <c r="D51" s="22">
        <v>7606</v>
      </c>
      <c r="E51" s="22">
        <v>6691</v>
      </c>
      <c r="F51" s="22">
        <v>240</v>
      </c>
      <c r="G51" s="22">
        <v>443</v>
      </c>
      <c r="H51" s="22">
        <v>8</v>
      </c>
      <c r="I51" s="22">
        <v>0</v>
      </c>
      <c r="J51" s="22">
        <v>221</v>
      </c>
      <c r="K51" s="22">
        <v>177</v>
      </c>
      <c r="L51" s="22">
        <v>769</v>
      </c>
      <c r="M51" s="22">
        <v>58</v>
      </c>
      <c r="N51" s="22">
        <v>130</v>
      </c>
      <c r="O51" s="22">
        <v>2383</v>
      </c>
      <c r="P51" s="22">
        <v>145</v>
      </c>
      <c r="Q51" s="22">
        <v>737</v>
      </c>
      <c r="R51" s="22">
        <v>29</v>
      </c>
      <c r="S51" s="22">
        <v>116</v>
      </c>
      <c r="T51" s="22">
        <v>206</v>
      </c>
      <c r="U51" s="23">
        <v>31725</v>
      </c>
    </row>
    <row r="52" spans="1:21" ht="14.25" customHeight="1" x14ac:dyDescent="0.2">
      <c r="A52" s="20" t="s">
        <v>58</v>
      </c>
      <c r="B52" s="21" t="s">
        <v>110</v>
      </c>
      <c r="C52" s="22">
        <v>22893</v>
      </c>
      <c r="D52" s="22">
        <v>334198</v>
      </c>
      <c r="E52" s="22">
        <v>5937</v>
      </c>
      <c r="F52" s="22">
        <v>52494</v>
      </c>
      <c r="G52" s="22">
        <v>4096</v>
      </c>
      <c r="H52" s="22">
        <v>1094</v>
      </c>
      <c r="I52" s="22">
        <v>0</v>
      </c>
      <c r="J52" s="22">
        <v>14975</v>
      </c>
      <c r="K52" s="22">
        <v>3516</v>
      </c>
      <c r="L52" s="22">
        <v>17714</v>
      </c>
      <c r="M52" s="22">
        <v>755</v>
      </c>
      <c r="N52" s="22">
        <v>4597</v>
      </c>
      <c r="O52" s="22">
        <v>1405</v>
      </c>
      <c r="P52" s="22">
        <v>1404</v>
      </c>
      <c r="Q52" s="22">
        <v>9602</v>
      </c>
      <c r="R52" s="22">
        <v>15</v>
      </c>
      <c r="S52" s="22">
        <v>1897</v>
      </c>
      <c r="T52" s="22">
        <v>1739</v>
      </c>
      <c r="U52" s="23">
        <v>478331</v>
      </c>
    </row>
    <row r="53" spans="1:21" ht="14.25" customHeight="1" x14ac:dyDescent="0.2">
      <c r="A53" s="20" t="s">
        <v>59</v>
      </c>
      <c r="B53" s="21" t="s">
        <v>110</v>
      </c>
      <c r="C53" s="22">
        <v>30604</v>
      </c>
      <c r="D53" s="22">
        <v>118659</v>
      </c>
      <c r="E53" s="22">
        <v>5473</v>
      </c>
      <c r="F53" s="22">
        <v>13525</v>
      </c>
      <c r="G53" s="22">
        <v>1016</v>
      </c>
      <c r="H53" s="22">
        <v>855</v>
      </c>
      <c r="I53" s="22">
        <v>0</v>
      </c>
      <c r="J53" s="22">
        <v>7958</v>
      </c>
      <c r="K53" s="22">
        <v>1797</v>
      </c>
      <c r="L53" s="22">
        <v>4798</v>
      </c>
      <c r="M53" s="22">
        <v>253</v>
      </c>
      <c r="N53" s="22">
        <v>412</v>
      </c>
      <c r="O53" s="22">
        <v>2430</v>
      </c>
      <c r="P53" s="22">
        <v>508</v>
      </c>
      <c r="Q53" s="22">
        <v>2757</v>
      </c>
      <c r="R53" s="22">
        <v>3</v>
      </c>
      <c r="S53" s="22">
        <v>608</v>
      </c>
      <c r="T53" s="22">
        <v>387</v>
      </c>
      <c r="U53" s="23">
        <v>192043</v>
      </c>
    </row>
    <row r="54" spans="1:21" ht="14.25" customHeight="1" x14ac:dyDescent="0.2">
      <c r="A54" s="20" t="s">
        <v>60</v>
      </c>
      <c r="B54" s="21" t="s">
        <v>110</v>
      </c>
      <c r="C54" s="22">
        <v>16365</v>
      </c>
      <c r="D54" s="22">
        <v>377850</v>
      </c>
      <c r="E54" s="22">
        <v>3580</v>
      </c>
      <c r="F54" s="22">
        <v>186549</v>
      </c>
      <c r="G54" s="22">
        <v>10250</v>
      </c>
      <c r="H54" s="22">
        <v>814</v>
      </c>
      <c r="I54" s="22">
        <v>5014</v>
      </c>
      <c r="J54" s="22">
        <v>10119</v>
      </c>
      <c r="K54" s="22">
        <v>2118</v>
      </c>
      <c r="L54" s="22">
        <v>13451</v>
      </c>
      <c r="M54" s="22">
        <v>388</v>
      </c>
      <c r="N54" s="22">
        <v>5346</v>
      </c>
      <c r="O54" s="22">
        <v>5140</v>
      </c>
      <c r="P54" s="22">
        <v>1841</v>
      </c>
      <c r="Q54" s="22">
        <v>8522</v>
      </c>
      <c r="R54" s="22">
        <v>202</v>
      </c>
      <c r="S54" s="22">
        <v>2573</v>
      </c>
      <c r="T54" s="22">
        <v>61</v>
      </c>
      <c r="U54" s="23">
        <v>650183</v>
      </c>
    </row>
    <row r="55" spans="1:21" ht="14.25" customHeight="1" x14ac:dyDescent="0.2">
      <c r="A55" s="20" t="s">
        <v>61</v>
      </c>
      <c r="B55" s="21" t="s">
        <v>110</v>
      </c>
      <c r="C55" s="22">
        <v>32083</v>
      </c>
      <c r="D55" s="22">
        <v>181124</v>
      </c>
      <c r="E55" s="22">
        <v>29511</v>
      </c>
      <c r="F55" s="22">
        <v>11927</v>
      </c>
      <c r="G55" s="22">
        <v>3219</v>
      </c>
      <c r="H55" s="22">
        <v>214</v>
      </c>
      <c r="I55" s="22">
        <v>0</v>
      </c>
      <c r="J55" s="22">
        <v>4529</v>
      </c>
      <c r="K55" s="22">
        <v>2730</v>
      </c>
      <c r="L55" s="22">
        <v>6036</v>
      </c>
      <c r="M55" s="22">
        <v>273</v>
      </c>
      <c r="N55" s="22">
        <v>1044</v>
      </c>
      <c r="O55" s="22">
        <v>4072</v>
      </c>
      <c r="P55" s="22">
        <v>790</v>
      </c>
      <c r="Q55" s="22">
        <v>11666</v>
      </c>
      <c r="R55" s="22">
        <v>9</v>
      </c>
      <c r="S55" s="22">
        <v>23540</v>
      </c>
      <c r="T55" s="22">
        <v>455</v>
      </c>
      <c r="U55" s="23">
        <v>313222</v>
      </c>
    </row>
    <row r="56" spans="1:21" ht="14.25" customHeight="1" x14ac:dyDescent="0.2">
      <c r="A56" s="20" t="s">
        <v>62</v>
      </c>
      <c r="B56" s="21" t="s">
        <v>110</v>
      </c>
      <c r="C56" s="22">
        <v>10242</v>
      </c>
      <c r="D56" s="22">
        <v>255035</v>
      </c>
      <c r="E56" s="22">
        <v>17577</v>
      </c>
      <c r="F56" s="22">
        <v>104183</v>
      </c>
      <c r="G56" s="22">
        <v>12476</v>
      </c>
      <c r="H56" s="22">
        <v>864</v>
      </c>
      <c r="I56" s="22">
        <v>1587</v>
      </c>
      <c r="J56" s="22">
        <v>6380</v>
      </c>
      <c r="K56" s="22">
        <v>3608</v>
      </c>
      <c r="L56" s="22">
        <v>13420</v>
      </c>
      <c r="M56" s="22">
        <v>787</v>
      </c>
      <c r="N56" s="22">
        <v>3971</v>
      </c>
      <c r="O56" s="22">
        <v>108</v>
      </c>
      <c r="P56" s="22">
        <v>1729</v>
      </c>
      <c r="Q56" s="22">
        <v>1057</v>
      </c>
      <c r="R56" s="22">
        <v>151</v>
      </c>
      <c r="S56" s="22">
        <v>3426</v>
      </c>
      <c r="T56" s="22">
        <v>155</v>
      </c>
      <c r="U56" s="23">
        <v>436756</v>
      </c>
    </row>
    <row r="57" spans="1:21" ht="14.25" customHeight="1" x14ac:dyDescent="0.2">
      <c r="A57" s="20" t="s">
        <v>63</v>
      </c>
      <c r="B57" s="21" t="s">
        <v>110</v>
      </c>
      <c r="C57" s="22">
        <v>53282</v>
      </c>
      <c r="D57" s="22">
        <v>202817</v>
      </c>
      <c r="E57" s="22">
        <v>31523</v>
      </c>
      <c r="F57" s="22">
        <v>8515</v>
      </c>
      <c r="G57" s="22">
        <v>6771</v>
      </c>
      <c r="H57" s="22">
        <v>277</v>
      </c>
      <c r="I57" s="22">
        <v>31</v>
      </c>
      <c r="J57" s="22">
        <v>4393</v>
      </c>
      <c r="K57" s="22">
        <v>4855</v>
      </c>
      <c r="L57" s="22">
        <v>7415</v>
      </c>
      <c r="M57" s="22">
        <v>1336</v>
      </c>
      <c r="N57" s="22">
        <v>2094</v>
      </c>
      <c r="O57" s="22">
        <v>12639</v>
      </c>
      <c r="P57" s="22">
        <v>3579</v>
      </c>
      <c r="Q57" s="22">
        <v>7414</v>
      </c>
      <c r="R57" s="22">
        <v>0</v>
      </c>
      <c r="S57" s="22">
        <v>2394</v>
      </c>
      <c r="T57" s="22">
        <v>49975</v>
      </c>
      <c r="U57" s="23">
        <v>399709</v>
      </c>
    </row>
    <row r="58" spans="1:21" ht="14.25" customHeight="1" x14ac:dyDescent="0.2">
      <c r="A58" s="20" t="s">
        <v>64</v>
      </c>
      <c r="B58" s="21" t="s">
        <v>110</v>
      </c>
      <c r="C58" s="22">
        <v>53317</v>
      </c>
      <c r="D58" s="22">
        <v>17179</v>
      </c>
      <c r="E58" s="22">
        <v>15346</v>
      </c>
      <c r="F58" s="22">
        <v>198</v>
      </c>
      <c r="G58" s="22">
        <v>154</v>
      </c>
      <c r="H58" s="22">
        <v>30</v>
      </c>
      <c r="I58" s="22">
        <v>0</v>
      </c>
      <c r="J58" s="22">
        <v>3109</v>
      </c>
      <c r="K58" s="22">
        <v>498</v>
      </c>
      <c r="L58" s="22">
        <v>1153</v>
      </c>
      <c r="M58" s="22">
        <v>46</v>
      </c>
      <c r="N58" s="22">
        <v>172</v>
      </c>
      <c r="O58" s="22">
        <v>3288</v>
      </c>
      <c r="P58" s="22">
        <v>463</v>
      </c>
      <c r="Q58" s="22">
        <v>1100</v>
      </c>
      <c r="R58" s="22">
        <v>3</v>
      </c>
      <c r="S58" s="22">
        <v>1072</v>
      </c>
      <c r="T58" s="22">
        <v>1498</v>
      </c>
      <c r="U58" s="23">
        <v>98626</v>
      </c>
    </row>
    <row r="59" spans="1:21" ht="14.25" customHeight="1" x14ac:dyDescent="0.2">
      <c r="A59" s="20" t="s">
        <v>65</v>
      </c>
      <c r="B59" s="21" t="s">
        <v>110</v>
      </c>
      <c r="C59" s="22">
        <v>18856</v>
      </c>
      <c r="D59" s="22">
        <v>94893</v>
      </c>
      <c r="E59" s="22">
        <v>5511</v>
      </c>
      <c r="F59" s="22">
        <v>14582</v>
      </c>
      <c r="G59" s="22">
        <v>1635</v>
      </c>
      <c r="H59" s="22">
        <v>45</v>
      </c>
      <c r="I59" s="22">
        <v>0</v>
      </c>
      <c r="J59" s="22">
        <v>4635</v>
      </c>
      <c r="K59" s="22">
        <v>1243</v>
      </c>
      <c r="L59" s="22">
        <v>3137</v>
      </c>
      <c r="M59" s="22">
        <v>11</v>
      </c>
      <c r="N59" s="22">
        <v>499</v>
      </c>
      <c r="O59" s="22">
        <v>1993</v>
      </c>
      <c r="P59" s="22">
        <v>435</v>
      </c>
      <c r="Q59" s="22">
        <v>1749</v>
      </c>
      <c r="R59" s="22">
        <v>15</v>
      </c>
      <c r="S59" s="22">
        <v>3193</v>
      </c>
      <c r="T59" s="22">
        <v>288</v>
      </c>
      <c r="U59" s="23">
        <v>152720</v>
      </c>
    </row>
    <row r="60" spans="1:21" ht="14.25" customHeight="1" x14ac:dyDescent="0.2">
      <c r="A60" s="20" t="s">
        <v>66</v>
      </c>
      <c r="B60" s="21" t="s">
        <v>110</v>
      </c>
      <c r="C60" s="22">
        <v>26781</v>
      </c>
      <c r="D60" s="22">
        <v>113289</v>
      </c>
      <c r="E60" s="22">
        <v>4546</v>
      </c>
      <c r="F60" s="22">
        <v>14602</v>
      </c>
      <c r="G60" s="22">
        <v>1500</v>
      </c>
      <c r="H60" s="22">
        <v>77</v>
      </c>
      <c r="I60" s="22">
        <v>1</v>
      </c>
      <c r="J60" s="22">
        <v>2482</v>
      </c>
      <c r="K60" s="22">
        <v>1458</v>
      </c>
      <c r="L60" s="22">
        <v>2601</v>
      </c>
      <c r="M60" s="22">
        <v>386</v>
      </c>
      <c r="N60" s="22">
        <v>1228</v>
      </c>
      <c r="O60" s="22">
        <v>2501</v>
      </c>
      <c r="P60" s="22">
        <v>553</v>
      </c>
      <c r="Q60" s="22">
        <v>3815</v>
      </c>
      <c r="R60" s="22">
        <v>18</v>
      </c>
      <c r="S60" s="22">
        <v>2824</v>
      </c>
      <c r="T60" s="22">
        <v>1206</v>
      </c>
      <c r="U60" s="23">
        <v>179868</v>
      </c>
    </row>
    <row r="61" spans="1:21" ht="14.25" customHeight="1" x14ac:dyDescent="0.2">
      <c r="A61" s="20" t="s">
        <v>67</v>
      </c>
      <c r="B61" s="21" t="s">
        <v>110</v>
      </c>
      <c r="C61" s="22">
        <v>20251</v>
      </c>
      <c r="D61" s="22">
        <v>62762</v>
      </c>
      <c r="E61" s="22">
        <v>6402</v>
      </c>
      <c r="F61" s="22">
        <v>1751</v>
      </c>
      <c r="G61" s="22">
        <v>674</v>
      </c>
      <c r="H61" s="22">
        <v>53</v>
      </c>
      <c r="I61" s="22">
        <v>0</v>
      </c>
      <c r="J61" s="22">
        <v>168</v>
      </c>
      <c r="K61" s="22">
        <v>1322</v>
      </c>
      <c r="L61" s="22">
        <v>1716</v>
      </c>
      <c r="M61" s="22">
        <v>176</v>
      </c>
      <c r="N61" s="22">
        <v>509</v>
      </c>
      <c r="O61" s="22">
        <v>5454</v>
      </c>
      <c r="P61" s="22">
        <v>481</v>
      </c>
      <c r="Q61" s="22">
        <v>1748</v>
      </c>
      <c r="R61" s="22">
        <v>1</v>
      </c>
      <c r="S61" s="22">
        <v>11391</v>
      </c>
      <c r="T61" s="22">
        <v>306</v>
      </c>
      <c r="U61" s="23">
        <v>115165</v>
      </c>
    </row>
    <row r="62" spans="1:21" ht="14.25" customHeight="1" x14ac:dyDescent="0.2">
      <c r="A62" s="20" t="s">
        <v>68</v>
      </c>
      <c r="B62" s="21" t="s">
        <v>110</v>
      </c>
      <c r="C62" s="22">
        <v>51960</v>
      </c>
      <c r="D62" s="22">
        <v>152769</v>
      </c>
      <c r="E62" s="22">
        <v>11960</v>
      </c>
      <c r="F62" s="22">
        <v>52589</v>
      </c>
      <c r="G62" s="22">
        <v>4663</v>
      </c>
      <c r="H62" s="22">
        <v>189</v>
      </c>
      <c r="I62" s="22">
        <v>333</v>
      </c>
      <c r="J62" s="22">
        <v>3175</v>
      </c>
      <c r="K62" s="22">
        <v>1000</v>
      </c>
      <c r="L62" s="22">
        <v>7730</v>
      </c>
      <c r="M62" s="22">
        <v>287</v>
      </c>
      <c r="N62" s="22">
        <v>2398</v>
      </c>
      <c r="O62" s="22">
        <v>644</v>
      </c>
      <c r="P62" s="22">
        <v>772</v>
      </c>
      <c r="Q62" s="22">
        <v>853</v>
      </c>
      <c r="R62" s="22">
        <v>12</v>
      </c>
      <c r="S62" s="22">
        <v>2068</v>
      </c>
      <c r="T62" s="22">
        <v>277</v>
      </c>
      <c r="U62" s="23">
        <v>293679</v>
      </c>
    </row>
    <row r="63" spans="1:21" ht="14.25" customHeight="1" x14ac:dyDescent="0.2">
      <c r="A63" s="20" t="s">
        <v>69</v>
      </c>
      <c r="B63" s="21" t="s">
        <v>110</v>
      </c>
      <c r="C63" s="22">
        <v>7627</v>
      </c>
      <c r="D63" s="22">
        <v>132466</v>
      </c>
      <c r="E63" s="22">
        <v>1741</v>
      </c>
      <c r="F63" s="22">
        <v>15162</v>
      </c>
      <c r="G63" s="22">
        <v>1143</v>
      </c>
      <c r="H63" s="22">
        <v>200</v>
      </c>
      <c r="I63" s="22">
        <v>447</v>
      </c>
      <c r="J63" s="22">
        <v>6333</v>
      </c>
      <c r="K63" s="22">
        <v>1610</v>
      </c>
      <c r="L63" s="22">
        <v>4452</v>
      </c>
      <c r="M63" s="22">
        <v>319</v>
      </c>
      <c r="N63" s="22">
        <v>1488</v>
      </c>
      <c r="O63" s="22">
        <v>851</v>
      </c>
      <c r="P63" s="22">
        <v>758</v>
      </c>
      <c r="Q63" s="22">
        <v>2868</v>
      </c>
      <c r="R63" s="22">
        <v>0</v>
      </c>
      <c r="S63" s="22">
        <v>1140</v>
      </c>
      <c r="T63" s="22">
        <v>481</v>
      </c>
      <c r="U63" s="23">
        <v>179086</v>
      </c>
    </row>
    <row r="64" spans="1:21" ht="14.25" customHeight="1" x14ac:dyDescent="0.2">
      <c r="A64" s="20" t="s">
        <v>70</v>
      </c>
      <c r="B64" s="21" t="s">
        <v>110</v>
      </c>
      <c r="C64" s="22">
        <v>8423</v>
      </c>
      <c r="D64" s="22">
        <v>65560</v>
      </c>
      <c r="E64" s="22">
        <v>6495</v>
      </c>
      <c r="F64" s="22">
        <v>513</v>
      </c>
      <c r="G64" s="22">
        <v>104</v>
      </c>
      <c r="H64" s="22">
        <v>22</v>
      </c>
      <c r="I64" s="22">
        <v>1</v>
      </c>
      <c r="J64" s="22">
        <v>352</v>
      </c>
      <c r="K64" s="22">
        <v>404</v>
      </c>
      <c r="L64" s="22">
        <v>1270</v>
      </c>
      <c r="M64" s="22">
        <v>19</v>
      </c>
      <c r="N64" s="22">
        <v>166</v>
      </c>
      <c r="O64" s="22">
        <v>5272</v>
      </c>
      <c r="P64" s="22">
        <v>383</v>
      </c>
      <c r="Q64" s="22">
        <v>1511</v>
      </c>
      <c r="R64" s="22">
        <v>0</v>
      </c>
      <c r="S64" s="22">
        <v>362</v>
      </c>
      <c r="T64" s="22">
        <v>523</v>
      </c>
      <c r="U64" s="23">
        <v>91380</v>
      </c>
    </row>
    <row r="65" spans="1:21" ht="14.25" customHeight="1" x14ac:dyDescent="0.2">
      <c r="A65" s="20" t="s">
        <v>71</v>
      </c>
      <c r="B65" s="21" t="s">
        <v>110</v>
      </c>
      <c r="C65" s="22">
        <v>9920</v>
      </c>
      <c r="D65" s="22">
        <v>6300</v>
      </c>
      <c r="E65" s="22">
        <v>6754</v>
      </c>
      <c r="F65" s="22">
        <v>0</v>
      </c>
      <c r="G65" s="22">
        <v>56</v>
      </c>
      <c r="H65" s="22">
        <v>8</v>
      </c>
      <c r="I65" s="22">
        <v>0</v>
      </c>
      <c r="J65" s="22">
        <v>0</v>
      </c>
      <c r="K65" s="22">
        <v>264</v>
      </c>
      <c r="L65" s="22">
        <v>524</v>
      </c>
      <c r="M65" s="22">
        <v>2</v>
      </c>
      <c r="N65" s="22">
        <v>80</v>
      </c>
      <c r="O65" s="22">
        <v>6360</v>
      </c>
      <c r="P65" s="22">
        <v>381</v>
      </c>
      <c r="Q65" s="22">
        <v>559</v>
      </c>
      <c r="R65" s="22">
        <v>0</v>
      </c>
      <c r="S65" s="22">
        <v>6779</v>
      </c>
      <c r="T65" s="22">
        <v>419</v>
      </c>
      <c r="U65" s="23">
        <v>38406</v>
      </c>
    </row>
    <row r="66" spans="1:21" ht="14.25" customHeight="1" x14ac:dyDescent="0.2">
      <c r="A66" s="20" t="s">
        <v>72</v>
      </c>
      <c r="B66" s="21" t="s">
        <v>111</v>
      </c>
      <c r="C66" s="22">
        <v>5219</v>
      </c>
      <c r="D66" s="22">
        <v>5465</v>
      </c>
      <c r="E66" s="22">
        <v>3159</v>
      </c>
      <c r="F66" s="22">
        <v>90</v>
      </c>
      <c r="G66" s="22">
        <v>23</v>
      </c>
      <c r="H66" s="22">
        <v>10</v>
      </c>
      <c r="I66" s="22">
        <v>0</v>
      </c>
      <c r="J66" s="22">
        <v>0</v>
      </c>
      <c r="K66" s="22">
        <v>52</v>
      </c>
      <c r="L66" s="22">
        <v>385</v>
      </c>
      <c r="M66" s="22">
        <v>0</v>
      </c>
      <c r="N66" s="22">
        <v>65</v>
      </c>
      <c r="O66" s="22">
        <v>2710</v>
      </c>
      <c r="P66" s="22">
        <v>198</v>
      </c>
      <c r="Q66" s="22">
        <v>919</v>
      </c>
      <c r="R66" s="22">
        <v>4</v>
      </c>
      <c r="S66" s="22">
        <v>1065</v>
      </c>
      <c r="T66" s="22">
        <v>334</v>
      </c>
      <c r="U66" s="23">
        <v>19698</v>
      </c>
    </row>
    <row r="67" spans="1:21" ht="14.25" customHeight="1" x14ac:dyDescent="0.2">
      <c r="A67" s="20" t="s">
        <v>73</v>
      </c>
      <c r="B67" s="21" t="s">
        <v>111</v>
      </c>
      <c r="C67" s="22">
        <v>704</v>
      </c>
      <c r="D67" s="22">
        <v>1382</v>
      </c>
      <c r="E67" s="22">
        <v>1175</v>
      </c>
      <c r="F67" s="22">
        <v>18</v>
      </c>
      <c r="G67" s="22">
        <v>1</v>
      </c>
      <c r="H67" s="22">
        <v>15</v>
      </c>
      <c r="I67" s="22">
        <v>0</v>
      </c>
      <c r="J67" s="22">
        <v>76</v>
      </c>
      <c r="K67" s="22">
        <v>30</v>
      </c>
      <c r="L67" s="22">
        <v>113</v>
      </c>
      <c r="M67" s="22">
        <v>2</v>
      </c>
      <c r="N67" s="22">
        <v>16</v>
      </c>
      <c r="O67" s="22">
        <v>2948</v>
      </c>
      <c r="P67" s="22">
        <v>114</v>
      </c>
      <c r="Q67" s="22">
        <v>126</v>
      </c>
      <c r="R67" s="22">
        <v>0</v>
      </c>
      <c r="S67" s="22">
        <v>85</v>
      </c>
      <c r="T67" s="22">
        <v>0</v>
      </c>
      <c r="U67" s="23">
        <v>6805</v>
      </c>
    </row>
    <row r="68" spans="1:21" ht="14.25" customHeight="1" x14ac:dyDescent="0.2">
      <c r="A68" s="20" t="s">
        <v>74</v>
      </c>
      <c r="B68" s="21" t="s">
        <v>110</v>
      </c>
      <c r="C68" s="22">
        <v>42173</v>
      </c>
      <c r="D68" s="22">
        <v>182592</v>
      </c>
      <c r="E68" s="22">
        <v>7413</v>
      </c>
      <c r="F68" s="22">
        <v>28530</v>
      </c>
      <c r="G68" s="22">
        <v>2545</v>
      </c>
      <c r="H68" s="22">
        <v>364</v>
      </c>
      <c r="I68" s="22">
        <v>460</v>
      </c>
      <c r="J68" s="22">
        <v>3425</v>
      </c>
      <c r="K68" s="22">
        <v>4277</v>
      </c>
      <c r="L68" s="22">
        <v>8442</v>
      </c>
      <c r="M68" s="22">
        <v>599</v>
      </c>
      <c r="N68" s="22">
        <v>2100</v>
      </c>
      <c r="O68" s="22">
        <v>7484</v>
      </c>
      <c r="P68" s="22">
        <v>1375</v>
      </c>
      <c r="Q68" s="22">
        <v>8273</v>
      </c>
      <c r="R68" s="22">
        <v>439</v>
      </c>
      <c r="S68" s="22">
        <v>2525</v>
      </c>
      <c r="T68" s="22">
        <v>640</v>
      </c>
      <c r="U68" s="23">
        <v>303656</v>
      </c>
    </row>
    <row r="69" spans="1:21" ht="14.25" customHeight="1" x14ac:dyDescent="0.2">
      <c r="A69" s="20" t="s">
        <v>75</v>
      </c>
      <c r="B69" s="21" t="s">
        <v>111</v>
      </c>
      <c r="C69" s="22">
        <v>7730</v>
      </c>
      <c r="D69" s="22">
        <v>8967</v>
      </c>
      <c r="E69" s="22">
        <v>3425</v>
      </c>
      <c r="F69" s="22">
        <v>372</v>
      </c>
      <c r="G69" s="22">
        <v>29</v>
      </c>
      <c r="H69" s="22">
        <v>11</v>
      </c>
      <c r="I69" s="22">
        <v>1</v>
      </c>
      <c r="J69" s="22">
        <v>340</v>
      </c>
      <c r="K69" s="22">
        <v>242</v>
      </c>
      <c r="L69" s="22">
        <v>344</v>
      </c>
      <c r="M69" s="22">
        <v>15</v>
      </c>
      <c r="N69" s="22">
        <v>80</v>
      </c>
      <c r="O69" s="22">
        <v>2213</v>
      </c>
      <c r="P69" s="22">
        <v>162</v>
      </c>
      <c r="Q69" s="22">
        <v>1023</v>
      </c>
      <c r="R69" s="22">
        <v>0</v>
      </c>
      <c r="S69" s="22">
        <v>387</v>
      </c>
      <c r="T69" s="22">
        <v>500</v>
      </c>
      <c r="U69" s="23">
        <v>25841</v>
      </c>
    </row>
    <row r="70" spans="1:21" ht="14.25" customHeight="1" x14ac:dyDescent="0.2">
      <c r="A70" s="20" t="s">
        <v>76</v>
      </c>
      <c r="B70" s="21" t="s">
        <v>110</v>
      </c>
      <c r="C70" s="22">
        <v>20729</v>
      </c>
      <c r="D70" s="22">
        <v>35374</v>
      </c>
      <c r="E70" s="22">
        <v>5240</v>
      </c>
      <c r="F70" s="22">
        <v>10662</v>
      </c>
      <c r="G70" s="22">
        <v>676</v>
      </c>
      <c r="H70" s="22">
        <v>24</v>
      </c>
      <c r="I70" s="22">
        <v>0</v>
      </c>
      <c r="J70" s="22">
        <v>1637</v>
      </c>
      <c r="K70" s="22">
        <v>242</v>
      </c>
      <c r="L70" s="22">
        <v>1458</v>
      </c>
      <c r="M70" s="22">
        <v>19</v>
      </c>
      <c r="N70" s="22">
        <v>424</v>
      </c>
      <c r="O70" s="22">
        <v>4457</v>
      </c>
      <c r="P70" s="22">
        <v>433</v>
      </c>
      <c r="Q70" s="22">
        <v>1036</v>
      </c>
      <c r="R70" s="22">
        <v>0</v>
      </c>
      <c r="S70" s="22">
        <v>4301</v>
      </c>
      <c r="T70" s="22">
        <v>1397</v>
      </c>
      <c r="U70" s="23">
        <v>88109</v>
      </c>
    </row>
    <row r="71" spans="1:21" ht="14.25" customHeight="1" x14ac:dyDescent="0.2">
      <c r="A71" s="20" t="s">
        <v>77</v>
      </c>
      <c r="B71" s="21" t="s">
        <v>111</v>
      </c>
      <c r="C71" s="22">
        <v>28358</v>
      </c>
      <c r="D71" s="22">
        <v>5023</v>
      </c>
      <c r="E71" s="22">
        <v>2577</v>
      </c>
      <c r="F71" s="22">
        <v>0</v>
      </c>
      <c r="G71" s="22">
        <v>57</v>
      </c>
      <c r="H71" s="22">
        <v>4</v>
      </c>
      <c r="I71" s="22">
        <v>0</v>
      </c>
      <c r="J71" s="22">
        <v>34</v>
      </c>
      <c r="K71" s="22">
        <v>588</v>
      </c>
      <c r="L71" s="22">
        <v>342</v>
      </c>
      <c r="M71" s="22">
        <v>3</v>
      </c>
      <c r="N71" s="22">
        <v>47</v>
      </c>
      <c r="O71" s="22">
        <v>4898</v>
      </c>
      <c r="P71" s="22">
        <v>226</v>
      </c>
      <c r="Q71" s="22">
        <v>762</v>
      </c>
      <c r="R71" s="22">
        <v>0</v>
      </c>
      <c r="S71" s="22">
        <v>2890</v>
      </c>
      <c r="T71" s="22">
        <v>432</v>
      </c>
      <c r="U71" s="23">
        <v>46241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0">SUM(C5:C72)</f>
        <v>1401627</v>
      </c>
      <c r="D73" s="26">
        <f t="shared" si="0"/>
        <v>5675592</v>
      </c>
      <c r="E73" s="26">
        <f t="shared" si="0"/>
        <v>438612</v>
      </c>
      <c r="F73" s="26">
        <f t="shared" si="0"/>
        <v>1601498</v>
      </c>
      <c r="G73" s="26">
        <f t="shared" si="0"/>
        <v>156267</v>
      </c>
      <c r="H73" s="26">
        <f t="shared" si="0"/>
        <v>14968</v>
      </c>
      <c r="I73" s="26">
        <f t="shared" si="0"/>
        <v>49935</v>
      </c>
      <c r="J73" s="26">
        <f t="shared" si="0"/>
        <v>157669</v>
      </c>
      <c r="K73" s="26">
        <f t="shared" si="0"/>
        <v>86022</v>
      </c>
      <c r="L73" s="26">
        <f t="shared" si="0"/>
        <v>257583</v>
      </c>
      <c r="M73" s="26">
        <f t="shared" si="0"/>
        <v>14526</v>
      </c>
      <c r="N73" s="26">
        <f t="shared" si="0"/>
        <v>79754</v>
      </c>
      <c r="O73" s="26">
        <f t="shared" si="0"/>
        <v>237987</v>
      </c>
      <c r="P73" s="26">
        <f t="shared" si="0"/>
        <v>48702</v>
      </c>
      <c r="Q73" s="26">
        <f t="shared" si="0"/>
        <v>245252</v>
      </c>
      <c r="R73" s="26">
        <f t="shared" si="0"/>
        <v>2108</v>
      </c>
      <c r="S73" s="26">
        <f t="shared" si="0"/>
        <v>157895</v>
      </c>
      <c r="T73" s="26">
        <f t="shared" si="0"/>
        <v>99586</v>
      </c>
      <c r="U73" s="28">
        <f>SUM(C73:T73)</f>
        <v>10725583</v>
      </c>
    </row>
    <row r="75" spans="1:21" x14ac:dyDescent="0.2">
      <c r="A75" s="3" t="s">
        <v>109</v>
      </c>
    </row>
  </sheetData>
  <phoneticPr fontId="0" type="noConversion"/>
  <conditionalFormatting sqref="A4:U73">
    <cfRule type="expression" dxfId="2" priority="3" stopIfTrue="1">
      <formula>MOD(ROW(),3)=1</formula>
    </cfRule>
  </conditionalFormatting>
  <pageMargins left="0.7" right="0.7" top="0.75" bottom="0.75" header="0.3" footer="0.3"/>
  <pageSetup scale="76" fitToWidth="2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76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49" style="3" bestFit="1" customWidth="1"/>
    <col min="2" max="2" width="9.28515625" style="18" bestFit="1" customWidth="1"/>
    <col min="3" max="3" width="18.5703125" style="3" bestFit="1" customWidth="1"/>
    <col min="4" max="4" width="19.5703125" style="3" bestFit="1" customWidth="1"/>
    <col min="5" max="5" width="18.5703125" style="3" bestFit="1" customWidth="1"/>
    <col min="6" max="6" width="19.140625" style="3" bestFit="1" customWidth="1"/>
    <col min="7" max="7" width="19.5703125" style="3" bestFit="1" customWidth="1"/>
    <col min="8" max="8" width="20.85546875" style="3" bestFit="1" customWidth="1"/>
    <col min="9" max="9" width="17.5703125" style="3" bestFit="1" customWidth="1"/>
    <col min="10" max="10" width="17.28515625" style="3" bestFit="1" customWidth="1"/>
    <col min="11" max="11" width="22.5703125" style="3" bestFit="1" customWidth="1"/>
    <col min="12" max="12" width="24.42578125" style="3" bestFit="1" customWidth="1"/>
    <col min="13" max="13" width="17.5703125" style="3" bestFit="1" customWidth="1"/>
    <col min="14" max="14" width="18.5703125" style="3" bestFit="1" customWidth="1"/>
    <col min="15" max="15" width="18.140625" style="3" bestFit="1" customWidth="1"/>
    <col min="16" max="16" width="17.28515625" style="3" bestFit="1" customWidth="1"/>
    <col min="17" max="17" width="16.5703125" style="3" bestFit="1" customWidth="1"/>
    <col min="18" max="18" width="16.85546875" style="3" bestFit="1" customWidth="1"/>
    <col min="19" max="19" width="17.28515625" style="3" bestFit="1" customWidth="1"/>
    <col min="20" max="20" width="19.5703125" style="3" bestFit="1" customWidth="1"/>
    <col min="21" max="21" width="22.42578125" style="3" bestFit="1" customWidth="1"/>
    <col min="22" max="16384" width="9.140625" style="12"/>
  </cols>
  <sheetData>
    <row r="1" spans="1:21" ht="23.25" x14ac:dyDescent="0.35">
      <c r="A1" s="1" t="s">
        <v>86</v>
      </c>
    </row>
    <row r="2" spans="1:21" ht="15" x14ac:dyDescent="0.25">
      <c r="A2" s="19">
        <v>2022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110</v>
      </c>
      <c r="C5" s="22">
        <v>367477964</v>
      </c>
      <c r="D5" s="22">
        <v>14457191345</v>
      </c>
      <c r="E5" s="22">
        <v>395906819</v>
      </c>
      <c r="F5" s="22">
        <v>864832530</v>
      </c>
      <c r="G5" s="22">
        <v>331205550</v>
      </c>
      <c r="H5" s="22">
        <v>4253827443</v>
      </c>
      <c r="I5" s="22">
        <v>0</v>
      </c>
      <c r="J5" s="22">
        <v>137293187</v>
      </c>
      <c r="K5" s="22">
        <v>224036026</v>
      </c>
      <c r="L5" s="22">
        <v>3057589203</v>
      </c>
      <c r="M5" s="22">
        <v>33255043</v>
      </c>
      <c r="N5" s="22">
        <v>663455005</v>
      </c>
      <c r="O5" s="22">
        <v>2339314843</v>
      </c>
      <c r="P5" s="22">
        <v>799385072</v>
      </c>
      <c r="Q5" s="22">
        <v>5671526446</v>
      </c>
      <c r="R5" s="22">
        <v>54600</v>
      </c>
      <c r="S5" s="22">
        <v>109914312</v>
      </c>
      <c r="T5" s="22">
        <v>44731840</v>
      </c>
      <c r="U5" s="23">
        <f>SUM(C5:T5)</f>
        <v>33750997228</v>
      </c>
    </row>
    <row r="6" spans="1:21" ht="14.25" customHeight="1" x14ac:dyDescent="0.2">
      <c r="A6" s="20" t="s">
        <v>13</v>
      </c>
      <c r="B6" s="21" t="s">
        <v>111</v>
      </c>
      <c r="C6" s="22">
        <v>40031298</v>
      </c>
      <c r="D6" s="22">
        <v>1080524851</v>
      </c>
      <c r="E6" s="22">
        <v>269571494</v>
      </c>
      <c r="F6" s="22">
        <v>0</v>
      </c>
      <c r="G6" s="22">
        <v>7904287</v>
      </c>
      <c r="H6" s="22">
        <v>5069255</v>
      </c>
      <c r="I6" s="22">
        <v>0</v>
      </c>
      <c r="J6" s="22">
        <v>0</v>
      </c>
      <c r="K6" s="22">
        <v>3955820</v>
      </c>
      <c r="L6" s="22">
        <v>139372560</v>
      </c>
      <c r="M6" s="22">
        <v>357320</v>
      </c>
      <c r="N6" s="22">
        <v>45311758</v>
      </c>
      <c r="O6" s="22">
        <v>589719699</v>
      </c>
      <c r="P6" s="22">
        <v>43090910</v>
      </c>
      <c r="Q6" s="22">
        <v>267080908</v>
      </c>
      <c r="R6" s="22">
        <v>3339633</v>
      </c>
      <c r="S6" s="22">
        <v>12725523</v>
      </c>
      <c r="T6" s="22">
        <v>62282834</v>
      </c>
      <c r="U6" s="23">
        <f t="shared" ref="U6:U69" si="0">SUM(C6:T6)</f>
        <v>2570338150</v>
      </c>
    </row>
    <row r="7" spans="1:21" ht="14.25" customHeight="1" x14ac:dyDescent="0.2">
      <c r="A7" s="20" t="s">
        <v>14</v>
      </c>
      <c r="B7" s="21" t="s">
        <v>110</v>
      </c>
      <c r="C7" s="22">
        <v>1214529971</v>
      </c>
      <c r="D7" s="22">
        <v>13270694878</v>
      </c>
      <c r="E7" s="22">
        <v>600087938</v>
      </c>
      <c r="F7" s="22">
        <v>6260985973</v>
      </c>
      <c r="G7" s="22">
        <v>396662945</v>
      </c>
      <c r="H7" s="22">
        <v>1062702607</v>
      </c>
      <c r="I7" s="22">
        <v>2519377</v>
      </c>
      <c r="J7" s="22">
        <v>9492318</v>
      </c>
      <c r="K7" s="22">
        <v>694714487</v>
      </c>
      <c r="L7" s="22">
        <v>2577860083</v>
      </c>
      <c r="M7" s="22">
        <v>11290602</v>
      </c>
      <c r="N7" s="22">
        <v>542626516</v>
      </c>
      <c r="O7" s="22">
        <v>327113616</v>
      </c>
      <c r="P7" s="22">
        <v>380901331</v>
      </c>
      <c r="Q7" s="22">
        <v>3837926973</v>
      </c>
      <c r="R7" s="22">
        <v>41475692</v>
      </c>
      <c r="S7" s="22">
        <v>31334034</v>
      </c>
      <c r="T7" s="22">
        <v>128858673</v>
      </c>
      <c r="U7" s="23">
        <f t="shared" si="0"/>
        <v>31391778014</v>
      </c>
    </row>
    <row r="8" spans="1:21" ht="14.25" customHeight="1" x14ac:dyDescent="0.2">
      <c r="A8" s="20" t="s">
        <v>15</v>
      </c>
      <c r="B8" s="21" t="s">
        <v>111</v>
      </c>
      <c r="C8" s="22">
        <v>59570218</v>
      </c>
      <c r="D8" s="22">
        <v>829622001</v>
      </c>
      <c r="E8" s="22">
        <v>196093444</v>
      </c>
      <c r="F8" s="22">
        <v>2501040</v>
      </c>
      <c r="G8" s="22">
        <v>3216031</v>
      </c>
      <c r="H8" s="22">
        <v>10969736</v>
      </c>
      <c r="I8" s="22">
        <v>0</v>
      </c>
      <c r="J8" s="22">
        <v>525068</v>
      </c>
      <c r="K8" s="22">
        <v>3881540</v>
      </c>
      <c r="L8" s="22">
        <v>103692468</v>
      </c>
      <c r="M8" s="22">
        <v>214316</v>
      </c>
      <c r="N8" s="22">
        <v>12807392</v>
      </c>
      <c r="O8" s="22">
        <v>525686820</v>
      </c>
      <c r="P8" s="22">
        <v>48013504</v>
      </c>
      <c r="Q8" s="22">
        <v>107329115</v>
      </c>
      <c r="R8" s="22">
        <v>757418</v>
      </c>
      <c r="S8" s="22">
        <v>3358038</v>
      </c>
      <c r="T8" s="22">
        <v>15290973</v>
      </c>
      <c r="U8" s="23">
        <f t="shared" si="0"/>
        <v>1923529122</v>
      </c>
    </row>
    <row r="9" spans="1:21" ht="14.25" customHeight="1" x14ac:dyDescent="0.2">
      <c r="A9" s="20" t="s">
        <v>16</v>
      </c>
      <c r="B9" s="21" t="s">
        <v>110</v>
      </c>
      <c r="C9" s="22">
        <v>1602097680</v>
      </c>
      <c r="D9" s="22">
        <v>62288963500</v>
      </c>
      <c r="E9" s="22">
        <v>1136659990</v>
      </c>
      <c r="F9" s="22">
        <v>8791821290</v>
      </c>
      <c r="G9" s="22">
        <v>1028310060</v>
      </c>
      <c r="H9" s="22">
        <v>2848337780</v>
      </c>
      <c r="I9" s="22">
        <v>65008070</v>
      </c>
      <c r="J9" s="22">
        <v>1335940</v>
      </c>
      <c r="K9" s="22">
        <v>383318000</v>
      </c>
      <c r="L9" s="22">
        <v>6104888230</v>
      </c>
      <c r="M9" s="22">
        <v>108426080</v>
      </c>
      <c r="N9" s="22">
        <v>1743056090</v>
      </c>
      <c r="O9" s="22">
        <v>652179040</v>
      </c>
      <c r="P9" s="22">
        <v>1880350200</v>
      </c>
      <c r="Q9" s="22">
        <v>7460267000</v>
      </c>
      <c r="R9" s="22">
        <v>61200</v>
      </c>
      <c r="S9" s="22">
        <v>74300870</v>
      </c>
      <c r="T9" s="22">
        <v>211114070</v>
      </c>
      <c r="U9" s="23">
        <f t="shared" si="0"/>
        <v>96380495090</v>
      </c>
    </row>
    <row r="10" spans="1:21" ht="14.25" customHeight="1" x14ac:dyDescent="0.2">
      <c r="A10" s="20" t="s">
        <v>17</v>
      </c>
      <c r="B10" s="21" t="s">
        <v>110</v>
      </c>
      <c r="C10" s="22">
        <v>2329544900</v>
      </c>
      <c r="D10" s="22">
        <v>186825307690</v>
      </c>
      <c r="E10" s="22">
        <v>503689520</v>
      </c>
      <c r="F10" s="22">
        <v>56826364710</v>
      </c>
      <c r="G10" s="22">
        <v>7281140420</v>
      </c>
      <c r="H10" s="22">
        <v>20326006360</v>
      </c>
      <c r="I10" s="22">
        <v>2054761860</v>
      </c>
      <c r="J10" s="22">
        <v>122969140</v>
      </c>
      <c r="K10" s="22">
        <v>1323250240</v>
      </c>
      <c r="L10" s="22">
        <v>41508128250</v>
      </c>
      <c r="M10" s="22">
        <v>414034740</v>
      </c>
      <c r="N10" s="22">
        <v>16677629700</v>
      </c>
      <c r="O10" s="22">
        <v>1132084980</v>
      </c>
      <c r="P10" s="22">
        <v>7087010400</v>
      </c>
      <c r="Q10" s="22">
        <v>15951113700</v>
      </c>
      <c r="R10" s="22">
        <v>0</v>
      </c>
      <c r="S10" s="22">
        <v>1619647820</v>
      </c>
      <c r="T10" s="22">
        <v>48198770</v>
      </c>
      <c r="U10" s="23">
        <f t="shared" si="0"/>
        <v>362030883200</v>
      </c>
    </row>
    <row r="11" spans="1:21" ht="14.25" customHeight="1" x14ac:dyDescent="0.2">
      <c r="A11" s="20" t="s">
        <v>18</v>
      </c>
      <c r="B11" s="21" t="s">
        <v>111</v>
      </c>
      <c r="C11" s="22">
        <v>24637592</v>
      </c>
      <c r="D11" s="22">
        <v>259927096</v>
      </c>
      <c r="E11" s="22">
        <v>49895091</v>
      </c>
      <c r="F11" s="22">
        <v>0</v>
      </c>
      <c r="G11" s="22">
        <v>1172795</v>
      </c>
      <c r="H11" s="22">
        <v>1797661</v>
      </c>
      <c r="I11" s="22">
        <v>0</v>
      </c>
      <c r="J11" s="22">
        <v>162410</v>
      </c>
      <c r="K11" s="22">
        <v>16451212</v>
      </c>
      <c r="L11" s="22">
        <v>37128073</v>
      </c>
      <c r="M11" s="22">
        <v>0</v>
      </c>
      <c r="N11" s="22">
        <v>3854758</v>
      </c>
      <c r="O11" s="22">
        <v>474463559</v>
      </c>
      <c r="P11" s="22">
        <v>14525170</v>
      </c>
      <c r="Q11" s="22">
        <v>37381530</v>
      </c>
      <c r="R11" s="22">
        <v>0</v>
      </c>
      <c r="S11" s="22">
        <v>1708365</v>
      </c>
      <c r="T11" s="22">
        <v>2594591</v>
      </c>
      <c r="U11" s="23">
        <f t="shared" si="0"/>
        <v>925699903</v>
      </c>
    </row>
    <row r="12" spans="1:21" ht="14.25" customHeight="1" x14ac:dyDescent="0.2">
      <c r="A12" s="20" t="s">
        <v>19</v>
      </c>
      <c r="B12" s="21" t="s">
        <v>110</v>
      </c>
      <c r="C12" s="22">
        <v>2491804014</v>
      </c>
      <c r="D12" s="22">
        <v>25426228281</v>
      </c>
      <c r="E12" s="22">
        <v>668752691</v>
      </c>
      <c r="F12" s="22">
        <v>3541705696</v>
      </c>
      <c r="G12" s="22">
        <v>463440629</v>
      </c>
      <c r="H12" s="22">
        <v>214322703</v>
      </c>
      <c r="I12" s="22">
        <v>408159533</v>
      </c>
      <c r="J12" s="22">
        <v>118952089</v>
      </c>
      <c r="K12" s="22">
        <v>370288300</v>
      </c>
      <c r="L12" s="22">
        <v>2001317308</v>
      </c>
      <c r="M12" s="22">
        <v>31107722</v>
      </c>
      <c r="N12" s="22">
        <v>569907402</v>
      </c>
      <c r="O12" s="22">
        <v>830320800</v>
      </c>
      <c r="P12" s="22">
        <v>425124214</v>
      </c>
      <c r="Q12" s="22">
        <v>1592081192</v>
      </c>
      <c r="R12" s="22">
        <v>20358231</v>
      </c>
      <c r="S12" s="22">
        <v>122255937</v>
      </c>
      <c r="T12" s="22">
        <v>126720107</v>
      </c>
      <c r="U12" s="23">
        <f t="shared" si="0"/>
        <v>39422846849</v>
      </c>
    </row>
    <row r="13" spans="1:21" ht="14.25" customHeight="1" x14ac:dyDescent="0.2">
      <c r="A13" s="20" t="s">
        <v>20</v>
      </c>
      <c r="B13" s="21" t="s">
        <v>110</v>
      </c>
      <c r="C13" s="22">
        <v>779067777</v>
      </c>
      <c r="D13" s="22">
        <v>12769831010</v>
      </c>
      <c r="E13" s="22">
        <v>1419644349</v>
      </c>
      <c r="F13" s="22">
        <v>221080997</v>
      </c>
      <c r="G13" s="22">
        <v>94035679</v>
      </c>
      <c r="H13" s="22">
        <v>44043830</v>
      </c>
      <c r="I13" s="22">
        <v>0</v>
      </c>
      <c r="J13" s="22">
        <v>11794757</v>
      </c>
      <c r="K13" s="22">
        <v>149092508</v>
      </c>
      <c r="L13" s="22">
        <v>1128343580</v>
      </c>
      <c r="M13" s="22">
        <v>7726060</v>
      </c>
      <c r="N13" s="22">
        <v>137900030</v>
      </c>
      <c r="O13" s="22">
        <v>677264826</v>
      </c>
      <c r="P13" s="22">
        <v>463740048</v>
      </c>
      <c r="Q13" s="22">
        <v>1137186902</v>
      </c>
      <c r="R13" s="22">
        <v>0</v>
      </c>
      <c r="S13" s="22">
        <v>377616552</v>
      </c>
      <c r="T13" s="22">
        <v>76323410</v>
      </c>
      <c r="U13" s="23">
        <f t="shared" si="0"/>
        <v>19494692315</v>
      </c>
    </row>
    <row r="14" spans="1:21" ht="14.25" customHeight="1" x14ac:dyDescent="0.2">
      <c r="A14" s="20" t="s">
        <v>21</v>
      </c>
      <c r="B14" s="21" t="s">
        <v>110</v>
      </c>
      <c r="C14" s="22">
        <v>359776204</v>
      </c>
      <c r="D14" s="22">
        <v>17527549649</v>
      </c>
      <c r="E14" s="22">
        <v>913410670</v>
      </c>
      <c r="F14" s="22">
        <v>334732480</v>
      </c>
      <c r="G14" s="22">
        <v>63977042</v>
      </c>
      <c r="H14" s="22">
        <v>729056044</v>
      </c>
      <c r="I14" s="22">
        <v>0</v>
      </c>
      <c r="J14" s="22">
        <v>15057854</v>
      </c>
      <c r="K14" s="22">
        <v>134264440</v>
      </c>
      <c r="L14" s="22">
        <v>1511624715</v>
      </c>
      <c r="M14" s="22">
        <v>4635145</v>
      </c>
      <c r="N14" s="22">
        <v>298229710</v>
      </c>
      <c r="O14" s="22">
        <v>765125285</v>
      </c>
      <c r="P14" s="22">
        <v>618715464</v>
      </c>
      <c r="Q14" s="22">
        <v>951780057</v>
      </c>
      <c r="R14" s="22">
        <v>0</v>
      </c>
      <c r="S14" s="22">
        <v>41089715</v>
      </c>
      <c r="T14" s="22">
        <v>139263540</v>
      </c>
      <c r="U14" s="23">
        <f t="shared" si="0"/>
        <v>24408288014</v>
      </c>
    </row>
    <row r="15" spans="1:21" ht="14.25" customHeight="1" x14ac:dyDescent="0.2">
      <c r="A15" s="20" t="s">
        <v>22</v>
      </c>
      <c r="B15" s="21" t="s">
        <v>110</v>
      </c>
      <c r="C15" s="22">
        <v>4181349879</v>
      </c>
      <c r="D15" s="22">
        <v>98689787070</v>
      </c>
      <c r="E15" s="22">
        <v>514733843</v>
      </c>
      <c r="F15" s="22">
        <v>52482702394</v>
      </c>
      <c r="G15" s="22">
        <v>887129577</v>
      </c>
      <c r="H15" s="22">
        <v>2481723446</v>
      </c>
      <c r="I15" s="22">
        <v>946549223</v>
      </c>
      <c r="J15" s="22">
        <v>1909355642</v>
      </c>
      <c r="K15" s="22">
        <v>567879917</v>
      </c>
      <c r="L15" s="22">
        <v>8394425680</v>
      </c>
      <c r="M15" s="22">
        <v>68833929</v>
      </c>
      <c r="N15" s="22">
        <v>1799981069</v>
      </c>
      <c r="O15" s="22">
        <v>1419844091</v>
      </c>
      <c r="P15" s="22">
        <v>2524735438</v>
      </c>
      <c r="Q15" s="22">
        <v>4767323333</v>
      </c>
      <c r="R15" s="22">
        <v>2359268</v>
      </c>
      <c r="S15" s="22">
        <v>75243727</v>
      </c>
      <c r="T15" s="22">
        <v>543796663</v>
      </c>
      <c r="U15" s="23">
        <f t="shared" si="0"/>
        <v>182257754189</v>
      </c>
    </row>
    <row r="16" spans="1:21" ht="14.25" customHeight="1" x14ac:dyDescent="0.2">
      <c r="A16" s="20" t="s">
        <v>23</v>
      </c>
      <c r="B16" s="21" t="s">
        <v>110</v>
      </c>
      <c r="C16" s="22">
        <v>126964925</v>
      </c>
      <c r="D16" s="22">
        <v>2350488096</v>
      </c>
      <c r="E16" s="22">
        <v>609765216</v>
      </c>
      <c r="F16" s="22">
        <v>4610812</v>
      </c>
      <c r="G16" s="22">
        <v>31770845</v>
      </c>
      <c r="H16" s="22">
        <v>51367104</v>
      </c>
      <c r="I16" s="22">
        <v>0</v>
      </c>
      <c r="J16" s="22">
        <v>26561744</v>
      </c>
      <c r="K16" s="22">
        <v>45528313</v>
      </c>
      <c r="L16" s="22">
        <v>531721052</v>
      </c>
      <c r="M16" s="22">
        <v>2623003</v>
      </c>
      <c r="N16" s="22">
        <v>156635878</v>
      </c>
      <c r="O16" s="22">
        <v>1111324288</v>
      </c>
      <c r="P16" s="22">
        <v>172329472</v>
      </c>
      <c r="Q16" s="22">
        <v>441792741</v>
      </c>
      <c r="R16" s="22">
        <v>0</v>
      </c>
      <c r="S16" s="22">
        <v>17166302</v>
      </c>
      <c r="T16" s="22">
        <v>50635089</v>
      </c>
      <c r="U16" s="23">
        <f t="shared" si="0"/>
        <v>5731284880</v>
      </c>
    </row>
    <row r="17" spans="1:21" ht="14.25" customHeight="1" x14ac:dyDescent="0.2">
      <c r="A17" s="20" t="s">
        <v>104</v>
      </c>
      <c r="B17" s="21" t="s">
        <v>110</v>
      </c>
      <c r="C17" s="22">
        <v>5654822845</v>
      </c>
      <c r="D17" s="22">
        <v>210449162484</v>
      </c>
      <c r="E17" s="22">
        <v>36550615</v>
      </c>
      <c r="F17" s="22">
        <v>137942902146</v>
      </c>
      <c r="G17" s="22">
        <v>15647625356</v>
      </c>
      <c r="H17" s="22">
        <v>25987270069</v>
      </c>
      <c r="I17" s="22">
        <v>431295791</v>
      </c>
      <c r="J17" s="22">
        <v>311756659</v>
      </c>
      <c r="K17" s="22">
        <v>7423456126</v>
      </c>
      <c r="L17" s="22">
        <v>70189688696</v>
      </c>
      <c r="M17" s="22">
        <v>2143176903</v>
      </c>
      <c r="N17" s="22">
        <v>30862081055</v>
      </c>
      <c r="O17" s="22">
        <v>5265725467</v>
      </c>
      <c r="P17" s="22">
        <v>9489096040</v>
      </c>
      <c r="Q17" s="22">
        <v>25480516695</v>
      </c>
      <c r="R17" s="22">
        <v>1285732004</v>
      </c>
      <c r="S17" s="22">
        <v>905833493</v>
      </c>
      <c r="T17" s="22">
        <v>1624151487</v>
      </c>
      <c r="U17" s="23">
        <f t="shared" si="0"/>
        <v>551130843931</v>
      </c>
    </row>
    <row r="18" spans="1:21" ht="14.25" customHeight="1" x14ac:dyDescent="0.2">
      <c r="A18" s="20" t="s">
        <v>24</v>
      </c>
      <c r="B18" s="21" t="s">
        <v>110</v>
      </c>
      <c r="C18" s="22">
        <v>105316280</v>
      </c>
      <c r="D18" s="22">
        <v>1328677731</v>
      </c>
      <c r="E18" s="22">
        <v>296023416</v>
      </c>
      <c r="F18" s="22">
        <v>86879000</v>
      </c>
      <c r="G18" s="22">
        <v>51798622</v>
      </c>
      <c r="H18" s="22">
        <v>47359060</v>
      </c>
      <c r="I18" s="22">
        <v>0</v>
      </c>
      <c r="J18" s="22">
        <v>362696</v>
      </c>
      <c r="K18" s="22">
        <v>17413368</v>
      </c>
      <c r="L18" s="22">
        <v>182932220</v>
      </c>
      <c r="M18" s="22">
        <v>5009579</v>
      </c>
      <c r="N18" s="22">
        <v>107049783</v>
      </c>
      <c r="O18" s="22">
        <v>2335240418</v>
      </c>
      <c r="P18" s="22">
        <v>62539884</v>
      </c>
      <c r="Q18" s="22">
        <v>245474083</v>
      </c>
      <c r="R18" s="22">
        <v>0</v>
      </c>
      <c r="S18" s="22">
        <v>77499362</v>
      </c>
      <c r="T18" s="22">
        <v>46867675</v>
      </c>
      <c r="U18" s="23">
        <f t="shared" si="0"/>
        <v>4996443177</v>
      </c>
    </row>
    <row r="19" spans="1:21" ht="14.25" customHeight="1" x14ac:dyDescent="0.2">
      <c r="A19" s="20" t="s">
        <v>25</v>
      </c>
      <c r="B19" s="21" t="s">
        <v>111</v>
      </c>
      <c r="C19" s="22">
        <v>98467000</v>
      </c>
      <c r="D19" s="22">
        <v>329619800</v>
      </c>
      <c r="E19" s="22">
        <v>230868700</v>
      </c>
      <c r="F19" s="22">
        <v>23762900</v>
      </c>
      <c r="G19" s="22">
        <v>413800</v>
      </c>
      <c r="H19" s="22">
        <v>878800</v>
      </c>
      <c r="I19" s="22">
        <v>58200</v>
      </c>
      <c r="J19" s="22">
        <v>0</v>
      </c>
      <c r="K19" s="22">
        <v>4733600</v>
      </c>
      <c r="L19" s="22">
        <v>38384334</v>
      </c>
      <c r="M19" s="22">
        <v>698100</v>
      </c>
      <c r="N19" s="22">
        <v>11369500</v>
      </c>
      <c r="O19" s="22">
        <v>655881028</v>
      </c>
      <c r="P19" s="22">
        <v>17085100</v>
      </c>
      <c r="Q19" s="22">
        <v>174232300</v>
      </c>
      <c r="R19" s="22">
        <v>0</v>
      </c>
      <c r="S19" s="22">
        <v>806500</v>
      </c>
      <c r="T19" s="22">
        <v>950000</v>
      </c>
      <c r="U19" s="23">
        <f t="shared" si="0"/>
        <v>1588209662</v>
      </c>
    </row>
    <row r="20" spans="1:21" ht="14.25" customHeight="1" x14ac:dyDescent="0.2">
      <c r="A20" s="20" t="s">
        <v>26</v>
      </c>
      <c r="B20" s="21" t="s">
        <v>110</v>
      </c>
      <c r="C20" s="22">
        <v>1290151174</v>
      </c>
      <c r="D20" s="22">
        <v>73692674585</v>
      </c>
      <c r="E20" s="22">
        <v>859165041</v>
      </c>
      <c r="F20" s="22">
        <v>5250451672</v>
      </c>
      <c r="G20" s="22">
        <v>1613738176</v>
      </c>
      <c r="H20" s="22">
        <v>12363084795</v>
      </c>
      <c r="I20" s="22">
        <v>4999600</v>
      </c>
      <c r="J20" s="22">
        <v>622883719</v>
      </c>
      <c r="K20" s="22">
        <v>705692710</v>
      </c>
      <c r="L20" s="22">
        <v>15646241434</v>
      </c>
      <c r="M20" s="22">
        <v>294705722</v>
      </c>
      <c r="N20" s="22">
        <v>7218337078</v>
      </c>
      <c r="O20" s="22">
        <v>2100488597</v>
      </c>
      <c r="P20" s="22">
        <v>4491879827</v>
      </c>
      <c r="Q20" s="22">
        <v>6417953243</v>
      </c>
      <c r="R20" s="22">
        <v>390893351</v>
      </c>
      <c r="S20" s="22">
        <v>114125212</v>
      </c>
      <c r="T20" s="22">
        <v>88018474</v>
      </c>
      <c r="U20" s="23">
        <f t="shared" si="0"/>
        <v>133165484410</v>
      </c>
    </row>
    <row r="21" spans="1:21" ht="14.25" customHeight="1" x14ac:dyDescent="0.2">
      <c r="A21" s="20" t="s">
        <v>27</v>
      </c>
      <c r="B21" s="21" t="s">
        <v>110</v>
      </c>
      <c r="C21" s="22">
        <v>587839448</v>
      </c>
      <c r="D21" s="22">
        <v>21470298629</v>
      </c>
      <c r="E21" s="22">
        <v>221575959</v>
      </c>
      <c r="F21" s="22">
        <v>2927992469</v>
      </c>
      <c r="G21" s="22">
        <v>882013614</v>
      </c>
      <c r="H21" s="22">
        <v>1369046766</v>
      </c>
      <c r="I21" s="22">
        <v>0</v>
      </c>
      <c r="J21" s="22">
        <v>116481432</v>
      </c>
      <c r="K21" s="22">
        <v>285822156</v>
      </c>
      <c r="L21" s="22">
        <v>3864488183</v>
      </c>
      <c r="M21" s="22">
        <v>7110731</v>
      </c>
      <c r="N21" s="22">
        <v>627008813</v>
      </c>
      <c r="O21" s="22">
        <v>595543632</v>
      </c>
      <c r="P21" s="22">
        <v>996760039</v>
      </c>
      <c r="Q21" s="22">
        <v>4057653651</v>
      </c>
      <c r="R21" s="22">
        <v>157812746</v>
      </c>
      <c r="S21" s="22">
        <v>80738725</v>
      </c>
      <c r="T21" s="22">
        <v>67267321</v>
      </c>
      <c r="U21" s="23">
        <f t="shared" si="0"/>
        <v>38315454314</v>
      </c>
    </row>
    <row r="22" spans="1:21" ht="14.25" customHeight="1" x14ac:dyDescent="0.2">
      <c r="A22" s="20" t="s">
        <v>28</v>
      </c>
      <c r="B22" s="21" t="s">
        <v>110</v>
      </c>
      <c r="C22" s="22">
        <v>1188398672</v>
      </c>
      <c r="D22" s="22">
        <v>15466060643</v>
      </c>
      <c r="E22" s="22">
        <v>229810521</v>
      </c>
      <c r="F22" s="22">
        <v>1540741872</v>
      </c>
      <c r="G22" s="22">
        <v>416905877</v>
      </c>
      <c r="H22" s="22">
        <v>118388000</v>
      </c>
      <c r="I22" s="22">
        <v>45342718</v>
      </c>
      <c r="J22" s="22">
        <v>96334995</v>
      </c>
      <c r="K22" s="22">
        <v>236282769</v>
      </c>
      <c r="L22" s="22">
        <v>728833010</v>
      </c>
      <c r="M22" s="22">
        <v>17743748</v>
      </c>
      <c r="N22" s="22">
        <v>159390059</v>
      </c>
      <c r="O22" s="22">
        <v>463587894</v>
      </c>
      <c r="P22" s="22">
        <v>171402542</v>
      </c>
      <c r="Q22" s="22">
        <v>560792088</v>
      </c>
      <c r="R22" s="22">
        <v>345958</v>
      </c>
      <c r="S22" s="22">
        <v>48792667</v>
      </c>
      <c r="T22" s="22">
        <v>71767389</v>
      </c>
      <c r="U22" s="23">
        <f t="shared" si="0"/>
        <v>21560921422</v>
      </c>
    </row>
    <row r="23" spans="1:21" ht="14.25" customHeight="1" x14ac:dyDescent="0.2">
      <c r="A23" s="20" t="s">
        <v>29</v>
      </c>
      <c r="B23" s="21" t="s">
        <v>111</v>
      </c>
      <c r="C23" s="22">
        <v>464832662</v>
      </c>
      <c r="D23" s="22">
        <v>2576458080</v>
      </c>
      <c r="E23" s="22">
        <v>84899901</v>
      </c>
      <c r="F23" s="22">
        <v>107214024</v>
      </c>
      <c r="G23" s="22">
        <v>1742483</v>
      </c>
      <c r="H23" s="22">
        <v>481313</v>
      </c>
      <c r="I23" s="22">
        <v>618448</v>
      </c>
      <c r="J23" s="22">
        <v>21779548</v>
      </c>
      <c r="K23" s="22">
        <v>15588334</v>
      </c>
      <c r="L23" s="22">
        <v>95702038</v>
      </c>
      <c r="M23" s="22">
        <v>128675</v>
      </c>
      <c r="N23" s="22">
        <v>16876659</v>
      </c>
      <c r="O23" s="22">
        <v>56650077</v>
      </c>
      <c r="P23" s="22">
        <v>33373385</v>
      </c>
      <c r="Q23" s="22">
        <v>599711016</v>
      </c>
      <c r="R23" s="22">
        <v>2617057</v>
      </c>
      <c r="S23" s="22">
        <v>4731795</v>
      </c>
      <c r="T23" s="22">
        <v>4949398</v>
      </c>
      <c r="U23" s="23">
        <f t="shared" si="0"/>
        <v>4088354893</v>
      </c>
    </row>
    <row r="24" spans="1:21" ht="14.25" customHeight="1" x14ac:dyDescent="0.2">
      <c r="A24" s="20" t="s">
        <v>30</v>
      </c>
      <c r="B24" s="21" t="s">
        <v>111</v>
      </c>
      <c r="C24" s="22">
        <v>73562646</v>
      </c>
      <c r="D24" s="22">
        <v>1417840726</v>
      </c>
      <c r="E24" s="22">
        <v>191921491</v>
      </c>
      <c r="F24" s="22">
        <v>0</v>
      </c>
      <c r="G24" s="22">
        <v>12721869</v>
      </c>
      <c r="H24" s="22">
        <v>30551396</v>
      </c>
      <c r="I24" s="22">
        <v>0</v>
      </c>
      <c r="J24" s="22">
        <v>1272171</v>
      </c>
      <c r="K24" s="22">
        <v>20027563</v>
      </c>
      <c r="L24" s="22">
        <v>146645451</v>
      </c>
      <c r="M24" s="22">
        <v>0</v>
      </c>
      <c r="N24" s="22">
        <v>84783964</v>
      </c>
      <c r="O24" s="22">
        <v>705356205</v>
      </c>
      <c r="P24" s="22">
        <v>77396761</v>
      </c>
      <c r="Q24" s="22">
        <v>168097495</v>
      </c>
      <c r="R24" s="22">
        <v>0</v>
      </c>
      <c r="S24" s="22">
        <v>13088357</v>
      </c>
      <c r="T24" s="22">
        <v>39637375</v>
      </c>
      <c r="U24" s="23">
        <f t="shared" si="0"/>
        <v>2982903470</v>
      </c>
    </row>
    <row r="25" spans="1:21" ht="14.25" customHeight="1" x14ac:dyDescent="0.2">
      <c r="A25" s="20" t="s">
        <v>31</v>
      </c>
      <c r="B25" s="21" t="s">
        <v>111</v>
      </c>
      <c r="C25" s="22">
        <v>61560125</v>
      </c>
      <c r="D25" s="22">
        <v>499825687</v>
      </c>
      <c r="E25" s="22">
        <v>255454309</v>
      </c>
      <c r="F25" s="22">
        <v>0</v>
      </c>
      <c r="G25" s="22">
        <v>4680721</v>
      </c>
      <c r="H25" s="22">
        <v>1542508</v>
      </c>
      <c r="I25" s="22">
        <v>0</v>
      </c>
      <c r="J25" s="22">
        <v>21726310</v>
      </c>
      <c r="K25" s="22">
        <v>1926446</v>
      </c>
      <c r="L25" s="22">
        <v>38819717</v>
      </c>
      <c r="M25" s="22">
        <v>68654</v>
      </c>
      <c r="N25" s="22">
        <v>15513917</v>
      </c>
      <c r="O25" s="22">
        <v>728850278</v>
      </c>
      <c r="P25" s="22">
        <v>33373947</v>
      </c>
      <c r="Q25" s="22">
        <v>95363604</v>
      </c>
      <c r="R25" s="22">
        <v>0</v>
      </c>
      <c r="S25" s="22">
        <v>3834197</v>
      </c>
      <c r="T25" s="22">
        <v>32405712</v>
      </c>
      <c r="U25" s="23">
        <f t="shared" si="0"/>
        <v>1794946132</v>
      </c>
    </row>
    <row r="26" spans="1:21" ht="14.25" customHeight="1" x14ac:dyDescent="0.2">
      <c r="A26" s="20" t="s">
        <v>32</v>
      </c>
      <c r="B26" s="21" t="s">
        <v>111</v>
      </c>
      <c r="C26" s="22">
        <v>68700104</v>
      </c>
      <c r="D26" s="22">
        <v>333423304</v>
      </c>
      <c r="E26" s="22">
        <v>215309345</v>
      </c>
      <c r="F26" s="22">
        <v>14892389</v>
      </c>
      <c r="G26" s="22">
        <v>28735833</v>
      </c>
      <c r="H26" s="22">
        <v>549062</v>
      </c>
      <c r="I26" s="22">
        <v>0</v>
      </c>
      <c r="J26" s="22">
        <v>6344246</v>
      </c>
      <c r="K26" s="22">
        <v>3008991</v>
      </c>
      <c r="L26" s="22">
        <v>82667051</v>
      </c>
      <c r="M26" s="22">
        <v>2964580</v>
      </c>
      <c r="N26" s="22">
        <v>19357646</v>
      </c>
      <c r="O26" s="22">
        <v>3137796193</v>
      </c>
      <c r="P26" s="22">
        <v>28113702</v>
      </c>
      <c r="Q26" s="22">
        <v>579397591</v>
      </c>
      <c r="R26" s="22">
        <v>0</v>
      </c>
      <c r="S26" s="22">
        <v>289864611</v>
      </c>
      <c r="T26" s="22">
        <v>42082296</v>
      </c>
      <c r="U26" s="23">
        <f t="shared" si="0"/>
        <v>4853206944</v>
      </c>
    </row>
    <row r="27" spans="1:21" ht="14.25" customHeight="1" x14ac:dyDescent="0.2">
      <c r="A27" s="20" t="s">
        <v>33</v>
      </c>
      <c r="B27" s="21" t="s">
        <v>111</v>
      </c>
      <c r="C27" s="22">
        <v>687141048</v>
      </c>
      <c r="D27" s="22">
        <v>2409624616</v>
      </c>
      <c r="E27" s="22">
        <v>127395256</v>
      </c>
      <c r="F27" s="22">
        <v>35269180</v>
      </c>
      <c r="G27" s="22">
        <v>8860696</v>
      </c>
      <c r="H27" s="22">
        <v>13703068</v>
      </c>
      <c r="I27" s="22">
        <v>0</v>
      </c>
      <c r="J27" s="22">
        <v>18825963</v>
      </c>
      <c r="K27" s="22">
        <v>1620032</v>
      </c>
      <c r="L27" s="22">
        <v>131252177</v>
      </c>
      <c r="M27" s="22">
        <v>0</v>
      </c>
      <c r="N27" s="22">
        <v>14585779</v>
      </c>
      <c r="O27" s="22">
        <v>438131454</v>
      </c>
      <c r="P27" s="22">
        <v>44674882</v>
      </c>
      <c r="Q27" s="22">
        <v>593575373</v>
      </c>
      <c r="R27" s="22">
        <v>467852</v>
      </c>
      <c r="S27" s="22">
        <v>8356610</v>
      </c>
      <c r="T27" s="22">
        <v>62746713</v>
      </c>
      <c r="U27" s="23">
        <f t="shared" si="0"/>
        <v>4596230699</v>
      </c>
    </row>
    <row r="28" spans="1:21" ht="14.25" customHeight="1" x14ac:dyDescent="0.2">
      <c r="A28" s="20" t="s">
        <v>34</v>
      </c>
      <c r="B28" s="21" t="s">
        <v>111</v>
      </c>
      <c r="C28" s="22">
        <v>51433440</v>
      </c>
      <c r="D28" s="22">
        <v>234779873</v>
      </c>
      <c r="E28" s="22">
        <v>112465263</v>
      </c>
      <c r="F28" s="22">
        <v>0</v>
      </c>
      <c r="G28" s="22">
        <v>19449960</v>
      </c>
      <c r="H28" s="22">
        <v>4078676</v>
      </c>
      <c r="I28" s="22">
        <v>0</v>
      </c>
      <c r="J28" s="22">
        <v>3210764</v>
      </c>
      <c r="K28" s="22">
        <v>4837873</v>
      </c>
      <c r="L28" s="22">
        <v>35133195</v>
      </c>
      <c r="M28" s="22">
        <v>124426</v>
      </c>
      <c r="N28" s="22">
        <v>6911917</v>
      </c>
      <c r="O28" s="22">
        <v>570217054</v>
      </c>
      <c r="P28" s="22">
        <v>20425568</v>
      </c>
      <c r="Q28" s="22">
        <v>144753874</v>
      </c>
      <c r="R28" s="22">
        <v>0</v>
      </c>
      <c r="S28" s="22">
        <v>82751930</v>
      </c>
      <c r="T28" s="22">
        <v>15452223</v>
      </c>
      <c r="U28" s="23">
        <f t="shared" si="0"/>
        <v>1306026036</v>
      </c>
    </row>
    <row r="29" spans="1:21" ht="14.25" customHeight="1" x14ac:dyDescent="0.2">
      <c r="A29" s="20" t="s">
        <v>35</v>
      </c>
      <c r="B29" s="21" t="s">
        <v>110</v>
      </c>
      <c r="C29" s="22">
        <v>54252741</v>
      </c>
      <c r="D29" s="22">
        <v>618657201</v>
      </c>
      <c r="E29" s="22">
        <v>143716287</v>
      </c>
      <c r="F29" s="22">
        <v>0</v>
      </c>
      <c r="G29" s="22">
        <v>28314745</v>
      </c>
      <c r="H29" s="22">
        <v>28878194</v>
      </c>
      <c r="I29" s="22">
        <v>0</v>
      </c>
      <c r="J29" s="22">
        <v>2963452</v>
      </c>
      <c r="K29" s="22">
        <v>12451250</v>
      </c>
      <c r="L29" s="22">
        <v>120049873</v>
      </c>
      <c r="M29" s="22">
        <v>1171858</v>
      </c>
      <c r="N29" s="22">
        <v>28611884</v>
      </c>
      <c r="O29" s="22">
        <v>2224238557</v>
      </c>
      <c r="P29" s="22">
        <v>83587087</v>
      </c>
      <c r="Q29" s="22">
        <v>249448078</v>
      </c>
      <c r="R29" s="22">
        <v>0</v>
      </c>
      <c r="S29" s="22">
        <v>259743817</v>
      </c>
      <c r="T29" s="22">
        <v>37282079</v>
      </c>
      <c r="U29" s="23">
        <f t="shared" si="0"/>
        <v>3893367103</v>
      </c>
    </row>
    <row r="30" spans="1:21" ht="14.25" customHeight="1" x14ac:dyDescent="0.2">
      <c r="A30" s="20" t="s">
        <v>36</v>
      </c>
      <c r="B30" s="21" t="s">
        <v>110</v>
      </c>
      <c r="C30" s="22">
        <v>466976080</v>
      </c>
      <c r="D30" s="22">
        <v>1516415717</v>
      </c>
      <c r="E30" s="22">
        <v>455764033</v>
      </c>
      <c r="F30" s="22">
        <v>33419076</v>
      </c>
      <c r="G30" s="22">
        <v>75484001</v>
      </c>
      <c r="H30" s="22">
        <v>19853732</v>
      </c>
      <c r="I30" s="22">
        <v>0</v>
      </c>
      <c r="J30" s="22">
        <v>5014891</v>
      </c>
      <c r="K30" s="22">
        <v>34547231</v>
      </c>
      <c r="L30" s="22">
        <v>305249091</v>
      </c>
      <c r="M30" s="22">
        <v>61890408</v>
      </c>
      <c r="N30" s="22">
        <v>119612252</v>
      </c>
      <c r="O30" s="22">
        <v>2944056532</v>
      </c>
      <c r="P30" s="22">
        <v>121438831</v>
      </c>
      <c r="Q30" s="22">
        <v>1315979514</v>
      </c>
      <c r="R30" s="22">
        <v>32285927</v>
      </c>
      <c r="S30" s="22">
        <v>48933920</v>
      </c>
      <c r="T30" s="22">
        <v>15131270</v>
      </c>
      <c r="U30" s="23">
        <f t="shared" si="0"/>
        <v>7572052506</v>
      </c>
    </row>
    <row r="31" spans="1:21" ht="14.25" customHeight="1" x14ac:dyDescent="0.2">
      <c r="A31" s="20" t="s">
        <v>37</v>
      </c>
      <c r="B31" s="21" t="s">
        <v>110</v>
      </c>
      <c r="C31" s="22">
        <v>600477340</v>
      </c>
      <c r="D31" s="22">
        <v>17022473243</v>
      </c>
      <c r="E31" s="22">
        <v>1459931748</v>
      </c>
      <c r="F31" s="22">
        <v>72512808</v>
      </c>
      <c r="G31" s="22">
        <v>112164593</v>
      </c>
      <c r="H31" s="22">
        <v>250034155</v>
      </c>
      <c r="I31" s="22">
        <v>2330414</v>
      </c>
      <c r="J31" s="22">
        <v>193915</v>
      </c>
      <c r="K31" s="22">
        <v>231700988</v>
      </c>
      <c r="L31" s="22">
        <v>1511209271</v>
      </c>
      <c r="M31" s="22">
        <v>6333880</v>
      </c>
      <c r="N31" s="22">
        <v>343165068</v>
      </c>
      <c r="O31" s="22">
        <v>1179854468</v>
      </c>
      <c r="P31" s="22">
        <v>467595864</v>
      </c>
      <c r="Q31" s="22">
        <v>1269365934</v>
      </c>
      <c r="R31" s="22">
        <v>22758540</v>
      </c>
      <c r="S31" s="22">
        <v>78259450</v>
      </c>
      <c r="T31" s="22">
        <v>253870314</v>
      </c>
      <c r="U31" s="23">
        <f t="shared" si="0"/>
        <v>24884231993</v>
      </c>
    </row>
    <row r="32" spans="1:21" ht="14.25" customHeight="1" x14ac:dyDescent="0.2">
      <c r="A32" s="20" t="s">
        <v>38</v>
      </c>
      <c r="B32" s="21" t="s">
        <v>110</v>
      </c>
      <c r="C32" s="22">
        <v>380957833</v>
      </c>
      <c r="D32" s="22">
        <v>6220895386</v>
      </c>
      <c r="E32" s="22">
        <v>351048324</v>
      </c>
      <c r="F32" s="22">
        <v>142850835</v>
      </c>
      <c r="G32" s="22">
        <v>111762869</v>
      </c>
      <c r="H32" s="22">
        <v>62520627</v>
      </c>
      <c r="I32" s="22">
        <v>29432767</v>
      </c>
      <c r="J32" s="22">
        <v>112739578</v>
      </c>
      <c r="K32" s="22">
        <v>44373907</v>
      </c>
      <c r="L32" s="22">
        <v>981868452</v>
      </c>
      <c r="M32" s="22">
        <v>5702470</v>
      </c>
      <c r="N32" s="22">
        <v>122188289</v>
      </c>
      <c r="O32" s="22">
        <v>772982956</v>
      </c>
      <c r="P32" s="22">
        <v>556033751</v>
      </c>
      <c r="Q32" s="22">
        <v>621920612</v>
      </c>
      <c r="R32" s="22">
        <v>94187502</v>
      </c>
      <c r="S32" s="22">
        <v>16017461</v>
      </c>
      <c r="T32" s="22">
        <v>57911533</v>
      </c>
      <c r="U32" s="23">
        <f t="shared" si="0"/>
        <v>10685395152</v>
      </c>
    </row>
    <row r="33" spans="1:21" ht="14.25" customHeight="1" x14ac:dyDescent="0.2">
      <c r="A33" s="20" t="s">
        <v>39</v>
      </c>
      <c r="B33" s="21" t="s">
        <v>110</v>
      </c>
      <c r="C33" s="22">
        <v>2184492509</v>
      </c>
      <c r="D33" s="22">
        <v>130838592638</v>
      </c>
      <c r="E33" s="22">
        <v>1813375545</v>
      </c>
      <c r="F33" s="22">
        <v>8471392824</v>
      </c>
      <c r="G33" s="22">
        <v>1370601118</v>
      </c>
      <c r="H33" s="22">
        <v>17507822206</v>
      </c>
      <c r="I33" s="22">
        <v>92051840</v>
      </c>
      <c r="J33" s="22">
        <v>666194270</v>
      </c>
      <c r="K33" s="22">
        <v>823033444</v>
      </c>
      <c r="L33" s="22">
        <v>24533401329</v>
      </c>
      <c r="M33" s="22">
        <v>145057277</v>
      </c>
      <c r="N33" s="22">
        <v>8616871395</v>
      </c>
      <c r="O33" s="22">
        <v>3058473071</v>
      </c>
      <c r="P33" s="22">
        <v>6619481972</v>
      </c>
      <c r="Q33" s="22">
        <v>12504220376</v>
      </c>
      <c r="R33" s="22">
        <v>1844971023</v>
      </c>
      <c r="S33" s="22">
        <v>436247574</v>
      </c>
      <c r="T33" s="22">
        <v>287019467</v>
      </c>
      <c r="U33" s="23">
        <f t="shared" si="0"/>
        <v>221813299878</v>
      </c>
    </row>
    <row r="34" spans="1:21" ht="14.25" customHeight="1" x14ac:dyDescent="0.2">
      <c r="A34" s="20" t="s">
        <v>40</v>
      </c>
      <c r="B34" s="21" t="s">
        <v>111</v>
      </c>
      <c r="C34" s="22">
        <v>22934409</v>
      </c>
      <c r="D34" s="22">
        <v>278219533</v>
      </c>
      <c r="E34" s="22">
        <v>52453542</v>
      </c>
      <c r="F34" s="22">
        <v>0</v>
      </c>
      <c r="G34" s="22">
        <v>1777915</v>
      </c>
      <c r="H34" s="22">
        <v>3239229</v>
      </c>
      <c r="I34" s="22">
        <v>0</v>
      </c>
      <c r="J34" s="22">
        <v>265454</v>
      </c>
      <c r="K34" s="22">
        <v>6412451</v>
      </c>
      <c r="L34" s="22">
        <v>56386471</v>
      </c>
      <c r="M34" s="22">
        <v>14974</v>
      </c>
      <c r="N34" s="22">
        <v>6929338</v>
      </c>
      <c r="O34" s="22">
        <v>622677989</v>
      </c>
      <c r="P34" s="22">
        <v>44651795</v>
      </c>
      <c r="Q34" s="22">
        <v>70876043</v>
      </c>
      <c r="R34" s="22">
        <v>709214</v>
      </c>
      <c r="S34" s="22">
        <v>3011722</v>
      </c>
      <c r="T34" s="22">
        <v>3959477</v>
      </c>
      <c r="U34" s="23">
        <f t="shared" si="0"/>
        <v>1174519556</v>
      </c>
    </row>
    <row r="35" spans="1:21" ht="14.25" customHeight="1" x14ac:dyDescent="0.2">
      <c r="A35" s="20" t="s">
        <v>41</v>
      </c>
      <c r="B35" s="21" t="s">
        <v>110</v>
      </c>
      <c r="C35" s="22">
        <v>886261594</v>
      </c>
      <c r="D35" s="22">
        <v>24608495587</v>
      </c>
      <c r="E35" s="22">
        <v>91430551</v>
      </c>
      <c r="F35" s="22">
        <v>4669966317</v>
      </c>
      <c r="G35" s="22">
        <v>200991808</v>
      </c>
      <c r="H35" s="22">
        <v>174757959</v>
      </c>
      <c r="I35" s="22">
        <v>8446416</v>
      </c>
      <c r="J35" s="22">
        <v>169644883</v>
      </c>
      <c r="K35" s="22">
        <v>128920573</v>
      </c>
      <c r="L35" s="22">
        <v>1521958992</v>
      </c>
      <c r="M35" s="22">
        <v>18177995</v>
      </c>
      <c r="N35" s="22">
        <v>291529844</v>
      </c>
      <c r="O35" s="22">
        <v>1645289173</v>
      </c>
      <c r="P35" s="22">
        <v>554622364</v>
      </c>
      <c r="Q35" s="22">
        <v>1369360516</v>
      </c>
      <c r="R35" s="22">
        <v>28499748</v>
      </c>
      <c r="S35" s="22">
        <v>19493083</v>
      </c>
      <c r="T35" s="22">
        <v>137888997</v>
      </c>
      <c r="U35" s="23">
        <f t="shared" si="0"/>
        <v>36525736400</v>
      </c>
    </row>
    <row r="36" spans="1:21" ht="14.25" customHeight="1" x14ac:dyDescent="0.2">
      <c r="A36" s="20" t="s">
        <v>42</v>
      </c>
      <c r="B36" s="21" t="s">
        <v>111</v>
      </c>
      <c r="C36" s="22">
        <v>146741006</v>
      </c>
      <c r="D36" s="22">
        <v>1164311108</v>
      </c>
      <c r="E36" s="22">
        <v>151202777</v>
      </c>
      <c r="F36" s="22">
        <v>0</v>
      </c>
      <c r="G36" s="22">
        <v>11118659</v>
      </c>
      <c r="H36" s="22">
        <v>24763201</v>
      </c>
      <c r="I36" s="22">
        <v>0</v>
      </c>
      <c r="J36" s="22">
        <v>2418801</v>
      </c>
      <c r="K36" s="22">
        <v>17144878</v>
      </c>
      <c r="L36" s="22">
        <v>206259891</v>
      </c>
      <c r="M36" s="22">
        <v>788561</v>
      </c>
      <c r="N36" s="22">
        <v>82688208</v>
      </c>
      <c r="O36" s="22">
        <v>955687034</v>
      </c>
      <c r="P36" s="22">
        <v>129619731</v>
      </c>
      <c r="Q36" s="22">
        <v>367926132</v>
      </c>
      <c r="R36" s="22">
        <v>0</v>
      </c>
      <c r="S36" s="22">
        <v>19819862</v>
      </c>
      <c r="T36" s="22">
        <v>5670134</v>
      </c>
      <c r="U36" s="23">
        <f t="shared" si="0"/>
        <v>3286159983</v>
      </c>
    </row>
    <row r="37" spans="1:21" ht="14.25" customHeight="1" x14ac:dyDescent="0.2">
      <c r="A37" s="20" t="s">
        <v>43</v>
      </c>
      <c r="B37" s="21" t="s">
        <v>110</v>
      </c>
      <c r="C37" s="22">
        <v>39528070</v>
      </c>
      <c r="D37" s="22">
        <v>462771890</v>
      </c>
      <c r="E37" s="22">
        <v>93388905</v>
      </c>
      <c r="F37" s="22">
        <v>0</v>
      </c>
      <c r="G37" s="22">
        <v>6060955</v>
      </c>
      <c r="H37" s="22">
        <v>6213394</v>
      </c>
      <c r="I37" s="22">
        <v>253245</v>
      </c>
      <c r="J37" s="22">
        <v>261697</v>
      </c>
      <c r="K37" s="22">
        <v>2893317</v>
      </c>
      <c r="L37" s="22">
        <v>39616827</v>
      </c>
      <c r="M37" s="22">
        <v>303660</v>
      </c>
      <c r="N37" s="22">
        <v>10160060</v>
      </c>
      <c r="O37" s="22">
        <v>891145569</v>
      </c>
      <c r="P37" s="22">
        <v>33672597</v>
      </c>
      <c r="Q37" s="22">
        <v>93062039</v>
      </c>
      <c r="R37" s="22">
        <v>0</v>
      </c>
      <c r="S37" s="22">
        <v>68508062</v>
      </c>
      <c r="T37" s="22">
        <v>8207595</v>
      </c>
      <c r="U37" s="23">
        <f t="shared" si="0"/>
        <v>1756047882</v>
      </c>
    </row>
    <row r="38" spans="1:21" ht="14.25" customHeight="1" x14ac:dyDescent="0.2">
      <c r="A38" s="20" t="s">
        <v>44</v>
      </c>
      <c r="B38" s="21" t="s">
        <v>111</v>
      </c>
      <c r="C38" s="22">
        <v>25064593</v>
      </c>
      <c r="D38" s="22">
        <v>135970400</v>
      </c>
      <c r="E38" s="22">
        <v>42944553</v>
      </c>
      <c r="F38" s="22">
        <v>0</v>
      </c>
      <c r="G38" s="22">
        <v>733619</v>
      </c>
      <c r="H38" s="22">
        <v>1374941</v>
      </c>
      <c r="I38" s="22">
        <v>0</v>
      </c>
      <c r="J38" s="22">
        <v>1388948</v>
      </c>
      <c r="K38" s="22">
        <v>838507</v>
      </c>
      <c r="L38" s="22">
        <v>11601624</v>
      </c>
      <c r="M38" s="22">
        <v>35000</v>
      </c>
      <c r="N38" s="22">
        <v>2305653</v>
      </c>
      <c r="O38" s="22">
        <v>486883701</v>
      </c>
      <c r="P38" s="22">
        <v>17768783</v>
      </c>
      <c r="Q38" s="22">
        <v>88552423</v>
      </c>
      <c r="R38" s="22">
        <v>0</v>
      </c>
      <c r="S38" s="22">
        <v>1813387</v>
      </c>
      <c r="T38" s="22">
        <v>1915203</v>
      </c>
      <c r="U38" s="23">
        <f t="shared" si="0"/>
        <v>819191335</v>
      </c>
    </row>
    <row r="39" spans="1:21" ht="14.25" customHeight="1" x14ac:dyDescent="0.2">
      <c r="A39" s="20" t="s">
        <v>45</v>
      </c>
      <c r="B39" s="21" t="s">
        <v>110</v>
      </c>
      <c r="C39" s="22">
        <v>1162669338</v>
      </c>
      <c r="D39" s="22">
        <v>32606063106</v>
      </c>
      <c r="E39" s="22">
        <v>1767503508</v>
      </c>
      <c r="F39" s="22">
        <v>725398008</v>
      </c>
      <c r="G39" s="22">
        <v>263832957</v>
      </c>
      <c r="H39" s="22">
        <v>1132462606</v>
      </c>
      <c r="I39" s="22">
        <v>195132897</v>
      </c>
      <c r="J39" s="22">
        <v>245747330</v>
      </c>
      <c r="K39" s="22">
        <v>477425795</v>
      </c>
      <c r="L39" s="22">
        <v>3615985407</v>
      </c>
      <c r="M39" s="22">
        <v>77550335</v>
      </c>
      <c r="N39" s="22">
        <v>820591685</v>
      </c>
      <c r="O39" s="22">
        <v>1512198943</v>
      </c>
      <c r="P39" s="22">
        <v>551922016</v>
      </c>
      <c r="Q39" s="22">
        <v>1433032409</v>
      </c>
      <c r="R39" s="22">
        <v>0</v>
      </c>
      <c r="S39" s="22">
        <v>20434450</v>
      </c>
      <c r="T39" s="22">
        <v>321365659</v>
      </c>
      <c r="U39" s="23">
        <f t="shared" si="0"/>
        <v>46929316449</v>
      </c>
    </row>
    <row r="40" spans="1:21" ht="14.25" customHeight="1" x14ac:dyDescent="0.2">
      <c r="A40" s="20" t="s">
        <v>46</v>
      </c>
      <c r="B40" s="21" t="s">
        <v>110</v>
      </c>
      <c r="C40" s="22">
        <v>4957781889</v>
      </c>
      <c r="D40" s="22">
        <v>102763017608</v>
      </c>
      <c r="E40" s="22">
        <v>2092566749</v>
      </c>
      <c r="F40" s="22">
        <v>25271320958</v>
      </c>
      <c r="G40" s="22">
        <v>4146162392</v>
      </c>
      <c r="H40" s="22">
        <v>4929965600</v>
      </c>
      <c r="I40" s="22">
        <v>363622930</v>
      </c>
      <c r="J40" s="22">
        <v>661703721</v>
      </c>
      <c r="K40" s="22">
        <v>1098570005</v>
      </c>
      <c r="L40" s="22">
        <v>12099187315</v>
      </c>
      <c r="M40" s="22">
        <v>203304302</v>
      </c>
      <c r="N40" s="22">
        <v>3013506081</v>
      </c>
      <c r="O40" s="22">
        <v>1694781145</v>
      </c>
      <c r="P40" s="22">
        <v>2414279846</v>
      </c>
      <c r="Q40" s="22">
        <v>8066454038</v>
      </c>
      <c r="R40" s="22">
        <v>92789305</v>
      </c>
      <c r="S40" s="22">
        <v>337241840</v>
      </c>
      <c r="T40" s="22">
        <v>213938704</v>
      </c>
      <c r="U40" s="23">
        <f t="shared" si="0"/>
        <v>174420194428</v>
      </c>
    </row>
    <row r="41" spans="1:21" ht="14.25" customHeight="1" x14ac:dyDescent="0.2">
      <c r="A41" s="20" t="s">
        <v>47</v>
      </c>
      <c r="B41" s="21" t="s">
        <v>110</v>
      </c>
      <c r="C41" s="22">
        <v>313842804</v>
      </c>
      <c r="D41" s="22">
        <v>17977879907</v>
      </c>
      <c r="E41" s="22">
        <v>299396648</v>
      </c>
      <c r="F41" s="22">
        <v>535113952</v>
      </c>
      <c r="G41" s="22">
        <v>425331808</v>
      </c>
      <c r="H41" s="22">
        <v>3175745742</v>
      </c>
      <c r="I41" s="22">
        <v>0</v>
      </c>
      <c r="J41" s="22">
        <v>113424438</v>
      </c>
      <c r="K41" s="22">
        <v>179961308</v>
      </c>
      <c r="L41" s="22">
        <v>3352304868</v>
      </c>
      <c r="M41" s="22">
        <v>17550398</v>
      </c>
      <c r="N41" s="22">
        <v>437235417</v>
      </c>
      <c r="O41" s="22">
        <v>827874660</v>
      </c>
      <c r="P41" s="22">
        <v>866608089</v>
      </c>
      <c r="Q41" s="22">
        <v>5561194482</v>
      </c>
      <c r="R41" s="22">
        <v>0</v>
      </c>
      <c r="S41" s="22">
        <v>31678744</v>
      </c>
      <c r="T41" s="22">
        <v>203039906</v>
      </c>
      <c r="U41" s="23">
        <f t="shared" si="0"/>
        <v>34318183171</v>
      </c>
    </row>
    <row r="42" spans="1:21" ht="14.25" customHeight="1" x14ac:dyDescent="0.2">
      <c r="A42" s="20" t="s">
        <v>48</v>
      </c>
      <c r="B42" s="21" t="s">
        <v>111</v>
      </c>
      <c r="C42" s="22">
        <v>311269654</v>
      </c>
      <c r="D42" s="22">
        <v>1612581014</v>
      </c>
      <c r="E42" s="22">
        <v>843190004</v>
      </c>
      <c r="F42" s="22">
        <v>41276459</v>
      </c>
      <c r="G42" s="22">
        <v>12327976</v>
      </c>
      <c r="H42" s="22">
        <v>17281788</v>
      </c>
      <c r="I42" s="22">
        <v>0</v>
      </c>
      <c r="J42" s="22">
        <v>3663933</v>
      </c>
      <c r="K42" s="22">
        <v>20025870</v>
      </c>
      <c r="L42" s="22">
        <v>242039765</v>
      </c>
      <c r="M42" s="22">
        <v>230108</v>
      </c>
      <c r="N42" s="22">
        <v>24486146</v>
      </c>
      <c r="O42" s="22">
        <v>2640432647</v>
      </c>
      <c r="P42" s="22">
        <v>81084275</v>
      </c>
      <c r="Q42" s="22">
        <v>321689783</v>
      </c>
      <c r="R42" s="22">
        <v>3194923</v>
      </c>
      <c r="S42" s="22">
        <v>18581708</v>
      </c>
      <c r="T42" s="22">
        <v>34910905</v>
      </c>
      <c r="U42" s="23">
        <f t="shared" si="0"/>
        <v>6228266958</v>
      </c>
    </row>
    <row r="43" spans="1:21" ht="14.25" customHeight="1" x14ac:dyDescent="0.2">
      <c r="A43" s="20" t="s">
        <v>49</v>
      </c>
      <c r="B43" s="21" t="s">
        <v>111</v>
      </c>
      <c r="C43" s="22">
        <v>14042746</v>
      </c>
      <c r="D43" s="22">
        <v>143092165</v>
      </c>
      <c r="E43" s="22">
        <v>24315883</v>
      </c>
      <c r="F43" s="22">
        <v>0</v>
      </c>
      <c r="G43" s="22">
        <v>4933162</v>
      </c>
      <c r="H43" s="22">
        <v>673147</v>
      </c>
      <c r="I43" s="22">
        <v>0</v>
      </c>
      <c r="J43" s="22">
        <v>257385</v>
      </c>
      <c r="K43" s="22">
        <v>738569</v>
      </c>
      <c r="L43" s="22">
        <v>14861120</v>
      </c>
      <c r="M43" s="22">
        <v>0</v>
      </c>
      <c r="N43" s="22">
        <v>23092302</v>
      </c>
      <c r="O43" s="22">
        <v>287124318</v>
      </c>
      <c r="P43" s="22">
        <v>22438907</v>
      </c>
      <c r="Q43" s="22">
        <v>347178523</v>
      </c>
      <c r="R43" s="22">
        <v>0</v>
      </c>
      <c r="S43" s="22">
        <v>1352591</v>
      </c>
      <c r="T43" s="22">
        <v>2013291</v>
      </c>
      <c r="U43" s="23">
        <f t="shared" si="0"/>
        <v>886114109</v>
      </c>
    </row>
    <row r="44" spans="1:21" ht="14.25" customHeight="1" x14ac:dyDescent="0.2">
      <c r="A44" s="20" t="s">
        <v>50</v>
      </c>
      <c r="B44" s="21" t="s">
        <v>110</v>
      </c>
      <c r="C44" s="22">
        <v>71940406</v>
      </c>
      <c r="D44" s="22">
        <v>412713257</v>
      </c>
      <c r="E44" s="22">
        <v>128535533</v>
      </c>
      <c r="F44" s="22">
        <v>0</v>
      </c>
      <c r="G44" s="22">
        <v>17072818</v>
      </c>
      <c r="H44" s="22">
        <v>7182576</v>
      </c>
      <c r="I44" s="22">
        <v>0</v>
      </c>
      <c r="J44" s="22">
        <v>0</v>
      </c>
      <c r="K44" s="22">
        <v>2637810</v>
      </c>
      <c r="L44" s="22">
        <v>73162299</v>
      </c>
      <c r="M44" s="22">
        <v>93933</v>
      </c>
      <c r="N44" s="22">
        <v>64503737</v>
      </c>
      <c r="O44" s="22">
        <v>746843261</v>
      </c>
      <c r="P44" s="22">
        <v>43081915</v>
      </c>
      <c r="Q44" s="22">
        <v>97782337</v>
      </c>
      <c r="R44" s="22">
        <v>0</v>
      </c>
      <c r="S44" s="22">
        <v>3441674</v>
      </c>
      <c r="T44" s="22">
        <v>17938705</v>
      </c>
      <c r="U44" s="23">
        <f t="shared" si="0"/>
        <v>1686930261</v>
      </c>
    </row>
    <row r="45" spans="1:21" ht="14.25" customHeight="1" x14ac:dyDescent="0.2">
      <c r="A45" s="20" t="s">
        <v>51</v>
      </c>
      <c r="B45" s="21" t="s">
        <v>110</v>
      </c>
      <c r="C45" s="22">
        <v>1128335464</v>
      </c>
      <c r="D45" s="22">
        <v>49489429909</v>
      </c>
      <c r="E45" s="22">
        <v>427134579</v>
      </c>
      <c r="F45" s="22">
        <v>9362458761</v>
      </c>
      <c r="G45" s="22">
        <v>1773723353</v>
      </c>
      <c r="H45" s="22">
        <v>3115150070</v>
      </c>
      <c r="I45" s="22">
        <v>567485247</v>
      </c>
      <c r="J45" s="22">
        <v>79265291</v>
      </c>
      <c r="K45" s="22">
        <v>270152415</v>
      </c>
      <c r="L45" s="22">
        <v>4697106550</v>
      </c>
      <c r="M45" s="22">
        <v>64643585</v>
      </c>
      <c r="N45" s="22">
        <v>1829940114</v>
      </c>
      <c r="O45" s="22">
        <v>1461420293</v>
      </c>
      <c r="P45" s="22">
        <v>1574691142</v>
      </c>
      <c r="Q45" s="22">
        <v>1986314714</v>
      </c>
      <c r="R45" s="22">
        <v>44552321</v>
      </c>
      <c r="S45" s="22">
        <v>80110503</v>
      </c>
      <c r="T45" s="22">
        <v>208529685</v>
      </c>
      <c r="U45" s="23">
        <f t="shared" si="0"/>
        <v>78160443996</v>
      </c>
    </row>
    <row r="46" spans="1:21" ht="14.25" customHeight="1" x14ac:dyDescent="0.2">
      <c r="A46" s="20" t="s">
        <v>52</v>
      </c>
      <c r="B46" s="21" t="s">
        <v>110</v>
      </c>
      <c r="C46" s="22">
        <v>1406798619</v>
      </c>
      <c r="D46" s="22">
        <v>26492427857</v>
      </c>
      <c r="E46" s="22">
        <v>1921364088</v>
      </c>
      <c r="F46" s="22">
        <v>241204279</v>
      </c>
      <c r="G46" s="22">
        <v>777024981</v>
      </c>
      <c r="H46" s="22">
        <v>617945754</v>
      </c>
      <c r="I46" s="22">
        <v>0</v>
      </c>
      <c r="J46" s="22">
        <v>247355786</v>
      </c>
      <c r="K46" s="22">
        <v>365264282</v>
      </c>
      <c r="L46" s="22">
        <v>3177767000</v>
      </c>
      <c r="M46" s="22">
        <v>67119689</v>
      </c>
      <c r="N46" s="22">
        <v>1219785811</v>
      </c>
      <c r="O46" s="22">
        <v>5402560872</v>
      </c>
      <c r="P46" s="22">
        <v>992319190</v>
      </c>
      <c r="Q46" s="22">
        <v>2216841847</v>
      </c>
      <c r="R46" s="22">
        <v>15387160</v>
      </c>
      <c r="S46" s="22">
        <v>55081722</v>
      </c>
      <c r="T46" s="22">
        <v>247012878</v>
      </c>
      <c r="U46" s="23">
        <f t="shared" si="0"/>
        <v>45463261815</v>
      </c>
    </row>
    <row r="47" spans="1:21" ht="14.25" customHeight="1" x14ac:dyDescent="0.2">
      <c r="A47" s="20" t="s">
        <v>53</v>
      </c>
      <c r="B47" s="21" t="s">
        <v>110</v>
      </c>
      <c r="C47" s="22">
        <v>568612460</v>
      </c>
      <c r="D47" s="22">
        <v>28535998739</v>
      </c>
      <c r="E47" s="22">
        <v>314792800</v>
      </c>
      <c r="F47" s="22">
        <v>3050688493</v>
      </c>
      <c r="G47" s="22">
        <v>316703330</v>
      </c>
      <c r="H47" s="22">
        <v>345046511</v>
      </c>
      <c r="I47" s="22">
        <v>96440820</v>
      </c>
      <c r="J47" s="22">
        <v>196773670</v>
      </c>
      <c r="K47" s="22">
        <v>218281142</v>
      </c>
      <c r="L47" s="22">
        <v>2384357535</v>
      </c>
      <c r="M47" s="22">
        <v>56699221</v>
      </c>
      <c r="N47" s="22">
        <v>751103044</v>
      </c>
      <c r="O47" s="22">
        <v>2338594019</v>
      </c>
      <c r="P47" s="22">
        <v>652414530</v>
      </c>
      <c r="Q47" s="22">
        <v>1202474035</v>
      </c>
      <c r="R47" s="22">
        <v>25255760</v>
      </c>
      <c r="S47" s="22">
        <v>157763970</v>
      </c>
      <c r="T47" s="22">
        <v>235701660</v>
      </c>
      <c r="U47" s="23">
        <f t="shared" si="0"/>
        <v>41447701739</v>
      </c>
    </row>
    <row r="48" spans="1:21" ht="14.25" customHeight="1" x14ac:dyDescent="0.2">
      <c r="A48" s="20" t="s">
        <v>54</v>
      </c>
      <c r="B48" s="21" t="s">
        <v>110</v>
      </c>
      <c r="C48" s="22">
        <v>1791309727</v>
      </c>
      <c r="D48" s="22">
        <v>30816354171</v>
      </c>
      <c r="E48" s="22">
        <v>1637530334</v>
      </c>
      <c r="F48" s="22">
        <v>5009904236</v>
      </c>
      <c r="G48" s="22">
        <v>1569044236</v>
      </c>
      <c r="H48" s="22">
        <v>433520247</v>
      </c>
      <c r="I48" s="22">
        <v>14124242</v>
      </c>
      <c r="J48" s="22">
        <v>120496606</v>
      </c>
      <c r="K48" s="22">
        <v>232323924</v>
      </c>
      <c r="L48" s="22">
        <v>8036065517</v>
      </c>
      <c r="M48" s="22">
        <v>9474559</v>
      </c>
      <c r="N48" s="22">
        <v>282868117</v>
      </c>
      <c r="O48" s="22">
        <v>138177</v>
      </c>
      <c r="P48" s="22">
        <v>509472826</v>
      </c>
      <c r="Q48" s="22">
        <v>4460577271</v>
      </c>
      <c r="R48" s="22">
        <v>5053240</v>
      </c>
      <c r="S48" s="22">
        <v>149604815</v>
      </c>
      <c r="T48" s="22">
        <v>8082888</v>
      </c>
      <c r="U48" s="23">
        <f t="shared" si="0"/>
        <v>55085945133</v>
      </c>
    </row>
    <row r="49" spans="1:21" ht="14.25" customHeight="1" x14ac:dyDescent="0.2">
      <c r="A49" s="20" t="s">
        <v>55</v>
      </c>
      <c r="B49" s="21" t="s">
        <v>110</v>
      </c>
      <c r="C49" s="22">
        <v>839555077</v>
      </c>
      <c r="D49" s="22">
        <v>11051553813</v>
      </c>
      <c r="E49" s="22">
        <v>705018500</v>
      </c>
      <c r="F49" s="22">
        <v>2391431657</v>
      </c>
      <c r="G49" s="22">
        <v>198381857</v>
      </c>
      <c r="H49" s="22">
        <v>238370834</v>
      </c>
      <c r="I49" s="22">
        <v>0</v>
      </c>
      <c r="J49" s="22">
        <v>75527699</v>
      </c>
      <c r="K49" s="22">
        <v>112999002</v>
      </c>
      <c r="L49" s="22">
        <v>1088038662</v>
      </c>
      <c r="M49" s="22">
        <v>24968326</v>
      </c>
      <c r="N49" s="22">
        <v>169047809</v>
      </c>
      <c r="O49" s="22">
        <v>1306337977</v>
      </c>
      <c r="P49" s="22">
        <v>266238791</v>
      </c>
      <c r="Q49" s="22">
        <v>892488544</v>
      </c>
      <c r="R49" s="22">
        <v>3040791</v>
      </c>
      <c r="S49" s="22">
        <v>44795208</v>
      </c>
      <c r="T49" s="22">
        <v>50659905</v>
      </c>
      <c r="U49" s="23">
        <f t="shared" si="0"/>
        <v>19458454452</v>
      </c>
    </row>
    <row r="50" spans="1:21" ht="14.25" customHeight="1" x14ac:dyDescent="0.2">
      <c r="A50" s="20" t="s">
        <v>56</v>
      </c>
      <c r="B50" s="21" t="s">
        <v>110</v>
      </c>
      <c r="C50" s="22">
        <v>655014473</v>
      </c>
      <c r="D50" s="22">
        <v>22441476683</v>
      </c>
      <c r="E50" s="22">
        <v>253608824</v>
      </c>
      <c r="F50" s="22">
        <v>5221155679</v>
      </c>
      <c r="G50" s="22">
        <v>202332707</v>
      </c>
      <c r="H50" s="22">
        <v>993801280</v>
      </c>
      <c r="I50" s="22">
        <v>840000</v>
      </c>
      <c r="J50" s="22">
        <v>16506712</v>
      </c>
      <c r="K50" s="22">
        <v>194880501</v>
      </c>
      <c r="L50" s="22">
        <v>2542993998</v>
      </c>
      <c r="M50" s="22">
        <v>2197753</v>
      </c>
      <c r="N50" s="22">
        <v>424423688</v>
      </c>
      <c r="O50" s="22">
        <v>542175740</v>
      </c>
      <c r="P50" s="22">
        <v>399929240</v>
      </c>
      <c r="Q50" s="22">
        <v>2133274161</v>
      </c>
      <c r="R50" s="22">
        <v>0</v>
      </c>
      <c r="S50" s="22">
        <v>44504831</v>
      </c>
      <c r="T50" s="22">
        <v>68635870</v>
      </c>
      <c r="U50" s="23">
        <f t="shared" si="0"/>
        <v>36137752140</v>
      </c>
    </row>
    <row r="51" spans="1:21" ht="14.25" customHeight="1" x14ac:dyDescent="0.2">
      <c r="A51" s="20" t="s">
        <v>57</v>
      </c>
      <c r="B51" s="21" t="s">
        <v>110</v>
      </c>
      <c r="C51" s="22">
        <v>210478761</v>
      </c>
      <c r="D51" s="22">
        <v>1587843000</v>
      </c>
      <c r="E51" s="22">
        <v>605630084</v>
      </c>
      <c r="F51" s="22">
        <v>18286167</v>
      </c>
      <c r="G51" s="22">
        <v>86643855</v>
      </c>
      <c r="H51" s="22">
        <v>17730563</v>
      </c>
      <c r="I51" s="22">
        <v>0</v>
      </c>
      <c r="J51" s="22">
        <v>438082</v>
      </c>
      <c r="K51" s="22">
        <v>17053386</v>
      </c>
      <c r="L51" s="22">
        <v>369564004</v>
      </c>
      <c r="M51" s="22">
        <v>7638092</v>
      </c>
      <c r="N51" s="22">
        <v>75687431</v>
      </c>
      <c r="O51" s="22">
        <v>2229442013</v>
      </c>
      <c r="P51" s="22">
        <v>89444024</v>
      </c>
      <c r="Q51" s="22">
        <v>628279942</v>
      </c>
      <c r="R51" s="22">
        <v>6479425</v>
      </c>
      <c r="S51" s="22">
        <v>67106444</v>
      </c>
      <c r="T51" s="22">
        <v>43025005</v>
      </c>
      <c r="U51" s="23">
        <f t="shared" si="0"/>
        <v>6060770278</v>
      </c>
    </row>
    <row r="52" spans="1:21" ht="14.25" customHeight="1" x14ac:dyDescent="0.2">
      <c r="A52" s="20" t="s">
        <v>58</v>
      </c>
      <c r="B52" s="21" t="s">
        <v>110</v>
      </c>
      <c r="C52" s="22">
        <v>1839491214</v>
      </c>
      <c r="D52" s="22">
        <v>117115716899</v>
      </c>
      <c r="E52" s="22">
        <v>597365127</v>
      </c>
      <c r="F52" s="22">
        <v>8356266265</v>
      </c>
      <c r="G52" s="22">
        <v>1133828035</v>
      </c>
      <c r="H52" s="22">
        <v>26075583704</v>
      </c>
      <c r="I52" s="22">
        <v>0</v>
      </c>
      <c r="J52" s="22">
        <v>129775934</v>
      </c>
      <c r="K52" s="22">
        <v>2528343535</v>
      </c>
      <c r="L52" s="22">
        <v>54059796229</v>
      </c>
      <c r="M52" s="22">
        <v>357822211</v>
      </c>
      <c r="N52" s="22">
        <v>13211019284</v>
      </c>
      <c r="O52" s="22">
        <v>2451872488</v>
      </c>
      <c r="P52" s="22">
        <v>3665614836</v>
      </c>
      <c r="Q52" s="22">
        <v>26084247847</v>
      </c>
      <c r="R52" s="22">
        <v>3511384</v>
      </c>
      <c r="S52" s="22">
        <v>95271386</v>
      </c>
      <c r="T52" s="22">
        <v>988653320</v>
      </c>
      <c r="U52" s="23">
        <f t="shared" si="0"/>
        <v>258694179698</v>
      </c>
    </row>
    <row r="53" spans="1:21" ht="14.25" customHeight="1" x14ac:dyDescent="0.2">
      <c r="A53" s="20" t="s">
        <v>59</v>
      </c>
      <c r="B53" s="21" t="s">
        <v>110</v>
      </c>
      <c r="C53" s="22">
        <v>932597594</v>
      </c>
      <c r="D53" s="22">
        <v>34572753102</v>
      </c>
      <c r="E53" s="22">
        <v>643964200</v>
      </c>
      <c r="F53" s="22">
        <v>5205270714</v>
      </c>
      <c r="G53" s="22">
        <v>260980000</v>
      </c>
      <c r="H53" s="22">
        <v>3079407540</v>
      </c>
      <c r="I53" s="22">
        <v>0</v>
      </c>
      <c r="J53" s="22">
        <v>15806254</v>
      </c>
      <c r="K53" s="22">
        <v>615516457</v>
      </c>
      <c r="L53" s="22">
        <v>4875981078</v>
      </c>
      <c r="M53" s="22">
        <v>56916609</v>
      </c>
      <c r="N53" s="22">
        <v>757773416</v>
      </c>
      <c r="O53" s="22">
        <v>3391990900</v>
      </c>
      <c r="P53" s="22">
        <v>994831829</v>
      </c>
      <c r="Q53" s="22">
        <v>2437066166</v>
      </c>
      <c r="R53" s="22">
        <v>4274700</v>
      </c>
      <c r="S53" s="22">
        <v>72011530</v>
      </c>
      <c r="T53" s="22">
        <v>338236019</v>
      </c>
      <c r="U53" s="23">
        <f t="shared" si="0"/>
        <v>58255378108</v>
      </c>
    </row>
    <row r="54" spans="1:21" ht="14.25" customHeight="1" x14ac:dyDescent="0.2">
      <c r="A54" s="20" t="s">
        <v>60</v>
      </c>
      <c r="B54" s="21" t="s">
        <v>110</v>
      </c>
      <c r="C54" s="22">
        <v>6347363581</v>
      </c>
      <c r="D54" s="22">
        <v>229014468178</v>
      </c>
      <c r="E54" s="22">
        <v>390605260</v>
      </c>
      <c r="F54" s="22">
        <v>55757309981</v>
      </c>
      <c r="G54" s="22">
        <v>4407049694</v>
      </c>
      <c r="H54" s="22">
        <v>13723068670</v>
      </c>
      <c r="I54" s="22">
        <v>1681866863</v>
      </c>
      <c r="J54" s="22">
        <v>1101968605</v>
      </c>
      <c r="K54" s="22">
        <v>1797292632</v>
      </c>
      <c r="L54" s="22">
        <v>34346468098</v>
      </c>
      <c r="M54" s="22">
        <v>253188397</v>
      </c>
      <c r="N54" s="22">
        <v>8601333365</v>
      </c>
      <c r="O54" s="22">
        <v>10334062209</v>
      </c>
      <c r="P54" s="22">
        <v>6492061097</v>
      </c>
      <c r="Q54" s="22">
        <v>15453564224</v>
      </c>
      <c r="R54" s="22">
        <v>1040183662</v>
      </c>
      <c r="S54" s="22">
        <v>497767429</v>
      </c>
      <c r="T54" s="22">
        <v>14783406</v>
      </c>
      <c r="U54" s="23">
        <f t="shared" si="0"/>
        <v>391254405351</v>
      </c>
    </row>
    <row r="55" spans="1:21" ht="14.25" customHeight="1" x14ac:dyDescent="0.2">
      <c r="A55" s="20" t="s">
        <v>61</v>
      </c>
      <c r="B55" s="21" t="s">
        <v>110</v>
      </c>
      <c r="C55" s="22">
        <v>1023875271</v>
      </c>
      <c r="D55" s="22">
        <v>47834655855</v>
      </c>
      <c r="E55" s="22">
        <v>2151477889</v>
      </c>
      <c r="F55" s="22">
        <v>1215095158</v>
      </c>
      <c r="G55" s="22">
        <v>616857585</v>
      </c>
      <c r="H55" s="22">
        <v>2064977388</v>
      </c>
      <c r="I55" s="22">
        <v>0</v>
      </c>
      <c r="J55" s="22">
        <v>69207802</v>
      </c>
      <c r="K55" s="22">
        <v>639302184</v>
      </c>
      <c r="L55" s="22">
        <v>4526589313</v>
      </c>
      <c r="M55" s="22">
        <v>58940170</v>
      </c>
      <c r="N55" s="22">
        <v>1137451548</v>
      </c>
      <c r="O55" s="22">
        <v>2070112101</v>
      </c>
      <c r="P55" s="22">
        <v>840774848</v>
      </c>
      <c r="Q55" s="22">
        <v>2098072608</v>
      </c>
      <c r="R55" s="22">
        <v>261255</v>
      </c>
      <c r="S55" s="22">
        <v>60471854</v>
      </c>
      <c r="T55" s="22">
        <v>218051905</v>
      </c>
      <c r="U55" s="23">
        <f t="shared" si="0"/>
        <v>66626174734</v>
      </c>
    </row>
    <row r="56" spans="1:21" ht="14.25" customHeight="1" x14ac:dyDescent="0.2">
      <c r="A56" s="20" t="s">
        <v>62</v>
      </c>
      <c r="B56" s="21" t="s">
        <v>110</v>
      </c>
      <c r="C56" s="22">
        <v>1745541039</v>
      </c>
      <c r="D56" s="22">
        <v>96630723988</v>
      </c>
      <c r="E56" s="22">
        <v>1372153449</v>
      </c>
      <c r="F56" s="22">
        <v>29343018020</v>
      </c>
      <c r="G56" s="22">
        <v>5353596647</v>
      </c>
      <c r="H56" s="22">
        <v>9415660266</v>
      </c>
      <c r="I56" s="22">
        <v>199646144</v>
      </c>
      <c r="J56" s="22">
        <v>31111378</v>
      </c>
      <c r="K56" s="22">
        <v>1601727072</v>
      </c>
      <c r="L56" s="22">
        <v>16670246738</v>
      </c>
      <c r="M56" s="22">
        <v>205950169</v>
      </c>
      <c r="N56" s="22">
        <v>4531345333</v>
      </c>
      <c r="O56" s="22">
        <v>75120333</v>
      </c>
      <c r="P56" s="22">
        <v>5187839696</v>
      </c>
      <c r="Q56" s="22">
        <v>5601516299</v>
      </c>
      <c r="R56" s="22">
        <v>787429641</v>
      </c>
      <c r="S56" s="22">
        <v>370737385</v>
      </c>
      <c r="T56" s="22">
        <v>173729920</v>
      </c>
      <c r="U56" s="23">
        <f t="shared" si="0"/>
        <v>179297093517</v>
      </c>
    </row>
    <row r="57" spans="1:21" ht="14.25" customHeight="1" x14ac:dyDescent="0.2">
      <c r="A57" s="20" t="s">
        <v>63</v>
      </c>
      <c r="B57" s="21" t="s">
        <v>110</v>
      </c>
      <c r="C57" s="22">
        <v>1403668018</v>
      </c>
      <c r="D57" s="22">
        <v>48290128590</v>
      </c>
      <c r="E57" s="22">
        <v>3041231029</v>
      </c>
      <c r="F57" s="22">
        <v>936354574</v>
      </c>
      <c r="G57" s="22">
        <v>1055381185</v>
      </c>
      <c r="H57" s="22">
        <v>2537624893</v>
      </c>
      <c r="I57" s="22">
        <v>10711500</v>
      </c>
      <c r="J57" s="22">
        <v>302548552</v>
      </c>
      <c r="K57" s="22">
        <v>515642483</v>
      </c>
      <c r="L57" s="22">
        <v>6185903170</v>
      </c>
      <c r="M57" s="22">
        <v>134175216</v>
      </c>
      <c r="N57" s="22">
        <v>4902130926</v>
      </c>
      <c r="O57" s="22">
        <v>2428422019</v>
      </c>
      <c r="P57" s="22">
        <v>1905164289</v>
      </c>
      <c r="Q57" s="22">
        <v>2649468925</v>
      </c>
      <c r="R57" s="22">
        <v>0</v>
      </c>
      <c r="S57" s="22">
        <v>265805586</v>
      </c>
      <c r="T57" s="22">
        <v>388140708</v>
      </c>
      <c r="U57" s="23">
        <f t="shared" si="0"/>
        <v>76952501663</v>
      </c>
    </row>
    <row r="58" spans="1:21" ht="14.25" customHeight="1" x14ac:dyDescent="0.2">
      <c r="A58" s="20" t="s">
        <v>64</v>
      </c>
      <c r="B58" s="21" t="s">
        <v>110</v>
      </c>
      <c r="C58" s="22">
        <v>327884553</v>
      </c>
      <c r="D58" s="22">
        <v>3341961430</v>
      </c>
      <c r="E58" s="22">
        <v>1350592062</v>
      </c>
      <c r="F58" s="22">
        <v>37688930</v>
      </c>
      <c r="G58" s="22">
        <v>23605120</v>
      </c>
      <c r="H58" s="22">
        <v>57430568</v>
      </c>
      <c r="I58" s="22">
        <v>0</v>
      </c>
      <c r="J58" s="22">
        <v>123116245</v>
      </c>
      <c r="K58" s="22">
        <v>26270748</v>
      </c>
      <c r="L58" s="22">
        <v>809026271</v>
      </c>
      <c r="M58" s="22">
        <v>9861915</v>
      </c>
      <c r="N58" s="22">
        <v>188149022</v>
      </c>
      <c r="O58" s="22">
        <v>825737276</v>
      </c>
      <c r="P58" s="22">
        <v>215992839</v>
      </c>
      <c r="Q58" s="22">
        <v>540363365</v>
      </c>
      <c r="R58" s="22">
        <v>10247040</v>
      </c>
      <c r="S58" s="22">
        <v>111818026</v>
      </c>
      <c r="T58" s="22">
        <v>141633746</v>
      </c>
      <c r="U58" s="23">
        <f t="shared" si="0"/>
        <v>8141379156</v>
      </c>
    </row>
    <row r="59" spans="1:21" ht="14.25" customHeight="1" x14ac:dyDescent="0.2">
      <c r="A59" s="20" t="s">
        <v>65</v>
      </c>
      <c r="B59" s="21" t="s">
        <v>110</v>
      </c>
      <c r="C59" s="22">
        <v>1864065211</v>
      </c>
      <c r="D59" s="22">
        <v>46802084352</v>
      </c>
      <c r="E59" s="22">
        <v>807944462</v>
      </c>
      <c r="F59" s="22">
        <v>4375825106</v>
      </c>
      <c r="G59" s="22">
        <v>974033436</v>
      </c>
      <c r="H59" s="22">
        <v>606025335</v>
      </c>
      <c r="I59" s="22">
        <v>0</v>
      </c>
      <c r="J59" s="22">
        <v>7573727</v>
      </c>
      <c r="K59" s="22">
        <v>540037418</v>
      </c>
      <c r="L59" s="22">
        <v>3189820461</v>
      </c>
      <c r="M59" s="22">
        <v>0</v>
      </c>
      <c r="N59" s="22">
        <v>544463820</v>
      </c>
      <c r="O59" s="22">
        <v>1274392723</v>
      </c>
      <c r="P59" s="22">
        <v>796897462</v>
      </c>
      <c r="Q59" s="22">
        <v>1910242548</v>
      </c>
      <c r="R59" s="22">
        <v>23978932</v>
      </c>
      <c r="S59" s="22">
        <v>192850790</v>
      </c>
      <c r="T59" s="22">
        <v>317834755</v>
      </c>
      <c r="U59" s="23">
        <f t="shared" si="0"/>
        <v>64228070538</v>
      </c>
    </row>
    <row r="60" spans="1:21" ht="14.25" customHeight="1" x14ac:dyDescent="0.2">
      <c r="A60" s="20" t="s">
        <v>66</v>
      </c>
      <c r="B60" s="21" t="s">
        <v>110</v>
      </c>
      <c r="C60" s="22">
        <v>1735001580</v>
      </c>
      <c r="D60" s="22">
        <v>32618495220</v>
      </c>
      <c r="E60" s="22">
        <v>667470221</v>
      </c>
      <c r="F60" s="22">
        <v>3860249300</v>
      </c>
      <c r="G60" s="22">
        <v>339799200</v>
      </c>
      <c r="H60" s="22">
        <v>814875400</v>
      </c>
      <c r="I60" s="22">
        <v>1026000</v>
      </c>
      <c r="J60" s="22">
        <v>28831441</v>
      </c>
      <c r="K60" s="22">
        <v>396470006</v>
      </c>
      <c r="L60" s="22">
        <v>3247893500</v>
      </c>
      <c r="M60" s="22">
        <v>149943300</v>
      </c>
      <c r="N60" s="22">
        <v>1200936251</v>
      </c>
      <c r="O60" s="22">
        <v>1976092383</v>
      </c>
      <c r="P60" s="22">
        <v>814585321</v>
      </c>
      <c r="Q60" s="22">
        <v>1751532100</v>
      </c>
      <c r="R60" s="22">
        <v>8933000</v>
      </c>
      <c r="S60" s="22">
        <v>298665213</v>
      </c>
      <c r="T60" s="22">
        <v>230746300</v>
      </c>
      <c r="U60" s="23">
        <f t="shared" si="0"/>
        <v>50141545736</v>
      </c>
    </row>
    <row r="61" spans="1:21" ht="14.25" customHeight="1" x14ac:dyDescent="0.2">
      <c r="A61" s="20" t="s">
        <v>67</v>
      </c>
      <c r="B61" s="21" t="s">
        <v>110</v>
      </c>
      <c r="C61" s="22">
        <v>821083220</v>
      </c>
      <c r="D61" s="22">
        <v>17002209245</v>
      </c>
      <c r="E61" s="22">
        <v>482925843</v>
      </c>
      <c r="F61" s="22">
        <v>712227501</v>
      </c>
      <c r="G61" s="22">
        <v>138933417</v>
      </c>
      <c r="H61" s="22">
        <v>220920678</v>
      </c>
      <c r="I61" s="22">
        <v>0</v>
      </c>
      <c r="J61" s="22">
        <v>2739578</v>
      </c>
      <c r="K61" s="22">
        <v>218770312</v>
      </c>
      <c r="L61" s="22">
        <v>1003638311</v>
      </c>
      <c r="M61" s="22">
        <v>20635210</v>
      </c>
      <c r="N61" s="22">
        <v>261407352</v>
      </c>
      <c r="O61" s="22">
        <v>1212973205</v>
      </c>
      <c r="P61" s="22">
        <v>332102139</v>
      </c>
      <c r="Q61" s="22">
        <v>1423621977</v>
      </c>
      <c r="R61" s="22">
        <v>102</v>
      </c>
      <c r="S61" s="22">
        <v>152417426</v>
      </c>
      <c r="T61" s="22">
        <v>112349458</v>
      </c>
      <c r="U61" s="23">
        <f t="shared" si="0"/>
        <v>24118954974</v>
      </c>
    </row>
    <row r="62" spans="1:21" ht="14.25" customHeight="1" x14ac:dyDescent="0.2">
      <c r="A62" s="20" t="s">
        <v>68</v>
      </c>
      <c r="B62" s="21" t="s">
        <v>110</v>
      </c>
      <c r="C62" s="22">
        <v>2873472600</v>
      </c>
      <c r="D62" s="22">
        <v>72313422900</v>
      </c>
      <c r="E62" s="22">
        <v>1530591100</v>
      </c>
      <c r="F62" s="22">
        <v>23294683400</v>
      </c>
      <c r="G62" s="22">
        <v>3646864700</v>
      </c>
      <c r="H62" s="22">
        <v>2688609100</v>
      </c>
      <c r="I62" s="22">
        <v>114071800</v>
      </c>
      <c r="J62" s="22">
        <v>732550600</v>
      </c>
      <c r="K62" s="22">
        <v>637847100</v>
      </c>
      <c r="L62" s="22">
        <v>9951810500</v>
      </c>
      <c r="M62" s="22">
        <v>53269100</v>
      </c>
      <c r="N62" s="22">
        <v>1880716000</v>
      </c>
      <c r="O62" s="22">
        <v>2091970600</v>
      </c>
      <c r="P62" s="22">
        <v>2409177100</v>
      </c>
      <c r="Q62" s="22">
        <v>4549258500</v>
      </c>
      <c r="R62" s="22">
        <v>9839300</v>
      </c>
      <c r="S62" s="22">
        <v>321722800</v>
      </c>
      <c r="T62" s="22">
        <v>437446800</v>
      </c>
      <c r="U62" s="23">
        <f t="shared" si="0"/>
        <v>129537324000</v>
      </c>
    </row>
    <row r="63" spans="1:21" ht="14.25" customHeight="1" x14ac:dyDescent="0.2">
      <c r="A63" s="20" t="s">
        <v>69</v>
      </c>
      <c r="B63" s="21" t="s">
        <v>110</v>
      </c>
      <c r="C63" s="22">
        <v>597648828</v>
      </c>
      <c r="D63" s="22">
        <v>44279635296</v>
      </c>
      <c r="E63" s="22">
        <v>230547681</v>
      </c>
      <c r="F63" s="22">
        <v>2056344714</v>
      </c>
      <c r="G63" s="22">
        <v>273870466</v>
      </c>
      <c r="H63" s="22">
        <v>5686482946</v>
      </c>
      <c r="I63" s="22">
        <v>22994657</v>
      </c>
      <c r="J63" s="22">
        <v>53434259</v>
      </c>
      <c r="K63" s="22">
        <v>518073422</v>
      </c>
      <c r="L63" s="22">
        <v>6252847093</v>
      </c>
      <c r="M63" s="22">
        <v>105316631</v>
      </c>
      <c r="N63" s="22">
        <v>2034650501</v>
      </c>
      <c r="O63" s="22">
        <v>351406688</v>
      </c>
      <c r="P63" s="22">
        <v>1517125830</v>
      </c>
      <c r="Q63" s="22">
        <v>1884463359</v>
      </c>
      <c r="R63" s="22">
        <v>0</v>
      </c>
      <c r="S63" s="22">
        <v>64392122</v>
      </c>
      <c r="T63" s="22">
        <v>398390</v>
      </c>
      <c r="U63" s="23">
        <f t="shared" si="0"/>
        <v>65929632883</v>
      </c>
    </row>
    <row r="64" spans="1:21" ht="14.25" customHeight="1" x14ac:dyDescent="0.2">
      <c r="A64" s="20" t="s">
        <v>70</v>
      </c>
      <c r="B64" s="21" t="s">
        <v>110</v>
      </c>
      <c r="C64" s="22">
        <v>222130840</v>
      </c>
      <c r="D64" s="22">
        <v>22020090349</v>
      </c>
      <c r="E64" s="22">
        <v>386464441</v>
      </c>
      <c r="F64" s="22">
        <v>64569570</v>
      </c>
      <c r="G64" s="22">
        <v>8380290</v>
      </c>
      <c r="H64" s="22">
        <v>165062960</v>
      </c>
      <c r="I64" s="22">
        <v>200</v>
      </c>
      <c r="J64" s="22">
        <v>19124380</v>
      </c>
      <c r="K64" s="22">
        <v>124896832</v>
      </c>
      <c r="L64" s="22">
        <v>1258951755</v>
      </c>
      <c r="M64" s="22">
        <v>4382950</v>
      </c>
      <c r="N64" s="22">
        <v>264441190</v>
      </c>
      <c r="O64" s="22">
        <v>1105058534</v>
      </c>
      <c r="P64" s="22">
        <v>468893695</v>
      </c>
      <c r="Q64" s="22">
        <v>447857850</v>
      </c>
      <c r="R64" s="22">
        <v>0</v>
      </c>
      <c r="S64" s="22">
        <v>29155920</v>
      </c>
      <c r="T64" s="22">
        <v>49377656</v>
      </c>
      <c r="U64" s="23">
        <f t="shared" si="0"/>
        <v>26638839412</v>
      </c>
    </row>
    <row r="65" spans="1:21" ht="14.25" customHeight="1" x14ac:dyDescent="0.2">
      <c r="A65" s="20" t="s">
        <v>71</v>
      </c>
      <c r="B65" s="21" t="s">
        <v>110</v>
      </c>
      <c r="C65" s="22">
        <v>209406743</v>
      </c>
      <c r="D65" s="22">
        <v>834007044</v>
      </c>
      <c r="E65" s="22">
        <v>480450863</v>
      </c>
      <c r="F65" s="22">
        <v>0</v>
      </c>
      <c r="G65" s="22">
        <v>7628166</v>
      </c>
      <c r="H65" s="22">
        <v>5853673</v>
      </c>
      <c r="I65" s="22">
        <v>0</v>
      </c>
      <c r="J65" s="22">
        <v>0</v>
      </c>
      <c r="K65" s="22">
        <v>21139852</v>
      </c>
      <c r="L65" s="22">
        <v>176474893</v>
      </c>
      <c r="M65" s="22">
        <v>43304</v>
      </c>
      <c r="N65" s="22">
        <v>100759186</v>
      </c>
      <c r="O65" s="22">
        <v>943714174</v>
      </c>
      <c r="P65" s="22">
        <v>76014152</v>
      </c>
      <c r="Q65" s="22">
        <v>140271403</v>
      </c>
      <c r="R65" s="22">
        <v>0</v>
      </c>
      <c r="S65" s="22">
        <v>11004479</v>
      </c>
      <c r="T65" s="22">
        <v>64636926</v>
      </c>
      <c r="U65" s="23">
        <f t="shared" si="0"/>
        <v>3071404858</v>
      </c>
    </row>
    <row r="66" spans="1:21" ht="14.25" customHeight="1" x14ac:dyDescent="0.2">
      <c r="A66" s="20" t="s">
        <v>72</v>
      </c>
      <c r="B66" s="21" t="s">
        <v>111</v>
      </c>
      <c r="C66" s="22">
        <v>136567440</v>
      </c>
      <c r="D66" s="22">
        <v>752655626</v>
      </c>
      <c r="E66" s="22">
        <v>245218720</v>
      </c>
      <c r="F66" s="22">
        <v>17930740</v>
      </c>
      <c r="G66" s="22">
        <v>5192190</v>
      </c>
      <c r="H66" s="22">
        <v>8541630</v>
      </c>
      <c r="I66" s="22">
        <v>0</v>
      </c>
      <c r="J66" s="22">
        <v>0</v>
      </c>
      <c r="K66" s="22">
        <v>3384330</v>
      </c>
      <c r="L66" s="22">
        <v>104613430</v>
      </c>
      <c r="M66" s="22">
        <v>0</v>
      </c>
      <c r="N66" s="22">
        <v>28620380</v>
      </c>
      <c r="O66" s="22">
        <v>609826110</v>
      </c>
      <c r="P66" s="22">
        <v>36281540</v>
      </c>
      <c r="Q66" s="22">
        <v>169646390</v>
      </c>
      <c r="R66" s="22">
        <v>150290</v>
      </c>
      <c r="S66" s="22">
        <v>12098526</v>
      </c>
      <c r="T66" s="22">
        <v>28206580</v>
      </c>
      <c r="U66" s="23">
        <f t="shared" si="0"/>
        <v>2158933922</v>
      </c>
    </row>
    <row r="67" spans="1:21" ht="14.25" customHeight="1" x14ac:dyDescent="0.2">
      <c r="A67" s="20" t="s">
        <v>73</v>
      </c>
      <c r="B67" s="21" t="s">
        <v>111</v>
      </c>
      <c r="C67" s="22">
        <v>11536635</v>
      </c>
      <c r="D67" s="22">
        <v>152070045</v>
      </c>
      <c r="E67" s="22">
        <v>76403566</v>
      </c>
      <c r="F67" s="22">
        <v>1260000</v>
      </c>
      <c r="G67" s="22">
        <v>37326</v>
      </c>
      <c r="H67" s="22">
        <v>2058494</v>
      </c>
      <c r="I67" s="22">
        <v>0</v>
      </c>
      <c r="J67" s="22">
        <v>1944282</v>
      </c>
      <c r="K67" s="22">
        <v>436376</v>
      </c>
      <c r="L67" s="22">
        <v>15485650</v>
      </c>
      <c r="M67" s="22">
        <v>250000</v>
      </c>
      <c r="N67" s="22">
        <v>3228599</v>
      </c>
      <c r="O67" s="22">
        <v>506370346</v>
      </c>
      <c r="P67" s="22">
        <v>16198824</v>
      </c>
      <c r="Q67" s="22">
        <v>103750586</v>
      </c>
      <c r="R67" s="22">
        <v>0</v>
      </c>
      <c r="S67" s="22">
        <v>8665632</v>
      </c>
      <c r="T67" s="22">
        <v>0</v>
      </c>
      <c r="U67" s="23">
        <f t="shared" si="0"/>
        <v>899696361</v>
      </c>
    </row>
    <row r="68" spans="1:21" ht="14.25" customHeight="1" x14ac:dyDescent="0.2">
      <c r="A68" s="20" t="s">
        <v>74</v>
      </c>
      <c r="B68" s="21" t="s">
        <v>110</v>
      </c>
      <c r="C68" s="22">
        <v>1281328783</v>
      </c>
      <c r="D68" s="22">
        <v>50776091824</v>
      </c>
      <c r="E68" s="22">
        <v>913519205</v>
      </c>
      <c r="F68" s="22">
        <v>8397848557</v>
      </c>
      <c r="G68" s="22">
        <v>690484873</v>
      </c>
      <c r="H68" s="22">
        <v>2215043903</v>
      </c>
      <c r="I68" s="22">
        <v>49022791</v>
      </c>
      <c r="J68" s="22">
        <v>0</v>
      </c>
      <c r="K68" s="22">
        <v>560890473</v>
      </c>
      <c r="L68" s="22">
        <v>6108101633</v>
      </c>
      <c r="M68" s="22">
        <v>78998174</v>
      </c>
      <c r="N68" s="22">
        <v>1273769741</v>
      </c>
      <c r="O68" s="22">
        <v>1630342428</v>
      </c>
      <c r="P68" s="22">
        <v>1658674132</v>
      </c>
      <c r="Q68" s="22">
        <v>4114683348</v>
      </c>
      <c r="R68" s="22">
        <v>113500663</v>
      </c>
      <c r="S68" s="22">
        <v>73626399</v>
      </c>
      <c r="T68" s="22">
        <v>248245015</v>
      </c>
      <c r="U68" s="23">
        <f t="shared" si="0"/>
        <v>80184171942</v>
      </c>
    </row>
    <row r="69" spans="1:21" ht="14.25" customHeight="1" x14ac:dyDescent="0.2">
      <c r="A69" s="20" t="s">
        <v>75</v>
      </c>
      <c r="B69" s="21" t="s">
        <v>111</v>
      </c>
      <c r="C69" s="22">
        <v>129939461</v>
      </c>
      <c r="D69" s="22">
        <v>1694574149</v>
      </c>
      <c r="E69" s="22">
        <v>238277336</v>
      </c>
      <c r="F69" s="22">
        <v>55253160</v>
      </c>
      <c r="G69" s="22">
        <v>4939634</v>
      </c>
      <c r="H69" s="22">
        <v>9533243</v>
      </c>
      <c r="I69" s="22">
        <v>42157</v>
      </c>
      <c r="J69" s="22">
        <v>10814587</v>
      </c>
      <c r="K69" s="22">
        <v>27749651</v>
      </c>
      <c r="L69" s="22">
        <v>115726477</v>
      </c>
      <c r="M69" s="22">
        <v>771643</v>
      </c>
      <c r="N69" s="22">
        <v>35966132</v>
      </c>
      <c r="O69" s="22">
        <v>415648668</v>
      </c>
      <c r="P69" s="22">
        <v>31692662</v>
      </c>
      <c r="Q69" s="22">
        <v>553623995</v>
      </c>
      <c r="R69" s="22">
        <v>0</v>
      </c>
      <c r="S69" s="22">
        <v>3219468</v>
      </c>
      <c r="T69" s="22">
        <v>36238162</v>
      </c>
      <c r="U69" s="23">
        <f t="shared" si="0"/>
        <v>3364010585</v>
      </c>
    </row>
    <row r="70" spans="1:21" ht="14.25" customHeight="1" x14ac:dyDescent="0.2">
      <c r="A70" s="20" t="s">
        <v>76</v>
      </c>
      <c r="B70" s="21" t="s">
        <v>110</v>
      </c>
      <c r="C70" s="22">
        <v>2865172882</v>
      </c>
      <c r="D70" s="22">
        <v>29152881032</v>
      </c>
      <c r="E70" s="22">
        <v>296240478</v>
      </c>
      <c r="F70" s="22">
        <v>5869853627</v>
      </c>
      <c r="G70" s="22">
        <v>199561642</v>
      </c>
      <c r="H70" s="22">
        <v>474688405</v>
      </c>
      <c r="I70" s="22">
        <v>0</v>
      </c>
      <c r="J70" s="22">
        <v>127234596</v>
      </c>
      <c r="K70" s="22">
        <v>88040069</v>
      </c>
      <c r="L70" s="22">
        <v>2205570981</v>
      </c>
      <c r="M70" s="22">
        <v>3457426</v>
      </c>
      <c r="N70" s="22">
        <v>236595099</v>
      </c>
      <c r="O70" s="22">
        <v>656421814</v>
      </c>
      <c r="P70" s="22">
        <v>234344134</v>
      </c>
      <c r="Q70" s="22">
        <v>1805542911</v>
      </c>
      <c r="R70" s="22">
        <v>0</v>
      </c>
      <c r="S70" s="22">
        <v>56177036</v>
      </c>
      <c r="T70" s="22">
        <v>248676839</v>
      </c>
      <c r="U70" s="23">
        <f t="shared" ref="U70:U71" si="1">SUM(C70:T70)</f>
        <v>44520458971</v>
      </c>
    </row>
    <row r="71" spans="1:21" ht="14.25" customHeight="1" x14ac:dyDescent="0.2">
      <c r="A71" s="20" t="s">
        <v>77</v>
      </c>
      <c r="B71" s="21" t="s">
        <v>111</v>
      </c>
      <c r="C71" s="22">
        <v>141844503</v>
      </c>
      <c r="D71" s="22">
        <v>657522765</v>
      </c>
      <c r="E71" s="22">
        <v>173435988</v>
      </c>
      <c r="F71" s="22">
        <v>0</v>
      </c>
      <c r="G71" s="22">
        <v>9635424</v>
      </c>
      <c r="H71" s="22">
        <v>1751271</v>
      </c>
      <c r="I71" s="22">
        <v>0</v>
      </c>
      <c r="J71" s="22">
        <v>57297</v>
      </c>
      <c r="K71" s="22">
        <v>8226945</v>
      </c>
      <c r="L71" s="22">
        <v>69522612</v>
      </c>
      <c r="M71" s="22">
        <v>48980</v>
      </c>
      <c r="N71" s="22">
        <v>20992745</v>
      </c>
      <c r="O71" s="22">
        <v>592962619</v>
      </c>
      <c r="P71" s="22">
        <v>53156458</v>
      </c>
      <c r="Q71" s="22">
        <v>159355633</v>
      </c>
      <c r="R71" s="22">
        <v>0</v>
      </c>
      <c r="S71" s="22">
        <v>5908069</v>
      </c>
      <c r="T71" s="22">
        <v>22017786</v>
      </c>
      <c r="U71" s="23">
        <f t="shared" si="1"/>
        <v>1916439095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2">SUM(C5:C71)</f>
        <v>68658035455</v>
      </c>
      <c r="D73" s="26">
        <f t="shared" si="2"/>
        <v>2170637943446</v>
      </c>
      <c r="E73" s="26">
        <f t="shared" si="2"/>
        <v>41892373601</v>
      </c>
      <c r="F73" s="26">
        <f>SUM(F5:F71)</f>
        <v>492076873400</v>
      </c>
      <c r="G73" s="26">
        <f>SUM(G5:G71)</f>
        <v>60141837611</v>
      </c>
      <c r="H73" s="26">
        <f>SUM(H5:H71)</f>
        <v>174923691905</v>
      </c>
      <c r="I73" s="26">
        <f t="shared" si="2"/>
        <v>7408855750</v>
      </c>
      <c r="J73" s="26">
        <f t="shared" si="2"/>
        <v>9054564711</v>
      </c>
      <c r="K73" s="26">
        <f t="shared" si="2"/>
        <v>27999759223</v>
      </c>
      <c r="L73" s="26">
        <f t="shared" si="2"/>
        <v>384432382762</v>
      </c>
      <c r="M73" s="26">
        <f t="shared" si="2"/>
        <v>5419152867</v>
      </c>
      <c r="N73" s="26">
        <f t="shared" si="2"/>
        <v>121770744741</v>
      </c>
      <c r="O73" s="26">
        <f t="shared" si="2"/>
        <v>98613620877</v>
      </c>
      <c r="P73" s="26">
        <f t="shared" si="2"/>
        <v>74763863349</v>
      </c>
      <c r="Q73" s="26">
        <f t="shared" si="2"/>
        <v>202516754697</v>
      </c>
      <c r="R73" s="26">
        <f t="shared" si="2"/>
        <v>6127749858</v>
      </c>
      <c r="S73" s="26">
        <f t="shared" si="2"/>
        <v>8784118568</v>
      </c>
      <c r="T73" s="26">
        <f t="shared" si="2"/>
        <v>10069221444</v>
      </c>
      <c r="U73" s="28">
        <f>SUM(U5:U71)</f>
        <v>3965291544265</v>
      </c>
    </row>
    <row r="75" spans="1:21" x14ac:dyDescent="0.2">
      <c r="A75" s="3" t="s">
        <v>112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1" priority="1" stopIfTrue="1">
      <formula>MOD(ROW(),3)=1</formula>
    </cfRule>
  </conditionalFormatting>
  <pageMargins left="0.7" right="0.7" top="0.75" bottom="0.75" header="0.3" footer="0.3"/>
  <pageSetup scale="63" fitToWidth="2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76"/>
  <sheetViews>
    <sheetView zoomScale="80" zoomScaleNormal="8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9.140625" style="3" customWidth="1"/>
    <col min="2" max="2" width="9.28515625" style="18" bestFit="1" customWidth="1"/>
    <col min="3" max="3" width="18.42578125" style="3" bestFit="1" customWidth="1"/>
    <col min="4" max="4" width="19.42578125" style="3" bestFit="1" customWidth="1"/>
    <col min="5" max="5" width="18.42578125" style="3" bestFit="1" customWidth="1"/>
    <col min="6" max="6" width="19" style="3" bestFit="1" customWidth="1"/>
    <col min="7" max="7" width="19.42578125" style="3" bestFit="1" customWidth="1"/>
    <col min="8" max="8" width="20.7109375" style="3" bestFit="1" customWidth="1"/>
    <col min="9" max="9" width="17.42578125" style="3" bestFit="1" customWidth="1"/>
    <col min="10" max="10" width="17.140625" style="3" bestFit="1" customWidth="1"/>
    <col min="11" max="11" width="22.42578125" style="3" bestFit="1" customWidth="1"/>
    <col min="12" max="12" width="24.28515625" style="3" bestFit="1" customWidth="1"/>
    <col min="13" max="13" width="17.42578125" style="3" bestFit="1" customWidth="1"/>
    <col min="14" max="14" width="18.42578125" style="3" bestFit="1" customWidth="1"/>
    <col min="15" max="15" width="18" style="3" bestFit="1" customWidth="1"/>
    <col min="16" max="16" width="17.140625" style="3" bestFit="1" customWidth="1"/>
    <col min="17" max="17" width="15.42578125" style="3" bestFit="1" customWidth="1"/>
    <col min="18" max="18" width="16.7109375" style="3" bestFit="1" customWidth="1"/>
    <col min="19" max="19" width="17.140625" style="3" bestFit="1" customWidth="1"/>
    <col min="20" max="20" width="19.42578125" style="3" bestFit="1" customWidth="1"/>
    <col min="21" max="21" width="22.28515625" style="3" bestFit="1" customWidth="1"/>
    <col min="22" max="16384" width="9.140625" style="12"/>
  </cols>
  <sheetData>
    <row r="1" spans="1:21" ht="23.25" x14ac:dyDescent="0.35">
      <c r="A1" s="1" t="s">
        <v>87</v>
      </c>
    </row>
    <row r="2" spans="1:21" ht="15" x14ac:dyDescent="0.25">
      <c r="A2" s="19">
        <v>2022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tr">
        <f>'Parcel Ct by Type'!B5</f>
        <v>R-NVAB</v>
      </c>
      <c r="C5" s="22">
        <v>301639334</v>
      </c>
      <c r="D5" s="22">
        <v>8934742523</v>
      </c>
      <c r="E5" s="22">
        <v>198774895</v>
      </c>
      <c r="F5" s="22">
        <v>709015029</v>
      </c>
      <c r="G5" s="22">
        <v>255242867</v>
      </c>
      <c r="H5" s="22">
        <v>2808462634</v>
      </c>
      <c r="I5" s="22">
        <v>0</v>
      </c>
      <c r="J5" s="22">
        <v>105953126</v>
      </c>
      <c r="K5" s="22">
        <v>191554699</v>
      </c>
      <c r="L5" s="22">
        <v>2568347304</v>
      </c>
      <c r="M5" s="22">
        <v>25391447</v>
      </c>
      <c r="N5" s="22">
        <v>583465942</v>
      </c>
      <c r="O5" s="22">
        <v>466553191</v>
      </c>
      <c r="P5" s="22">
        <v>297514987</v>
      </c>
      <c r="Q5" s="22">
        <v>84410189</v>
      </c>
      <c r="R5" s="22">
        <v>54600</v>
      </c>
      <c r="S5" s="22">
        <v>59757857</v>
      </c>
      <c r="T5" s="22">
        <v>25625291</v>
      </c>
      <c r="U5" s="23">
        <v>17616505915</v>
      </c>
    </row>
    <row r="6" spans="1:21" ht="14.25" customHeight="1" x14ac:dyDescent="0.2">
      <c r="A6" s="20" t="s">
        <v>13</v>
      </c>
      <c r="B6" s="21" t="str">
        <f>'Parcel Ct by Type'!B6</f>
        <v>R-Final</v>
      </c>
      <c r="C6" s="22">
        <v>35274222</v>
      </c>
      <c r="D6" s="22">
        <v>541812261</v>
      </c>
      <c r="E6" s="22">
        <v>112596248</v>
      </c>
      <c r="F6" s="22">
        <v>0</v>
      </c>
      <c r="G6" s="22">
        <v>6758026</v>
      </c>
      <c r="H6" s="22">
        <v>4872315</v>
      </c>
      <c r="I6" s="22">
        <v>0</v>
      </c>
      <c r="J6" s="22">
        <v>0</v>
      </c>
      <c r="K6" s="22">
        <v>3567552</v>
      </c>
      <c r="L6" s="22">
        <v>104255678</v>
      </c>
      <c r="M6" s="22">
        <v>225883</v>
      </c>
      <c r="N6" s="22">
        <v>44107832</v>
      </c>
      <c r="O6" s="22">
        <v>155222061</v>
      </c>
      <c r="P6" s="22">
        <v>5967025</v>
      </c>
      <c r="Q6" s="22">
        <v>1011214</v>
      </c>
      <c r="R6" s="22">
        <v>2601611</v>
      </c>
      <c r="S6" s="22">
        <v>11366103</v>
      </c>
      <c r="T6" s="22">
        <v>56590904</v>
      </c>
      <c r="U6" s="23">
        <v>1086228935</v>
      </c>
    </row>
    <row r="7" spans="1:21" ht="14.25" customHeight="1" x14ac:dyDescent="0.2">
      <c r="A7" s="20" t="s">
        <v>14</v>
      </c>
      <c r="B7" s="21" t="str">
        <f>'Parcel Ct by Type'!B7</f>
        <v>R-NVAB</v>
      </c>
      <c r="C7" s="22">
        <v>1057649681</v>
      </c>
      <c r="D7" s="22">
        <v>9514271959</v>
      </c>
      <c r="E7" s="22">
        <v>384517555</v>
      </c>
      <c r="F7" s="22">
        <v>5076922020</v>
      </c>
      <c r="G7" s="22">
        <v>341063414</v>
      </c>
      <c r="H7" s="22">
        <v>802587428</v>
      </c>
      <c r="I7" s="22">
        <v>1850072</v>
      </c>
      <c r="J7" s="22">
        <v>6324579</v>
      </c>
      <c r="K7" s="22">
        <v>559036171</v>
      </c>
      <c r="L7" s="22">
        <v>2337190081</v>
      </c>
      <c r="M7" s="22">
        <v>10652126</v>
      </c>
      <c r="N7" s="22">
        <v>459597612</v>
      </c>
      <c r="O7" s="22">
        <v>70456837</v>
      </c>
      <c r="P7" s="22">
        <v>141503786</v>
      </c>
      <c r="Q7" s="22">
        <v>1308755</v>
      </c>
      <c r="R7" s="22">
        <v>32664952</v>
      </c>
      <c r="S7" s="22">
        <v>30680744</v>
      </c>
      <c r="T7" s="22">
        <v>115951334</v>
      </c>
      <c r="U7" s="23">
        <v>20944229106</v>
      </c>
    </row>
    <row r="8" spans="1:21" ht="14.25" customHeight="1" x14ac:dyDescent="0.2">
      <c r="A8" s="20" t="s">
        <v>15</v>
      </c>
      <c r="B8" s="21" t="str">
        <f>'Parcel Ct by Type'!B8</f>
        <v>R-Final</v>
      </c>
      <c r="C8" s="22">
        <v>50894144</v>
      </c>
      <c r="D8" s="22">
        <v>472484210</v>
      </c>
      <c r="E8" s="22">
        <v>92740381</v>
      </c>
      <c r="F8" s="22">
        <v>1317991</v>
      </c>
      <c r="G8" s="22">
        <v>2686257</v>
      </c>
      <c r="H8" s="22">
        <v>8375234</v>
      </c>
      <c r="I8" s="22">
        <v>0</v>
      </c>
      <c r="J8" s="22">
        <v>507606</v>
      </c>
      <c r="K8" s="22">
        <v>3556838</v>
      </c>
      <c r="L8" s="22">
        <v>101549828</v>
      </c>
      <c r="M8" s="22">
        <v>214316</v>
      </c>
      <c r="N8" s="22">
        <v>12719508</v>
      </c>
      <c r="O8" s="22">
        <v>113213959</v>
      </c>
      <c r="P8" s="22">
        <v>5813730</v>
      </c>
      <c r="Q8" s="22">
        <v>5571185</v>
      </c>
      <c r="R8" s="22">
        <v>757418</v>
      </c>
      <c r="S8" s="22">
        <v>3355738</v>
      </c>
      <c r="T8" s="22">
        <v>12046422</v>
      </c>
      <c r="U8" s="23">
        <v>887804765</v>
      </c>
    </row>
    <row r="9" spans="1:21" ht="14.25" customHeight="1" x14ac:dyDescent="0.2">
      <c r="A9" s="20" t="s">
        <v>16</v>
      </c>
      <c r="B9" s="21" t="str">
        <f>'Parcel Ct by Type'!B9</f>
        <v>R-NVAB</v>
      </c>
      <c r="C9" s="22">
        <v>1142655770</v>
      </c>
      <c r="D9" s="22">
        <v>31067566995</v>
      </c>
      <c r="E9" s="22">
        <v>523004420</v>
      </c>
      <c r="F9" s="22">
        <v>5845370589</v>
      </c>
      <c r="G9" s="22">
        <v>751143959</v>
      </c>
      <c r="H9" s="22">
        <v>2056410606</v>
      </c>
      <c r="I9" s="22">
        <v>34269030</v>
      </c>
      <c r="J9" s="22">
        <v>77240</v>
      </c>
      <c r="K9" s="22">
        <v>357905555</v>
      </c>
      <c r="L9" s="22">
        <v>5672193755</v>
      </c>
      <c r="M9" s="22">
        <v>102845452</v>
      </c>
      <c r="N9" s="22">
        <v>1514112384</v>
      </c>
      <c r="O9" s="22">
        <v>140945177</v>
      </c>
      <c r="P9" s="22">
        <v>522190781</v>
      </c>
      <c r="Q9" s="22">
        <v>228428987</v>
      </c>
      <c r="R9" s="22">
        <v>61200</v>
      </c>
      <c r="S9" s="22">
        <v>55929637</v>
      </c>
      <c r="T9" s="22">
        <v>170997330</v>
      </c>
      <c r="U9" s="23">
        <v>50186108867</v>
      </c>
    </row>
    <row r="10" spans="1:21" ht="14.25" customHeight="1" x14ac:dyDescent="0.2">
      <c r="A10" s="20" t="s">
        <v>17</v>
      </c>
      <c r="B10" s="21" t="str">
        <f>'Parcel Ct by Type'!B10</f>
        <v>R-NVAB</v>
      </c>
      <c r="C10" s="22">
        <v>1875061100</v>
      </c>
      <c r="D10" s="22">
        <v>109195175630</v>
      </c>
      <c r="E10" s="22">
        <v>294385200</v>
      </c>
      <c r="F10" s="22">
        <v>40947230570</v>
      </c>
      <c r="G10" s="22">
        <v>5786013630</v>
      </c>
      <c r="H10" s="22">
        <v>18310471680</v>
      </c>
      <c r="I10" s="22">
        <v>1610080930</v>
      </c>
      <c r="J10" s="22">
        <v>64172600</v>
      </c>
      <c r="K10" s="22">
        <v>1094029230</v>
      </c>
      <c r="L10" s="22">
        <v>38183440280</v>
      </c>
      <c r="M10" s="22">
        <v>360866320</v>
      </c>
      <c r="N10" s="22">
        <v>15445751220</v>
      </c>
      <c r="O10" s="22">
        <v>323392520</v>
      </c>
      <c r="P10" s="22">
        <v>1913524350</v>
      </c>
      <c r="Q10" s="22">
        <v>97379900</v>
      </c>
      <c r="R10" s="22">
        <v>0</v>
      </c>
      <c r="S10" s="22">
        <v>341803000</v>
      </c>
      <c r="T10" s="22">
        <v>19338730</v>
      </c>
      <c r="U10" s="23">
        <v>235862116890</v>
      </c>
    </row>
    <row r="11" spans="1:21" ht="14.25" customHeight="1" x14ac:dyDescent="0.2">
      <c r="A11" s="20" t="s">
        <v>18</v>
      </c>
      <c r="B11" s="21" t="str">
        <f>'Parcel Ct by Type'!B11</f>
        <v>R-Final</v>
      </c>
      <c r="C11" s="22">
        <v>23874697</v>
      </c>
      <c r="D11" s="22">
        <v>128020737</v>
      </c>
      <c r="E11" s="22">
        <v>20515802</v>
      </c>
      <c r="F11" s="22">
        <v>0</v>
      </c>
      <c r="G11" s="22">
        <v>986132</v>
      </c>
      <c r="H11" s="22">
        <v>1797661</v>
      </c>
      <c r="I11" s="22">
        <v>0</v>
      </c>
      <c r="J11" s="22">
        <v>162410</v>
      </c>
      <c r="K11" s="22">
        <v>16410270</v>
      </c>
      <c r="L11" s="22">
        <v>35612262</v>
      </c>
      <c r="M11" s="22">
        <v>0</v>
      </c>
      <c r="N11" s="22">
        <v>3795043</v>
      </c>
      <c r="O11" s="22">
        <v>124457323</v>
      </c>
      <c r="P11" s="22">
        <v>2198219</v>
      </c>
      <c r="Q11" s="22">
        <v>293333</v>
      </c>
      <c r="R11" s="22">
        <v>0</v>
      </c>
      <c r="S11" s="22">
        <v>1587399</v>
      </c>
      <c r="T11" s="22">
        <v>2591091</v>
      </c>
      <c r="U11" s="23">
        <v>362302379</v>
      </c>
    </row>
    <row r="12" spans="1:21" ht="14.25" customHeight="1" x14ac:dyDescent="0.2">
      <c r="A12" s="20" t="s">
        <v>19</v>
      </c>
      <c r="B12" s="21" t="str">
        <f>'Parcel Ct by Type'!B12</f>
        <v>R-NVAB</v>
      </c>
      <c r="C12" s="22">
        <v>1606501033</v>
      </c>
      <c r="D12" s="22">
        <v>14433982543</v>
      </c>
      <c r="E12" s="22">
        <v>365584778</v>
      </c>
      <c r="F12" s="22">
        <v>2641494585</v>
      </c>
      <c r="G12" s="22">
        <v>341684293</v>
      </c>
      <c r="H12" s="22">
        <v>105462736</v>
      </c>
      <c r="I12" s="22">
        <v>261208021</v>
      </c>
      <c r="J12" s="22">
        <v>97637873</v>
      </c>
      <c r="K12" s="22">
        <v>231849219</v>
      </c>
      <c r="L12" s="22">
        <v>1685899705</v>
      </c>
      <c r="M12" s="22">
        <v>19480191</v>
      </c>
      <c r="N12" s="22">
        <v>394569167</v>
      </c>
      <c r="O12" s="22">
        <v>127241308</v>
      </c>
      <c r="P12" s="22">
        <v>182304915</v>
      </c>
      <c r="Q12" s="22">
        <v>2950501</v>
      </c>
      <c r="R12" s="22">
        <v>7479641</v>
      </c>
      <c r="S12" s="22">
        <v>38579069</v>
      </c>
      <c r="T12" s="22">
        <v>80962676</v>
      </c>
      <c r="U12" s="23">
        <v>22624872254</v>
      </c>
    </row>
    <row r="13" spans="1:21" ht="14.25" customHeight="1" x14ac:dyDescent="0.2">
      <c r="A13" s="20" t="s">
        <v>20</v>
      </c>
      <c r="B13" s="21" t="str">
        <f>'Parcel Ct by Type'!B13</f>
        <v>R-NVAB</v>
      </c>
      <c r="C13" s="22">
        <v>568823069</v>
      </c>
      <c r="D13" s="22">
        <v>6600140241</v>
      </c>
      <c r="E13" s="22">
        <v>660364402</v>
      </c>
      <c r="F13" s="22">
        <v>150525021</v>
      </c>
      <c r="G13" s="22">
        <v>82945161</v>
      </c>
      <c r="H13" s="22">
        <v>41181615</v>
      </c>
      <c r="I13" s="22">
        <v>0</v>
      </c>
      <c r="J13" s="22">
        <v>11209473</v>
      </c>
      <c r="K13" s="22">
        <v>143524469</v>
      </c>
      <c r="L13" s="22">
        <v>1077104765</v>
      </c>
      <c r="M13" s="22">
        <v>7280944</v>
      </c>
      <c r="N13" s="22">
        <v>131851933</v>
      </c>
      <c r="O13" s="22">
        <v>127837565</v>
      </c>
      <c r="P13" s="22">
        <v>223344910</v>
      </c>
      <c r="Q13" s="22">
        <v>4276974</v>
      </c>
      <c r="R13" s="22">
        <v>0</v>
      </c>
      <c r="S13" s="22">
        <v>364032776</v>
      </c>
      <c r="T13" s="22">
        <v>66195633</v>
      </c>
      <c r="U13" s="23">
        <v>10260638951</v>
      </c>
    </row>
    <row r="14" spans="1:21" ht="14.25" customHeight="1" x14ac:dyDescent="0.2">
      <c r="A14" s="20" t="s">
        <v>21</v>
      </c>
      <c r="B14" s="21" t="str">
        <f>'Parcel Ct by Type'!B14</f>
        <v>R-NVAB</v>
      </c>
      <c r="C14" s="22">
        <v>319887141</v>
      </c>
      <c r="D14" s="22">
        <v>9668576110</v>
      </c>
      <c r="E14" s="22">
        <v>433274537</v>
      </c>
      <c r="F14" s="22">
        <v>216671153</v>
      </c>
      <c r="G14" s="22">
        <v>54403602</v>
      </c>
      <c r="H14" s="22">
        <v>622313498</v>
      </c>
      <c r="I14" s="22">
        <v>0</v>
      </c>
      <c r="J14" s="22">
        <v>14724178</v>
      </c>
      <c r="K14" s="22">
        <v>121312497</v>
      </c>
      <c r="L14" s="22">
        <v>1423043084</v>
      </c>
      <c r="M14" s="22">
        <v>4438938</v>
      </c>
      <c r="N14" s="22">
        <v>289077525</v>
      </c>
      <c r="O14" s="22">
        <v>101190885</v>
      </c>
      <c r="P14" s="22">
        <v>223650270</v>
      </c>
      <c r="Q14" s="22">
        <v>2411061</v>
      </c>
      <c r="R14" s="22">
        <v>0</v>
      </c>
      <c r="S14" s="22">
        <v>24607636</v>
      </c>
      <c r="T14" s="22">
        <v>117109231</v>
      </c>
      <c r="U14" s="23">
        <v>13636691346</v>
      </c>
    </row>
    <row r="15" spans="1:21" ht="14.25" customHeight="1" x14ac:dyDescent="0.2">
      <c r="A15" s="20" t="s">
        <v>22</v>
      </c>
      <c r="B15" s="21" t="str">
        <f>'Parcel Ct by Type'!B15</f>
        <v>R-NVAB</v>
      </c>
      <c r="C15" s="22">
        <v>2957573580</v>
      </c>
      <c r="D15" s="22">
        <v>62180651271</v>
      </c>
      <c r="E15" s="22">
        <v>296959787</v>
      </c>
      <c r="F15" s="22">
        <v>39167242760</v>
      </c>
      <c r="G15" s="22">
        <v>620097621</v>
      </c>
      <c r="H15" s="22">
        <v>1800773758</v>
      </c>
      <c r="I15" s="22">
        <v>699513271</v>
      </c>
      <c r="J15" s="22">
        <v>1670204260</v>
      </c>
      <c r="K15" s="22">
        <v>452091046</v>
      </c>
      <c r="L15" s="22">
        <v>7205643303</v>
      </c>
      <c r="M15" s="22">
        <v>48939372</v>
      </c>
      <c r="N15" s="22">
        <v>1420143241</v>
      </c>
      <c r="O15" s="22">
        <v>297269372</v>
      </c>
      <c r="P15" s="22">
        <v>297340203</v>
      </c>
      <c r="Q15" s="22">
        <v>12874733</v>
      </c>
      <c r="R15" s="22">
        <v>0</v>
      </c>
      <c r="S15" s="22">
        <v>59752640</v>
      </c>
      <c r="T15" s="22">
        <v>378329096</v>
      </c>
      <c r="U15" s="23">
        <v>119565399314</v>
      </c>
    </row>
    <row r="16" spans="1:21" ht="14.25" customHeight="1" x14ac:dyDescent="0.2">
      <c r="A16" s="20" t="s">
        <v>23</v>
      </c>
      <c r="B16" s="21" t="str">
        <f>'Parcel Ct by Type'!B16</f>
        <v>R-NVAB</v>
      </c>
      <c r="C16" s="22">
        <v>110998201</v>
      </c>
      <c r="D16" s="22">
        <v>1329699947</v>
      </c>
      <c r="E16" s="22">
        <v>290881899</v>
      </c>
      <c r="F16" s="22">
        <v>3261003</v>
      </c>
      <c r="G16" s="22">
        <v>29776857</v>
      </c>
      <c r="H16" s="22">
        <v>42584960</v>
      </c>
      <c r="I16" s="22">
        <v>0</v>
      </c>
      <c r="J16" s="22">
        <v>24005337</v>
      </c>
      <c r="K16" s="22">
        <v>42639240</v>
      </c>
      <c r="L16" s="22">
        <v>515781620</v>
      </c>
      <c r="M16" s="22">
        <v>2023969</v>
      </c>
      <c r="N16" s="22">
        <v>145249528</v>
      </c>
      <c r="O16" s="22">
        <v>267888637</v>
      </c>
      <c r="P16" s="22">
        <v>74116028</v>
      </c>
      <c r="Q16" s="22">
        <v>8779412</v>
      </c>
      <c r="R16" s="22">
        <v>0</v>
      </c>
      <c r="S16" s="22">
        <v>17080074</v>
      </c>
      <c r="T16" s="22">
        <v>42485570</v>
      </c>
      <c r="U16" s="23">
        <v>2947252282</v>
      </c>
    </row>
    <row r="17" spans="1:21" ht="14.25" customHeight="1" x14ac:dyDescent="0.2">
      <c r="A17" s="20" t="s">
        <v>104</v>
      </c>
      <c r="B17" s="21" t="str">
        <f>'Parcel Ct by Type'!B17</f>
        <v>R-NVAB</v>
      </c>
      <c r="C17" s="22">
        <v>4287871245</v>
      </c>
      <c r="D17" s="22">
        <v>116548531786</v>
      </c>
      <c r="E17" s="22">
        <v>17937299</v>
      </c>
      <c r="F17" s="22">
        <v>109594122572</v>
      </c>
      <c r="G17" s="22">
        <v>11104283206</v>
      </c>
      <c r="H17" s="22">
        <v>21503377599</v>
      </c>
      <c r="I17" s="22">
        <v>320315797</v>
      </c>
      <c r="J17" s="22">
        <v>218409173</v>
      </c>
      <c r="K17" s="22">
        <v>5525549720</v>
      </c>
      <c r="L17" s="22">
        <v>61456976368</v>
      </c>
      <c r="M17" s="22">
        <v>1441245765</v>
      </c>
      <c r="N17" s="22">
        <v>22911014835</v>
      </c>
      <c r="O17" s="22">
        <v>1200323636</v>
      </c>
      <c r="P17" s="22">
        <v>1423410595</v>
      </c>
      <c r="Q17" s="22">
        <v>210756105</v>
      </c>
      <c r="R17" s="22">
        <v>880893141</v>
      </c>
      <c r="S17" s="22">
        <v>638167355</v>
      </c>
      <c r="T17" s="22">
        <v>1165796534</v>
      </c>
      <c r="U17" s="23">
        <v>360448982731</v>
      </c>
    </row>
    <row r="18" spans="1:21" ht="14.25" customHeight="1" x14ac:dyDescent="0.2">
      <c r="A18" s="20" t="s">
        <v>24</v>
      </c>
      <c r="B18" s="21" t="str">
        <f>'Parcel Ct by Type'!B18</f>
        <v>R-NVAB</v>
      </c>
      <c r="C18" s="22">
        <v>73998205</v>
      </c>
      <c r="D18" s="22">
        <v>618164326</v>
      </c>
      <c r="E18" s="22">
        <v>119501282</v>
      </c>
      <c r="F18" s="22">
        <v>53748818</v>
      </c>
      <c r="G18" s="22">
        <v>33561743</v>
      </c>
      <c r="H18" s="22">
        <v>13935870</v>
      </c>
      <c r="I18" s="22">
        <v>0</v>
      </c>
      <c r="J18" s="22">
        <v>258828</v>
      </c>
      <c r="K18" s="22">
        <v>15750767</v>
      </c>
      <c r="L18" s="22">
        <v>160622769</v>
      </c>
      <c r="M18" s="22">
        <v>4615296</v>
      </c>
      <c r="N18" s="22">
        <v>89838010</v>
      </c>
      <c r="O18" s="22">
        <v>339203627</v>
      </c>
      <c r="P18" s="22">
        <v>5596496</v>
      </c>
      <c r="Q18" s="22">
        <v>0</v>
      </c>
      <c r="R18" s="22">
        <v>0</v>
      </c>
      <c r="S18" s="22">
        <v>16962264</v>
      </c>
      <c r="T18" s="22">
        <v>36936903</v>
      </c>
      <c r="U18" s="23">
        <v>1582695204</v>
      </c>
    </row>
    <row r="19" spans="1:21" ht="14.25" customHeight="1" x14ac:dyDescent="0.2">
      <c r="A19" s="20" t="s">
        <v>25</v>
      </c>
      <c r="B19" s="21" t="str">
        <f>'Parcel Ct by Type'!B19</f>
        <v>R-Final</v>
      </c>
      <c r="C19" s="22">
        <v>83398865</v>
      </c>
      <c r="D19" s="22">
        <v>204201840</v>
      </c>
      <c r="E19" s="22">
        <v>116337779</v>
      </c>
      <c r="F19" s="22">
        <v>20034815</v>
      </c>
      <c r="G19" s="22">
        <v>197454</v>
      </c>
      <c r="H19" s="22">
        <v>878800</v>
      </c>
      <c r="I19" s="22">
        <v>44680</v>
      </c>
      <c r="J19" s="22">
        <v>0</v>
      </c>
      <c r="K19" s="22">
        <v>4626150</v>
      </c>
      <c r="L19" s="22">
        <v>35805467</v>
      </c>
      <c r="M19" s="22">
        <v>686830</v>
      </c>
      <c r="N19" s="22">
        <v>11296380</v>
      </c>
      <c r="O19" s="22">
        <v>87612967</v>
      </c>
      <c r="P19" s="22">
        <v>3087300</v>
      </c>
      <c r="Q19" s="22">
        <v>406000</v>
      </c>
      <c r="R19" s="22">
        <v>0</v>
      </c>
      <c r="S19" s="22">
        <v>737573</v>
      </c>
      <c r="T19" s="22">
        <v>415460</v>
      </c>
      <c r="U19" s="23">
        <v>569768360</v>
      </c>
    </row>
    <row r="20" spans="1:21" ht="14.25" customHeight="1" x14ac:dyDescent="0.2">
      <c r="A20" s="20" t="s">
        <v>26</v>
      </c>
      <c r="B20" s="21" t="str">
        <f>'Parcel Ct by Type'!B20</f>
        <v>R-NVAB</v>
      </c>
      <c r="C20" s="22">
        <v>1118076230</v>
      </c>
      <c r="D20" s="22">
        <v>42746755069</v>
      </c>
      <c r="E20" s="22">
        <v>442420418</v>
      </c>
      <c r="F20" s="22">
        <v>3613674207</v>
      </c>
      <c r="G20" s="22">
        <v>1230490509</v>
      </c>
      <c r="H20" s="22">
        <v>10325968182</v>
      </c>
      <c r="I20" s="22">
        <v>1331384</v>
      </c>
      <c r="J20" s="22">
        <v>535509498</v>
      </c>
      <c r="K20" s="22">
        <v>649531274</v>
      </c>
      <c r="L20" s="22">
        <v>14340141428</v>
      </c>
      <c r="M20" s="22">
        <v>247517623</v>
      </c>
      <c r="N20" s="22">
        <v>6587334540</v>
      </c>
      <c r="O20" s="22">
        <v>216223753</v>
      </c>
      <c r="P20" s="22">
        <v>457357578</v>
      </c>
      <c r="Q20" s="22">
        <v>159175</v>
      </c>
      <c r="R20" s="22">
        <v>37163375</v>
      </c>
      <c r="S20" s="22">
        <v>100668755</v>
      </c>
      <c r="T20" s="22">
        <v>84212895</v>
      </c>
      <c r="U20" s="23">
        <v>82734535893</v>
      </c>
    </row>
    <row r="21" spans="1:21" ht="14.25" customHeight="1" x14ac:dyDescent="0.2">
      <c r="A21" s="20" t="s">
        <v>27</v>
      </c>
      <c r="B21" s="21" t="str">
        <f>'Parcel Ct by Type'!B21</f>
        <v>R-NVAB</v>
      </c>
      <c r="C21" s="22">
        <v>514626502</v>
      </c>
      <c r="D21" s="22">
        <v>11924823007</v>
      </c>
      <c r="E21" s="22">
        <v>121984873</v>
      </c>
      <c r="F21" s="22">
        <v>2512687095</v>
      </c>
      <c r="G21" s="22">
        <v>589299885</v>
      </c>
      <c r="H21" s="22">
        <v>1166469284</v>
      </c>
      <c r="I21" s="22">
        <v>0</v>
      </c>
      <c r="J21" s="22">
        <v>95922261</v>
      </c>
      <c r="K21" s="22">
        <v>240230800</v>
      </c>
      <c r="L21" s="22">
        <v>3181559294</v>
      </c>
      <c r="M21" s="22">
        <v>6132756</v>
      </c>
      <c r="N21" s="22">
        <v>591146185</v>
      </c>
      <c r="O21" s="22">
        <v>112267549</v>
      </c>
      <c r="P21" s="22">
        <v>209424008</v>
      </c>
      <c r="Q21" s="22">
        <v>14475868</v>
      </c>
      <c r="R21" s="22">
        <v>58615892</v>
      </c>
      <c r="S21" s="22">
        <v>35195802</v>
      </c>
      <c r="T21" s="22">
        <v>46536517</v>
      </c>
      <c r="U21" s="23">
        <v>21421397578</v>
      </c>
    </row>
    <row r="22" spans="1:21" ht="14.25" customHeight="1" x14ac:dyDescent="0.2">
      <c r="A22" s="20" t="s">
        <v>28</v>
      </c>
      <c r="B22" s="21" t="str">
        <f>'Parcel Ct by Type'!B22</f>
        <v>R-NVAB</v>
      </c>
      <c r="C22" s="22">
        <v>803204895</v>
      </c>
      <c r="D22" s="22">
        <v>8505192001</v>
      </c>
      <c r="E22" s="22">
        <v>99841369</v>
      </c>
      <c r="F22" s="22">
        <v>1099251108</v>
      </c>
      <c r="G22" s="22">
        <v>319182761</v>
      </c>
      <c r="H22" s="22">
        <v>105932004</v>
      </c>
      <c r="I22" s="22">
        <v>23353326</v>
      </c>
      <c r="J22" s="22">
        <v>80862107</v>
      </c>
      <c r="K22" s="22">
        <v>187929787</v>
      </c>
      <c r="L22" s="22">
        <v>668191213</v>
      </c>
      <c r="M22" s="22">
        <v>14789260</v>
      </c>
      <c r="N22" s="22">
        <v>141515981</v>
      </c>
      <c r="O22" s="22">
        <v>70107442</v>
      </c>
      <c r="P22" s="22">
        <v>76408129</v>
      </c>
      <c r="Q22" s="22">
        <v>4429423</v>
      </c>
      <c r="R22" s="22">
        <v>138153</v>
      </c>
      <c r="S22" s="22">
        <v>9848573</v>
      </c>
      <c r="T22" s="22">
        <v>38073094</v>
      </c>
      <c r="U22" s="23">
        <v>12248250626</v>
      </c>
    </row>
    <row r="23" spans="1:21" ht="14.25" customHeight="1" x14ac:dyDescent="0.2">
      <c r="A23" s="20" t="s">
        <v>29</v>
      </c>
      <c r="B23" s="21" t="str">
        <f>'Parcel Ct by Type'!B23</f>
        <v>R-Final</v>
      </c>
      <c r="C23" s="22">
        <v>378566332</v>
      </c>
      <c r="D23" s="22">
        <v>1891862638</v>
      </c>
      <c r="E23" s="22">
        <v>40778485</v>
      </c>
      <c r="F23" s="22">
        <v>93251239</v>
      </c>
      <c r="G23" s="22">
        <v>1741261</v>
      </c>
      <c r="H23" s="22">
        <v>481313</v>
      </c>
      <c r="I23" s="22">
        <v>0</v>
      </c>
      <c r="J23" s="22">
        <v>19313235</v>
      </c>
      <c r="K23" s="22">
        <v>12835821</v>
      </c>
      <c r="L23" s="22">
        <v>87997313</v>
      </c>
      <c r="M23" s="22">
        <v>128675</v>
      </c>
      <c r="N23" s="22">
        <v>14985844</v>
      </c>
      <c r="O23" s="22">
        <v>3430413</v>
      </c>
      <c r="P23" s="22">
        <v>7923312</v>
      </c>
      <c r="Q23" s="22">
        <v>98197</v>
      </c>
      <c r="R23" s="22">
        <v>2070057</v>
      </c>
      <c r="S23" s="22">
        <v>3613712</v>
      </c>
      <c r="T23" s="22">
        <v>4176597</v>
      </c>
      <c r="U23" s="23">
        <v>2563254444</v>
      </c>
    </row>
    <row r="24" spans="1:21" ht="14.25" customHeight="1" x14ac:dyDescent="0.2">
      <c r="A24" s="20" t="s">
        <v>30</v>
      </c>
      <c r="B24" s="21" t="str">
        <f>'Parcel Ct by Type'!B24</f>
        <v>R-Final</v>
      </c>
      <c r="C24" s="22">
        <v>64327390</v>
      </c>
      <c r="D24" s="22">
        <v>762046384</v>
      </c>
      <c r="E24" s="22">
        <v>96489413</v>
      </c>
      <c r="F24" s="22">
        <v>0</v>
      </c>
      <c r="G24" s="22">
        <v>8925697</v>
      </c>
      <c r="H24" s="22">
        <v>16397483</v>
      </c>
      <c r="I24" s="22">
        <v>0</v>
      </c>
      <c r="J24" s="22">
        <v>1257461</v>
      </c>
      <c r="K24" s="22">
        <v>15637103</v>
      </c>
      <c r="L24" s="22">
        <v>128428066</v>
      </c>
      <c r="M24" s="22">
        <v>0</v>
      </c>
      <c r="N24" s="22">
        <v>76358169</v>
      </c>
      <c r="O24" s="22">
        <v>155519047</v>
      </c>
      <c r="P24" s="22">
        <v>20637270</v>
      </c>
      <c r="Q24" s="22">
        <v>571224</v>
      </c>
      <c r="R24" s="22">
        <v>0</v>
      </c>
      <c r="S24" s="22">
        <v>4741131</v>
      </c>
      <c r="T24" s="22">
        <v>36085973</v>
      </c>
      <c r="U24" s="23">
        <v>1387421811</v>
      </c>
    </row>
    <row r="25" spans="1:21" ht="14.25" customHeight="1" x14ac:dyDescent="0.2">
      <c r="A25" s="20" t="s">
        <v>31</v>
      </c>
      <c r="B25" s="21" t="str">
        <f>'Parcel Ct by Type'!B25</f>
        <v>R-Final</v>
      </c>
      <c r="C25" s="22">
        <v>50272393</v>
      </c>
      <c r="D25" s="22">
        <v>272647757</v>
      </c>
      <c r="E25" s="22">
        <v>109059658</v>
      </c>
      <c r="F25" s="22">
        <v>0</v>
      </c>
      <c r="G25" s="22">
        <v>3361027</v>
      </c>
      <c r="H25" s="22">
        <v>1542508</v>
      </c>
      <c r="I25" s="22">
        <v>0</v>
      </c>
      <c r="J25" s="22">
        <v>15951364</v>
      </c>
      <c r="K25" s="22">
        <v>1553703</v>
      </c>
      <c r="L25" s="22">
        <v>37595825</v>
      </c>
      <c r="M25" s="22">
        <v>68654</v>
      </c>
      <c r="N25" s="22">
        <v>15168957</v>
      </c>
      <c r="O25" s="22">
        <v>170529990</v>
      </c>
      <c r="P25" s="22">
        <v>4678975</v>
      </c>
      <c r="Q25" s="22">
        <v>0</v>
      </c>
      <c r="R25" s="22">
        <v>0</v>
      </c>
      <c r="S25" s="22">
        <v>3547017</v>
      </c>
      <c r="T25" s="22">
        <v>25522282</v>
      </c>
      <c r="U25" s="23">
        <v>711500110</v>
      </c>
    </row>
    <row r="26" spans="1:21" ht="14.25" customHeight="1" x14ac:dyDescent="0.2">
      <c r="A26" s="20" t="s">
        <v>32</v>
      </c>
      <c r="B26" s="21" t="str">
        <f>'Parcel Ct by Type'!B26</f>
        <v>R-Final</v>
      </c>
      <c r="C26" s="22">
        <v>47029423</v>
      </c>
      <c r="D26" s="22">
        <v>188582988</v>
      </c>
      <c r="E26" s="22">
        <v>109999251</v>
      </c>
      <c r="F26" s="22">
        <v>9989498</v>
      </c>
      <c r="G26" s="22">
        <v>15454355</v>
      </c>
      <c r="H26" s="22">
        <v>526452</v>
      </c>
      <c r="I26" s="22">
        <v>0</v>
      </c>
      <c r="J26" s="22">
        <v>5186748</v>
      </c>
      <c r="K26" s="22">
        <v>2763941</v>
      </c>
      <c r="L26" s="22">
        <v>69324915</v>
      </c>
      <c r="M26" s="22">
        <v>2342216</v>
      </c>
      <c r="N26" s="22">
        <v>17200646</v>
      </c>
      <c r="O26" s="22">
        <v>211847965</v>
      </c>
      <c r="P26" s="22">
        <v>544528</v>
      </c>
      <c r="Q26" s="22">
        <v>0</v>
      </c>
      <c r="R26" s="22">
        <v>0</v>
      </c>
      <c r="S26" s="22">
        <v>20197315</v>
      </c>
      <c r="T26" s="22">
        <v>38314500</v>
      </c>
      <c r="U26" s="23">
        <v>739304741</v>
      </c>
    </row>
    <row r="27" spans="1:21" ht="14.25" customHeight="1" x14ac:dyDescent="0.2">
      <c r="A27" s="20" t="s">
        <v>33</v>
      </c>
      <c r="B27" s="21" t="str">
        <f>'Parcel Ct by Type'!B27</f>
        <v>R-Final</v>
      </c>
      <c r="C27" s="22">
        <v>516594293</v>
      </c>
      <c r="D27" s="22">
        <v>1500047392</v>
      </c>
      <c r="E27" s="22">
        <v>62692170</v>
      </c>
      <c r="F27" s="22">
        <v>30490468</v>
      </c>
      <c r="G27" s="22">
        <v>4773667</v>
      </c>
      <c r="H27" s="22">
        <v>11761072</v>
      </c>
      <c r="I27" s="22">
        <v>0</v>
      </c>
      <c r="J27" s="22">
        <v>16854150</v>
      </c>
      <c r="K27" s="22">
        <v>1293934</v>
      </c>
      <c r="L27" s="22">
        <v>96632651</v>
      </c>
      <c r="M27" s="22">
        <v>0</v>
      </c>
      <c r="N27" s="22">
        <v>13428836</v>
      </c>
      <c r="O27" s="22">
        <v>63014548</v>
      </c>
      <c r="P27" s="22">
        <v>4705426</v>
      </c>
      <c r="Q27" s="22">
        <v>3152484</v>
      </c>
      <c r="R27" s="22">
        <v>467852</v>
      </c>
      <c r="S27" s="22">
        <v>5915655</v>
      </c>
      <c r="T27" s="22">
        <v>52978768</v>
      </c>
      <c r="U27" s="23">
        <v>2384803366</v>
      </c>
    </row>
    <row r="28" spans="1:21" ht="14.25" customHeight="1" x14ac:dyDescent="0.2">
      <c r="A28" s="20" t="s">
        <v>34</v>
      </c>
      <c r="B28" s="21" t="str">
        <f>'Parcel Ct by Type'!B28</f>
        <v>R-Final</v>
      </c>
      <c r="C28" s="22">
        <v>44003519</v>
      </c>
      <c r="D28" s="22">
        <v>113682369</v>
      </c>
      <c r="E28" s="22">
        <v>40725314</v>
      </c>
      <c r="F28" s="22">
        <v>0</v>
      </c>
      <c r="G28" s="22">
        <v>9626816</v>
      </c>
      <c r="H28" s="22">
        <v>4053730</v>
      </c>
      <c r="I28" s="22">
        <v>0</v>
      </c>
      <c r="J28" s="22">
        <v>482466</v>
      </c>
      <c r="K28" s="22">
        <v>4774313</v>
      </c>
      <c r="L28" s="22">
        <v>34232680</v>
      </c>
      <c r="M28" s="22">
        <v>114878</v>
      </c>
      <c r="N28" s="22">
        <v>6735841</v>
      </c>
      <c r="O28" s="22">
        <v>129116683</v>
      </c>
      <c r="P28" s="22">
        <v>1327941</v>
      </c>
      <c r="Q28" s="22">
        <v>460560</v>
      </c>
      <c r="R28" s="22">
        <v>0</v>
      </c>
      <c r="S28" s="22">
        <v>79514297</v>
      </c>
      <c r="T28" s="22">
        <v>11952545</v>
      </c>
      <c r="U28" s="23">
        <v>480803952</v>
      </c>
    </row>
    <row r="29" spans="1:21" ht="14.25" customHeight="1" x14ac:dyDescent="0.2">
      <c r="A29" s="20" t="s">
        <v>35</v>
      </c>
      <c r="B29" s="21" t="str">
        <f>'Parcel Ct by Type'!B29</f>
        <v>R-NVAB</v>
      </c>
      <c r="C29" s="22">
        <v>42943018</v>
      </c>
      <c r="D29" s="22">
        <v>304322472</v>
      </c>
      <c r="E29" s="22">
        <v>67372638</v>
      </c>
      <c r="F29" s="22">
        <v>0</v>
      </c>
      <c r="G29" s="22">
        <v>19787431</v>
      </c>
      <c r="H29" s="22">
        <v>11417551</v>
      </c>
      <c r="I29" s="22">
        <v>0</v>
      </c>
      <c r="J29" s="22">
        <v>2468164</v>
      </c>
      <c r="K29" s="22">
        <v>11204817</v>
      </c>
      <c r="L29" s="22">
        <v>111379583</v>
      </c>
      <c r="M29" s="22">
        <v>1037339</v>
      </c>
      <c r="N29" s="22">
        <v>27711258</v>
      </c>
      <c r="O29" s="22">
        <v>285306722</v>
      </c>
      <c r="P29" s="22">
        <v>26376520</v>
      </c>
      <c r="Q29" s="22">
        <v>9126176</v>
      </c>
      <c r="R29" s="22">
        <v>0</v>
      </c>
      <c r="S29" s="22">
        <v>219013405</v>
      </c>
      <c r="T29" s="22">
        <v>30699284</v>
      </c>
      <c r="U29" s="23">
        <v>1170166378</v>
      </c>
    </row>
    <row r="30" spans="1:21" ht="14.25" customHeight="1" x14ac:dyDescent="0.2">
      <c r="A30" s="20" t="s">
        <v>36</v>
      </c>
      <c r="B30" s="21" t="str">
        <f>'Parcel Ct by Type'!B30</f>
        <v>R-NVAB</v>
      </c>
      <c r="C30" s="22">
        <v>254858847</v>
      </c>
      <c r="D30" s="22">
        <v>764249897</v>
      </c>
      <c r="E30" s="22">
        <v>200743350</v>
      </c>
      <c r="F30" s="22">
        <v>21450839</v>
      </c>
      <c r="G30" s="22">
        <v>44737264</v>
      </c>
      <c r="H30" s="22">
        <v>11923639</v>
      </c>
      <c r="I30" s="22">
        <v>0</v>
      </c>
      <c r="J30" s="22">
        <v>2461861</v>
      </c>
      <c r="K30" s="22">
        <v>28200000</v>
      </c>
      <c r="L30" s="22">
        <v>243665207</v>
      </c>
      <c r="M30" s="22">
        <v>47607639</v>
      </c>
      <c r="N30" s="22">
        <v>100353361</v>
      </c>
      <c r="O30" s="22">
        <v>405564641</v>
      </c>
      <c r="P30" s="22">
        <v>2913128</v>
      </c>
      <c r="Q30" s="22">
        <v>201171</v>
      </c>
      <c r="R30" s="22">
        <v>32061180</v>
      </c>
      <c r="S30" s="22">
        <v>38311040</v>
      </c>
      <c r="T30" s="22">
        <v>14266262</v>
      </c>
      <c r="U30" s="23">
        <v>2213569326</v>
      </c>
    </row>
    <row r="31" spans="1:21" ht="14.25" customHeight="1" x14ac:dyDescent="0.2">
      <c r="A31" s="20" t="s">
        <v>37</v>
      </c>
      <c r="B31" s="21" t="str">
        <f>'Parcel Ct by Type'!B31</f>
        <v>R-NVAB</v>
      </c>
      <c r="C31" s="22">
        <v>408742004</v>
      </c>
      <c r="D31" s="22">
        <v>7740332010</v>
      </c>
      <c r="E31" s="22">
        <v>674748293</v>
      </c>
      <c r="F31" s="22">
        <v>38464910</v>
      </c>
      <c r="G31" s="22">
        <v>82468136</v>
      </c>
      <c r="H31" s="22">
        <v>194260028</v>
      </c>
      <c r="I31" s="22">
        <v>1158169</v>
      </c>
      <c r="J31" s="22">
        <v>188698</v>
      </c>
      <c r="K31" s="22">
        <v>204568608</v>
      </c>
      <c r="L31" s="22">
        <v>1299834264</v>
      </c>
      <c r="M31" s="22">
        <v>6054194</v>
      </c>
      <c r="N31" s="22">
        <v>318738241</v>
      </c>
      <c r="O31" s="22">
        <v>215136184</v>
      </c>
      <c r="P31" s="22">
        <v>214496786</v>
      </c>
      <c r="Q31" s="22">
        <v>0</v>
      </c>
      <c r="R31" s="22">
        <v>2788473</v>
      </c>
      <c r="S31" s="22">
        <v>27770982</v>
      </c>
      <c r="T31" s="22">
        <v>190092311</v>
      </c>
      <c r="U31" s="23">
        <v>11619842291</v>
      </c>
    </row>
    <row r="32" spans="1:21" ht="14.25" customHeight="1" x14ac:dyDescent="0.2">
      <c r="A32" s="20" t="s">
        <v>38</v>
      </c>
      <c r="B32" s="21" t="str">
        <f>'Parcel Ct by Type'!B32</f>
        <v>R-NVAB</v>
      </c>
      <c r="C32" s="22">
        <v>277913138</v>
      </c>
      <c r="D32" s="22">
        <v>3264155321</v>
      </c>
      <c r="E32" s="22">
        <v>183826326</v>
      </c>
      <c r="F32" s="22">
        <v>91870198</v>
      </c>
      <c r="G32" s="22">
        <v>85513636</v>
      </c>
      <c r="H32" s="22">
        <v>46538784</v>
      </c>
      <c r="I32" s="22">
        <v>19082578</v>
      </c>
      <c r="J32" s="22">
        <v>105274202</v>
      </c>
      <c r="K32" s="22">
        <v>42192471</v>
      </c>
      <c r="L32" s="22">
        <v>916291779</v>
      </c>
      <c r="M32" s="22">
        <v>5508328</v>
      </c>
      <c r="N32" s="22">
        <v>114933446</v>
      </c>
      <c r="O32" s="22">
        <v>448603736</v>
      </c>
      <c r="P32" s="22">
        <v>35910566</v>
      </c>
      <c r="Q32" s="22">
        <v>2484836</v>
      </c>
      <c r="R32" s="22">
        <v>88536301</v>
      </c>
      <c r="S32" s="22">
        <v>9892213</v>
      </c>
      <c r="T32" s="22">
        <v>51482950</v>
      </c>
      <c r="U32" s="23">
        <v>5790010809</v>
      </c>
    </row>
    <row r="33" spans="1:21" ht="14.25" customHeight="1" x14ac:dyDescent="0.2">
      <c r="A33" s="20" t="s">
        <v>39</v>
      </c>
      <c r="B33" s="21" t="str">
        <f>'Parcel Ct by Type'!B33</f>
        <v>R-NVAB</v>
      </c>
      <c r="C33" s="22">
        <v>1707498128</v>
      </c>
      <c r="D33" s="22">
        <v>69390074809</v>
      </c>
      <c r="E33" s="22">
        <v>874299496</v>
      </c>
      <c r="F33" s="22">
        <v>5263132184</v>
      </c>
      <c r="G33" s="22">
        <v>972055925</v>
      </c>
      <c r="H33" s="22">
        <v>15681685343</v>
      </c>
      <c r="I33" s="22">
        <v>44872357</v>
      </c>
      <c r="J33" s="22">
        <v>635235226</v>
      </c>
      <c r="K33" s="22">
        <v>689792409</v>
      </c>
      <c r="L33" s="22">
        <v>22921719623</v>
      </c>
      <c r="M33" s="22">
        <v>128143139</v>
      </c>
      <c r="N33" s="22">
        <v>8121236338</v>
      </c>
      <c r="O33" s="22">
        <v>738963754</v>
      </c>
      <c r="P33" s="22">
        <v>939669287</v>
      </c>
      <c r="Q33" s="22">
        <v>12085595</v>
      </c>
      <c r="R33" s="22">
        <v>1420607619</v>
      </c>
      <c r="S33" s="22">
        <v>357904237</v>
      </c>
      <c r="T33" s="22">
        <v>248336870</v>
      </c>
      <c r="U33" s="23">
        <v>130147312339</v>
      </c>
    </row>
    <row r="34" spans="1:21" ht="14.25" customHeight="1" x14ac:dyDescent="0.2">
      <c r="A34" s="20" t="s">
        <v>40</v>
      </c>
      <c r="B34" s="21" t="str">
        <f>'Parcel Ct by Type'!B34</f>
        <v>R-Final</v>
      </c>
      <c r="C34" s="22">
        <v>21145003</v>
      </c>
      <c r="D34" s="22">
        <v>150722360</v>
      </c>
      <c r="E34" s="22">
        <v>25371468</v>
      </c>
      <c r="F34" s="22">
        <v>0</v>
      </c>
      <c r="G34" s="22">
        <v>1677915</v>
      </c>
      <c r="H34" s="22">
        <v>3239229</v>
      </c>
      <c r="I34" s="22">
        <v>0</v>
      </c>
      <c r="J34" s="22">
        <v>265454</v>
      </c>
      <c r="K34" s="22">
        <v>5636244</v>
      </c>
      <c r="L34" s="22">
        <v>53055973</v>
      </c>
      <c r="M34" s="22">
        <v>14974</v>
      </c>
      <c r="N34" s="22">
        <v>6213490</v>
      </c>
      <c r="O34" s="22">
        <v>164537306</v>
      </c>
      <c r="P34" s="22">
        <v>3237758</v>
      </c>
      <c r="Q34" s="22">
        <v>603949</v>
      </c>
      <c r="R34" s="22">
        <v>0</v>
      </c>
      <c r="S34" s="22">
        <v>2271386</v>
      </c>
      <c r="T34" s="22">
        <v>3846119</v>
      </c>
      <c r="U34" s="23">
        <v>441838628</v>
      </c>
    </row>
    <row r="35" spans="1:21" ht="14.25" customHeight="1" x14ac:dyDescent="0.2">
      <c r="A35" s="20" t="s">
        <v>41</v>
      </c>
      <c r="B35" s="21" t="str">
        <f>'Parcel Ct by Type'!B35</f>
        <v>R-NVAB</v>
      </c>
      <c r="C35" s="22">
        <v>743566892</v>
      </c>
      <c r="D35" s="22">
        <v>15354703711</v>
      </c>
      <c r="E35" s="22">
        <v>45678730</v>
      </c>
      <c r="F35" s="22">
        <v>3384830046</v>
      </c>
      <c r="G35" s="22">
        <v>152647742</v>
      </c>
      <c r="H35" s="22">
        <v>76111731</v>
      </c>
      <c r="I35" s="22">
        <v>7458137</v>
      </c>
      <c r="J35" s="22">
        <v>147660027</v>
      </c>
      <c r="K35" s="22">
        <v>125806113</v>
      </c>
      <c r="L35" s="22">
        <v>1484460028</v>
      </c>
      <c r="M35" s="22">
        <v>16988574</v>
      </c>
      <c r="N35" s="22">
        <v>288951477</v>
      </c>
      <c r="O35" s="22">
        <v>211926488</v>
      </c>
      <c r="P35" s="22">
        <v>262551936</v>
      </c>
      <c r="Q35" s="22">
        <v>4318107</v>
      </c>
      <c r="R35" s="22">
        <v>27015892</v>
      </c>
      <c r="S35" s="22">
        <v>16650794</v>
      </c>
      <c r="T35" s="22">
        <v>112342999</v>
      </c>
      <c r="U35" s="23">
        <v>22463669424</v>
      </c>
    </row>
    <row r="36" spans="1:21" ht="14.25" customHeight="1" x14ac:dyDescent="0.2">
      <c r="A36" s="20" t="s">
        <v>42</v>
      </c>
      <c r="B36" s="21" t="str">
        <f>'Parcel Ct by Type'!B36</f>
        <v>R-Final</v>
      </c>
      <c r="C36" s="22">
        <v>118569550</v>
      </c>
      <c r="D36" s="22">
        <v>641942549</v>
      </c>
      <c r="E36" s="22">
        <v>62128081</v>
      </c>
      <c r="F36" s="22">
        <v>0</v>
      </c>
      <c r="G36" s="22">
        <v>7031853</v>
      </c>
      <c r="H36" s="22">
        <v>21053974</v>
      </c>
      <c r="I36" s="22">
        <v>0</v>
      </c>
      <c r="J36" s="22">
        <v>2418801</v>
      </c>
      <c r="K36" s="22">
        <v>16124058</v>
      </c>
      <c r="L36" s="22">
        <v>197790718</v>
      </c>
      <c r="M36" s="22">
        <v>758864</v>
      </c>
      <c r="N36" s="22">
        <v>81557862</v>
      </c>
      <c r="O36" s="22">
        <v>298986404</v>
      </c>
      <c r="P36" s="22">
        <v>16657436</v>
      </c>
      <c r="Q36" s="22">
        <v>3681156</v>
      </c>
      <c r="R36" s="22">
        <v>0</v>
      </c>
      <c r="S36" s="22">
        <v>18175055</v>
      </c>
      <c r="T36" s="22">
        <v>5200635</v>
      </c>
      <c r="U36" s="23">
        <v>1492076996</v>
      </c>
    </row>
    <row r="37" spans="1:21" ht="14.25" customHeight="1" x14ac:dyDescent="0.2">
      <c r="A37" s="20" t="s">
        <v>43</v>
      </c>
      <c r="B37" s="21" t="str">
        <f>'Parcel Ct by Type'!B37</f>
        <v>R-NVAB</v>
      </c>
      <c r="C37" s="22">
        <v>32102668</v>
      </c>
      <c r="D37" s="22">
        <v>259284647</v>
      </c>
      <c r="E37" s="22">
        <v>41724001</v>
      </c>
      <c r="F37" s="22">
        <v>0</v>
      </c>
      <c r="G37" s="22">
        <v>4643210</v>
      </c>
      <c r="H37" s="22">
        <v>5980846</v>
      </c>
      <c r="I37" s="22">
        <v>169710</v>
      </c>
      <c r="J37" s="22">
        <v>176702</v>
      </c>
      <c r="K37" s="22">
        <v>2577146</v>
      </c>
      <c r="L37" s="22">
        <v>35547030</v>
      </c>
      <c r="M37" s="22">
        <v>303660</v>
      </c>
      <c r="N37" s="22">
        <v>9597638</v>
      </c>
      <c r="O37" s="22">
        <v>222416647</v>
      </c>
      <c r="P37" s="22">
        <v>3423286</v>
      </c>
      <c r="Q37" s="22">
        <v>292127</v>
      </c>
      <c r="R37" s="22">
        <v>0</v>
      </c>
      <c r="S37" s="22">
        <v>12186168</v>
      </c>
      <c r="T37" s="22">
        <v>6379458</v>
      </c>
      <c r="U37" s="23">
        <v>636804944</v>
      </c>
    </row>
    <row r="38" spans="1:21" ht="14.25" customHeight="1" x14ac:dyDescent="0.2">
      <c r="A38" s="20" t="s">
        <v>44</v>
      </c>
      <c r="B38" s="21" t="str">
        <f>'Parcel Ct by Type'!B38</f>
        <v>R-Final</v>
      </c>
      <c r="C38" s="22">
        <v>21688264</v>
      </c>
      <c r="D38" s="22">
        <v>73376161</v>
      </c>
      <c r="E38" s="22">
        <v>24146290</v>
      </c>
      <c r="F38" s="22">
        <v>0</v>
      </c>
      <c r="G38" s="22">
        <v>726058</v>
      </c>
      <c r="H38" s="22">
        <v>1374941</v>
      </c>
      <c r="I38" s="22">
        <v>0</v>
      </c>
      <c r="J38" s="22">
        <v>1370574</v>
      </c>
      <c r="K38" s="22">
        <v>830783</v>
      </c>
      <c r="L38" s="22">
        <v>10714560</v>
      </c>
      <c r="M38" s="22">
        <v>35000</v>
      </c>
      <c r="N38" s="22">
        <v>2305653</v>
      </c>
      <c r="O38" s="22">
        <v>108555806</v>
      </c>
      <c r="P38" s="22">
        <v>2442456</v>
      </c>
      <c r="Q38" s="22">
        <v>0</v>
      </c>
      <c r="R38" s="22">
        <v>0</v>
      </c>
      <c r="S38" s="22">
        <v>1495408</v>
      </c>
      <c r="T38" s="22">
        <v>1861847</v>
      </c>
      <c r="U38" s="23">
        <v>250923801</v>
      </c>
    </row>
    <row r="39" spans="1:21" ht="14.25" customHeight="1" x14ac:dyDescent="0.2">
      <c r="A39" s="20" t="s">
        <v>45</v>
      </c>
      <c r="B39" s="21" t="str">
        <f>'Parcel Ct by Type'!B39</f>
        <v>R-NVAB</v>
      </c>
      <c r="C39" s="22">
        <v>1004355799</v>
      </c>
      <c r="D39" s="22">
        <v>19360787677</v>
      </c>
      <c r="E39" s="22">
        <v>914436325</v>
      </c>
      <c r="F39" s="22">
        <v>512567209</v>
      </c>
      <c r="G39" s="22">
        <v>216511765</v>
      </c>
      <c r="H39" s="22">
        <v>967462178</v>
      </c>
      <c r="I39" s="22">
        <v>102885100</v>
      </c>
      <c r="J39" s="22">
        <v>186414433</v>
      </c>
      <c r="K39" s="22">
        <v>438464899</v>
      </c>
      <c r="L39" s="22">
        <v>3343998466</v>
      </c>
      <c r="M39" s="22">
        <v>67591444</v>
      </c>
      <c r="N39" s="22">
        <v>731189479</v>
      </c>
      <c r="O39" s="22">
        <v>422874877</v>
      </c>
      <c r="P39" s="22">
        <v>70458145</v>
      </c>
      <c r="Q39" s="22">
        <v>9465393</v>
      </c>
      <c r="R39" s="22">
        <v>0</v>
      </c>
      <c r="S39" s="22">
        <v>17257112</v>
      </c>
      <c r="T39" s="22">
        <v>275958453</v>
      </c>
      <c r="U39" s="23">
        <v>28642678754</v>
      </c>
    </row>
    <row r="40" spans="1:21" ht="14.25" customHeight="1" x14ac:dyDescent="0.2">
      <c r="A40" s="20" t="s">
        <v>46</v>
      </c>
      <c r="B40" s="21" t="str">
        <f>'Parcel Ct by Type'!B40</f>
        <v>R-NVAB</v>
      </c>
      <c r="C40" s="22">
        <v>3612038102</v>
      </c>
      <c r="D40" s="22">
        <v>61923395145</v>
      </c>
      <c r="E40" s="22">
        <v>1240567075</v>
      </c>
      <c r="F40" s="22">
        <v>18716278709</v>
      </c>
      <c r="G40" s="22">
        <v>2871253501</v>
      </c>
      <c r="H40" s="22">
        <v>3814994402</v>
      </c>
      <c r="I40" s="22">
        <v>234042937</v>
      </c>
      <c r="J40" s="22">
        <v>595229512</v>
      </c>
      <c r="K40" s="22">
        <v>871511379</v>
      </c>
      <c r="L40" s="22">
        <v>9778804095</v>
      </c>
      <c r="M40" s="22">
        <v>168772185</v>
      </c>
      <c r="N40" s="22">
        <v>2424527079</v>
      </c>
      <c r="O40" s="22">
        <v>286753665</v>
      </c>
      <c r="P40" s="22">
        <v>302324010</v>
      </c>
      <c r="Q40" s="22">
        <v>44988500</v>
      </c>
      <c r="R40" s="22">
        <v>71698707</v>
      </c>
      <c r="S40" s="22">
        <v>177606425</v>
      </c>
      <c r="T40" s="22">
        <v>194269338</v>
      </c>
      <c r="U40" s="23">
        <v>107329054766</v>
      </c>
    </row>
    <row r="41" spans="1:21" ht="14.25" customHeight="1" x14ac:dyDescent="0.2">
      <c r="A41" s="20" t="s">
        <v>47</v>
      </c>
      <c r="B41" s="21" t="str">
        <f>'Parcel Ct by Type'!B41</f>
        <v>R-NVAB</v>
      </c>
      <c r="C41" s="22">
        <v>290288471</v>
      </c>
      <c r="D41" s="22">
        <v>11548234414</v>
      </c>
      <c r="E41" s="22">
        <v>163126743</v>
      </c>
      <c r="F41" s="22">
        <v>473741294</v>
      </c>
      <c r="G41" s="22">
        <v>393378715</v>
      </c>
      <c r="H41" s="22">
        <v>2904958647</v>
      </c>
      <c r="I41" s="22">
        <v>0</v>
      </c>
      <c r="J41" s="22">
        <v>110575767</v>
      </c>
      <c r="K41" s="22">
        <v>155448694</v>
      </c>
      <c r="L41" s="22">
        <v>3156136515</v>
      </c>
      <c r="M41" s="22">
        <v>15873261</v>
      </c>
      <c r="N41" s="22">
        <v>416174027</v>
      </c>
      <c r="O41" s="22">
        <v>167230291</v>
      </c>
      <c r="P41" s="22">
        <v>234272212</v>
      </c>
      <c r="Q41" s="22">
        <v>39890119</v>
      </c>
      <c r="R41" s="22">
        <v>0</v>
      </c>
      <c r="S41" s="22">
        <v>9458493</v>
      </c>
      <c r="T41" s="22">
        <v>87320034</v>
      </c>
      <c r="U41" s="23">
        <v>20166107697</v>
      </c>
    </row>
    <row r="42" spans="1:21" ht="14.25" customHeight="1" x14ac:dyDescent="0.2">
      <c r="A42" s="20" t="s">
        <v>48</v>
      </c>
      <c r="B42" s="21" t="str">
        <f>'Parcel Ct by Type'!B42</f>
        <v>R-Final</v>
      </c>
      <c r="C42" s="22">
        <v>240390299</v>
      </c>
      <c r="D42" s="22">
        <v>794747946</v>
      </c>
      <c r="E42" s="22">
        <v>342422273</v>
      </c>
      <c r="F42" s="22">
        <v>36211023</v>
      </c>
      <c r="G42" s="22">
        <v>9101879</v>
      </c>
      <c r="H42" s="22">
        <v>5742433</v>
      </c>
      <c r="I42" s="22">
        <v>0</v>
      </c>
      <c r="J42" s="22">
        <v>2911581</v>
      </c>
      <c r="K42" s="22">
        <v>19013411</v>
      </c>
      <c r="L42" s="22">
        <v>219697734</v>
      </c>
      <c r="M42" s="22">
        <v>223712</v>
      </c>
      <c r="N42" s="22">
        <v>23826688</v>
      </c>
      <c r="O42" s="22">
        <v>372394607</v>
      </c>
      <c r="P42" s="22">
        <v>7164305</v>
      </c>
      <c r="Q42" s="22">
        <v>0</v>
      </c>
      <c r="R42" s="22">
        <v>3191790</v>
      </c>
      <c r="S42" s="22">
        <v>17123717</v>
      </c>
      <c r="T42" s="22">
        <v>21412156</v>
      </c>
      <c r="U42" s="23">
        <v>2115575554</v>
      </c>
    </row>
    <row r="43" spans="1:21" ht="14.25" customHeight="1" x14ac:dyDescent="0.2">
      <c r="A43" s="20" t="s">
        <v>49</v>
      </c>
      <c r="B43" s="21" t="str">
        <f>'Parcel Ct by Type'!B43</f>
        <v>R-Final</v>
      </c>
      <c r="C43" s="22">
        <v>13272317</v>
      </c>
      <c r="D43" s="22">
        <v>80852337</v>
      </c>
      <c r="E43" s="22">
        <v>13465935</v>
      </c>
      <c r="F43" s="22">
        <v>0</v>
      </c>
      <c r="G43" s="22">
        <v>2288232</v>
      </c>
      <c r="H43" s="22">
        <v>178947</v>
      </c>
      <c r="I43" s="22">
        <v>0</v>
      </c>
      <c r="J43" s="22">
        <v>257385</v>
      </c>
      <c r="K43" s="22">
        <v>736263</v>
      </c>
      <c r="L43" s="22">
        <v>14050292</v>
      </c>
      <c r="M43" s="22">
        <v>0</v>
      </c>
      <c r="N43" s="22">
        <v>20735175</v>
      </c>
      <c r="O43" s="22">
        <v>46892115</v>
      </c>
      <c r="P43" s="22">
        <v>414918</v>
      </c>
      <c r="Q43" s="22">
        <v>0</v>
      </c>
      <c r="R43" s="22">
        <v>0</v>
      </c>
      <c r="S43" s="22">
        <v>1306194</v>
      </c>
      <c r="T43" s="22">
        <v>1946864</v>
      </c>
      <c r="U43" s="23">
        <v>196396974</v>
      </c>
    </row>
    <row r="44" spans="1:21" ht="14.25" customHeight="1" x14ac:dyDescent="0.2">
      <c r="A44" s="20" t="s">
        <v>50</v>
      </c>
      <c r="B44" s="21" t="str">
        <f>'Parcel Ct by Type'!B44</f>
        <v>R-NVAB</v>
      </c>
      <c r="C44" s="22">
        <v>56706805</v>
      </c>
      <c r="D44" s="22">
        <v>194802635</v>
      </c>
      <c r="E44" s="22">
        <v>48986827</v>
      </c>
      <c r="F44" s="22">
        <v>0</v>
      </c>
      <c r="G44" s="22">
        <v>9677147</v>
      </c>
      <c r="H44" s="22">
        <v>7082701</v>
      </c>
      <c r="I44" s="22">
        <v>0</v>
      </c>
      <c r="J44" s="22">
        <v>0</v>
      </c>
      <c r="K44" s="22">
        <v>2448138</v>
      </c>
      <c r="L44" s="22">
        <v>63960471</v>
      </c>
      <c r="M44" s="22">
        <v>80365</v>
      </c>
      <c r="N44" s="22">
        <v>64315719</v>
      </c>
      <c r="O44" s="22">
        <v>199938436</v>
      </c>
      <c r="P44" s="22">
        <v>10169609</v>
      </c>
      <c r="Q44" s="22">
        <v>490657</v>
      </c>
      <c r="R44" s="22">
        <v>0</v>
      </c>
      <c r="S44" s="22">
        <v>2591945</v>
      </c>
      <c r="T44" s="22">
        <v>12384322</v>
      </c>
      <c r="U44" s="23">
        <v>673635777</v>
      </c>
    </row>
    <row r="45" spans="1:21" ht="14.25" customHeight="1" x14ac:dyDescent="0.2">
      <c r="A45" s="20" t="s">
        <v>51</v>
      </c>
      <c r="B45" s="21" t="str">
        <f>'Parcel Ct by Type'!B45</f>
        <v>R-NVAB</v>
      </c>
      <c r="C45" s="22">
        <v>1003960645</v>
      </c>
      <c r="D45" s="22">
        <v>29749248113</v>
      </c>
      <c r="E45" s="22">
        <v>273133099</v>
      </c>
      <c r="F45" s="22">
        <v>6660865784</v>
      </c>
      <c r="G45" s="22">
        <v>1224342539</v>
      </c>
      <c r="H45" s="22">
        <v>2427926779</v>
      </c>
      <c r="I45" s="22">
        <v>386903000</v>
      </c>
      <c r="J45" s="22">
        <v>67478152</v>
      </c>
      <c r="K45" s="22">
        <v>243656860</v>
      </c>
      <c r="L45" s="22">
        <v>4185004433</v>
      </c>
      <c r="M45" s="22">
        <v>58359435</v>
      </c>
      <c r="N45" s="22">
        <v>1649205049</v>
      </c>
      <c r="O45" s="22">
        <v>303319729</v>
      </c>
      <c r="P45" s="22">
        <v>583321710</v>
      </c>
      <c r="Q45" s="22">
        <v>7704588</v>
      </c>
      <c r="R45" s="22">
        <v>14404993</v>
      </c>
      <c r="S45" s="22">
        <v>71515975</v>
      </c>
      <c r="T45" s="22">
        <v>190471010</v>
      </c>
      <c r="U45" s="23">
        <v>49100821893</v>
      </c>
    </row>
    <row r="46" spans="1:21" ht="14.25" customHeight="1" x14ac:dyDescent="0.2">
      <c r="A46" s="20" t="s">
        <v>52</v>
      </c>
      <c r="B46" s="21" t="str">
        <f>'Parcel Ct by Type'!B46</f>
        <v>R-NVAB</v>
      </c>
      <c r="C46" s="22">
        <v>945966265</v>
      </c>
      <c r="D46" s="22">
        <v>13861629145</v>
      </c>
      <c r="E46" s="22">
        <v>863962093</v>
      </c>
      <c r="F46" s="22">
        <v>153422092</v>
      </c>
      <c r="G46" s="22">
        <v>525950010</v>
      </c>
      <c r="H46" s="22">
        <v>544419644</v>
      </c>
      <c r="I46" s="22">
        <v>0</v>
      </c>
      <c r="J46" s="22">
        <v>143328045</v>
      </c>
      <c r="K46" s="22">
        <v>291185394</v>
      </c>
      <c r="L46" s="22">
        <v>3032994241</v>
      </c>
      <c r="M46" s="22">
        <v>56142789</v>
      </c>
      <c r="N46" s="22">
        <v>1183734107</v>
      </c>
      <c r="O46" s="22">
        <v>1445820488</v>
      </c>
      <c r="P46" s="22">
        <v>262948106</v>
      </c>
      <c r="Q46" s="22">
        <v>1681662</v>
      </c>
      <c r="R46" s="22">
        <v>7163382</v>
      </c>
      <c r="S46" s="22">
        <v>36808568</v>
      </c>
      <c r="T46" s="22">
        <v>208341166</v>
      </c>
      <c r="U46" s="23">
        <v>23565497197</v>
      </c>
    </row>
    <row r="47" spans="1:21" ht="14.25" customHeight="1" x14ac:dyDescent="0.2">
      <c r="A47" s="20" t="s">
        <v>53</v>
      </c>
      <c r="B47" s="21" t="str">
        <f>'Parcel Ct by Type'!B47</f>
        <v>R-NVAB</v>
      </c>
      <c r="C47" s="22">
        <v>462641670</v>
      </c>
      <c r="D47" s="22">
        <v>17465755948</v>
      </c>
      <c r="E47" s="22">
        <v>163458865</v>
      </c>
      <c r="F47" s="22">
        <v>2051074141</v>
      </c>
      <c r="G47" s="22">
        <v>231769334</v>
      </c>
      <c r="H47" s="22">
        <v>293100459</v>
      </c>
      <c r="I47" s="22">
        <v>57750732</v>
      </c>
      <c r="J47" s="22">
        <v>161146460</v>
      </c>
      <c r="K47" s="22">
        <v>184279235</v>
      </c>
      <c r="L47" s="22">
        <v>2268267614</v>
      </c>
      <c r="M47" s="22">
        <v>40977277</v>
      </c>
      <c r="N47" s="22">
        <v>718242930</v>
      </c>
      <c r="O47" s="22">
        <v>320490818</v>
      </c>
      <c r="P47" s="22">
        <v>303248018</v>
      </c>
      <c r="Q47" s="22">
        <v>21998748</v>
      </c>
      <c r="R47" s="22">
        <v>23481658</v>
      </c>
      <c r="S47" s="22">
        <v>145628060</v>
      </c>
      <c r="T47" s="22">
        <v>169695236</v>
      </c>
      <c r="U47" s="23">
        <v>25083007203</v>
      </c>
    </row>
    <row r="48" spans="1:21" ht="14.25" customHeight="1" x14ac:dyDescent="0.2">
      <c r="A48" s="20" t="s">
        <v>54</v>
      </c>
      <c r="B48" s="21" t="str">
        <f>'Parcel Ct by Type'!B48</f>
        <v>R-NVAB</v>
      </c>
      <c r="C48" s="22">
        <v>1213764070</v>
      </c>
      <c r="D48" s="22">
        <v>21593186561</v>
      </c>
      <c r="E48" s="22">
        <v>1110455562</v>
      </c>
      <c r="F48" s="22">
        <v>4020031296</v>
      </c>
      <c r="G48" s="22">
        <v>1210007955</v>
      </c>
      <c r="H48" s="22">
        <v>391559972</v>
      </c>
      <c r="I48" s="22">
        <v>11634822</v>
      </c>
      <c r="J48" s="22">
        <v>96408413</v>
      </c>
      <c r="K48" s="22">
        <v>154496743</v>
      </c>
      <c r="L48" s="22">
        <v>5940460040</v>
      </c>
      <c r="M48" s="22">
        <v>5912099</v>
      </c>
      <c r="N48" s="22">
        <v>223897513</v>
      </c>
      <c r="O48" s="22">
        <v>100869</v>
      </c>
      <c r="P48" s="22">
        <v>77699802</v>
      </c>
      <c r="Q48" s="22">
        <v>15400130</v>
      </c>
      <c r="R48" s="22">
        <v>3832865</v>
      </c>
      <c r="S48" s="22">
        <v>47260277</v>
      </c>
      <c r="T48" s="22">
        <v>4906309</v>
      </c>
      <c r="U48" s="23">
        <v>36121015298</v>
      </c>
    </row>
    <row r="49" spans="1:21" ht="14.25" customHeight="1" x14ac:dyDescent="0.2">
      <c r="A49" s="20" t="s">
        <v>55</v>
      </c>
      <c r="B49" s="21" t="str">
        <f>'Parcel Ct by Type'!B49</f>
        <v>R-NVAB</v>
      </c>
      <c r="C49" s="22">
        <v>682359661</v>
      </c>
      <c r="D49" s="22">
        <v>6940115246</v>
      </c>
      <c r="E49" s="22">
        <v>357910649</v>
      </c>
      <c r="F49" s="22">
        <v>1815601229</v>
      </c>
      <c r="G49" s="22">
        <v>146601773</v>
      </c>
      <c r="H49" s="22">
        <v>194303090</v>
      </c>
      <c r="I49" s="22">
        <v>0</v>
      </c>
      <c r="J49" s="22">
        <v>71792503</v>
      </c>
      <c r="K49" s="22">
        <v>84247722</v>
      </c>
      <c r="L49" s="22">
        <v>948407976</v>
      </c>
      <c r="M49" s="22">
        <v>17216535</v>
      </c>
      <c r="N49" s="22">
        <v>155310257</v>
      </c>
      <c r="O49" s="22">
        <v>255254505</v>
      </c>
      <c r="P49" s="22">
        <v>20259597</v>
      </c>
      <c r="Q49" s="22">
        <v>28494423</v>
      </c>
      <c r="R49" s="22">
        <v>1971990</v>
      </c>
      <c r="S49" s="22">
        <v>12681870</v>
      </c>
      <c r="T49" s="22">
        <v>38727763</v>
      </c>
      <c r="U49" s="23">
        <v>11771256789</v>
      </c>
    </row>
    <row r="50" spans="1:21" ht="14.25" customHeight="1" x14ac:dyDescent="0.2">
      <c r="A50" s="20" t="s">
        <v>56</v>
      </c>
      <c r="B50" s="21" t="str">
        <f>'Parcel Ct by Type'!B50</f>
        <v>R-NVAB</v>
      </c>
      <c r="C50" s="22">
        <v>577326839</v>
      </c>
      <c r="D50" s="22">
        <v>13608313633</v>
      </c>
      <c r="E50" s="22">
        <v>167402631</v>
      </c>
      <c r="F50" s="22">
        <v>4462211724</v>
      </c>
      <c r="G50" s="22">
        <v>173903877</v>
      </c>
      <c r="H50" s="22">
        <v>810922814</v>
      </c>
      <c r="I50" s="22">
        <v>840000</v>
      </c>
      <c r="J50" s="22">
        <v>1399566</v>
      </c>
      <c r="K50" s="22">
        <v>167221601</v>
      </c>
      <c r="L50" s="22">
        <v>2384167755</v>
      </c>
      <c r="M50" s="22">
        <v>2138873</v>
      </c>
      <c r="N50" s="22">
        <v>397652046</v>
      </c>
      <c r="O50" s="22">
        <v>153463561</v>
      </c>
      <c r="P50" s="22">
        <v>139082403</v>
      </c>
      <c r="Q50" s="22">
        <v>19371670</v>
      </c>
      <c r="R50" s="22">
        <v>0</v>
      </c>
      <c r="S50" s="22">
        <v>10813887</v>
      </c>
      <c r="T50" s="22">
        <v>59109543</v>
      </c>
      <c r="U50" s="23">
        <v>23135342423</v>
      </c>
    </row>
    <row r="51" spans="1:21" ht="14.25" customHeight="1" x14ac:dyDescent="0.2">
      <c r="A51" s="20" t="s">
        <v>57</v>
      </c>
      <c r="B51" s="21" t="str">
        <f>'Parcel Ct by Type'!B51</f>
        <v>R-NVAB</v>
      </c>
      <c r="C51" s="22">
        <v>135370067</v>
      </c>
      <c r="D51" s="22">
        <v>834594816</v>
      </c>
      <c r="E51" s="22">
        <v>323240251</v>
      </c>
      <c r="F51" s="22">
        <v>11639264</v>
      </c>
      <c r="G51" s="22">
        <v>55979277</v>
      </c>
      <c r="H51" s="22">
        <v>12352601</v>
      </c>
      <c r="I51" s="22">
        <v>0</v>
      </c>
      <c r="J51" s="22">
        <v>437670</v>
      </c>
      <c r="K51" s="22">
        <v>14704759</v>
      </c>
      <c r="L51" s="22">
        <v>336060212</v>
      </c>
      <c r="M51" s="22">
        <v>6941742</v>
      </c>
      <c r="N51" s="22">
        <v>69490872</v>
      </c>
      <c r="O51" s="22">
        <v>280666157</v>
      </c>
      <c r="P51" s="22">
        <v>25953947</v>
      </c>
      <c r="Q51" s="22">
        <v>0</v>
      </c>
      <c r="R51" s="22">
        <v>3744155</v>
      </c>
      <c r="S51" s="22">
        <v>54412255</v>
      </c>
      <c r="T51" s="22">
        <v>32869995</v>
      </c>
      <c r="U51" s="23">
        <v>2198458040</v>
      </c>
    </row>
    <row r="52" spans="1:21" ht="14.25" customHeight="1" x14ac:dyDescent="0.2">
      <c r="A52" s="20" t="s">
        <v>58</v>
      </c>
      <c r="B52" s="21" t="str">
        <f>'Parcel Ct by Type'!B52</f>
        <v>R-NVAB</v>
      </c>
      <c r="C52" s="22">
        <v>1633803617</v>
      </c>
      <c r="D52" s="22">
        <v>75133628060</v>
      </c>
      <c r="E52" s="22">
        <v>294575106</v>
      </c>
      <c r="F52" s="22">
        <v>6572152877</v>
      </c>
      <c r="G52" s="22">
        <v>922823753</v>
      </c>
      <c r="H52" s="22">
        <v>21065016149</v>
      </c>
      <c r="I52" s="22">
        <v>0</v>
      </c>
      <c r="J52" s="22">
        <v>103394393</v>
      </c>
      <c r="K52" s="22">
        <v>2268108010</v>
      </c>
      <c r="L52" s="22">
        <v>48184573846</v>
      </c>
      <c r="M52" s="22">
        <v>308183302</v>
      </c>
      <c r="N52" s="22">
        <v>10667912592</v>
      </c>
      <c r="O52" s="22">
        <v>327582710</v>
      </c>
      <c r="P52" s="22">
        <v>783413560</v>
      </c>
      <c r="Q52" s="22">
        <v>411035417</v>
      </c>
      <c r="R52" s="22">
        <v>3509699</v>
      </c>
      <c r="S52" s="22">
        <v>86964598</v>
      </c>
      <c r="T52" s="22">
        <v>876450667</v>
      </c>
      <c r="U52" s="23">
        <v>169643128356</v>
      </c>
    </row>
    <row r="53" spans="1:21" ht="14.25" customHeight="1" x14ac:dyDescent="0.2">
      <c r="A53" s="20" t="s">
        <v>59</v>
      </c>
      <c r="B53" s="21" t="str">
        <f>'Parcel Ct by Type'!B53</f>
        <v>R-NVAB</v>
      </c>
      <c r="C53" s="22">
        <v>858858310</v>
      </c>
      <c r="D53" s="22">
        <v>22568204104</v>
      </c>
      <c r="E53" s="22">
        <v>344708358</v>
      </c>
      <c r="F53" s="22">
        <v>4744881768</v>
      </c>
      <c r="G53" s="22">
        <v>199118588</v>
      </c>
      <c r="H53" s="22">
        <v>2587577046</v>
      </c>
      <c r="I53" s="22">
        <v>0</v>
      </c>
      <c r="J53" s="22">
        <v>14282083</v>
      </c>
      <c r="K53" s="22">
        <v>533687755</v>
      </c>
      <c r="L53" s="22">
        <v>4559265981</v>
      </c>
      <c r="M53" s="22">
        <v>42872789</v>
      </c>
      <c r="N53" s="22">
        <v>710923639</v>
      </c>
      <c r="O53" s="22">
        <v>210784745</v>
      </c>
      <c r="P53" s="22">
        <v>356768656</v>
      </c>
      <c r="Q53" s="22">
        <v>7439380</v>
      </c>
      <c r="R53" s="22">
        <v>3804954</v>
      </c>
      <c r="S53" s="22">
        <v>38981978</v>
      </c>
      <c r="T53" s="22">
        <v>179094871</v>
      </c>
      <c r="U53" s="23">
        <v>37961255005</v>
      </c>
    </row>
    <row r="54" spans="1:21" ht="14.25" customHeight="1" x14ac:dyDescent="0.2">
      <c r="A54" s="20" t="s">
        <v>60</v>
      </c>
      <c r="B54" s="21" t="str">
        <f>'Parcel Ct by Type'!B54</f>
        <v>R-NVAB</v>
      </c>
      <c r="C54" s="22">
        <v>4873849583</v>
      </c>
      <c r="D54" s="22">
        <v>137301390009</v>
      </c>
      <c r="E54" s="22">
        <v>210871131</v>
      </c>
      <c r="F54" s="22">
        <v>39161814667</v>
      </c>
      <c r="G54" s="22">
        <v>3022839558</v>
      </c>
      <c r="H54" s="22">
        <v>11807719282</v>
      </c>
      <c r="I54" s="22">
        <v>1181280057</v>
      </c>
      <c r="J54" s="22">
        <v>585190276</v>
      </c>
      <c r="K54" s="22">
        <v>1468052894</v>
      </c>
      <c r="L54" s="22">
        <v>30400266230</v>
      </c>
      <c r="M54" s="22">
        <v>227672131</v>
      </c>
      <c r="N54" s="22">
        <v>7612414698</v>
      </c>
      <c r="O54" s="22">
        <v>2584331368</v>
      </c>
      <c r="P54" s="22">
        <v>2349997678</v>
      </c>
      <c r="Q54" s="22">
        <v>72508233</v>
      </c>
      <c r="R54" s="22">
        <v>392038907</v>
      </c>
      <c r="S54" s="22">
        <v>394498933</v>
      </c>
      <c r="T54" s="22">
        <v>13325585</v>
      </c>
      <c r="U54" s="23">
        <v>243660061220</v>
      </c>
    </row>
    <row r="55" spans="1:21" ht="14.25" customHeight="1" x14ac:dyDescent="0.2">
      <c r="A55" s="20" t="s">
        <v>61</v>
      </c>
      <c r="B55" s="21" t="str">
        <f>'Parcel Ct by Type'!B55</f>
        <v>R-NVAB</v>
      </c>
      <c r="C55" s="22">
        <v>922430941</v>
      </c>
      <c r="D55" s="22">
        <v>26879666873</v>
      </c>
      <c r="E55" s="22">
        <v>1173537658</v>
      </c>
      <c r="F55" s="22">
        <v>717688094</v>
      </c>
      <c r="G55" s="22">
        <v>373809232</v>
      </c>
      <c r="H55" s="22">
        <v>1843868004</v>
      </c>
      <c r="I55" s="22">
        <v>0</v>
      </c>
      <c r="J55" s="22">
        <v>52561334</v>
      </c>
      <c r="K55" s="22">
        <v>590386798</v>
      </c>
      <c r="L55" s="22">
        <v>3980122010</v>
      </c>
      <c r="M55" s="22">
        <v>52115150</v>
      </c>
      <c r="N55" s="22">
        <v>996170950</v>
      </c>
      <c r="O55" s="22">
        <v>330905567</v>
      </c>
      <c r="P55" s="22">
        <v>394268283</v>
      </c>
      <c r="Q55" s="22">
        <v>21460216</v>
      </c>
      <c r="R55" s="22">
        <v>261255</v>
      </c>
      <c r="S55" s="22">
        <v>54844218</v>
      </c>
      <c r="T55" s="22">
        <v>187398281</v>
      </c>
      <c r="U55" s="23">
        <v>38571494864</v>
      </c>
    </row>
    <row r="56" spans="1:21" ht="14.25" customHeight="1" x14ac:dyDescent="0.2">
      <c r="A56" s="20" t="s">
        <v>62</v>
      </c>
      <c r="B56" s="21" t="str">
        <f>'Parcel Ct by Type'!B56</f>
        <v>R-NVAB</v>
      </c>
      <c r="C56" s="22">
        <v>1136759059</v>
      </c>
      <c r="D56" s="22">
        <v>50539862002</v>
      </c>
      <c r="E56" s="22">
        <v>798174855</v>
      </c>
      <c r="F56" s="22">
        <v>19472787361</v>
      </c>
      <c r="G56" s="22">
        <v>3633631944</v>
      </c>
      <c r="H56" s="22">
        <v>7910021997</v>
      </c>
      <c r="I56" s="22">
        <v>122704916</v>
      </c>
      <c r="J56" s="22">
        <v>20865974</v>
      </c>
      <c r="K56" s="22">
        <v>786855859</v>
      </c>
      <c r="L56" s="22">
        <v>15227542778</v>
      </c>
      <c r="M56" s="22">
        <v>148921748</v>
      </c>
      <c r="N56" s="22">
        <v>4247410388</v>
      </c>
      <c r="O56" s="22">
        <v>20934477</v>
      </c>
      <c r="P56" s="22">
        <v>1182759881</v>
      </c>
      <c r="Q56" s="22">
        <v>11523332</v>
      </c>
      <c r="R56" s="22">
        <v>98729925</v>
      </c>
      <c r="S56" s="22">
        <v>189908341</v>
      </c>
      <c r="T56" s="22">
        <v>8004274</v>
      </c>
      <c r="U56" s="23">
        <v>105557399111</v>
      </c>
    </row>
    <row r="57" spans="1:21" ht="14.25" customHeight="1" x14ac:dyDescent="0.2">
      <c r="A57" s="20" t="s">
        <v>63</v>
      </c>
      <c r="B57" s="21" t="str">
        <f>'Parcel Ct by Type'!B57</f>
        <v>R-NVAB</v>
      </c>
      <c r="C57" s="22">
        <v>1235186044</v>
      </c>
      <c r="D57" s="22">
        <v>26739490842</v>
      </c>
      <c r="E57" s="22">
        <v>1463352125</v>
      </c>
      <c r="F57" s="22">
        <v>563466131</v>
      </c>
      <c r="G57" s="22">
        <v>743604359</v>
      </c>
      <c r="H57" s="22">
        <v>1942022012</v>
      </c>
      <c r="I57" s="22">
        <v>5930583</v>
      </c>
      <c r="J57" s="22">
        <v>297464696</v>
      </c>
      <c r="K57" s="22">
        <v>477133170</v>
      </c>
      <c r="L57" s="22">
        <v>5796007667</v>
      </c>
      <c r="M57" s="22">
        <v>123549435</v>
      </c>
      <c r="N57" s="22">
        <v>3986952455</v>
      </c>
      <c r="O57" s="22">
        <v>559169532</v>
      </c>
      <c r="P57" s="22">
        <v>71285926</v>
      </c>
      <c r="Q57" s="22">
        <v>6805615</v>
      </c>
      <c r="R57" s="22">
        <v>0</v>
      </c>
      <c r="S57" s="22">
        <v>239806062</v>
      </c>
      <c r="T57" s="22">
        <v>344668004</v>
      </c>
      <c r="U57" s="23">
        <v>44595894658</v>
      </c>
    </row>
    <row r="58" spans="1:21" ht="14.25" customHeight="1" x14ac:dyDescent="0.2">
      <c r="A58" s="20" t="s">
        <v>64</v>
      </c>
      <c r="B58" s="21" t="str">
        <f>'Parcel Ct by Type'!B58</f>
        <v>R-NVAB</v>
      </c>
      <c r="C58" s="22">
        <v>258006225</v>
      </c>
      <c r="D58" s="22">
        <v>1679411891</v>
      </c>
      <c r="E58" s="22">
        <v>592285147</v>
      </c>
      <c r="F58" s="22">
        <v>25800420</v>
      </c>
      <c r="G58" s="22">
        <v>18735755</v>
      </c>
      <c r="H58" s="22">
        <v>27242960</v>
      </c>
      <c r="I58" s="22">
        <v>0</v>
      </c>
      <c r="J58" s="22">
        <v>91790428</v>
      </c>
      <c r="K58" s="22">
        <v>24040573</v>
      </c>
      <c r="L58" s="22">
        <v>740435497</v>
      </c>
      <c r="M58" s="22">
        <v>6372475</v>
      </c>
      <c r="N58" s="22">
        <v>174961077</v>
      </c>
      <c r="O58" s="22">
        <v>74477565</v>
      </c>
      <c r="P58" s="22">
        <v>43199008</v>
      </c>
      <c r="Q58" s="22">
        <v>4423220</v>
      </c>
      <c r="R58" s="22">
        <v>0</v>
      </c>
      <c r="S58" s="22">
        <v>71210809</v>
      </c>
      <c r="T58" s="22">
        <v>76199812</v>
      </c>
      <c r="U58" s="23">
        <v>3908592862</v>
      </c>
    </row>
    <row r="59" spans="1:21" ht="14.25" customHeight="1" x14ac:dyDescent="0.2">
      <c r="A59" s="20" t="s">
        <v>65</v>
      </c>
      <c r="B59" s="21" t="str">
        <f>'Parcel Ct by Type'!B59</f>
        <v>R-NVAB</v>
      </c>
      <c r="C59" s="22">
        <v>1582292674</v>
      </c>
      <c r="D59" s="22">
        <v>28480635350</v>
      </c>
      <c r="E59" s="22">
        <v>358274934</v>
      </c>
      <c r="F59" s="22">
        <v>3365281192</v>
      </c>
      <c r="G59" s="22">
        <v>623410494</v>
      </c>
      <c r="H59" s="22">
        <v>422813730</v>
      </c>
      <c r="I59" s="22">
        <v>0</v>
      </c>
      <c r="J59" s="22">
        <v>269044</v>
      </c>
      <c r="K59" s="22">
        <v>473165068</v>
      </c>
      <c r="L59" s="22">
        <v>2823911918</v>
      </c>
      <c r="M59" s="22">
        <v>0</v>
      </c>
      <c r="N59" s="22">
        <v>491133139</v>
      </c>
      <c r="O59" s="22">
        <v>187052150</v>
      </c>
      <c r="P59" s="22">
        <v>271972636</v>
      </c>
      <c r="Q59" s="22">
        <v>19390715</v>
      </c>
      <c r="R59" s="22">
        <v>5628230</v>
      </c>
      <c r="S59" s="22">
        <v>36610545</v>
      </c>
      <c r="T59" s="22">
        <v>254905266</v>
      </c>
      <c r="U59" s="23">
        <v>39396747085</v>
      </c>
    </row>
    <row r="60" spans="1:21" ht="14.25" customHeight="1" x14ac:dyDescent="0.2">
      <c r="A60" s="20" t="s">
        <v>66</v>
      </c>
      <c r="B60" s="21" t="str">
        <f>'Parcel Ct by Type'!B60</f>
        <v>R-NVAB</v>
      </c>
      <c r="C60" s="22">
        <v>1043330574</v>
      </c>
      <c r="D60" s="22">
        <v>16656840323</v>
      </c>
      <c r="E60" s="22">
        <v>359995152</v>
      </c>
      <c r="F60" s="22">
        <v>2673021030</v>
      </c>
      <c r="G60" s="22">
        <v>208628088</v>
      </c>
      <c r="H60" s="22">
        <v>413170061</v>
      </c>
      <c r="I60" s="22">
        <v>0</v>
      </c>
      <c r="J60" s="22">
        <v>13818543</v>
      </c>
      <c r="K60" s="22">
        <v>305449430</v>
      </c>
      <c r="L60" s="22">
        <v>2670458318</v>
      </c>
      <c r="M60" s="22">
        <v>121059855</v>
      </c>
      <c r="N60" s="22">
        <v>931928837</v>
      </c>
      <c r="O60" s="22">
        <v>201956417</v>
      </c>
      <c r="P60" s="22">
        <v>284757817</v>
      </c>
      <c r="Q60" s="22">
        <v>21871416</v>
      </c>
      <c r="R60" s="22">
        <v>0</v>
      </c>
      <c r="S60" s="22">
        <v>224998029</v>
      </c>
      <c r="T60" s="22">
        <v>181207983</v>
      </c>
      <c r="U60" s="23">
        <v>26312491873</v>
      </c>
    </row>
    <row r="61" spans="1:21" ht="14.25" customHeight="1" x14ac:dyDescent="0.2">
      <c r="A61" s="20" t="s">
        <v>67</v>
      </c>
      <c r="B61" s="21" t="str">
        <f>'Parcel Ct by Type'!B61</f>
        <v>R-NVAB</v>
      </c>
      <c r="C61" s="22">
        <v>661298055</v>
      </c>
      <c r="D61" s="22">
        <v>9856787497</v>
      </c>
      <c r="E61" s="22">
        <v>238111803</v>
      </c>
      <c r="F61" s="22">
        <v>556743799</v>
      </c>
      <c r="G61" s="22">
        <v>97730848</v>
      </c>
      <c r="H61" s="22">
        <v>158419912</v>
      </c>
      <c r="I61" s="22">
        <v>0</v>
      </c>
      <c r="J61" s="22">
        <v>2738576</v>
      </c>
      <c r="K61" s="22">
        <v>166810615</v>
      </c>
      <c r="L61" s="22">
        <v>892400452</v>
      </c>
      <c r="M61" s="22">
        <v>16831996</v>
      </c>
      <c r="N61" s="22">
        <v>199954337</v>
      </c>
      <c r="O61" s="22">
        <v>197257946</v>
      </c>
      <c r="P61" s="22">
        <v>107237076</v>
      </c>
      <c r="Q61" s="22">
        <v>1098439</v>
      </c>
      <c r="R61" s="22">
        <v>102</v>
      </c>
      <c r="S61" s="22">
        <v>97843511</v>
      </c>
      <c r="T61" s="22">
        <v>91871424</v>
      </c>
      <c r="U61" s="23">
        <v>13343136388</v>
      </c>
    </row>
    <row r="62" spans="1:21" ht="14.25" customHeight="1" x14ac:dyDescent="0.2">
      <c r="A62" s="20" t="s">
        <v>68</v>
      </c>
      <c r="B62" s="21" t="str">
        <f>'Parcel Ct by Type'!B62</f>
        <v>R-NVAB</v>
      </c>
      <c r="C62" s="22">
        <v>2146014132</v>
      </c>
      <c r="D62" s="22">
        <v>42623965776</v>
      </c>
      <c r="E62" s="22">
        <v>917981610</v>
      </c>
      <c r="F62" s="22">
        <v>16690010348</v>
      </c>
      <c r="G62" s="22">
        <v>2402197351</v>
      </c>
      <c r="H62" s="22">
        <v>2402931869</v>
      </c>
      <c r="I62" s="22">
        <v>89109611</v>
      </c>
      <c r="J62" s="22">
        <v>569355758</v>
      </c>
      <c r="K62" s="22">
        <v>542684410</v>
      </c>
      <c r="L62" s="22">
        <v>8532705539</v>
      </c>
      <c r="M62" s="22">
        <v>39903944</v>
      </c>
      <c r="N62" s="22">
        <v>1703481261</v>
      </c>
      <c r="O62" s="22">
        <v>106630858</v>
      </c>
      <c r="P62" s="22">
        <v>837674196</v>
      </c>
      <c r="Q62" s="22">
        <v>27365013</v>
      </c>
      <c r="R62" s="22">
        <v>1116796</v>
      </c>
      <c r="S62" s="22">
        <v>92576806</v>
      </c>
      <c r="T62" s="22">
        <v>354805748</v>
      </c>
      <c r="U62" s="23">
        <v>80080511026</v>
      </c>
    </row>
    <row r="63" spans="1:21" ht="14.25" customHeight="1" x14ac:dyDescent="0.2">
      <c r="A63" s="20" t="s">
        <v>69</v>
      </c>
      <c r="B63" s="21" t="str">
        <f>'Parcel Ct by Type'!B63</f>
        <v>R-NVAB</v>
      </c>
      <c r="C63" s="22">
        <v>474651635</v>
      </c>
      <c r="D63" s="22">
        <v>26506488358</v>
      </c>
      <c r="E63" s="22">
        <v>108499997</v>
      </c>
      <c r="F63" s="22">
        <v>1331409546</v>
      </c>
      <c r="G63" s="22">
        <v>210309980</v>
      </c>
      <c r="H63" s="22">
        <v>4876221939</v>
      </c>
      <c r="I63" s="22">
        <v>10976990</v>
      </c>
      <c r="J63" s="22">
        <v>42160332</v>
      </c>
      <c r="K63" s="22">
        <v>455551237</v>
      </c>
      <c r="L63" s="22">
        <v>5907238593</v>
      </c>
      <c r="M63" s="22">
        <v>96795570</v>
      </c>
      <c r="N63" s="22">
        <v>1833804714</v>
      </c>
      <c r="O63" s="22">
        <v>37353781</v>
      </c>
      <c r="P63" s="22">
        <v>594051270</v>
      </c>
      <c r="Q63" s="22">
        <v>6631275</v>
      </c>
      <c r="R63" s="22">
        <v>0</v>
      </c>
      <c r="S63" s="22">
        <v>56538717</v>
      </c>
      <c r="T63" s="22">
        <v>311037</v>
      </c>
      <c r="U63" s="23">
        <v>42548994971</v>
      </c>
    </row>
    <row r="64" spans="1:21" ht="14.25" customHeight="1" x14ac:dyDescent="0.2">
      <c r="A64" s="20" t="s">
        <v>70</v>
      </c>
      <c r="B64" s="21" t="str">
        <f>'Parcel Ct by Type'!B64</f>
        <v>R-NVAB</v>
      </c>
      <c r="C64" s="22">
        <v>195150290</v>
      </c>
      <c r="D64" s="22">
        <v>13953272340</v>
      </c>
      <c r="E64" s="22">
        <v>221474827</v>
      </c>
      <c r="F64" s="22">
        <v>43261334</v>
      </c>
      <c r="G64" s="22">
        <v>7702690</v>
      </c>
      <c r="H64" s="22">
        <v>148391300</v>
      </c>
      <c r="I64" s="22">
        <v>200</v>
      </c>
      <c r="J64" s="22">
        <v>17421190</v>
      </c>
      <c r="K64" s="22">
        <v>112722980</v>
      </c>
      <c r="L64" s="22">
        <v>1167200987</v>
      </c>
      <c r="M64" s="22">
        <v>3453700</v>
      </c>
      <c r="N64" s="22">
        <v>226472850</v>
      </c>
      <c r="O64" s="22">
        <v>297491185</v>
      </c>
      <c r="P64" s="22">
        <v>339052286</v>
      </c>
      <c r="Q64" s="22">
        <v>5451690</v>
      </c>
      <c r="R64" s="22">
        <v>0</v>
      </c>
      <c r="S64" s="22">
        <v>25419940</v>
      </c>
      <c r="T64" s="22">
        <v>40889626</v>
      </c>
      <c r="U64" s="23">
        <v>16804829415</v>
      </c>
    </row>
    <row r="65" spans="1:21" ht="14.25" customHeight="1" x14ac:dyDescent="0.2">
      <c r="A65" s="20" t="s">
        <v>71</v>
      </c>
      <c r="B65" s="21" t="str">
        <f>'Parcel Ct by Type'!B65</f>
        <v>R-NVAB</v>
      </c>
      <c r="C65" s="22">
        <v>163184107</v>
      </c>
      <c r="D65" s="22">
        <v>479232332</v>
      </c>
      <c r="E65" s="22">
        <v>250982627</v>
      </c>
      <c r="F65" s="22">
        <v>0</v>
      </c>
      <c r="G65" s="22">
        <v>6351530</v>
      </c>
      <c r="H65" s="22">
        <v>5845847</v>
      </c>
      <c r="I65" s="22">
        <v>0</v>
      </c>
      <c r="J65" s="22">
        <v>0</v>
      </c>
      <c r="K65" s="22">
        <v>18260113</v>
      </c>
      <c r="L65" s="22">
        <v>166825368</v>
      </c>
      <c r="M65" s="22">
        <v>33546</v>
      </c>
      <c r="N65" s="22">
        <v>99796183</v>
      </c>
      <c r="O65" s="22">
        <v>288446891</v>
      </c>
      <c r="P65" s="22">
        <v>14106907</v>
      </c>
      <c r="Q65" s="22">
        <v>2988444</v>
      </c>
      <c r="R65" s="22">
        <v>0</v>
      </c>
      <c r="S65" s="22">
        <v>9719474</v>
      </c>
      <c r="T65" s="22">
        <v>36586922</v>
      </c>
      <c r="U65" s="23">
        <v>1542360291</v>
      </c>
    </row>
    <row r="66" spans="1:21" ht="14.25" customHeight="1" x14ac:dyDescent="0.2">
      <c r="A66" s="20" t="s">
        <v>72</v>
      </c>
      <c r="B66" s="21" t="str">
        <f>'Parcel Ct by Type'!B66</f>
        <v>R-Final</v>
      </c>
      <c r="C66" s="22">
        <v>110182730</v>
      </c>
      <c r="D66" s="22">
        <v>397635737</v>
      </c>
      <c r="E66" s="22">
        <v>111156360</v>
      </c>
      <c r="F66" s="22">
        <v>13340420</v>
      </c>
      <c r="G66" s="22">
        <v>4041780</v>
      </c>
      <c r="H66" s="22">
        <v>7561200</v>
      </c>
      <c r="I66" s="22">
        <v>0</v>
      </c>
      <c r="J66" s="22">
        <v>0</v>
      </c>
      <c r="K66" s="22">
        <v>2878550</v>
      </c>
      <c r="L66" s="22">
        <v>96669050</v>
      </c>
      <c r="M66" s="22">
        <v>0</v>
      </c>
      <c r="N66" s="22">
        <v>24677312</v>
      </c>
      <c r="O66" s="22">
        <v>190583390</v>
      </c>
      <c r="P66" s="22">
        <v>2355960</v>
      </c>
      <c r="Q66" s="22">
        <v>0</v>
      </c>
      <c r="R66" s="22">
        <v>150290</v>
      </c>
      <c r="S66" s="22">
        <v>5948456</v>
      </c>
      <c r="T66" s="22">
        <v>19247016</v>
      </c>
      <c r="U66" s="23">
        <v>986428251</v>
      </c>
    </row>
    <row r="67" spans="1:21" ht="14.25" customHeight="1" x14ac:dyDescent="0.2">
      <c r="A67" s="20" t="s">
        <v>73</v>
      </c>
      <c r="B67" s="21" t="str">
        <f>'Parcel Ct by Type'!B67</f>
        <v>R-Final</v>
      </c>
      <c r="C67" s="22">
        <v>9791215</v>
      </c>
      <c r="D67" s="22">
        <v>77082573</v>
      </c>
      <c r="E67" s="22">
        <v>30543773</v>
      </c>
      <c r="F67" s="22">
        <v>1215000</v>
      </c>
      <c r="G67" s="22">
        <v>37326</v>
      </c>
      <c r="H67" s="22">
        <v>1982862</v>
      </c>
      <c r="I67" s="22">
        <v>0</v>
      </c>
      <c r="J67" s="22">
        <v>1527669</v>
      </c>
      <c r="K67" s="22">
        <v>403019</v>
      </c>
      <c r="L67" s="22">
        <v>14819037</v>
      </c>
      <c r="M67" s="22">
        <v>250000</v>
      </c>
      <c r="N67" s="22">
        <v>3216171</v>
      </c>
      <c r="O67" s="22">
        <v>96343163</v>
      </c>
      <c r="P67" s="22">
        <v>1348517</v>
      </c>
      <c r="Q67" s="22">
        <v>55989</v>
      </c>
      <c r="R67" s="22">
        <v>0</v>
      </c>
      <c r="S67" s="22">
        <v>6558926</v>
      </c>
      <c r="T67" s="22">
        <v>0</v>
      </c>
      <c r="U67" s="23">
        <v>245175240</v>
      </c>
    </row>
    <row r="68" spans="1:21" ht="14.25" customHeight="1" x14ac:dyDescent="0.2">
      <c r="A68" s="20" t="s">
        <v>74</v>
      </c>
      <c r="B68" s="21" t="str">
        <f>'Parcel Ct by Type'!B68</f>
        <v>R-NVAB</v>
      </c>
      <c r="C68" s="22">
        <v>986473588</v>
      </c>
      <c r="D68" s="22">
        <v>26364953792</v>
      </c>
      <c r="E68" s="22">
        <v>421227094</v>
      </c>
      <c r="F68" s="22">
        <v>6356795251</v>
      </c>
      <c r="G68" s="22">
        <v>528087149</v>
      </c>
      <c r="H68" s="22">
        <v>1777967731</v>
      </c>
      <c r="I68" s="22">
        <v>30323264</v>
      </c>
      <c r="J68" s="22">
        <v>0</v>
      </c>
      <c r="K68" s="22">
        <v>503311254</v>
      </c>
      <c r="L68" s="22">
        <v>5594757700</v>
      </c>
      <c r="M68" s="22">
        <v>69770282</v>
      </c>
      <c r="N68" s="22">
        <v>1238064947</v>
      </c>
      <c r="O68" s="22">
        <v>321542031</v>
      </c>
      <c r="P68" s="22">
        <v>400368292</v>
      </c>
      <c r="Q68" s="22">
        <v>28221864</v>
      </c>
      <c r="R68" s="22">
        <v>86102043</v>
      </c>
      <c r="S68" s="22">
        <v>64614845</v>
      </c>
      <c r="T68" s="22">
        <v>192182369</v>
      </c>
      <c r="U68" s="23">
        <v>44964763496</v>
      </c>
    </row>
    <row r="69" spans="1:21" ht="14.25" customHeight="1" x14ac:dyDescent="0.2">
      <c r="A69" s="20" t="s">
        <v>75</v>
      </c>
      <c r="B69" s="21" t="str">
        <f>'Parcel Ct by Type'!B69</f>
        <v>R-Final</v>
      </c>
      <c r="C69" s="22">
        <v>107536869</v>
      </c>
      <c r="D69" s="22">
        <v>1019132379</v>
      </c>
      <c r="E69" s="22">
        <v>111674930</v>
      </c>
      <c r="F69" s="22">
        <v>36718287</v>
      </c>
      <c r="G69" s="22">
        <v>3314874</v>
      </c>
      <c r="H69" s="22">
        <v>7524665</v>
      </c>
      <c r="I69" s="22">
        <v>0</v>
      </c>
      <c r="J69" s="22">
        <v>9104548</v>
      </c>
      <c r="K69" s="22">
        <v>22246548</v>
      </c>
      <c r="L69" s="22">
        <v>88640949</v>
      </c>
      <c r="M69" s="22">
        <v>602241</v>
      </c>
      <c r="N69" s="22">
        <v>29253118</v>
      </c>
      <c r="O69" s="22">
        <v>98314422</v>
      </c>
      <c r="P69" s="22">
        <v>3434542</v>
      </c>
      <c r="Q69" s="22">
        <v>708761</v>
      </c>
      <c r="R69" s="22">
        <v>0</v>
      </c>
      <c r="S69" s="22">
        <v>2050066</v>
      </c>
      <c r="T69" s="22">
        <v>27197558</v>
      </c>
      <c r="U69" s="23">
        <v>1567454757</v>
      </c>
    </row>
    <row r="70" spans="1:21" ht="14.25" customHeight="1" x14ac:dyDescent="0.2">
      <c r="A70" s="20" t="s">
        <v>76</v>
      </c>
      <c r="B70" s="21" t="str">
        <f>'Parcel Ct by Type'!B70</f>
        <v>R-NVAB</v>
      </c>
      <c r="C70" s="22">
        <v>2192119755</v>
      </c>
      <c r="D70" s="22">
        <v>20881225903</v>
      </c>
      <c r="E70" s="22">
        <v>164961356</v>
      </c>
      <c r="F70" s="22">
        <v>4956729196</v>
      </c>
      <c r="G70" s="22">
        <v>128899934</v>
      </c>
      <c r="H70" s="22">
        <v>378952932</v>
      </c>
      <c r="I70" s="22">
        <v>0</v>
      </c>
      <c r="J70" s="22">
        <v>106074196</v>
      </c>
      <c r="K70" s="22">
        <v>64734238</v>
      </c>
      <c r="L70" s="22">
        <v>1315133376</v>
      </c>
      <c r="M70" s="22">
        <v>2960854</v>
      </c>
      <c r="N70" s="22">
        <v>185946613</v>
      </c>
      <c r="O70" s="22">
        <v>148873325</v>
      </c>
      <c r="P70" s="22">
        <v>76767713</v>
      </c>
      <c r="Q70" s="22">
        <v>13311761</v>
      </c>
      <c r="R70" s="22">
        <v>0</v>
      </c>
      <c r="S70" s="22">
        <v>18833447</v>
      </c>
      <c r="T70" s="22">
        <v>203221537</v>
      </c>
      <c r="U70" s="23">
        <v>30838746136</v>
      </c>
    </row>
    <row r="71" spans="1:21" ht="14.25" customHeight="1" x14ac:dyDescent="0.2">
      <c r="A71" s="20" t="s">
        <v>77</v>
      </c>
      <c r="B71" s="21" t="str">
        <f>'Parcel Ct by Type'!B71</f>
        <v>R-Final</v>
      </c>
      <c r="C71" s="22">
        <v>116528934</v>
      </c>
      <c r="D71" s="22">
        <v>340986019</v>
      </c>
      <c r="E71" s="22">
        <v>88767660</v>
      </c>
      <c r="F71" s="22">
        <v>0</v>
      </c>
      <c r="G71" s="22">
        <v>7691163</v>
      </c>
      <c r="H71" s="22">
        <v>1206159</v>
      </c>
      <c r="I71" s="22">
        <v>0</v>
      </c>
      <c r="J71" s="22">
        <v>57297</v>
      </c>
      <c r="K71" s="22">
        <v>7745119</v>
      </c>
      <c r="L71" s="22">
        <v>67698743</v>
      </c>
      <c r="M71" s="22">
        <v>45188</v>
      </c>
      <c r="N71" s="22">
        <v>20788773</v>
      </c>
      <c r="O71" s="22">
        <v>140437388</v>
      </c>
      <c r="P71" s="22">
        <v>3662003</v>
      </c>
      <c r="Q71" s="22">
        <v>8539540</v>
      </c>
      <c r="R71" s="22">
        <v>0</v>
      </c>
      <c r="S71" s="22">
        <v>5686380</v>
      </c>
      <c r="T71" s="22">
        <v>20210453</v>
      </c>
      <c r="U71" s="23">
        <v>830050819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>SUM(C5:C71)</f>
        <v>52607718123</v>
      </c>
      <c r="D73" s="26">
        <f t="shared" ref="D73:T73" si="0">SUM(D5:D71)</f>
        <v>1263722381697</v>
      </c>
      <c r="E73" s="26">
        <f t="shared" si="0"/>
        <v>21495130719</v>
      </c>
      <c r="F73" s="26">
        <f t="shared" si="0"/>
        <v>366782809204</v>
      </c>
      <c r="G73" s="26">
        <f t="shared" si="0"/>
        <v>43178721770</v>
      </c>
      <c r="H73" s="26">
        <f t="shared" si="0"/>
        <v>145971666812</v>
      </c>
      <c r="I73" s="26">
        <f t="shared" si="0"/>
        <v>5259089674</v>
      </c>
      <c r="J73" s="26">
        <f t="shared" si="0"/>
        <v>7247961506</v>
      </c>
      <c r="K73" s="26">
        <f t="shared" si="0"/>
        <v>22458529486</v>
      </c>
      <c r="L73" s="26">
        <f t="shared" si="0"/>
        <v>342380712302</v>
      </c>
      <c r="M73" s="26">
        <f t="shared" si="0"/>
        <v>4208076545</v>
      </c>
      <c r="N73" s="26">
        <f t="shared" si="0"/>
        <v>103455628918</v>
      </c>
      <c r="O73" s="26">
        <f t="shared" si="0"/>
        <v>18850533172</v>
      </c>
      <c r="P73" s="26">
        <f t="shared" si="0"/>
        <v>17768048910</v>
      </c>
      <c r="Q73" s="26">
        <f t="shared" si="0"/>
        <v>1577314607</v>
      </c>
      <c r="R73" s="26">
        <f t="shared" si="0"/>
        <v>3314809098</v>
      </c>
      <c r="S73" s="26">
        <f t="shared" si="0"/>
        <v>4959391669</v>
      </c>
      <c r="T73" s="26">
        <f t="shared" si="0"/>
        <v>7698924733</v>
      </c>
      <c r="U73" s="28">
        <f>SUM(U5:U71)</f>
        <v>2432937448945</v>
      </c>
    </row>
    <row r="75" spans="1:21" x14ac:dyDescent="0.2">
      <c r="A75" s="3" t="s">
        <v>112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0" priority="1" stopIfTrue="1">
      <formula>MOD(ROW(),3)=1</formula>
    </cfRule>
  </conditionalFormatting>
  <pageMargins left="0.7" right="0.7" top="0.75" bottom="0.75" header="0.3" footer="0.3"/>
  <pageSetup scale="70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5037949-5696-4BD9-92AB-043A40E21E77}"/>
</file>

<file path=customXml/itemProps2.xml><?xml version="1.0" encoding="utf-8"?>
<ds:datastoreItem xmlns:ds="http://schemas.openxmlformats.org/officeDocument/2006/customXml" ds:itemID="{A83B43E9-210B-4A33-83F0-9C7321B1C057}"/>
</file>

<file path=customXml/itemProps3.xml><?xml version="1.0" encoding="utf-8"?>
<ds:datastoreItem xmlns:ds="http://schemas.openxmlformats.org/officeDocument/2006/customXml" ds:itemID="{FEAEDAA9-F529-4E79-8FD0-AD14F436E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State Summary by Type</vt:lpstr>
      <vt:lpstr>Parcel Ct by Type</vt:lpstr>
      <vt:lpstr>Just Value by Type </vt:lpstr>
      <vt:lpstr>Taxable Value by Type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2011-02-11T15:38:45Z</cp:lastPrinted>
  <dcterms:created xsi:type="dcterms:W3CDTF">2010-10-01T18:06:46Z</dcterms:created>
  <dcterms:modified xsi:type="dcterms:W3CDTF">2022-11-28T18:56:16Z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