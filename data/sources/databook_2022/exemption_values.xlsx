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2 Data Book\Final Drafts\"/>
    </mc:Choice>
  </mc:AlternateContent>
  <xr:revisionPtr revIDLastSave="0" documentId="13_ncr:1_{3F7690EF-EEBA-4B7F-8169-DE8D7B19562F}" xr6:coauthVersionLast="47" xr6:coauthVersionMax="47" xr10:uidLastSave="{00000000-0000-0000-0000-000000000000}"/>
  <bookViews>
    <workbookView xWindow="28680" yWindow="-120" windowWidth="29040" windowHeight="15840" tabRatio="692" xr2:uid="{00000000-000D-0000-FFFF-FFFF00000000}"/>
  </bookViews>
  <sheets>
    <sheet name="Report Index" sheetId="1" r:id="rId1"/>
    <sheet name="Total Exemption Value by Type" sheetId="2" r:id="rId2"/>
    <sheet name="Real Exemption Value by Type" sheetId="6" r:id="rId3"/>
    <sheet name="Personal Property by Type" sheetId="4" r:id="rId4"/>
    <sheet name="3-Year Homestead Comparison" sheetId="3" r:id="rId5"/>
  </sheets>
  <definedNames>
    <definedName name="_xlnm._FilterDatabase" localSheetId="0" hidden="1">'Report Index'!$A$2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6" l="1"/>
  <c r="K5" i="4" l="1"/>
  <c r="L5" i="4" s="1"/>
  <c r="E73" i="3"/>
  <c r="I73" i="4"/>
  <c r="K6" i="4"/>
  <c r="L6" i="4" s="1"/>
  <c r="K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R6" i="6"/>
  <c r="S6" i="6" s="1"/>
  <c r="R7" i="6"/>
  <c r="S7" i="6" s="1"/>
  <c r="R8" i="6"/>
  <c r="S8" i="6" s="1"/>
  <c r="R9" i="6"/>
  <c r="S9" i="6" s="1"/>
  <c r="R10" i="6"/>
  <c r="S10" i="6" s="1"/>
  <c r="R11" i="6"/>
  <c r="S11" i="6" s="1"/>
  <c r="R12" i="6"/>
  <c r="S12" i="6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3" i="6"/>
  <c r="S23" i="6" s="1"/>
  <c r="R24" i="6"/>
  <c r="S24" i="6" s="1"/>
  <c r="R25" i="6"/>
  <c r="S25" i="6" s="1"/>
  <c r="R26" i="6"/>
  <c r="S26" i="6" s="1"/>
  <c r="R27" i="6"/>
  <c r="S27" i="6" s="1"/>
  <c r="R28" i="6"/>
  <c r="S28" i="6" s="1"/>
  <c r="R29" i="6"/>
  <c r="S29" i="6" s="1"/>
  <c r="R30" i="6"/>
  <c r="S30" i="6" s="1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R41" i="6"/>
  <c r="S41" i="6" s="1"/>
  <c r="R42" i="6"/>
  <c r="S42" i="6" s="1"/>
  <c r="R43" i="6"/>
  <c r="S43" i="6" s="1"/>
  <c r="R44" i="6"/>
  <c r="S44" i="6" s="1"/>
  <c r="R45" i="6"/>
  <c r="S45" i="6" s="1"/>
  <c r="R46" i="6"/>
  <c r="S46" i="6" s="1"/>
  <c r="R47" i="6"/>
  <c r="S47" i="6" s="1"/>
  <c r="R48" i="6"/>
  <c r="S48" i="6" s="1"/>
  <c r="R49" i="6"/>
  <c r="S49" i="6" s="1"/>
  <c r="R50" i="6"/>
  <c r="S50" i="6" s="1"/>
  <c r="R51" i="6"/>
  <c r="S51" i="6" s="1"/>
  <c r="R52" i="6"/>
  <c r="S52" i="6" s="1"/>
  <c r="R53" i="6"/>
  <c r="S53" i="6" s="1"/>
  <c r="R54" i="6"/>
  <c r="S54" i="6" s="1"/>
  <c r="R55" i="6"/>
  <c r="S55" i="6" s="1"/>
  <c r="R56" i="6"/>
  <c r="S56" i="6" s="1"/>
  <c r="R57" i="6"/>
  <c r="S57" i="6" s="1"/>
  <c r="R58" i="6"/>
  <c r="S58" i="6" s="1"/>
  <c r="R59" i="6"/>
  <c r="S59" i="6" s="1"/>
  <c r="R60" i="6"/>
  <c r="S60" i="6" s="1"/>
  <c r="R61" i="6"/>
  <c r="S61" i="6" s="1"/>
  <c r="R62" i="6"/>
  <c r="S62" i="6" s="1"/>
  <c r="R63" i="6"/>
  <c r="S63" i="6" s="1"/>
  <c r="R64" i="6"/>
  <c r="S64" i="6" s="1"/>
  <c r="R65" i="6"/>
  <c r="S65" i="6" s="1"/>
  <c r="R66" i="6"/>
  <c r="S66" i="6" s="1"/>
  <c r="R67" i="6"/>
  <c r="S67" i="6" s="1"/>
  <c r="R68" i="6"/>
  <c r="S68" i="6" s="1"/>
  <c r="R69" i="6"/>
  <c r="S69" i="6" s="1"/>
  <c r="R70" i="6"/>
  <c r="S70" i="6" s="1"/>
  <c r="R71" i="6"/>
  <c r="S71" i="6" s="1"/>
  <c r="S5" i="6"/>
  <c r="S73" i="2"/>
  <c r="R73" i="2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" i="3"/>
  <c r="L22" i="4"/>
  <c r="J73" i="4"/>
  <c r="Q73" i="2"/>
  <c r="P73" i="6"/>
  <c r="M5" i="3"/>
  <c r="O5" i="3"/>
  <c r="Q5" i="3"/>
  <c r="M6" i="3"/>
  <c r="O6" i="3"/>
  <c r="Q6" i="3"/>
  <c r="M7" i="3"/>
  <c r="O7" i="3"/>
  <c r="Q7" i="3"/>
  <c r="M8" i="3"/>
  <c r="O8" i="3"/>
  <c r="Q8" i="3"/>
  <c r="M9" i="3"/>
  <c r="O9" i="3"/>
  <c r="P9" i="3" s="1"/>
  <c r="Q9" i="3"/>
  <c r="M10" i="3"/>
  <c r="O10" i="3"/>
  <c r="Q10" i="3"/>
  <c r="M11" i="3"/>
  <c r="O11" i="3"/>
  <c r="Q11" i="3"/>
  <c r="M12" i="3"/>
  <c r="N12" i="3" s="1"/>
  <c r="O12" i="3"/>
  <c r="Q12" i="3"/>
  <c r="M13" i="3"/>
  <c r="O13" i="3"/>
  <c r="Q13" i="3"/>
  <c r="M14" i="3"/>
  <c r="O14" i="3"/>
  <c r="P14" i="3" s="1"/>
  <c r="Q14" i="3"/>
  <c r="M15" i="3"/>
  <c r="O15" i="3"/>
  <c r="Q15" i="3"/>
  <c r="M16" i="3"/>
  <c r="O16" i="3"/>
  <c r="Q16" i="3"/>
  <c r="M17" i="3"/>
  <c r="O17" i="3"/>
  <c r="Q17" i="3"/>
  <c r="M18" i="3"/>
  <c r="O18" i="3"/>
  <c r="Q18" i="3"/>
  <c r="M19" i="3"/>
  <c r="O19" i="3"/>
  <c r="Q19" i="3"/>
  <c r="M20" i="3"/>
  <c r="O20" i="3"/>
  <c r="Q20" i="3"/>
  <c r="M21" i="3"/>
  <c r="O21" i="3"/>
  <c r="Q21" i="3"/>
  <c r="M22" i="3"/>
  <c r="O22" i="3"/>
  <c r="Q22" i="3"/>
  <c r="P22" i="3" s="1"/>
  <c r="M23" i="3"/>
  <c r="O23" i="3"/>
  <c r="Q23" i="3"/>
  <c r="M24" i="3"/>
  <c r="O24" i="3"/>
  <c r="Q24" i="3"/>
  <c r="M25" i="3"/>
  <c r="O25" i="3"/>
  <c r="Q25" i="3"/>
  <c r="M26" i="3"/>
  <c r="O26" i="3"/>
  <c r="N26" i="3" s="1"/>
  <c r="Q26" i="3"/>
  <c r="M27" i="3"/>
  <c r="O27" i="3"/>
  <c r="Q27" i="3"/>
  <c r="M28" i="3"/>
  <c r="O28" i="3"/>
  <c r="Q28" i="3"/>
  <c r="M29" i="3"/>
  <c r="O29" i="3"/>
  <c r="Q29" i="3"/>
  <c r="M30" i="3"/>
  <c r="O30" i="3"/>
  <c r="P30" i="3" s="1"/>
  <c r="Q30" i="3"/>
  <c r="M31" i="3"/>
  <c r="O31" i="3"/>
  <c r="Q31" i="3"/>
  <c r="M32" i="3"/>
  <c r="O32" i="3"/>
  <c r="N32" i="3" s="1"/>
  <c r="Q32" i="3"/>
  <c r="M33" i="3"/>
  <c r="O33" i="3"/>
  <c r="Q33" i="3"/>
  <c r="M34" i="3"/>
  <c r="O34" i="3"/>
  <c r="Q34" i="3"/>
  <c r="M35" i="3"/>
  <c r="O35" i="3"/>
  <c r="Q35" i="3"/>
  <c r="P35" i="3" s="1"/>
  <c r="M36" i="3"/>
  <c r="O36" i="3"/>
  <c r="Q36" i="3"/>
  <c r="M37" i="3"/>
  <c r="O37" i="3"/>
  <c r="Q37" i="3"/>
  <c r="M38" i="3"/>
  <c r="O38" i="3"/>
  <c r="Q38" i="3"/>
  <c r="M39" i="3"/>
  <c r="O39" i="3"/>
  <c r="N39" i="3" s="1"/>
  <c r="Q39" i="3"/>
  <c r="M40" i="3"/>
  <c r="O40" i="3"/>
  <c r="Q40" i="3"/>
  <c r="M41" i="3"/>
  <c r="O41" i="3"/>
  <c r="Q41" i="3"/>
  <c r="M42" i="3"/>
  <c r="O42" i="3"/>
  <c r="Q42" i="3"/>
  <c r="M43" i="3"/>
  <c r="O43" i="3"/>
  <c r="Q43" i="3"/>
  <c r="P43" i="3" s="1"/>
  <c r="M44" i="3"/>
  <c r="O44" i="3"/>
  <c r="Q44" i="3"/>
  <c r="M45" i="3"/>
  <c r="O45" i="3"/>
  <c r="Q45" i="3"/>
  <c r="M46" i="3"/>
  <c r="O46" i="3"/>
  <c r="Q46" i="3"/>
  <c r="M47" i="3"/>
  <c r="O47" i="3"/>
  <c r="Q47" i="3"/>
  <c r="M48" i="3"/>
  <c r="N48" i="3" s="1"/>
  <c r="O48" i="3"/>
  <c r="Q48" i="3"/>
  <c r="M49" i="3"/>
  <c r="O49" i="3"/>
  <c r="Q49" i="3"/>
  <c r="M50" i="3"/>
  <c r="O50" i="3"/>
  <c r="Q50" i="3"/>
  <c r="M51" i="3"/>
  <c r="O51" i="3"/>
  <c r="Q51" i="3"/>
  <c r="M52" i="3"/>
  <c r="O52" i="3"/>
  <c r="Q52" i="3"/>
  <c r="P52" i="3" s="1"/>
  <c r="M53" i="3"/>
  <c r="O53" i="3"/>
  <c r="Q53" i="3"/>
  <c r="M54" i="3"/>
  <c r="O54" i="3"/>
  <c r="Q54" i="3"/>
  <c r="M55" i="3"/>
  <c r="O55" i="3"/>
  <c r="Q55" i="3"/>
  <c r="M56" i="3"/>
  <c r="O56" i="3"/>
  <c r="P56" i="3" s="1"/>
  <c r="Q56" i="3"/>
  <c r="M57" i="3"/>
  <c r="O57" i="3"/>
  <c r="Q57" i="3"/>
  <c r="M58" i="3"/>
  <c r="O58" i="3"/>
  <c r="Q58" i="3"/>
  <c r="M59" i="3"/>
  <c r="O59" i="3"/>
  <c r="Q59" i="3"/>
  <c r="M60" i="3"/>
  <c r="O60" i="3"/>
  <c r="Q60" i="3"/>
  <c r="M61" i="3"/>
  <c r="O61" i="3"/>
  <c r="Q61" i="3"/>
  <c r="M62" i="3"/>
  <c r="O62" i="3"/>
  <c r="Q62" i="3"/>
  <c r="M63" i="3"/>
  <c r="O63" i="3"/>
  <c r="Q63" i="3"/>
  <c r="M64" i="3"/>
  <c r="N64" i="3" s="1"/>
  <c r="O64" i="3"/>
  <c r="Q64" i="3"/>
  <c r="M65" i="3"/>
  <c r="O65" i="3"/>
  <c r="Q65" i="3"/>
  <c r="M66" i="3"/>
  <c r="O66" i="3"/>
  <c r="Q66" i="3"/>
  <c r="M67" i="3"/>
  <c r="O67" i="3"/>
  <c r="Q67" i="3"/>
  <c r="M68" i="3"/>
  <c r="O68" i="3"/>
  <c r="Q68" i="3"/>
  <c r="M69" i="3"/>
  <c r="O69" i="3"/>
  <c r="Q69" i="3"/>
  <c r="M70" i="3"/>
  <c r="O70" i="3"/>
  <c r="Q70" i="3"/>
  <c r="M71" i="3"/>
  <c r="O71" i="3"/>
  <c r="N71" i="3" s="1"/>
  <c r="Q71" i="3"/>
  <c r="C73" i="3"/>
  <c r="G73" i="3"/>
  <c r="H73" i="3"/>
  <c r="J73" i="3"/>
  <c r="L73" i="3"/>
  <c r="B73" i="4"/>
  <c r="C73" i="4"/>
  <c r="D73" i="4"/>
  <c r="E73" i="4"/>
  <c r="F73" i="4"/>
  <c r="G73" i="4"/>
  <c r="H73" i="4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Q73" i="6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N52" i="3"/>
  <c r="P33" i="3" l="1"/>
  <c r="P17" i="3"/>
  <c r="P63" i="3"/>
  <c r="P39" i="3"/>
  <c r="N63" i="3"/>
  <c r="N47" i="3"/>
  <c r="P11" i="3"/>
  <c r="P10" i="3"/>
  <c r="P25" i="3"/>
  <c r="P67" i="3"/>
  <c r="P19" i="3"/>
  <c r="N65" i="3"/>
  <c r="N22" i="3"/>
  <c r="P21" i="3"/>
  <c r="N37" i="3"/>
  <c r="I73" i="3"/>
  <c r="N14" i="3"/>
  <c r="N40" i="3"/>
  <c r="P18" i="3"/>
  <c r="F73" i="3"/>
  <c r="P15" i="3"/>
  <c r="P34" i="3"/>
  <c r="P44" i="3"/>
  <c r="P23" i="3"/>
  <c r="P7" i="3"/>
  <c r="N33" i="3"/>
  <c r="N17" i="3"/>
  <c r="N38" i="3"/>
  <c r="N43" i="3"/>
  <c r="P37" i="3"/>
  <c r="N6" i="3"/>
  <c r="N10" i="3"/>
  <c r="N21" i="3"/>
  <c r="P50" i="3"/>
  <c r="N50" i="3"/>
  <c r="P26" i="3"/>
  <c r="N56" i="3"/>
  <c r="P65" i="3"/>
  <c r="N29" i="3"/>
  <c r="N13" i="3"/>
  <c r="N60" i="3"/>
  <c r="P54" i="3"/>
  <c r="P38" i="3"/>
  <c r="N36" i="3"/>
  <c r="N28" i="3"/>
  <c r="P69" i="3"/>
  <c r="P61" i="3"/>
  <c r="P57" i="3"/>
  <c r="P53" i="3"/>
  <c r="P49" i="3"/>
  <c r="P45" i="3"/>
  <c r="P41" i="3"/>
  <c r="K73" i="3"/>
  <c r="P6" i="3"/>
  <c r="P70" i="3"/>
  <c r="P66" i="3"/>
  <c r="P62" i="3"/>
  <c r="P58" i="3"/>
  <c r="P46" i="3"/>
  <c r="P42" i="3"/>
  <c r="P32" i="3"/>
  <c r="P24" i="3"/>
  <c r="P20" i="3"/>
  <c r="P16" i="3"/>
  <c r="P12" i="3"/>
  <c r="P8" i="3"/>
  <c r="P59" i="3"/>
  <c r="P55" i="3"/>
  <c r="P29" i="3"/>
  <c r="P13" i="3"/>
  <c r="Q73" i="3"/>
  <c r="N69" i="3"/>
  <c r="N57" i="3"/>
  <c r="N53" i="3"/>
  <c r="N41" i="3"/>
  <c r="N35" i="3"/>
  <c r="N27" i="3"/>
  <c r="N23" i="3"/>
  <c r="N19" i="3"/>
  <c r="N15" i="3"/>
  <c r="N11" i="3"/>
  <c r="N70" i="3"/>
  <c r="P71" i="3"/>
  <c r="N66" i="3"/>
  <c r="P60" i="3"/>
  <c r="N54" i="3"/>
  <c r="P48" i="3"/>
  <c r="N46" i="3"/>
  <c r="N67" i="3"/>
  <c r="P28" i="3"/>
  <c r="N59" i="3"/>
  <c r="N55" i="3"/>
  <c r="N51" i="3"/>
  <c r="P40" i="3"/>
  <c r="N7" i="3"/>
  <c r="N16" i="3"/>
  <c r="P27" i="3"/>
  <c r="N9" i="3"/>
  <c r="N8" i="3"/>
  <c r="N42" i="3"/>
  <c r="D73" i="3"/>
  <c r="P64" i="3"/>
  <c r="P51" i="3"/>
  <c r="N49" i="3"/>
  <c r="N45" i="3"/>
  <c r="N44" i="3"/>
  <c r="P36" i="3"/>
  <c r="N34" i="3"/>
  <c r="N30" i="3"/>
  <c r="N18" i="3"/>
  <c r="N31" i="3"/>
  <c r="N25" i="3"/>
  <c r="N68" i="3"/>
  <c r="N5" i="3"/>
  <c r="N20" i="3"/>
  <c r="K73" i="4"/>
  <c r="R73" i="6"/>
  <c r="T73" i="2"/>
  <c r="S73" i="6"/>
  <c r="U73" i="2"/>
  <c r="O73" i="3"/>
  <c r="N58" i="3"/>
  <c r="N61" i="3"/>
  <c r="N24" i="3"/>
  <c r="P68" i="3"/>
  <c r="P5" i="3"/>
  <c r="P31" i="3"/>
  <c r="N62" i="3"/>
  <c r="P47" i="3"/>
  <c r="M73" i="3"/>
  <c r="L7" i="4"/>
  <c r="L73" i="4" s="1"/>
  <c r="P73" i="3" l="1"/>
  <c r="N73" i="3"/>
</calcChain>
</file>

<file path=xl/sharedStrings.xml><?xml version="1.0" encoding="utf-8"?>
<sst xmlns="http://schemas.openxmlformats.org/spreadsheetml/2006/main" count="428" uniqueCount="123">
  <si>
    <t>Exemption Reports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</si>
  <si>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</si>
  <si>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</si>
  <si>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</si>
  <si>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</si>
  <si>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</si>
  <si>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</si>
  <si>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</si>
  <si>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</si>
  <si>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</si>
  <si>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</si>
  <si>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</si>
  <si>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</si>
  <si>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</si>
  <si>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</si>
  <si>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</si>
  <si>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</si>
  <si>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</si>
  <si>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</si>
  <si>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</si>
  <si>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</si>
  <si>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</si>
  <si>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</si>
  <si>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</si>
  <si>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</si>
  <si>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</si>
  <si>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</si>
  <si>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</si>
  <si>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</si>
  <si>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</si>
  <si>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</si>
  <si>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</si>
  <si>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</si>
  <si>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</si>
  <si>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</si>
  <si>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</si>
  <si>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</si>
  <si>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</si>
  <si>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</si>
  <si>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</si>
  <si>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</si>
  <si>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</si>
  <si>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</si>
  <si>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</si>
  <si>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</si>
  <si>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</si>
  <si>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</si>
  <si>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</si>
  <si>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</si>
  <si>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</si>
  <si>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</si>
  <si>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</si>
  <si>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</si>
  <si>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</si>
  <si>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</si>
  <si>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</si>
  <si>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</si>
  <si>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</si>
  <si>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</si>
  <si>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</si>
  <si>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</si>
  <si>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</si>
  <si>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</si>
  <si>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</si>
  <si>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</si>
  <si>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</si>
  <si>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</si>
  <si>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</si>
  <si>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</si>
  <si>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Status</t>
  </si>
  <si>
    <t>Institutional Exemptions</t>
  </si>
  <si>
    <t>Conservation Land Exemption</t>
  </si>
  <si>
    <t>Homestead Assessment Reduction for Parents or Grandparents</t>
  </si>
  <si>
    <t>Disabled Veterans' Homestead Discount</t>
  </si>
  <si>
    <t>Total Assessed Value</t>
  </si>
  <si>
    <t>Total Exempt Value</t>
  </si>
  <si>
    <t>Total Taxable Value</t>
  </si>
  <si>
    <t>Homestead Statute</t>
  </si>
  <si>
    <t>Additional Homestead Statute</t>
  </si>
  <si>
    <t>Total Homestead Exemption</t>
  </si>
  <si>
    <t xml:space="preserve">Contact Information: </t>
  </si>
  <si>
    <t xml:space="preserve">Property Tax Oversight, Research &amp; Analysis  </t>
  </si>
  <si>
    <t>$25,000 Tangible Personal Property Exemption</t>
  </si>
  <si>
    <t>Governmental Exemptions</t>
  </si>
  <si>
    <t>Widows Exemption</t>
  </si>
  <si>
    <t>Disability Exemptions</t>
  </si>
  <si>
    <t>Historic Property Exemptions</t>
  </si>
  <si>
    <t>Economic Development &amp; Child Care Exemptions</t>
  </si>
  <si>
    <t xml:space="preserve">$25,000 Homestead Exemption </t>
  </si>
  <si>
    <t xml:space="preserve">Additional $25,000 Homestead Exemption </t>
  </si>
  <si>
    <t xml:space="preserve">Additional Homestead Exemption, Age 65 &amp; Older </t>
  </si>
  <si>
    <t xml:space="preserve">Governmental Exemption </t>
  </si>
  <si>
    <t xml:space="preserve">Institutional Exemptions </t>
  </si>
  <si>
    <t xml:space="preserve">Widows / Widowers Exemption </t>
  </si>
  <si>
    <t xml:space="preserve">Disability / Blind Exemptions </t>
  </si>
  <si>
    <t xml:space="preserve">Historic Property Exemption </t>
  </si>
  <si>
    <t xml:space="preserve">Econ. Development &amp; Child Care Exemptions (blank) </t>
  </si>
  <si>
    <t>Deployed Service Member's Homestead Exemption</t>
  </si>
  <si>
    <t>Exemption Value by Type (Category)</t>
  </si>
  <si>
    <t>Personal Property Exemption Value by Type (Category)</t>
  </si>
  <si>
    <t>Real Exemption Value by Property Category</t>
  </si>
  <si>
    <t>Personal Property Exemption Value by Property Category</t>
  </si>
  <si>
    <t>Total Exemption Value by Property Category</t>
  </si>
  <si>
    <t>3- Year Homestead Comparison</t>
  </si>
  <si>
    <t>Real Property Exemption Value by Type (Category)</t>
  </si>
  <si>
    <t>Senior Age 65 &amp; 25 Year Resident Homestead Exemption</t>
  </si>
  <si>
    <t>Miami-Dade</t>
  </si>
  <si>
    <t>Econ. Development &amp; Child Care Exemptions</t>
  </si>
  <si>
    <t>Tangible Personal Property $25,000 Exemption*</t>
  </si>
  <si>
    <t>*Includes Centrally Assessed exempt values.</t>
  </si>
  <si>
    <r>
      <t>Lands Available for Taxes</t>
    </r>
    <r>
      <rPr>
        <b/>
        <sz val="10"/>
        <color indexed="10"/>
        <rFont val="Arial"/>
        <family val="2"/>
      </rPr>
      <t xml:space="preserve"> </t>
    </r>
  </si>
  <si>
    <t>PTOResearchAnalysis@floridarevenue.com</t>
  </si>
  <si>
    <t>2020 Value</t>
  </si>
  <si>
    <t>Renewable Energy Exemption</t>
  </si>
  <si>
    <t>2021 Value</t>
  </si>
  <si>
    <t>Percent Increase 2020-2021</t>
  </si>
  <si>
    <t xml:space="preserve">Data Extract: </t>
  </si>
  <si>
    <t>Data Extract:</t>
  </si>
  <si>
    <t>Homestead Comparison 2020-2022</t>
  </si>
  <si>
    <t>2022 Value</t>
  </si>
  <si>
    <t>Percent Increase 2021-2022</t>
  </si>
  <si>
    <t>R-NVAB</t>
  </si>
  <si>
    <t>R-Final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</si>
</sst>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u/>
      <sz val="10"/>
      <color indexed="12"/>
      <name val="Arial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1" fillId="2" borderId="0" applyNumberFormat="0" applyBorder="0" applyAlignment="0" applyProtection="0"/>
    <xf numFmtId="0" fontId="23" fillId="2" borderId="0" applyNumberFormat="0" applyBorder="0" applyAlignment="0" applyProtection="0"/>
    <xf numFmtId="0" fontId="1" fillId="3" borderId="0" applyNumberFormat="0" applyBorder="0" applyAlignment="0" applyProtection="0"/>
    <xf numFmtId="0" fontId="23" fillId="3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7" borderId="0" applyNumberFormat="0" applyBorder="0" applyAlignment="0" applyProtection="0"/>
    <xf numFmtId="0" fontId="23" fillId="7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2" borderId="0" applyNumberFormat="0" applyBorder="0" applyAlignment="0" applyProtection="0"/>
    <xf numFmtId="0" fontId="2" fillId="9" borderId="0" applyNumberFormat="0" applyBorder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4" fillId="20" borderId="1" applyNumberFormat="0" applyAlignment="0" applyProtection="0"/>
    <xf numFmtId="0" fontId="26" fillId="20" borderId="1" applyNumberFormat="0" applyAlignment="0" applyProtection="0"/>
    <xf numFmtId="0" fontId="5" fillId="21" borderId="2" applyNumberFormat="0" applyAlignment="0" applyProtection="0"/>
    <xf numFmtId="0" fontId="27" fillId="21" borderId="2" applyNumberFormat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9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" fillId="7" borderId="1" applyNumberFormat="0" applyAlignment="0" applyProtection="0"/>
    <xf numFmtId="0" fontId="31" fillId="7" borderId="1" applyNumberFormat="0" applyAlignment="0" applyProtection="0"/>
    <xf numFmtId="0" fontId="12" fillId="0" borderId="6" applyNumberFormat="0" applyFill="0" applyAlignment="0" applyProtection="0"/>
    <xf numFmtId="0" fontId="32" fillId="0" borderId="6" applyNumberFormat="0" applyFill="0" applyAlignment="0" applyProtection="0"/>
    <xf numFmtId="0" fontId="13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14" fillId="20" borderId="8" applyNumberFormat="0" applyAlignment="0" applyProtection="0"/>
    <xf numFmtId="0" fontId="3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0" fontId="37" fillId="0" borderId="0" xfId="0" applyFont="1"/>
    <xf numFmtId="0" fontId="38" fillId="0" borderId="0" xfId="0" applyFont="1"/>
    <xf numFmtId="0" fontId="39" fillId="0" borderId="0" xfId="66" applyFont="1" applyAlignment="1" applyProtection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8" fillId="0" borderId="0" xfId="0" applyFont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Border="1"/>
    <xf numFmtId="165" fontId="38" fillId="0" borderId="0" xfId="0" applyNumberFormat="1" applyFont="1"/>
    <xf numFmtId="0" fontId="37" fillId="0" borderId="0" xfId="0" applyFont="1" applyAlignment="1">
      <alignment horizontal="left"/>
    </xf>
    <xf numFmtId="0" fontId="38" fillId="25" borderId="10" xfId="0" applyFont="1" applyFill="1" applyBorder="1"/>
    <xf numFmtId="165" fontId="38" fillId="25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/>
    <xf numFmtId="165" fontId="37" fillId="25" borderId="11" xfId="0" applyNumberFormat="1" applyFont="1" applyFill="1" applyBorder="1" applyAlignment="1"/>
    <xf numFmtId="0" fontId="37" fillId="25" borderId="12" xfId="0" applyFont="1" applyFill="1" applyBorder="1" applyAlignment="1"/>
    <xf numFmtId="0" fontId="37" fillId="26" borderId="10" xfId="0" applyFont="1" applyFill="1" applyBorder="1" applyAlignment="1">
      <alignment horizontal="center"/>
    </xf>
    <xf numFmtId="165" fontId="37" fillId="26" borderId="11" xfId="0" applyNumberFormat="1" applyFont="1" applyFill="1" applyBorder="1" applyAlignment="1">
      <alignment horizontal="center"/>
    </xf>
    <xf numFmtId="0" fontId="37" fillId="26" borderId="11" xfId="0" applyFont="1" applyFill="1" applyBorder="1" applyAlignment="1"/>
    <xf numFmtId="165" fontId="37" fillId="26" borderId="11" xfId="0" applyNumberFormat="1" applyFont="1" applyFill="1" applyBorder="1" applyAlignment="1"/>
    <xf numFmtId="0" fontId="37" fillId="26" borderId="12" xfId="0" applyFont="1" applyFill="1" applyBorder="1" applyAlignment="1"/>
    <xf numFmtId="0" fontId="37" fillId="25" borderId="10" xfId="0" applyFont="1" applyFill="1" applyBorder="1" applyAlignment="1"/>
    <xf numFmtId="0" fontId="38" fillId="0" borderId="13" xfId="0" applyFont="1" applyBorder="1" applyAlignment="1"/>
    <xf numFmtId="3" fontId="41" fillId="0" borderId="13" xfId="0" applyNumberFormat="1" applyFont="1" applyBorder="1" applyAlignment="1">
      <alignment horizontal="right" wrapText="1"/>
    </xf>
    <xf numFmtId="10" fontId="41" fillId="0" borderId="14" xfId="0" applyNumberFormat="1" applyFont="1" applyBorder="1" applyAlignment="1">
      <alignment horizontal="right" wrapText="1"/>
    </xf>
    <xf numFmtId="3" fontId="41" fillId="0" borderId="14" xfId="0" applyNumberFormat="1" applyFont="1" applyBorder="1" applyAlignment="1">
      <alignment horizontal="right" wrapText="1"/>
    </xf>
    <xf numFmtId="3" fontId="41" fillId="0" borderId="15" xfId="0" applyNumberFormat="1" applyFont="1" applyBorder="1" applyAlignment="1">
      <alignment horizontal="right" wrapText="1"/>
    </xf>
    <xf numFmtId="3" fontId="38" fillId="0" borderId="15" xfId="55" applyNumberFormat="1" applyFont="1" applyBorder="1" applyAlignment="1"/>
    <xf numFmtId="164" fontId="38" fillId="0" borderId="0" xfId="0" applyNumberFormat="1" applyFont="1"/>
    <xf numFmtId="165" fontId="41" fillId="0" borderId="14" xfId="0" applyNumberFormat="1" applyFont="1" applyBorder="1" applyAlignment="1">
      <alignment horizontal="center" wrapText="1"/>
    </xf>
    <xf numFmtId="0" fontId="37" fillId="24" borderId="16" xfId="0" applyFont="1" applyFill="1" applyBorder="1" applyAlignment="1"/>
    <xf numFmtId="0" fontId="37" fillId="24" borderId="17" xfId="0" applyFont="1" applyFill="1" applyBorder="1" applyAlignment="1">
      <alignment horizontal="center"/>
    </xf>
    <xf numFmtId="3" fontId="37" fillId="24" borderId="16" xfId="0" applyNumberFormat="1" applyFont="1" applyFill="1" applyBorder="1" applyAlignment="1">
      <alignment horizontal="right"/>
    </xf>
    <xf numFmtId="10" fontId="37" fillId="24" borderId="18" xfId="0" applyNumberFormat="1" applyFont="1" applyFill="1" applyBorder="1" applyAlignment="1">
      <alignment horizontal="right"/>
    </xf>
    <xf numFmtId="3" fontId="37" fillId="24" borderId="18" xfId="0" applyNumberFormat="1" applyFont="1" applyFill="1" applyBorder="1" applyAlignment="1">
      <alignment horizontal="right"/>
    </xf>
    <xf numFmtId="3" fontId="37" fillId="24" borderId="19" xfId="0" applyNumberFormat="1" applyFont="1" applyFill="1" applyBorder="1" applyAlignment="1">
      <alignment horizontal="right"/>
    </xf>
    <xf numFmtId="3" fontId="37" fillId="24" borderId="19" xfId="55" applyNumberFormat="1" applyFont="1" applyFill="1" applyBorder="1" applyAlignment="1"/>
    <xf numFmtId="0" fontId="38" fillId="0" borderId="0" xfId="0" applyFont="1" applyFill="1" applyBorder="1"/>
    <xf numFmtId="0" fontId="38" fillId="0" borderId="0" xfId="0" applyFont="1" applyAlignment="1">
      <alignment horizontal="left"/>
    </xf>
    <xf numFmtId="0" fontId="38" fillId="0" borderId="13" xfId="0" applyFont="1" applyBorder="1"/>
    <xf numFmtId="3" fontId="38" fillId="0" borderId="14" xfId="55" applyNumberFormat="1" applyFont="1" applyBorder="1"/>
    <xf numFmtId="3" fontId="38" fillId="0" borderId="20" xfId="55" applyNumberFormat="1" applyFont="1" applyBorder="1"/>
    <xf numFmtId="3" fontId="38" fillId="0" borderId="15" xfId="55" applyNumberFormat="1" applyFont="1" applyBorder="1"/>
    <xf numFmtId="0" fontId="38" fillId="0" borderId="0" xfId="0" applyFont="1" applyAlignment="1">
      <alignment wrapText="1"/>
    </xf>
    <xf numFmtId="0" fontId="37" fillId="24" borderId="16" xfId="0" applyFont="1" applyFill="1" applyBorder="1"/>
    <xf numFmtId="3" fontId="37" fillId="24" borderId="18" xfId="55" applyNumberFormat="1" applyFont="1" applyFill="1" applyBorder="1"/>
    <xf numFmtId="3" fontId="37" fillId="24" borderId="17" xfId="55" applyNumberFormat="1" applyFont="1" applyFill="1" applyBorder="1"/>
    <xf numFmtId="3" fontId="37" fillId="24" borderId="19" xfId="55" applyNumberFormat="1" applyFont="1" applyFill="1" applyBorder="1"/>
    <xf numFmtId="0" fontId="42" fillId="0" borderId="0" xfId="0" applyFont="1" applyAlignment="1">
      <alignment horizontal="left"/>
    </xf>
    <xf numFmtId="0" fontId="43" fillId="24" borderId="21" xfId="0" applyFont="1" applyFill="1" applyBorder="1" applyAlignment="1">
      <alignment horizontal="center" vertical="center" wrapText="1"/>
    </xf>
    <xf numFmtId="165" fontId="43" fillId="24" borderId="22" xfId="0" applyNumberFormat="1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 wrapText="1"/>
    </xf>
    <xf numFmtId="0" fontId="43" fillId="24" borderId="23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3" fontId="45" fillId="24" borderId="22" xfId="0" applyNumberFormat="1" applyFont="1" applyFill="1" applyBorder="1" applyAlignment="1">
      <alignment horizontal="center" vertical="center" wrapText="1"/>
    </xf>
    <xf numFmtId="3" fontId="45" fillId="24" borderId="24" xfId="0" applyNumberFormat="1" applyFont="1" applyFill="1" applyBorder="1" applyAlignment="1">
      <alignment horizontal="center" vertical="center" wrapText="1"/>
    </xf>
    <xf numFmtId="3" fontId="45" fillId="24" borderId="23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39" fillId="0" borderId="0" xfId="66" applyFont="1" applyAlignment="1" applyProtection="1">
      <alignment horizontal="left"/>
    </xf>
    <xf numFmtId="0" fontId="39" fillId="0" borderId="0" xfId="66" applyFont="1" applyAlignment="1" applyProtection="1"/>
  </cellXfs>
  <cellStyles count="86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Comma" xfId="55" builtinId="3"/>
    <cellStyle name="Comma 2" xfId="56" xr:uid="{00000000-0005-0000-0000-000037000000}"/>
    <cellStyle name="Comma 2 2" xfId="57" xr:uid="{00000000-0005-0000-0000-000038000000}"/>
    <cellStyle name="Explanatory Text" xfId="58" builtinId="53" customBuiltin="1"/>
    <cellStyle name="Explanatory Text 2" xfId="59" xr:uid="{00000000-0005-0000-0000-00003A000000}"/>
    <cellStyle name="Good" xfId="60" builtinId="26" customBuiltin="1"/>
    <cellStyle name="Good 2" xfId="61" xr:uid="{00000000-0005-0000-0000-00003C000000}"/>
    <cellStyle name="Heading 1" xfId="62" builtinId="16" customBuiltin="1"/>
    <cellStyle name="Heading 2" xfId="63" builtinId="17" customBuiltin="1"/>
    <cellStyle name="Heading 3" xfId="64" builtinId="18" customBuiltin="1"/>
    <cellStyle name="Heading 4" xfId="65" builtinId="19" customBuiltin="1"/>
    <cellStyle name="Hyperlink" xfId="66" builtinId="8"/>
    <cellStyle name="Hyperlink 2" xfId="67" xr:uid="{00000000-0005-0000-0000-000042000000}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2" xfId="74" xr:uid="{00000000-0005-0000-0000-00004A000000}"/>
    <cellStyle name="Normal 2 2" xfId="75" xr:uid="{00000000-0005-0000-0000-00004B000000}"/>
    <cellStyle name="Normal 3" xfId="76" xr:uid="{00000000-0005-0000-0000-00004C000000}"/>
    <cellStyle name="Note" xfId="77" builtinId="10" customBuiltin="1"/>
    <cellStyle name="Note 2" xfId="78" xr:uid="{00000000-0005-0000-0000-00004E000000}"/>
    <cellStyle name="Output" xfId="79" builtinId="21" customBuiltin="1"/>
    <cellStyle name="Output 2" xfId="80" xr:uid="{00000000-0005-0000-0000-000050000000}"/>
    <cellStyle name="Title" xfId="81" builtinId="15" customBuiltin="1"/>
    <cellStyle name="Total" xfId="82" builtinId="25" customBuiltin="1"/>
    <cellStyle name="Total 2" xfId="83" xr:uid="{00000000-0005-0000-0000-000053000000}"/>
    <cellStyle name="Warning Text" xfId="84" builtinId="11" customBuiltin="1"/>
    <cellStyle name="Warning Text 2" xfId="85" xr:uid="{00000000-0005-0000-0000-000055000000}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tabSelected="1" workbookViewId="0"/>
  </sheetViews>
  <sheetFormatPr defaultRowHeight="14.25" x14ac:dyDescent="0.2"/>
  <cols>
    <col min="1" max="16384" width="9.140625" style="2"/>
  </cols>
  <sheetData>
    <row r="2" spans="1:8" ht="15" x14ac:dyDescent="0.25">
      <c r="A2" s="1" t="s">
        <v>0</v>
      </c>
    </row>
    <row r="3" spans="1:8" ht="15" x14ac:dyDescent="0.25">
      <c r="A3" s="1"/>
    </row>
    <row r="4" spans="1:8" ht="15" x14ac:dyDescent="0.25">
      <c r="A4" s="1"/>
      <c r="B4" s="61" t="s">
        <v>102</v>
      </c>
      <c r="C4" s="61"/>
      <c r="D4" s="61"/>
      <c r="E4" s="61"/>
      <c r="F4" s="61"/>
      <c r="G4" s="61"/>
      <c r="H4" s="61"/>
    </row>
    <row r="6" spans="1:8" x14ac:dyDescent="0.2">
      <c r="B6" s="61" t="s">
        <v>100</v>
      </c>
      <c r="C6" s="61"/>
      <c r="D6" s="61"/>
      <c r="E6" s="61"/>
      <c r="F6" s="61"/>
      <c r="G6" s="61"/>
      <c r="H6" s="61"/>
    </row>
    <row r="8" spans="1:8" x14ac:dyDescent="0.2">
      <c r="B8" s="61" t="s">
        <v>101</v>
      </c>
      <c r="C8" s="61"/>
      <c r="D8" s="61"/>
      <c r="E8" s="61"/>
      <c r="F8" s="61"/>
      <c r="G8" s="61"/>
      <c r="H8" s="61"/>
    </row>
    <row r="10" spans="1:8" x14ac:dyDescent="0.2">
      <c r="B10" s="62" t="s">
        <v>103</v>
      </c>
      <c r="C10" s="62"/>
      <c r="D10" s="62"/>
      <c r="E10" s="62"/>
      <c r="F10" s="62"/>
      <c r="G10" s="62"/>
      <c r="H10" s="62"/>
    </row>
    <row r="16" spans="1:8" x14ac:dyDescent="0.2">
      <c r="A16" s="4" t="s">
        <v>80</v>
      </c>
      <c r="B16" s="5"/>
      <c r="C16" s="5"/>
      <c r="D16" s="4" t="s">
        <v>81</v>
      </c>
      <c r="E16" s="5"/>
      <c r="F16" s="5"/>
      <c r="G16" s="5"/>
      <c r="H16" s="5"/>
    </row>
    <row r="17" spans="1:8" x14ac:dyDescent="0.2">
      <c r="A17" s="5"/>
      <c r="B17" s="5"/>
      <c r="C17" s="5"/>
      <c r="D17" s="3" t="s">
        <v>111</v>
      </c>
      <c r="E17" s="5"/>
      <c r="F17" s="5"/>
      <c r="G17" s="5"/>
      <c r="H17" s="5"/>
    </row>
  </sheetData>
  <mergeCells count="4">
    <mergeCell ref="B6:H6"/>
    <mergeCell ref="B10:H10"/>
    <mergeCell ref="B8:H8"/>
    <mergeCell ref="B4:H4"/>
  </mergeCells>
  <phoneticPr fontId="18" type="noConversion"/>
  <hyperlinks>
    <hyperlink ref="B6:H6" location="'Real Exemption Value by Type'!A1" display="Real Exemption Value by Property Category" xr:uid="{00000000-0004-0000-0000-000000000000}"/>
    <hyperlink ref="B10:H10" location="'3-Year Homestead Comparison'!A1" display="Homestead Comparison 2008 - 2010" xr:uid="{00000000-0004-0000-0000-000001000000}"/>
    <hyperlink ref="B8:H8" location="'Personal Property by Type'!A1" display="Personal Property Exemption Value by Property Type" xr:uid="{00000000-0004-0000-0000-000002000000}"/>
    <hyperlink ref="B4" location="'Total Exemption Value by Type'!A1" display="Total Exemption Value by Property Category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7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6.14062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6" width="21.140625" style="2" bestFit="1" customWidth="1"/>
    <col min="7" max="7" width="20.140625" style="2" bestFit="1" customWidth="1"/>
    <col min="8" max="8" width="15.7109375" style="2" bestFit="1" customWidth="1"/>
    <col min="9" max="10" width="18.5703125" style="2" bestFit="1" customWidth="1"/>
    <col min="11" max="11" width="16.5703125" style="2" bestFit="1" customWidth="1"/>
    <col min="12" max="12" width="21.85546875" style="2" bestFit="1" customWidth="1"/>
    <col min="13" max="13" width="14.85546875" style="2" bestFit="1" customWidth="1"/>
    <col min="14" max="14" width="28" style="2" bestFit="1" customWidth="1"/>
    <col min="15" max="15" width="21.85546875" style="2" bestFit="1" customWidth="1"/>
    <col min="16" max="16" width="20.5703125" style="2" bestFit="1" customWidth="1"/>
    <col min="17" max="18" width="20.5703125" style="2" customWidth="1"/>
    <col min="19" max="19" width="24.85546875" style="2" bestFit="1" customWidth="1"/>
    <col min="20" max="20" width="22.28515625" style="2" bestFit="1" customWidth="1"/>
    <col min="21" max="21" width="23.140625" style="2" bestFit="1" customWidth="1"/>
    <col min="22" max="22" width="9.140625" style="2"/>
    <col min="23" max="24" width="9.140625" style="2" customWidth="1"/>
    <col min="25" max="16384" width="9.140625" style="2"/>
  </cols>
  <sheetData>
    <row r="1" spans="1:21" ht="23.25" x14ac:dyDescent="0.35">
      <c r="A1" s="49" t="s">
        <v>98</v>
      </c>
    </row>
    <row r="2" spans="1:21" ht="15" x14ac:dyDescent="0.25">
      <c r="A2" s="11">
        <v>2022</v>
      </c>
    </row>
    <row r="3" spans="1:21" ht="15" thickBot="1" x14ac:dyDescent="0.25">
      <c r="A3" s="39"/>
    </row>
    <row r="4" spans="1:21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108</v>
      </c>
      <c r="F4" s="52" t="s">
        <v>91</v>
      </c>
      <c r="G4" s="52" t="s">
        <v>92</v>
      </c>
      <c r="H4" s="52" t="s">
        <v>93</v>
      </c>
      <c r="I4" s="52" t="s">
        <v>94</v>
      </c>
      <c r="J4" s="52" t="s">
        <v>71</v>
      </c>
      <c r="K4" s="52" t="s">
        <v>95</v>
      </c>
      <c r="L4" s="52" t="s">
        <v>96</v>
      </c>
      <c r="M4" s="52" t="s">
        <v>110</v>
      </c>
      <c r="N4" s="52" t="s">
        <v>72</v>
      </c>
      <c r="O4" s="52" t="s">
        <v>73</v>
      </c>
      <c r="P4" s="52" t="s">
        <v>97</v>
      </c>
      <c r="Q4" s="52" t="s">
        <v>105</v>
      </c>
      <c r="R4" s="52" t="s">
        <v>113</v>
      </c>
      <c r="S4" s="52" t="s">
        <v>74</v>
      </c>
      <c r="T4" s="52" t="s">
        <v>75</v>
      </c>
      <c r="U4" s="53" t="s">
        <v>76</v>
      </c>
    </row>
    <row r="5" spans="1:21" x14ac:dyDescent="0.2">
      <c r="A5" s="40" t="s">
        <v>2</v>
      </c>
      <c r="B5" s="41">
        <v>1323262059</v>
      </c>
      <c r="C5" s="41">
        <v>1164666031</v>
      </c>
      <c r="D5" s="41">
        <v>39209870</v>
      </c>
      <c r="E5" s="41">
        <v>78501070</v>
      </c>
      <c r="F5" s="41">
        <v>7698970974</v>
      </c>
      <c r="G5" s="41">
        <v>1225916829</v>
      </c>
      <c r="H5" s="41">
        <v>1700422</v>
      </c>
      <c r="I5" s="41">
        <v>107171906</v>
      </c>
      <c r="J5" s="41">
        <v>667054</v>
      </c>
      <c r="K5" s="41">
        <v>743783</v>
      </c>
      <c r="L5" s="41">
        <v>0</v>
      </c>
      <c r="M5" s="41">
        <v>51827</v>
      </c>
      <c r="N5" s="41">
        <v>0</v>
      </c>
      <c r="O5" s="41">
        <v>8345039</v>
      </c>
      <c r="P5" s="41">
        <v>257218</v>
      </c>
      <c r="Q5" s="41">
        <v>12162132</v>
      </c>
      <c r="R5" s="41">
        <v>0</v>
      </c>
      <c r="S5" s="41">
        <v>30736914671</v>
      </c>
      <c r="T5" s="41">
        <v>11661626214</v>
      </c>
      <c r="U5" s="43">
        <v>19075288457</v>
      </c>
    </row>
    <row r="6" spans="1:21" x14ac:dyDescent="0.2">
      <c r="A6" s="40" t="s">
        <v>3</v>
      </c>
      <c r="B6" s="41">
        <v>157130791</v>
      </c>
      <c r="C6" s="41">
        <v>123381732</v>
      </c>
      <c r="D6" s="41">
        <v>14990257</v>
      </c>
      <c r="E6" s="41">
        <v>7256228</v>
      </c>
      <c r="F6" s="41">
        <v>273770257</v>
      </c>
      <c r="G6" s="41">
        <v>72494998</v>
      </c>
      <c r="H6" s="41">
        <v>288000</v>
      </c>
      <c r="I6" s="41">
        <v>25671066</v>
      </c>
      <c r="J6" s="41">
        <v>0</v>
      </c>
      <c r="K6" s="41">
        <v>0</v>
      </c>
      <c r="L6" s="41">
        <v>0</v>
      </c>
      <c r="M6" s="41">
        <v>0</v>
      </c>
      <c r="N6" s="41">
        <v>180192</v>
      </c>
      <c r="O6" s="41">
        <v>288228</v>
      </c>
      <c r="P6" s="41">
        <v>381554</v>
      </c>
      <c r="Q6" s="41">
        <v>0</v>
      </c>
      <c r="R6" s="41">
        <v>0</v>
      </c>
      <c r="S6" s="41">
        <v>1972190224</v>
      </c>
      <c r="T6" s="41">
        <v>675833303</v>
      </c>
      <c r="U6" s="43">
        <v>1296356921</v>
      </c>
    </row>
    <row r="7" spans="1:21" x14ac:dyDescent="0.2">
      <c r="A7" s="40" t="s">
        <v>4</v>
      </c>
      <c r="B7" s="41">
        <v>1035307077</v>
      </c>
      <c r="C7" s="41">
        <v>841293698</v>
      </c>
      <c r="D7" s="41">
        <v>71529287</v>
      </c>
      <c r="E7" s="41">
        <v>87366753</v>
      </c>
      <c r="F7" s="41">
        <v>2524544869</v>
      </c>
      <c r="G7" s="41">
        <v>460580418</v>
      </c>
      <c r="H7" s="41">
        <v>1517831</v>
      </c>
      <c r="I7" s="41">
        <v>327493629</v>
      </c>
      <c r="J7" s="41">
        <v>11731</v>
      </c>
      <c r="K7" s="41">
        <v>0</v>
      </c>
      <c r="L7" s="41">
        <v>8900903</v>
      </c>
      <c r="M7" s="41">
        <v>0</v>
      </c>
      <c r="N7" s="41">
        <v>287208</v>
      </c>
      <c r="O7" s="41">
        <v>16172687</v>
      </c>
      <c r="P7" s="41">
        <v>1236576</v>
      </c>
      <c r="Q7" s="41">
        <v>21646429</v>
      </c>
      <c r="R7" s="41">
        <v>0</v>
      </c>
      <c r="S7" s="41">
        <v>27920315285</v>
      </c>
      <c r="T7" s="41">
        <v>5397889096</v>
      </c>
      <c r="U7" s="43">
        <v>22522426189</v>
      </c>
    </row>
    <row r="8" spans="1:21" x14ac:dyDescent="0.2">
      <c r="A8" s="40" t="s">
        <v>5</v>
      </c>
      <c r="B8" s="41">
        <v>165749733</v>
      </c>
      <c r="C8" s="41">
        <v>110779110</v>
      </c>
      <c r="D8" s="41">
        <v>8871854</v>
      </c>
      <c r="E8" s="41">
        <v>9194098</v>
      </c>
      <c r="F8" s="41">
        <v>99165961</v>
      </c>
      <c r="G8" s="41">
        <v>50462566</v>
      </c>
      <c r="H8" s="41">
        <v>355001</v>
      </c>
      <c r="I8" s="41">
        <v>16476025</v>
      </c>
      <c r="J8" s="41">
        <v>646727</v>
      </c>
      <c r="K8" s="41">
        <v>0</v>
      </c>
      <c r="L8" s="41">
        <v>0</v>
      </c>
      <c r="M8" s="41">
        <v>0</v>
      </c>
      <c r="N8" s="41">
        <v>25677</v>
      </c>
      <c r="O8" s="41">
        <v>772437</v>
      </c>
      <c r="P8" s="41">
        <v>57821</v>
      </c>
      <c r="Q8" s="41">
        <v>0</v>
      </c>
      <c r="R8" s="41">
        <v>0</v>
      </c>
      <c r="S8" s="41">
        <v>1698738994</v>
      </c>
      <c r="T8" s="41">
        <v>462557010</v>
      </c>
      <c r="U8" s="43">
        <v>1236181984</v>
      </c>
    </row>
    <row r="9" spans="1:21" x14ac:dyDescent="0.2">
      <c r="A9" s="40" t="s">
        <v>6</v>
      </c>
      <c r="B9" s="41">
        <v>4135171430</v>
      </c>
      <c r="C9" s="41">
        <v>3628220700</v>
      </c>
      <c r="D9" s="41">
        <v>338196940</v>
      </c>
      <c r="E9" s="41">
        <v>166191110</v>
      </c>
      <c r="F9" s="41">
        <v>9948193307</v>
      </c>
      <c r="G9" s="41">
        <v>3573162784</v>
      </c>
      <c r="H9" s="41">
        <v>7931500</v>
      </c>
      <c r="I9" s="41">
        <v>1183608648</v>
      </c>
      <c r="J9" s="41">
        <v>1637175</v>
      </c>
      <c r="K9" s="41">
        <v>0</v>
      </c>
      <c r="L9" s="41">
        <v>263006079</v>
      </c>
      <c r="M9" s="41">
        <v>251050</v>
      </c>
      <c r="N9" s="41">
        <v>523630</v>
      </c>
      <c r="O9" s="41">
        <v>67365901</v>
      </c>
      <c r="P9" s="41">
        <v>2695277</v>
      </c>
      <c r="Q9" s="41">
        <v>0</v>
      </c>
      <c r="R9" s="41">
        <v>130433080</v>
      </c>
      <c r="S9" s="41">
        <v>77480124167</v>
      </c>
      <c r="T9" s="41">
        <v>23446588611</v>
      </c>
      <c r="U9" s="43">
        <v>54033535556</v>
      </c>
    </row>
    <row r="10" spans="1:21" x14ac:dyDescent="0.2">
      <c r="A10" s="40" t="s">
        <v>7</v>
      </c>
      <c r="B10" s="41">
        <v>10337091070</v>
      </c>
      <c r="C10" s="41">
        <v>9279911670</v>
      </c>
      <c r="D10" s="41">
        <v>913061340</v>
      </c>
      <c r="E10" s="41">
        <v>780132700</v>
      </c>
      <c r="F10" s="41">
        <v>18790560070</v>
      </c>
      <c r="G10" s="41">
        <v>6452696277</v>
      </c>
      <c r="H10" s="41">
        <v>18236940</v>
      </c>
      <c r="I10" s="41">
        <v>1009870650</v>
      </c>
      <c r="J10" s="41">
        <v>0</v>
      </c>
      <c r="K10" s="41">
        <v>30413120</v>
      </c>
      <c r="L10" s="41">
        <v>2632420</v>
      </c>
      <c r="M10" s="41">
        <v>361060</v>
      </c>
      <c r="N10" s="41">
        <v>4182780</v>
      </c>
      <c r="O10" s="41">
        <v>20548040</v>
      </c>
      <c r="P10" s="41">
        <v>9489960</v>
      </c>
      <c r="Q10" s="41">
        <v>179828670</v>
      </c>
      <c r="R10" s="41">
        <v>0</v>
      </c>
      <c r="S10" s="41">
        <v>293270879077</v>
      </c>
      <c r="T10" s="41">
        <v>47829016767</v>
      </c>
      <c r="U10" s="43">
        <v>245441862310</v>
      </c>
    </row>
    <row r="11" spans="1:21" x14ac:dyDescent="0.2">
      <c r="A11" s="40" t="s">
        <v>8</v>
      </c>
      <c r="B11" s="41">
        <v>79241779</v>
      </c>
      <c r="C11" s="41">
        <v>38969727</v>
      </c>
      <c r="D11" s="41">
        <v>8948578</v>
      </c>
      <c r="E11" s="41">
        <v>4953979</v>
      </c>
      <c r="F11" s="41">
        <v>41785931</v>
      </c>
      <c r="G11" s="41">
        <v>14683142</v>
      </c>
      <c r="H11" s="41">
        <v>103872</v>
      </c>
      <c r="I11" s="41">
        <v>6321510</v>
      </c>
      <c r="J11" s="41">
        <v>554345</v>
      </c>
      <c r="K11" s="41">
        <v>0</v>
      </c>
      <c r="L11" s="41">
        <v>0</v>
      </c>
      <c r="M11" s="41">
        <v>0</v>
      </c>
      <c r="N11" s="41">
        <v>67689</v>
      </c>
      <c r="O11" s="41">
        <v>457016</v>
      </c>
      <c r="P11" s="41">
        <v>63875</v>
      </c>
      <c r="Q11" s="41">
        <v>0</v>
      </c>
      <c r="R11" s="41">
        <v>0</v>
      </c>
      <c r="S11" s="41">
        <v>683041501</v>
      </c>
      <c r="T11" s="41">
        <v>196151443</v>
      </c>
      <c r="U11" s="43">
        <v>486890058</v>
      </c>
    </row>
    <row r="12" spans="1:21" x14ac:dyDescent="0.2">
      <c r="A12" s="40" t="s">
        <v>9</v>
      </c>
      <c r="B12" s="41">
        <v>1534454016</v>
      </c>
      <c r="C12" s="41">
        <v>1369300326</v>
      </c>
      <c r="D12" s="41">
        <v>204235018</v>
      </c>
      <c r="E12" s="41">
        <v>102628490</v>
      </c>
      <c r="F12" s="41">
        <v>1486143322</v>
      </c>
      <c r="G12" s="41">
        <v>380993542</v>
      </c>
      <c r="H12" s="41">
        <v>3498287</v>
      </c>
      <c r="I12" s="41">
        <v>332705661</v>
      </c>
      <c r="J12" s="41">
        <v>828002</v>
      </c>
      <c r="K12" s="41">
        <v>0</v>
      </c>
      <c r="L12" s="41">
        <v>39678273</v>
      </c>
      <c r="M12" s="41">
        <v>2720</v>
      </c>
      <c r="N12" s="41">
        <v>0</v>
      </c>
      <c r="O12" s="41">
        <v>49542978</v>
      </c>
      <c r="P12" s="41">
        <v>375307</v>
      </c>
      <c r="Q12" s="41">
        <v>0</v>
      </c>
      <c r="R12" s="41">
        <v>232660</v>
      </c>
      <c r="S12" s="41">
        <v>29272653842</v>
      </c>
      <c r="T12" s="41">
        <v>5504618602</v>
      </c>
      <c r="U12" s="43">
        <v>23768035240</v>
      </c>
    </row>
    <row r="13" spans="1:21" x14ac:dyDescent="0.2">
      <c r="A13" s="40" t="s">
        <v>10</v>
      </c>
      <c r="B13" s="41">
        <v>1235863172</v>
      </c>
      <c r="C13" s="41">
        <v>958147876</v>
      </c>
      <c r="D13" s="41">
        <v>0</v>
      </c>
      <c r="E13" s="41">
        <v>53943466</v>
      </c>
      <c r="F13" s="41">
        <v>1047777873</v>
      </c>
      <c r="G13" s="41">
        <v>279652040</v>
      </c>
      <c r="H13" s="41">
        <v>2746096</v>
      </c>
      <c r="I13" s="41">
        <v>249158286</v>
      </c>
      <c r="J13" s="41">
        <v>0</v>
      </c>
      <c r="K13" s="41">
        <v>0</v>
      </c>
      <c r="L13" s="41">
        <v>0</v>
      </c>
      <c r="M13" s="41">
        <v>22712</v>
      </c>
      <c r="N13" s="41">
        <v>0</v>
      </c>
      <c r="O13" s="41">
        <v>27823622</v>
      </c>
      <c r="P13" s="41">
        <v>157047</v>
      </c>
      <c r="Q13" s="41">
        <v>0</v>
      </c>
      <c r="R13" s="41">
        <v>0</v>
      </c>
      <c r="S13" s="41">
        <v>16023912656</v>
      </c>
      <c r="T13" s="41">
        <v>3855292190</v>
      </c>
      <c r="U13" s="43">
        <v>12168620466</v>
      </c>
    </row>
    <row r="14" spans="1:21" x14ac:dyDescent="0.2">
      <c r="A14" s="40" t="s">
        <v>11</v>
      </c>
      <c r="B14" s="41">
        <v>1323410043</v>
      </c>
      <c r="C14" s="41">
        <v>1211147674</v>
      </c>
      <c r="D14" s="41">
        <v>75802147</v>
      </c>
      <c r="E14" s="41">
        <v>51083577</v>
      </c>
      <c r="F14" s="41">
        <v>1453629388</v>
      </c>
      <c r="G14" s="41">
        <v>565093456</v>
      </c>
      <c r="H14" s="41">
        <v>1937500</v>
      </c>
      <c r="I14" s="41">
        <v>545114797</v>
      </c>
      <c r="J14" s="41">
        <v>3682740</v>
      </c>
      <c r="K14" s="41">
        <v>0</v>
      </c>
      <c r="L14" s="41">
        <v>0</v>
      </c>
      <c r="M14" s="41">
        <v>0</v>
      </c>
      <c r="N14" s="41">
        <v>818520</v>
      </c>
      <c r="O14" s="41">
        <v>8080659</v>
      </c>
      <c r="P14" s="41">
        <v>6608401</v>
      </c>
      <c r="Q14" s="41">
        <v>0</v>
      </c>
      <c r="R14" s="41">
        <v>0</v>
      </c>
      <c r="S14" s="41">
        <v>19901847988</v>
      </c>
      <c r="T14" s="41">
        <v>5246408902</v>
      </c>
      <c r="U14" s="43">
        <v>14655439086</v>
      </c>
    </row>
    <row r="15" spans="1:21" x14ac:dyDescent="0.2">
      <c r="A15" s="40" t="s">
        <v>12</v>
      </c>
      <c r="B15" s="41">
        <v>2590086878</v>
      </c>
      <c r="C15" s="41">
        <v>2448032504</v>
      </c>
      <c r="D15" s="41">
        <v>103899515</v>
      </c>
      <c r="E15" s="41">
        <v>161881392</v>
      </c>
      <c r="F15" s="41">
        <v>4378923144</v>
      </c>
      <c r="G15" s="41">
        <v>2336476428</v>
      </c>
      <c r="H15" s="41">
        <v>5096378</v>
      </c>
      <c r="I15" s="41">
        <v>306559637</v>
      </c>
      <c r="J15" s="41">
        <v>0</v>
      </c>
      <c r="K15" s="41">
        <v>0</v>
      </c>
      <c r="L15" s="41">
        <v>4930300</v>
      </c>
      <c r="M15" s="41">
        <v>0</v>
      </c>
      <c r="N15" s="41">
        <v>0</v>
      </c>
      <c r="O15" s="41">
        <v>61104279</v>
      </c>
      <c r="P15" s="41">
        <v>143256</v>
      </c>
      <c r="Q15" s="41">
        <v>2964238</v>
      </c>
      <c r="R15" s="41">
        <v>683802</v>
      </c>
      <c r="S15" s="41">
        <v>134550994818</v>
      </c>
      <c r="T15" s="41">
        <v>12400781751</v>
      </c>
      <c r="U15" s="43">
        <v>122150213067</v>
      </c>
    </row>
    <row r="16" spans="1:21" x14ac:dyDescent="0.2">
      <c r="A16" s="40" t="s">
        <v>13</v>
      </c>
      <c r="B16" s="41">
        <v>402349996</v>
      </c>
      <c r="C16" s="41">
        <v>282376549</v>
      </c>
      <c r="D16" s="41">
        <v>43878669</v>
      </c>
      <c r="E16" s="41">
        <v>23229186</v>
      </c>
      <c r="F16" s="41">
        <v>445726704</v>
      </c>
      <c r="G16" s="41">
        <v>138456590</v>
      </c>
      <c r="H16" s="41">
        <v>680604</v>
      </c>
      <c r="I16" s="41">
        <v>62042495</v>
      </c>
      <c r="J16" s="41">
        <v>3736854</v>
      </c>
      <c r="K16" s="41">
        <v>0</v>
      </c>
      <c r="L16" s="41">
        <v>11036041</v>
      </c>
      <c r="M16" s="41">
        <v>16551</v>
      </c>
      <c r="N16" s="41">
        <v>0</v>
      </c>
      <c r="O16" s="41">
        <v>2607503</v>
      </c>
      <c r="P16" s="41">
        <v>234859</v>
      </c>
      <c r="Q16" s="41">
        <v>1592495</v>
      </c>
      <c r="R16" s="41">
        <v>151279007</v>
      </c>
      <c r="S16" s="41">
        <v>5153551261</v>
      </c>
      <c r="T16" s="41">
        <v>1569244103</v>
      </c>
      <c r="U16" s="43">
        <v>3584307158</v>
      </c>
    </row>
    <row r="17" spans="1:21" x14ac:dyDescent="0.2">
      <c r="A17" s="40" t="s">
        <v>106</v>
      </c>
      <c r="B17" s="41">
        <v>11024000128</v>
      </c>
      <c r="C17" s="41">
        <v>10239384286</v>
      </c>
      <c r="D17" s="41">
        <v>1578528302</v>
      </c>
      <c r="E17" s="41">
        <v>1039292964</v>
      </c>
      <c r="F17" s="41">
        <v>22853594972</v>
      </c>
      <c r="G17" s="41">
        <v>12947663837</v>
      </c>
      <c r="H17" s="41">
        <v>13398000</v>
      </c>
      <c r="I17" s="41">
        <v>563429786</v>
      </c>
      <c r="J17" s="41">
        <v>13700318</v>
      </c>
      <c r="K17" s="41">
        <v>140702900</v>
      </c>
      <c r="L17" s="41">
        <v>0</v>
      </c>
      <c r="M17" s="41">
        <v>254701</v>
      </c>
      <c r="N17" s="41">
        <v>2793937</v>
      </c>
      <c r="O17" s="41">
        <v>12116104</v>
      </c>
      <c r="P17" s="41">
        <v>4556967</v>
      </c>
      <c r="Q17" s="41">
        <v>337597540</v>
      </c>
      <c r="R17" s="41">
        <v>5151451</v>
      </c>
      <c r="S17" s="41">
        <v>439151346666</v>
      </c>
      <c r="T17" s="41">
        <v>60776166193</v>
      </c>
      <c r="U17" s="43">
        <v>378375180473</v>
      </c>
    </row>
    <row r="18" spans="1:21" x14ac:dyDescent="0.2">
      <c r="A18" s="40" t="s">
        <v>14</v>
      </c>
      <c r="B18" s="41">
        <v>152345496</v>
      </c>
      <c r="C18" s="41">
        <v>108103538</v>
      </c>
      <c r="D18" s="41">
        <v>18652176</v>
      </c>
      <c r="E18" s="41">
        <v>20702070</v>
      </c>
      <c r="F18" s="41">
        <v>211611238</v>
      </c>
      <c r="G18" s="41">
        <v>128734898</v>
      </c>
      <c r="H18" s="41">
        <v>343027</v>
      </c>
      <c r="I18" s="41">
        <v>16570500</v>
      </c>
      <c r="J18" s="41">
        <v>31313937</v>
      </c>
      <c r="K18" s="41">
        <v>0</v>
      </c>
      <c r="L18" s="41">
        <v>0</v>
      </c>
      <c r="M18" s="41">
        <v>9900</v>
      </c>
      <c r="N18" s="41">
        <v>0</v>
      </c>
      <c r="O18" s="41">
        <v>1229259</v>
      </c>
      <c r="P18" s="41">
        <v>17656</v>
      </c>
      <c r="Q18" s="41">
        <v>0</v>
      </c>
      <c r="R18" s="41">
        <v>78537128</v>
      </c>
      <c r="S18" s="41">
        <v>3012349695</v>
      </c>
      <c r="T18" s="41">
        <v>768170823</v>
      </c>
      <c r="U18" s="43">
        <v>2244178872</v>
      </c>
    </row>
    <row r="19" spans="1:21" x14ac:dyDescent="0.2">
      <c r="A19" s="40" t="s">
        <v>15</v>
      </c>
      <c r="B19" s="41">
        <v>109292673</v>
      </c>
      <c r="C19" s="41">
        <v>37657049</v>
      </c>
      <c r="D19" s="41">
        <v>0</v>
      </c>
      <c r="E19" s="41">
        <v>3745434</v>
      </c>
      <c r="F19" s="41">
        <v>161282285</v>
      </c>
      <c r="G19" s="41">
        <v>15840989</v>
      </c>
      <c r="H19" s="41">
        <v>217198</v>
      </c>
      <c r="I19" s="41">
        <v>7536839</v>
      </c>
      <c r="J19" s="41">
        <v>1413128</v>
      </c>
      <c r="K19" s="41">
        <v>0</v>
      </c>
      <c r="L19" s="41">
        <v>0</v>
      </c>
      <c r="M19" s="41">
        <v>145080</v>
      </c>
      <c r="N19" s="41">
        <v>0</v>
      </c>
      <c r="O19" s="41">
        <v>0</v>
      </c>
      <c r="P19" s="41">
        <v>38681</v>
      </c>
      <c r="Q19" s="41">
        <v>0</v>
      </c>
      <c r="R19" s="41">
        <v>0</v>
      </c>
      <c r="S19" s="41">
        <v>1001600681</v>
      </c>
      <c r="T19" s="41">
        <v>337169356</v>
      </c>
      <c r="U19" s="43">
        <v>664431325</v>
      </c>
    </row>
    <row r="20" spans="1:21" x14ac:dyDescent="0.2">
      <c r="A20" s="40" t="s">
        <v>16</v>
      </c>
      <c r="B20" s="41">
        <v>5073021555</v>
      </c>
      <c r="C20" s="41">
        <v>4478021183</v>
      </c>
      <c r="D20" s="41">
        <v>238431165</v>
      </c>
      <c r="E20" s="41">
        <v>275118262</v>
      </c>
      <c r="F20" s="41">
        <v>12435069700</v>
      </c>
      <c r="G20" s="41">
        <v>6444849726</v>
      </c>
      <c r="H20" s="41">
        <v>7127405</v>
      </c>
      <c r="I20" s="41">
        <v>676342801</v>
      </c>
      <c r="J20" s="41">
        <v>993637</v>
      </c>
      <c r="K20" s="41">
        <v>27387858</v>
      </c>
      <c r="L20" s="41">
        <v>658053</v>
      </c>
      <c r="M20" s="41">
        <v>321821</v>
      </c>
      <c r="N20" s="41">
        <v>737483</v>
      </c>
      <c r="O20" s="41">
        <v>52048272</v>
      </c>
      <c r="P20" s="41">
        <v>10709946</v>
      </c>
      <c r="Q20" s="41">
        <v>22110990</v>
      </c>
      <c r="R20" s="41">
        <v>44176687</v>
      </c>
      <c r="S20" s="41">
        <v>120232454440</v>
      </c>
      <c r="T20" s="41">
        <v>29787126544</v>
      </c>
      <c r="U20" s="43">
        <v>90445327896</v>
      </c>
    </row>
    <row r="21" spans="1:21" x14ac:dyDescent="0.2">
      <c r="A21" s="40" t="s">
        <v>17</v>
      </c>
      <c r="B21" s="41">
        <v>1814059278</v>
      </c>
      <c r="C21" s="41">
        <v>1516718010</v>
      </c>
      <c r="D21" s="41">
        <v>124338610</v>
      </c>
      <c r="E21" s="41">
        <v>107094517</v>
      </c>
      <c r="F21" s="41">
        <v>4047786777</v>
      </c>
      <c r="G21" s="41">
        <v>1463342984</v>
      </c>
      <c r="H21" s="41">
        <v>3704379</v>
      </c>
      <c r="I21" s="41">
        <v>373771055</v>
      </c>
      <c r="J21" s="41">
        <v>153385</v>
      </c>
      <c r="K21" s="41">
        <v>193001</v>
      </c>
      <c r="L21" s="41">
        <v>440331970</v>
      </c>
      <c r="M21" s="41">
        <v>81003</v>
      </c>
      <c r="N21" s="41">
        <v>1562033</v>
      </c>
      <c r="O21" s="41">
        <v>36710020</v>
      </c>
      <c r="P21" s="41">
        <v>1283379</v>
      </c>
      <c r="Q21" s="41">
        <v>44144042</v>
      </c>
      <c r="R21" s="41">
        <v>139036488</v>
      </c>
      <c r="S21" s="41">
        <v>34480527987</v>
      </c>
      <c r="T21" s="41">
        <v>10114391802</v>
      </c>
      <c r="U21" s="43">
        <v>24366136185</v>
      </c>
    </row>
    <row r="22" spans="1:21" x14ac:dyDescent="0.2">
      <c r="A22" s="40" t="s">
        <v>18</v>
      </c>
      <c r="B22" s="41">
        <v>940095201</v>
      </c>
      <c r="C22" s="41">
        <v>915468269</v>
      </c>
      <c r="D22" s="41">
        <v>202113188</v>
      </c>
      <c r="E22" s="41">
        <v>33484458</v>
      </c>
      <c r="F22" s="41">
        <v>749340297</v>
      </c>
      <c r="G22" s="41">
        <v>395719441</v>
      </c>
      <c r="H22" s="41">
        <v>1897000</v>
      </c>
      <c r="I22" s="41">
        <v>184382442</v>
      </c>
      <c r="J22" s="41">
        <v>5448827</v>
      </c>
      <c r="K22" s="41">
        <v>0</v>
      </c>
      <c r="L22" s="41">
        <v>0</v>
      </c>
      <c r="M22" s="41">
        <v>41624</v>
      </c>
      <c r="N22" s="41">
        <v>491380</v>
      </c>
      <c r="O22" s="41">
        <v>39684728</v>
      </c>
      <c r="P22" s="41">
        <v>79170</v>
      </c>
      <c r="Q22" s="41">
        <v>6742076</v>
      </c>
      <c r="R22" s="41">
        <v>0</v>
      </c>
      <c r="S22" s="41">
        <v>16166448097</v>
      </c>
      <c r="T22" s="41">
        <v>3474988101</v>
      </c>
      <c r="U22" s="43">
        <v>12691459996</v>
      </c>
    </row>
    <row r="23" spans="1:21" x14ac:dyDescent="0.2">
      <c r="A23" s="40" t="s">
        <v>19</v>
      </c>
      <c r="B23" s="41">
        <v>80268212</v>
      </c>
      <c r="C23" s="41">
        <v>55244458</v>
      </c>
      <c r="D23" s="41">
        <v>7839095</v>
      </c>
      <c r="E23" s="41">
        <v>4707782</v>
      </c>
      <c r="F23" s="41">
        <v>544672520</v>
      </c>
      <c r="G23" s="41">
        <v>32295603</v>
      </c>
      <c r="H23" s="41">
        <v>137500</v>
      </c>
      <c r="I23" s="41">
        <v>6966991</v>
      </c>
      <c r="J23" s="41">
        <v>397481</v>
      </c>
      <c r="K23" s="41">
        <v>0</v>
      </c>
      <c r="L23" s="41">
        <v>0</v>
      </c>
      <c r="M23" s="41">
        <v>2090</v>
      </c>
      <c r="N23" s="41">
        <v>0</v>
      </c>
      <c r="O23" s="41">
        <v>6024445</v>
      </c>
      <c r="P23" s="41">
        <v>0</v>
      </c>
      <c r="Q23" s="41">
        <v>0</v>
      </c>
      <c r="R23" s="41">
        <v>0</v>
      </c>
      <c r="S23" s="41">
        <v>3395898868</v>
      </c>
      <c r="T23" s="41">
        <v>738556177</v>
      </c>
      <c r="U23" s="43">
        <v>2657339998</v>
      </c>
    </row>
    <row r="24" spans="1:21" x14ac:dyDescent="0.2">
      <c r="A24" s="40" t="s">
        <v>20</v>
      </c>
      <c r="B24" s="41">
        <v>244823271</v>
      </c>
      <c r="C24" s="41">
        <v>147370732</v>
      </c>
      <c r="D24" s="41">
        <v>7726726</v>
      </c>
      <c r="E24" s="41">
        <v>14077836</v>
      </c>
      <c r="F24" s="41">
        <v>429260769</v>
      </c>
      <c r="G24" s="41">
        <v>69777691</v>
      </c>
      <c r="H24" s="41">
        <v>348185</v>
      </c>
      <c r="I24" s="41">
        <v>28890596</v>
      </c>
      <c r="J24" s="41">
        <v>1959595</v>
      </c>
      <c r="K24" s="41">
        <v>0</v>
      </c>
      <c r="L24" s="41">
        <v>17641308</v>
      </c>
      <c r="M24" s="41">
        <v>157058</v>
      </c>
      <c r="N24" s="41">
        <v>0</v>
      </c>
      <c r="O24" s="41">
        <v>1146361</v>
      </c>
      <c r="P24" s="41">
        <v>25698</v>
      </c>
      <c r="Q24" s="41">
        <v>0</v>
      </c>
      <c r="R24" s="41">
        <v>0</v>
      </c>
      <c r="S24" s="41">
        <v>2756408516</v>
      </c>
      <c r="T24" s="41">
        <v>963205826</v>
      </c>
      <c r="U24" s="43">
        <v>1793202690</v>
      </c>
    </row>
    <row r="25" spans="1:21" x14ac:dyDescent="0.2">
      <c r="A25" s="40" t="s">
        <v>21</v>
      </c>
      <c r="B25" s="41">
        <v>128486465</v>
      </c>
      <c r="C25" s="41">
        <v>81996920</v>
      </c>
      <c r="D25" s="41">
        <v>5976345</v>
      </c>
      <c r="E25" s="41">
        <v>5731622</v>
      </c>
      <c r="F25" s="41">
        <v>90930620</v>
      </c>
      <c r="G25" s="41">
        <v>30899102</v>
      </c>
      <c r="H25" s="41">
        <v>265624</v>
      </c>
      <c r="I25" s="41">
        <v>16146517</v>
      </c>
      <c r="J25" s="41">
        <v>743204</v>
      </c>
      <c r="K25" s="41">
        <v>0</v>
      </c>
      <c r="L25" s="41">
        <v>0</v>
      </c>
      <c r="M25" s="41">
        <v>3044</v>
      </c>
      <c r="N25" s="41">
        <v>0</v>
      </c>
      <c r="O25" s="41">
        <v>1671893</v>
      </c>
      <c r="P25" s="41">
        <v>33559</v>
      </c>
      <c r="Q25" s="41">
        <v>4729611</v>
      </c>
      <c r="R25" s="41">
        <v>0</v>
      </c>
      <c r="S25" s="41">
        <v>1408220863</v>
      </c>
      <c r="T25" s="41">
        <v>367614526</v>
      </c>
      <c r="U25" s="43">
        <v>1040606337</v>
      </c>
    </row>
    <row r="26" spans="1:21" x14ac:dyDescent="0.2">
      <c r="A26" s="40" t="s">
        <v>22</v>
      </c>
      <c r="B26" s="41">
        <v>63279497</v>
      </c>
      <c r="C26" s="41">
        <v>41389520</v>
      </c>
      <c r="D26" s="41">
        <v>2937203</v>
      </c>
      <c r="E26" s="41">
        <v>17696038</v>
      </c>
      <c r="F26" s="41">
        <v>814219446</v>
      </c>
      <c r="G26" s="41">
        <v>30224370</v>
      </c>
      <c r="H26" s="41">
        <v>159166</v>
      </c>
      <c r="I26" s="41">
        <v>7223951</v>
      </c>
      <c r="J26" s="41">
        <v>2588923</v>
      </c>
      <c r="K26" s="41">
        <v>0</v>
      </c>
      <c r="L26" s="41">
        <v>2129362</v>
      </c>
      <c r="M26" s="41">
        <v>0</v>
      </c>
      <c r="N26" s="41">
        <v>0</v>
      </c>
      <c r="O26" s="41">
        <v>1056404</v>
      </c>
      <c r="P26" s="41">
        <v>0</v>
      </c>
      <c r="Q26" s="41">
        <v>0</v>
      </c>
      <c r="R26" s="41">
        <v>0</v>
      </c>
      <c r="S26" s="41">
        <v>1877969478</v>
      </c>
      <c r="T26" s="41">
        <v>982903880</v>
      </c>
      <c r="U26" s="43">
        <v>895065598</v>
      </c>
    </row>
    <row r="27" spans="1:21" x14ac:dyDescent="0.2">
      <c r="A27" s="40" t="s">
        <v>23</v>
      </c>
      <c r="B27" s="41">
        <v>93617390</v>
      </c>
      <c r="C27" s="41">
        <v>61254246</v>
      </c>
      <c r="D27" s="41">
        <v>4311208</v>
      </c>
      <c r="E27" s="41">
        <v>4982460</v>
      </c>
      <c r="F27" s="41">
        <v>534797008</v>
      </c>
      <c r="G27" s="41">
        <v>54532072</v>
      </c>
      <c r="H27" s="41">
        <v>175000</v>
      </c>
      <c r="I27" s="41">
        <v>18057489</v>
      </c>
      <c r="J27" s="41">
        <v>121030</v>
      </c>
      <c r="K27" s="41">
        <v>0</v>
      </c>
      <c r="L27" s="41">
        <v>0</v>
      </c>
      <c r="M27" s="41">
        <v>0</v>
      </c>
      <c r="N27" s="41">
        <v>315271</v>
      </c>
      <c r="O27" s="41">
        <v>4276754</v>
      </c>
      <c r="P27" s="41">
        <v>0</v>
      </c>
      <c r="Q27" s="41">
        <v>291610</v>
      </c>
      <c r="R27" s="41">
        <v>0</v>
      </c>
      <c r="S27" s="41">
        <v>3278191232</v>
      </c>
      <c r="T27" s="41">
        <v>776731538</v>
      </c>
      <c r="U27" s="43">
        <v>2501459694</v>
      </c>
    </row>
    <row r="28" spans="1:21" x14ac:dyDescent="0.2">
      <c r="A28" s="40" t="s">
        <v>24</v>
      </c>
      <c r="B28" s="41">
        <v>66867116</v>
      </c>
      <c r="C28" s="41">
        <v>33855339</v>
      </c>
      <c r="D28" s="41">
        <v>5479614</v>
      </c>
      <c r="E28" s="41">
        <v>7707596</v>
      </c>
      <c r="F28" s="41">
        <v>132876432</v>
      </c>
      <c r="G28" s="41">
        <v>22934576</v>
      </c>
      <c r="H28" s="41">
        <v>152555</v>
      </c>
      <c r="I28" s="41">
        <v>6508350</v>
      </c>
      <c r="J28" s="41">
        <v>393366</v>
      </c>
      <c r="K28" s="41">
        <v>0</v>
      </c>
      <c r="L28" s="41">
        <v>0</v>
      </c>
      <c r="M28" s="41">
        <v>17510</v>
      </c>
      <c r="N28" s="41">
        <v>0</v>
      </c>
      <c r="O28" s="41">
        <v>479685</v>
      </c>
      <c r="P28" s="41">
        <v>0</v>
      </c>
      <c r="Q28" s="41">
        <v>0</v>
      </c>
      <c r="R28" s="41">
        <v>0</v>
      </c>
      <c r="S28" s="41">
        <v>1410862524</v>
      </c>
      <c r="T28" s="41">
        <v>277272139</v>
      </c>
      <c r="U28" s="43">
        <v>1133590385</v>
      </c>
    </row>
    <row r="29" spans="1:21" x14ac:dyDescent="0.2">
      <c r="A29" s="40" t="s">
        <v>25</v>
      </c>
      <c r="B29" s="41">
        <v>108874656</v>
      </c>
      <c r="C29" s="41">
        <v>66713198</v>
      </c>
      <c r="D29" s="41">
        <v>7045344</v>
      </c>
      <c r="E29" s="41">
        <v>19421333</v>
      </c>
      <c r="F29" s="41">
        <v>123383197</v>
      </c>
      <c r="G29" s="41">
        <v>165487211</v>
      </c>
      <c r="H29" s="41">
        <v>235135</v>
      </c>
      <c r="I29" s="41">
        <v>4840290</v>
      </c>
      <c r="J29" s="41">
        <v>1710751</v>
      </c>
      <c r="K29" s="41">
        <v>0</v>
      </c>
      <c r="L29" s="41">
        <v>0</v>
      </c>
      <c r="M29" s="41">
        <v>0</v>
      </c>
      <c r="N29" s="41">
        <v>0</v>
      </c>
      <c r="O29" s="41">
        <v>114382</v>
      </c>
      <c r="P29" s="41">
        <v>0</v>
      </c>
      <c r="Q29" s="41">
        <v>0</v>
      </c>
      <c r="R29" s="41">
        <v>0</v>
      </c>
      <c r="S29" s="41">
        <v>2575736946</v>
      </c>
      <c r="T29" s="41">
        <v>497825497</v>
      </c>
      <c r="U29" s="43">
        <v>2077911449</v>
      </c>
    </row>
    <row r="30" spans="1:21" x14ac:dyDescent="0.2">
      <c r="A30" s="40" t="s">
        <v>26</v>
      </c>
      <c r="B30" s="41">
        <v>181763749</v>
      </c>
      <c r="C30" s="41">
        <v>118857417</v>
      </c>
      <c r="D30" s="41">
        <v>12272538</v>
      </c>
      <c r="E30" s="41">
        <v>17721687</v>
      </c>
      <c r="F30" s="41">
        <v>1249691754</v>
      </c>
      <c r="G30" s="41">
        <v>97820545</v>
      </c>
      <c r="H30" s="41">
        <v>278256</v>
      </c>
      <c r="I30" s="41">
        <v>11244335</v>
      </c>
      <c r="J30" s="41">
        <v>11058444</v>
      </c>
      <c r="K30" s="41">
        <v>0</v>
      </c>
      <c r="L30" s="41">
        <v>1728451</v>
      </c>
      <c r="M30" s="41">
        <v>12100</v>
      </c>
      <c r="N30" s="41">
        <v>0</v>
      </c>
      <c r="O30" s="41">
        <v>0</v>
      </c>
      <c r="P30" s="41">
        <v>0</v>
      </c>
      <c r="Q30" s="41">
        <v>0</v>
      </c>
      <c r="R30" s="41">
        <v>61600984</v>
      </c>
      <c r="S30" s="41">
        <v>5059439412</v>
      </c>
      <c r="T30" s="41">
        <v>1764050260</v>
      </c>
      <c r="U30" s="43">
        <v>3295389152</v>
      </c>
    </row>
    <row r="31" spans="1:21" x14ac:dyDescent="0.2">
      <c r="A31" s="40" t="s">
        <v>27</v>
      </c>
      <c r="B31" s="41">
        <v>1379056012</v>
      </c>
      <c r="C31" s="41">
        <v>1169340191</v>
      </c>
      <c r="D31" s="41">
        <v>185255074</v>
      </c>
      <c r="E31" s="41">
        <v>59153420</v>
      </c>
      <c r="F31" s="41">
        <v>1619448869</v>
      </c>
      <c r="G31" s="41">
        <v>289973899</v>
      </c>
      <c r="H31" s="41">
        <v>3150734</v>
      </c>
      <c r="I31" s="41">
        <v>304415056</v>
      </c>
      <c r="J31" s="41">
        <v>86033</v>
      </c>
      <c r="K31" s="41">
        <v>0</v>
      </c>
      <c r="L31" s="41">
        <v>0</v>
      </c>
      <c r="M31" s="41">
        <v>169304</v>
      </c>
      <c r="N31" s="41">
        <v>0</v>
      </c>
      <c r="O31" s="41">
        <v>7603485</v>
      </c>
      <c r="P31" s="41">
        <v>15380</v>
      </c>
      <c r="Q31" s="41">
        <v>14301950</v>
      </c>
      <c r="R31" s="41">
        <v>0</v>
      </c>
      <c r="S31" s="41">
        <v>17902325691</v>
      </c>
      <c r="T31" s="41">
        <v>5031969407</v>
      </c>
      <c r="U31" s="43">
        <v>12870356284</v>
      </c>
    </row>
    <row r="32" spans="1:21" x14ac:dyDescent="0.2">
      <c r="A32" s="40" t="s">
        <v>28</v>
      </c>
      <c r="B32" s="41">
        <v>623547971</v>
      </c>
      <c r="C32" s="41">
        <v>472888156</v>
      </c>
      <c r="D32" s="41">
        <v>26042293</v>
      </c>
      <c r="E32" s="41">
        <v>76396949</v>
      </c>
      <c r="F32" s="41">
        <v>577382874</v>
      </c>
      <c r="G32" s="41">
        <v>448698882</v>
      </c>
      <c r="H32" s="41">
        <v>2085963</v>
      </c>
      <c r="I32" s="41">
        <v>100857541</v>
      </c>
      <c r="J32" s="41">
        <v>14004114</v>
      </c>
      <c r="K32" s="41">
        <v>0</v>
      </c>
      <c r="L32" s="41">
        <v>1266345</v>
      </c>
      <c r="M32" s="41">
        <v>3125</v>
      </c>
      <c r="N32" s="41">
        <v>0</v>
      </c>
      <c r="O32" s="41">
        <v>5827947</v>
      </c>
      <c r="P32" s="41">
        <v>280731</v>
      </c>
      <c r="Q32" s="41">
        <v>0</v>
      </c>
      <c r="R32" s="41">
        <v>0</v>
      </c>
      <c r="S32" s="41">
        <v>8829136312</v>
      </c>
      <c r="T32" s="41">
        <v>2349282891</v>
      </c>
      <c r="U32" s="43">
        <v>6479853421</v>
      </c>
    </row>
    <row r="33" spans="1:21" x14ac:dyDescent="0.2">
      <c r="A33" s="40" t="s">
        <v>29</v>
      </c>
      <c r="B33" s="41">
        <v>7315002134</v>
      </c>
      <c r="C33" s="41">
        <v>6601509257</v>
      </c>
      <c r="D33" s="41">
        <v>240956116</v>
      </c>
      <c r="E33" s="41">
        <v>402807760</v>
      </c>
      <c r="F33" s="41">
        <v>12502559640</v>
      </c>
      <c r="G33" s="41">
        <v>6451811457</v>
      </c>
      <c r="H33" s="41">
        <v>9082000</v>
      </c>
      <c r="I33" s="41">
        <v>2023415122</v>
      </c>
      <c r="J33" s="41">
        <v>1236728</v>
      </c>
      <c r="K33" s="41">
        <v>82471340</v>
      </c>
      <c r="L33" s="41">
        <v>13566140</v>
      </c>
      <c r="M33" s="41">
        <v>4620</v>
      </c>
      <c r="N33" s="41">
        <v>3863574</v>
      </c>
      <c r="O33" s="41">
        <v>34410698</v>
      </c>
      <c r="P33" s="41">
        <v>12224426</v>
      </c>
      <c r="Q33" s="41">
        <v>135827183</v>
      </c>
      <c r="R33" s="41">
        <v>0</v>
      </c>
      <c r="S33" s="41">
        <v>176436695008</v>
      </c>
      <c r="T33" s="41">
        <v>35830748195</v>
      </c>
      <c r="U33" s="43">
        <v>140605946813</v>
      </c>
    </row>
    <row r="34" spans="1:21" x14ac:dyDescent="0.2">
      <c r="A34" s="40" t="s">
        <v>30</v>
      </c>
      <c r="B34" s="41">
        <v>116889974</v>
      </c>
      <c r="C34" s="41">
        <v>61062272</v>
      </c>
      <c r="D34" s="41">
        <v>17865640</v>
      </c>
      <c r="E34" s="41">
        <v>12735010</v>
      </c>
      <c r="F34" s="41">
        <v>80087996</v>
      </c>
      <c r="G34" s="41">
        <v>44027003</v>
      </c>
      <c r="H34" s="41">
        <v>240422</v>
      </c>
      <c r="I34" s="41">
        <v>15921697</v>
      </c>
      <c r="J34" s="41">
        <v>0</v>
      </c>
      <c r="K34" s="41">
        <v>0</v>
      </c>
      <c r="L34" s="41">
        <v>272317</v>
      </c>
      <c r="M34" s="41">
        <v>55810</v>
      </c>
      <c r="N34" s="41">
        <v>0</v>
      </c>
      <c r="O34" s="41">
        <v>555316</v>
      </c>
      <c r="P34" s="41">
        <v>0</v>
      </c>
      <c r="Q34" s="41">
        <v>0</v>
      </c>
      <c r="R34" s="41">
        <v>0</v>
      </c>
      <c r="S34" s="41">
        <v>884599809</v>
      </c>
      <c r="T34" s="41">
        <v>349713457</v>
      </c>
      <c r="U34" s="43">
        <v>534886352</v>
      </c>
    </row>
    <row r="35" spans="1:21" x14ac:dyDescent="0.2">
      <c r="A35" s="40" t="s">
        <v>31</v>
      </c>
      <c r="B35" s="41">
        <v>1195818845</v>
      </c>
      <c r="C35" s="41">
        <v>1081563694</v>
      </c>
      <c r="D35" s="41">
        <v>45776325</v>
      </c>
      <c r="E35" s="41">
        <v>48086148</v>
      </c>
      <c r="F35" s="41">
        <v>967605752</v>
      </c>
      <c r="G35" s="41">
        <v>844689121</v>
      </c>
      <c r="H35" s="41">
        <v>2241961</v>
      </c>
      <c r="I35" s="41">
        <v>167057665</v>
      </c>
      <c r="J35" s="41">
        <v>1415712</v>
      </c>
      <c r="K35" s="41">
        <v>0</v>
      </c>
      <c r="L35" s="41">
        <v>0</v>
      </c>
      <c r="M35" s="41">
        <v>10165</v>
      </c>
      <c r="N35" s="41">
        <v>161115</v>
      </c>
      <c r="O35" s="41">
        <v>32202096</v>
      </c>
      <c r="P35" s="41">
        <v>53577</v>
      </c>
      <c r="Q35" s="41">
        <v>0</v>
      </c>
      <c r="R35" s="41">
        <v>0</v>
      </c>
      <c r="S35" s="41">
        <v>27752080059</v>
      </c>
      <c r="T35" s="41">
        <v>4386682176</v>
      </c>
      <c r="U35" s="43">
        <v>23365397883</v>
      </c>
    </row>
    <row r="36" spans="1:21" x14ac:dyDescent="0.2">
      <c r="A36" s="40" t="s">
        <v>32</v>
      </c>
      <c r="B36" s="41">
        <v>248478407</v>
      </c>
      <c r="C36" s="41">
        <v>133921114</v>
      </c>
      <c r="D36" s="41">
        <v>8080818</v>
      </c>
      <c r="E36" s="41">
        <v>18497896</v>
      </c>
      <c r="F36" s="41">
        <v>399098966</v>
      </c>
      <c r="G36" s="41">
        <v>140263017</v>
      </c>
      <c r="H36" s="41">
        <v>618516</v>
      </c>
      <c r="I36" s="41">
        <v>27536672</v>
      </c>
      <c r="J36" s="41">
        <v>191907</v>
      </c>
      <c r="K36" s="41">
        <v>0</v>
      </c>
      <c r="L36" s="41">
        <v>0</v>
      </c>
      <c r="M36" s="41">
        <v>117952</v>
      </c>
      <c r="N36" s="41">
        <v>32618</v>
      </c>
      <c r="O36" s="41">
        <v>1533510</v>
      </c>
      <c r="P36" s="41">
        <v>0</v>
      </c>
      <c r="Q36" s="41">
        <v>908031</v>
      </c>
      <c r="R36" s="41">
        <v>0</v>
      </c>
      <c r="S36" s="41">
        <v>2916553125</v>
      </c>
      <c r="T36" s="41">
        <v>979279424</v>
      </c>
      <c r="U36" s="43">
        <v>1937273701</v>
      </c>
    </row>
    <row r="37" spans="1:21" x14ac:dyDescent="0.2">
      <c r="A37" s="40" t="s">
        <v>33</v>
      </c>
      <c r="B37" s="41">
        <v>95065972</v>
      </c>
      <c r="C37" s="41">
        <v>65018416</v>
      </c>
      <c r="D37" s="41">
        <v>1911801</v>
      </c>
      <c r="E37" s="41">
        <v>14588816</v>
      </c>
      <c r="F37" s="41">
        <v>89818113</v>
      </c>
      <c r="G37" s="41">
        <v>38539267</v>
      </c>
      <c r="H37" s="41">
        <v>2631476</v>
      </c>
      <c r="I37" s="41">
        <v>7757863</v>
      </c>
      <c r="J37" s="41">
        <v>44471802</v>
      </c>
      <c r="K37" s="41">
        <v>0</v>
      </c>
      <c r="L37" s="41">
        <v>0</v>
      </c>
      <c r="M37" s="41">
        <v>24076</v>
      </c>
      <c r="N37" s="41">
        <v>368417</v>
      </c>
      <c r="O37" s="41">
        <v>313189</v>
      </c>
      <c r="P37" s="41">
        <v>0</v>
      </c>
      <c r="Q37" s="41">
        <v>0</v>
      </c>
      <c r="R37" s="41">
        <v>0</v>
      </c>
      <c r="S37" s="41">
        <v>1168076532</v>
      </c>
      <c r="T37" s="41">
        <v>360509208</v>
      </c>
      <c r="U37" s="43">
        <v>807567324</v>
      </c>
    </row>
    <row r="38" spans="1:21" x14ac:dyDescent="0.2">
      <c r="A38" s="40" t="s">
        <v>34</v>
      </c>
      <c r="B38" s="41">
        <v>40739468</v>
      </c>
      <c r="C38" s="41">
        <v>24943857</v>
      </c>
      <c r="D38" s="41">
        <v>565165</v>
      </c>
      <c r="E38" s="41">
        <v>3520653</v>
      </c>
      <c r="F38" s="41">
        <v>92912050</v>
      </c>
      <c r="G38" s="41">
        <v>16400301</v>
      </c>
      <c r="H38" s="41">
        <v>84000</v>
      </c>
      <c r="I38" s="41">
        <v>4763867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505708092</v>
      </c>
      <c r="T38" s="41">
        <v>183929361</v>
      </c>
      <c r="U38" s="43">
        <v>321778731</v>
      </c>
    </row>
    <row r="39" spans="1:21" x14ac:dyDescent="0.2">
      <c r="A39" s="40" t="s">
        <v>35</v>
      </c>
      <c r="B39" s="41">
        <v>2514214621</v>
      </c>
      <c r="C39" s="41">
        <v>2275181083</v>
      </c>
      <c r="D39" s="41">
        <v>277452565</v>
      </c>
      <c r="E39" s="41">
        <v>145891018</v>
      </c>
      <c r="F39" s="41">
        <v>1041179307</v>
      </c>
      <c r="G39" s="41">
        <v>1579351376</v>
      </c>
      <c r="H39" s="41">
        <v>3859489</v>
      </c>
      <c r="I39" s="41">
        <v>401474095</v>
      </c>
      <c r="J39" s="41">
        <v>14784144</v>
      </c>
      <c r="K39" s="41">
        <v>0</v>
      </c>
      <c r="L39" s="41">
        <v>0</v>
      </c>
      <c r="M39" s="41">
        <v>3604</v>
      </c>
      <c r="N39" s="41">
        <v>0</v>
      </c>
      <c r="O39" s="41">
        <v>30232567</v>
      </c>
      <c r="P39" s="41">
        <v>297846</v>
      </c>
      <c r="Q39" s="41">
        <v>12103690</v>
      </c>
      <c r="R39" s="41">
        <v>0</v>
      </c>
      <c r="S39" s="41">
        <v>38719178134</v>
      </c>
      <c r="T39" s="41">
        <v>8296025405</v>
      </c>
      <c r="U39" s="43">
        <v>30423152729</v>
      </c>
    </row>
    <row r="40" spans="1:21" x14ac:dyDescent="0.2">
      <c r="A40" s="40" t="s">
        <v>36</v>
      </c>
      <c r="B40" s="41">
        <v>5000511844</v>
      </c>
      <c r="C40" s="41">
        <v>4556297212</v>
      </c>
      <c r="D40" s="41">
        <v>297975318</v>
      </c>
      <c r="E40" s="41">
        <v>410634285</v>
      </c>
      <c r="F40" s="41">
        <v>6229056798</v>
      </c>
      <c r="G40" s="41">
        <v>1943354754</v>
      </c>
      <c r="H40" s="41">
        <v>9093471</v>
      </c>
      <c r="I40" s="41">
        <v>693128863</v>
      </c>
      <c r="J40" s="41">
        <v>2315713</v>
      </c>
      <c r="K40" s="41">
        <v>0</v>
      </c>
      <c r="L40" s="41">
        <v>0</v>
      </c>
      <c r="M40" s="41">
        <v>94066</v>
      </c>
      <c r="N40" s="41">
        <v>0</v>
      </c>
      <c r="O40" s="41">
        <v>97900777</v>
      </c>
      <c r="P40" s="41">
        <v>530264</v>
      </c>
      <c r="Q40" s="41">
        <v>2313871</v>
      </c>
      <c r="R40" s="41">
        <v>649832</v>
      </c>
      <c r="S40" s="41">
        <v>131848395018</v>
      </c>
      <c r="T40" s="41">
        <v>19243857068</v>
      </c>
      <c r="U40" s="43">
        <v>112604537950</v>
      </c>
    </row>
    <row r="41" spans="1:21" x14ac:dyDescent="0.2">
      <c r="A41" s="40" t="s">
        <v>37</v>
      </c>
      <c r="B41" s="41">
        <v>1428739142</v>
      </c>
      <c r="C41" s="41">
        <v>1282876835</v>
      </c>
      <c r="D41" s="41">
        <v>33875610</v>
      </c>
      <c r="E41" s="41">
        <v>119783226</v>
      </c>
      <c r="F41" s="41">
        <v>6229984128</v>
      </c>
      <c r="G41" s="41">
        <v>1192477051</v>
      </c>
      <c r="H41" s="41">
        <v>2208787</v>
      </c>
      <c r="I41" s="41">
        <v>171266508</v>
      </c>
      <c r="J41" s="41">
        <v>115224997</v>
      </c>
      <c r="K41" s="41">
        <v>7757627</v>
      </c>
      <c r="L41" s="41">
        <v>2204837</v>
      </c>
      <c r="M41" s="41">
        <v>165349</v>
      </c>
      <c r="N41" s="41">
        <v>1515776</v>
      </c>
      <c r="O41" s="41">
        <v>19521176</v>
      </c>
      <c r="P41" s="41">
        <v>110069</v>
      </c>
      <c r="Q41" s="41">
        <v>25269528</v>
      </c>
      <c r="R41" s="41">
        <v>24955302</v>
      </c>
      <c r="S41" s="41">
        <v>32008339940</v>
      </c>
      <c r="T41" s="41">
        <v>10657935948</v>
      </c>
      <c r="U41" s="43">
        <v>21350403992</v>
      </c>
    </row>
    <row r="42" spans="1:21" x14ac:dyDescent="0.2">
      <c r="A42" s="40" t="s">
        <v>38</v>
      </c>
      <c r="B42" s="41">
        <v>309211143</v>
      </c>
      <c r="C42" s="41">
        <v>190449608</v>
      </c>
      <c r="D42" s="41">
        <v>33478615</v>
      </c>
      <c r="E42" s="41">
        <v>16027982</v>
      </c>
      <c r="F42" s="41">
        <v>262352967</v>
      </c>
      <c r="G42" s="41">
        <v>101031343</v>
      </c>
      <c r="H42" s="41">
        <v>613500</v>
      </c>
      <c r="I42" s="41">
        <v>44517526</v>
      </c>
      <c r="J42" s="41">
        <v>4721647</v>
      </c>
      <c r="K42" s="41">
        <v>441489</v>
      </c>
      <c r="L42" s="41">
        <v>0</v>
      </c>
      <c r="M42" s="41">
        <v>440</v>
      </c>
      <c r="N42" s="41">
        <v>0</v>
      </c>
      <c r="O42" s="41">
        <v>3214169</v>
      </c>
      <c r="P42" s="41">
        <v>93471</v>
      </c>
      <c r="Q42" s="41">
        <v>0</v>
      </c>
      <c r="R42" s="41">
        <v>0</v>
      </c>
      <c r="S42" s="41">
        <v>3470426150</v>
      </c>
      <c r="T42" s="41">
        <v>966153900</v>
      </c>
      <c r="U42" s="43">
        <v>2504272250</v>
      </c>
    </row>
    <row r="43" spans="1:21" x14ac:dyDescent="0.2">
      <c r="A43" s="40" t="s">
        <v>39</v>
      </c>
      <c r="B43" s="41">
        <v>36114651</v>
      </c>
      <c r="C43" s="41">
        <v>18640447</v>
      </c>
      <c r="D43" s="41">
        <v>2019437</v>
      </c>
      <c r="E43" s="41">
        <v>2191156</v>
      </c>
      <c r="F43" s="41">
        <v>344360822</v>
      </c>
      <c r="G43" s="41">
        <v>21140981</v>
      </c>
      <c r="H43" s="41">
        <v>47052</v>
      </c>
      <c r="I43" s="41">
        <v>4266483</v>
      </c>
      <c r="J43" s="41">
        <v>316200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772686671</v>
      </c>
      <c r="T43" s="41">
        <v>429097229</v>
      </c>
      <c r="U43" s="43">
        <v>343589442</v>
      </c>
    </row>
    <row r="44" spans="1:21" x14ac:dyDescent="0.2">
      <c r="A44" s="40" t="s">
        <v>40</v>
      </c>
      <c r="B44" s="41">
        <v>100615007</v>
      </c>
      <c r="C44" s="41">
        <v>55540062</v>
      </c>
      <c r="D44" s="41">
        <v>7353937</v>
      </c>
      <c r="E44" s="41">
        <v>12273107</v>
      </c>
      <c r="F44" s="41">
        <v>63927420</v>
      </c>
      <c r="G44" s="41">
        <v>62132250</v>
      </c>
      <c r="H44" s="41">
        <v>249786</v>
      </c>
      <c r="I44" s="41">
        <v>11644880</v>
      </c>
      <c r="J44" s="41">
        <v>423995</v>
      </c>
      <c r="K44" s="41">
        <v>72346</v>
      </c>
      <c r="L44" s="41">
        <v>0</v>
      </c>
      <c r="M44" s="41">
        <v>171661</v>
      </c>
      <c r="N44" s="41">
        <v>219515</v>
      </c>
      <c r="O44" s="41">
        <v>395050</v>
      </c>
      <c r="P44" s="41">
        <v>0</v>
      </c>
      <c r="Q44" s="41">
        <v>1723863</v>
      </c>
      <c r="R44" s="41">
        <v>0</v>
      </c>
      <c r="S44" s="41">
        <v>1230463622</v>
      </c>
      <c r="T44" s="41">
        <v>316742879</v>
      </c>
      <c r="U44" s="43">
        <v>913720743</v>
      </c>
    </row>
    <row r="45" spans="1:21" x14ac:dyDescent="0.2">
      <c r="A45" s="40" t="s">
        <v>41</v>
      </c>
      <c r="B45" s="41">
        <v>2455332510</v>
      </c>
      <c r="C45" s="41">
        <v>2259977228</v>
      </c>
      <c r="D45" s="41">
        <v>67865770</v>
      </c>
      <c r="E45" s="41">
        <v>143864277</v>
      </c>
      <c r="F45" s="41">
        <v>1632607087</v>
      </c>
      <c r="G45" s="41">
        <v>1181936196</v>
      </c>
      <c r="H45" s="41">
        <v>5733074</v>
      </c>
      <c r="I45" s="41">
        <v>426858438</v>
      </c>
      <c r="J45" s="41">
        <v>0</v>
      </c>
      <c r="K45" s="41">
        <v>0</v>
      </c>
      <c r="L45" s="41">
        <v>13623891</v>
      </c>
      <c r="M45" s="41">
        <v>0</v>
      </c>
      <c r="N45" s="41">
        <v>834020</v>
      </c>
      <c r="O45" s="41">
        <v>42088558</v>
      </c>
      <c r="P45" s="41">
        <v>1916540</v>
      </c>
      <c r="Q45" s="41">
        <v>0</v>
      </c>
      <c r="R45" s="41">
        <v>0</v>
      </c>
      <c r="S45" s="41">
        <v>61116522281</v>
      </c>
      <c r="T45" s="41">
        <v>8232637589</v>
      </c>
      <c r="U45" s="43">
        <v>52883884692</v>
      </c>
    </row>
    <row r="46" spans="1:21" x14ac:dyDescent="0.2">
      <c r="A46" s="40" t="s">
        <v>42</v>
      </c>
      <c r="B46" s="41">
        <v>2586961328</v>
      </c>
      <c r="C46" s="41">
        <v>2069998864</v>
      </c>
      <c r="D46" s="41">
        <v>0</v>
      </c>
      <c r="E46" s="41">
        <v>126896106</v>
      </c>
      <c r="F46" s="41">
        <v>1452259688</v>
      </c>
      <c r="G46" s="41">
        <v>1500727995</v>
      </c>
      <c r="H46" s="41">
        <v>5463892</v>
      </c>
      <c r="I46" s="41">
        <v>406929979</v>
      </c>
      <c r="J46" s="41">
        <v>943419</v>
      </c>
      <c r="K46" s="41">
        <v>0</v>
      </c>
      <c r="L46" s="41">
        <v>0</v>
      </c>
      <c r="M46" s="41">
        <v>28973</v>
      </c>
      <c r="N46" s="41">
        <v>2052648</v>
      </c>
      <c r="O46" s="41">
        <v>45436108</v>
      </c>
      <c r="P46" s="41">
        <v>433276</v>
      </c>
      <c r="Q46" s="41">
        <v>0</v>
      </c>
      <c r="R46" s="41">
        <v>755635</v>
      </c>
      <c r="S46" s="41">
        <v>33862996717</v>
      </c>
      <c r="T46" s="41">
        <v>8198887911</v>
      </c>
      <c r="U46" s="43">
        <v>25664108806</v>
      </c>
    </row>
    <row r="47" spans="1:21" x14ac:dyDescent="0.2">
      <c r="A47" s="40" t="s">
        <v>43</v>
      </c>
      <c r="B47" s="41">
        <v>1197200196</v>
      </c>
      <c r="C47" s="41">
        <v>1092253455</v>
      </c>
      <c r="D47" s="41">
        <v>55205408</v>
      </c>
      <c r="E47" s="41">
        <v>74567511</v>
      </c>
      <c r="F47" s="41">
        <v>975504445</v>
      </c>
      <c r="G47" s="41">
        <v>644641282</v>
      </c>
      <c r="H47" s="41">
        <v>1923763</v>
      </c>
      <c r="I47" s="41">
        <v>130069077</v>
      </c>
      <c r="J47" s="41">
        <v>4338671</v>
      </c>
      <c r="K47" s="41">
        <v>0</v>
      </c>
      <c r="L47" s="41">
        <v>0</v>
      </c>
      <c r="M47" s="41">
        <v>0</v>
      </c>
      <c r="N47" s="41">
        <v>1877792</v>
      </c>
      <c r="O47" s="41">
        <v>20017053</v>
      </c>
      <c r="P47" s="41">
        <v>181891</v>
      </c>
      <c r="Q47" s="41">
        <v>22503404</v>
      </c>
      <c r="R47" s="41">
        <v>51127941</v>
      </c>
      <c r="S47" s="41">
        <v>32440032596</v>
      </c>
      <c r="T47" s="41">
        <v>4271411889</v>
      </c>
      <c r="U47" s="43">
        <v>28168620707</v>
      </c>
    </row>
    <row r="48" spans="1:21" x14ac:dyDescent="0.2">
      <c r="A48" s="40" t="s">
        <v>44</v>
      </c>
      <c r="B48" s="41">
        <v>403306220</v>
      </c>
      <c r="C48" s="41">
        <v>398169407</v>
      </c>
      <c r="D48" s="41">
        <v>26045489</v>
      </c>
      <c r="E48" s="41">
        <v>88438692</v>
      </c>
      <c r="F48" s="41">
        <v>4335372072</v>
      </c>
      <c r="G48" s="41">
        <v>871212113</v>
      </c>
      <c r="H48" s="41">
        <v>761500</v>
      </c>
      <c r="I48" s="41">
        <v>135981191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12543858</v>
      </c>
      <c r="P48" s="41">
        <v>264217</v>
      </c>
      <c r="Q48" s="41">
        <v>1163096</v>
      </c>
      <c r="R48" s="41">
        <v>0</v>
      </c>
      <c r="S48" s="41">
        <v>43081798102</v>
      </c>
      <c r="T48" s="41">
        <v>6273257855</v>
      </c>
      <c r="U48" s="43">
        <v>36808540247</v>
      </c>
    </row>
    <row r="49" spans="1:21" x14ac:dyDescent="0.2">
      <c r="A49" s="40" t="s">
        <v>45</v>
      </c>
      <c r="B49" s="41">
        <v>669557561</v>
      </c>
      <c r="C49" s="41">
        <v>610036595</v>
      </c>
      <c r="D49" s="41">
        <v>27725267</v>
      </c>
      <c r="E49" s="41">
        <v>28301484</v>
      </c>
      <c r="F49" s="41">
        <v>956441033</v>
      </c>
      <c r="G49" s="41">
        <v>297861529</v>
      </c>
      <c r="H49" s="41">
        <v>1188555</v>
      </c>
      <c r="I49" s="41">
        <v>205645838</v>
      </c>
      <c r="J49" s="41">
        <v>7402038</v>
      </c>
      <c r="K49" s="41">
        <v>0</v>
      </c>
      <c r="L49" s="41">
        <v>0</v>
      </c>
      <c r="M49" s="41">
        <v>0</v>
      </c>
      <c r="N49" s="41">
        <v>0</v>
      </c>
      <c r="O49" s="41">
        <v>8174881</v>
      </c>
      <c r="P49" s="41">
        <v>724891</v>
      </c>
      <c r="Q49" s="41">
        <v>12924819</v>
      </c>
      <c r="R49" s="41">
        <v>0</v>
      </c>
      <c r="S49" s="41">
        <v>15619986387</v>
      </c>
      <c r="T49" s="41">
        <v>2825984491</v>
      </c>
      <c r="U49" s="43">
        <v>12794001896</v>
      </c>
    </row>
    <row r="50" spans="1:21" x14ac:dyDescent="0.2">
      <c r="A50" s="40" t="s">
        <v>46</v>
      </c>
      <c r="B50" s="41">
        <v>1210494328</v>
      </c>
      <c r="C50" s="41">
        <v>1080758181</v>
      </c>
      <c r="D50" s="41">
        <v>61226418</v>
      </c>
      <c r="E50" s="41">
        <v>83170206</v>
      </c>
      <c r="F50" s="41">
        <v>2077990915</v>
      </c>
      <c r="G50" s="41">
        <v>310604312</v>
      </c>
      <c r="H50" s="41">
        <v>1934000</v>
      </c>
      <c r="I50" s="41">
        <v>648624973</v>
      </c>
      <c r="J50" s="41">
        <v>0</v>
      </c>
      <c r="K50" s="41">
        <v>0</v>
      </c>
      <c r="L50" s="41">
        <v>983257</v>
      </c>
      <c r="M50" s="41">
        <v>0</v>
      </c>
      <c r="N50" s="41">
        <v>0</v>
      </c>
      <c r="O50" s="41">
        <v>28786284</v>
      </c>
      <c r="P50" s="41">
        <v>22529794</v>
      </c>
      <c r="Q50" s="41">
        <v>0</v>
      </c>
      <c r="R50" s="41">
        <v>36145039</v>
      </c>
      <c r="S50" s="41">
        <v>29660510914</v>
      </c>
      <c r="T50" s="41">
        <v>5563247707</v>
      </c>
      <c r="U50" s="43">
        <v>24097263207</v>
      </c>
    </row>
    <row r="51" spans="1:21" x14ac:dyDescent="0.2">
      <c r="A51" s="40" t="s">
        <v>47</v>
      </c>
      <c r="B51" s="41">
        <v>209183852</v>
      </c>
      <c r="C51" s="41">
        <v>137009526</v>
      </c>
      <c r="D51" s="41">
        <v>17412245</v>
      </c>
      <c r="E51" s="41">
        <v>35623046</v>
      </c>
      <c r="F51" s="41">
        <v>422458381</v>
      </c>
      <c r="G51" s="41">
        <v>76816153</v>
      </c>
      <c r="H51" s="41">
        <v>456780</v>
      </c>
      <c r="I51" s="41">
        <v>27119230</v>
      </c>
      <c r="J51" s="41">
        <v>5938228</v>
      </c>
      <c r="K51" s="41">
        <v>0</v>
      </c>
      <c r="L51" s="41">
        <v>518736785</v>
      </c>
      <c r="M51" s="41">
        <v>95879</v>
      </c>
      <c r="N51" s="41">
        <v>0</v>
      </c>
      <c r="O51" s="41">
        <v>1168660</v>
      </c>
      <c r="P51" s="41">
        <v>0</v>
      </c>
      <c r="Q51" s="41">
        <v>0</v>
      </c>
      <c r="R51" s="41">
        <v>178838012</v>
      </c>
      <c r="S51" s="41">
        <v>4938686857</v>
      </c>
      <c r="T51" s="41">
        <v>1630856777</v>
      </c>
      <c r="U51" s="43">
        <v>3307830080</v>
      </c>
    </row>
    <row r="52" spans="1:21" x14ac:dyDescent="0.2">
      <c r="A52" s="40" t="s">
        <v>48</v>
      </c>
      <c r="B52" s="41">
        <v>6038659453</v>
      </c>
      <c r="C52" s="41">
        <v>5517602936</v>
      </c>
      <c r="D52" s="41">
        <v>241378376</v>
      </c>
      <c r="E52" s="41">
        <v>497613909</v>
      </c>
      <c r="F52" s="41">
        <v>16809970834</v>
      </c>
      <c r="G52" s="41">
        <v>13444608885</v>
      </c>
      <c r="H52" s="41">
        <v>6088802</v>
      </c>
      <c r="I52" s="41">
        <v>1088015285</v>
      </c>
      <c r="J52" s="41">
        <v>12419058</v>
      </c>
      <c r="K52" s="41">
        <v>0</v>
      </c>
      <c r="L52" s="41">
        <v>284138970</v>
      </c>
      <c r="M52" s="41">
        <v>67112</v>
      </c>
      <c r="N52" s="41">
        <v>0</v>
      </c>
      <c r="O52" s="41">
        <v>38082956</v>
      </c>
      <c r="P52" s="41">
        <v>1717354</v>
      </c>
      <c r="Q52" s="41">
        <v>45990126</v>
      </c>
      <c r="R52" s="41">
        <v>118913132</v>
      </c>
      <c r="S52" s="41">
        <v>225765655466</v>
      </c>
      <c r="T52" s="41">
        <v>44145267188</v>
      </c>
      <c r="U52" s="43">
        <v>181620388278</v>
      </c>
    </row>
    <row r="53" spans="1:21" x14ac:dyDescent="0.2">
      <c r="A53" s="40" t="s">
        <v>49</v>
      </c>
      <c r="B53" s="41">
        <v>1891133744</v>
      </c>
      <c r="C53" s="41">
        <v>1714636558</v>
      </c>
      <c r="D53" s="41">
        <v>126957756</v>
      </c>
      <c r="E53" s="41">
        <v>150399965</v>
      </c>
      <c r="F53" s="41">
        <v>3478443526</v>
      </c>
      <c r="G53" s="41">
        <v>1550829225</v>
      </c>
      <c r="H53" s="41">
        <v>1894560</v>
      </c>
      <c r="I53" s="41">
        <v>496318087</v>
      </c>
      <c r="J53" s="41">
        <v>7109631</v>
      </c>
      <c r="K53" s="41">
        <v>0</v>
      </c>
      <c r="L53" s="41">
        <v>0</v>
      </c>
      <c r="M53" s="41">
        <v>0</v>
      </c>
      <c r="N53" s="41">
        <v>1214262</v>
      </c>
      <c r="O53" s="41">
        <v>6704269</v>
      </c>
      <c r="P53" s="41">
        <v>472652</v>
      </c>
      <c r="Q53" s="41">
        <v>11395329</v>
      </c>
      <c r="R53" s="41">
        <v>0</v>
      </c>
      <c r="S53" s="41">
        <v>49177768789</v>
      </c>
      <c r="T53" s="41">
        <v>9437509564</v>
      </c>
      <c r="U53" s="43">
        <v>39740259225</v>
      </c>
    </row>
    <row r="54" spans="1:21" x14ac:dyDescent="0.2">
      <c r="A54" s="40" t="s">
        <v>50</v>
      </c>
      <c r="B54" s="41">
        <v>8886715579</v>
      </c>
      <c r="C54" s="41">
        <v>8045314357</v>
      </c>
      <c r="D54" s="41">
        <v>345759663</v>
      </c>
      <c r="E54" s="41">
        <v>369965799</v>
      </c>
      <c r="F54" s="41">
        <v>14499692370</v>
      </c>
      <c r="G54" s="41">
        <v>5831073152</v>
      </c>
      <c r="H54" s="41">
        <v>17586733</v>
      </c>
      <c r="I54" s="41">
        <v>833323706</v>
      </c>
      <c r="J54" s="41">
        <v>7397562</v>
      </c>
      <c r="K54" s="41">
        <v>85887895</v>
      </c>
      <c r="L54" s="41">
        <v>117784513</v>
      </c>
      <c r="M54" s="41">
        <v>1925388</v>
      </c>
      <c r="N54" s="41">
        <v>6911279</v>
      </c>
      <c r="O54" s="41">
        <v>53182082</v>
      </c>
      <c r="P54" s="41">
        <v>2113269</v>
      </c>
      <c r="Q54" s="41">
        <v>0</v>
      </c>
      <c r="R54" s="41">
        <v>121129954</v>
      </c>
      <c r="S54" s="41">
        <v>294340558137</v>
      </c>
      <c r="T54" s="41">
        <v>39225763301</v>
      </c>
      <c r="U54" s="43">
        <v>255114794836</v>
      </c>
    </row>
    <row r="55" spans="1:21" x14ac:dyDescent="0.2">
      <c r="A55" s="40" t="s">
        <v>51</v>
      </c>
      <c r="B55" s="41">
        <v>3740170918</v>
      </c>
      <c r="C55" s="41">
        <v>3101985880</v>
      </c>
      <c r="D55" s="41">
        <v>0</v>
      </c>
      <c r="E55" s="41">
        <v>123724847</v>
      </c>
      <c r="F55" s="41">
        <v>1553976620</v>
      </c>
      <c r="G55" s="41">
        <v>2089974548</v>
      </c>
      <c r="H55" s="41">
        <v>7013714</v>
      </c>
      <c r="I55" s="41">
        <v>688990393</v>
      </c>
      <c r="J55" s="41">
        <v>9366621</v>
      </c>
      <c r="K55" s="41">
        <v>0</v>
      </c>
      <c r="L55" s="41">
        <v>0</v>
      </c>
      <c r="M55" s="41">
        <v>480600</v>
      </c>
      <c r="N55" s="41">
        <v>744475</v>
      </c>
      <c r="O55" s="41">
        <v>31328586</v>
      </c>
      <c r="P55" s="41">
        <v>1400243</v>
      </c>
      <c r="Q55" s="41">
        <v>0</v>
      </c>
      <c r="R55" s="41">
        <v>0</v>
      </c>
      <c r="S55" s="41">
        <v>52249600960</v>
      </c>
      <c r="T55" s="41">
        <v>11349157445</v>
      </c>
      <c r="U55" s="43">
        <v>40900443515</v>
      </c>
    </row>
    <row r="56" spans="1:21" x14ac:dyDescent="0.2">
      <c r="A56" s="40" t="s">
        <v>52</v>
      </c>
      <c r="B56" s="41">
        <v>6213939252</v>
      </c>
      <c r="C56" s="41">
        <v>5462300913</v>
      </c>
      <c r="D56" s="41">
        <v>0</v>
      </c>
      <c r="E56" s="41">
        <v>322655830</v>
      </c>
      <c r="F56" s="41">
        <v>7295626148</v>
      </c>
      <c r="G56" s="41">
        <v>5496600678</v>
      </c>
      <c r="H56" s="41">
        <v>14765251</v>
      </c>
      <c r="I56" s="41">
        <v>879428507</v>
      </c>
      <c r="J56" s="41">
        <v>0</v>
      </c>
      <c r="K56" s="41">
        <v>4385883</v>
      </c>
      <c r="L56" s="41">
        <v>4211141</v>
      </c>
      <c r="M56" s="41">
        <v>45601</v>
      </c>
      <c r="N56" s="41">
        <v>0</v>
      </c>
      <c r="O56" s="41">
        <v>107006391</v>
      </c>
      <c r="P56" s="41">
        <v>2315005</v>
      </c>
      <c r="Q56" s="41">
        <v>0</v>
      </c>
      <c r="R56" s="41">
        <v>3503555</v>
      </c>
      <c r="S56" s="41">
        <v>136641397600</v>
      </c>
      <c r="T56" s="41">
        <v>25806784155</v>
      </c>
      <c r="U56" s="43">
        <v>110834613445</v>
      </c>
    </row>
    <row r="57" spans="1:21" x14ac:dyDescent="0.2">
      <c r="A57" s="40" t="s">
        <v>53</v>
      </c>
      <c r="B57" s="41">
        <v>3828886493</v>
      </c>
      <c r="C57" s="41">
        <v>3061966331</v>
      </c>
      <c r="D57" s="41">
        <v>309505309</v>
      </c>
      <c r="E57" s="41">
        <v>370942421</v>
      </c>
      <c r="F57" s="41">
        <v>1910160322</v>
      </c>
      <c r="G57" s="41">
        <v>2903076940</v>
      </c>
      <c r="H57" s="41">
        <v>7193740</v>
      </c>
      <c r="I57" s="41">
        <v>432639091</v>
      </c>
      <c r="J57" s="41">
        <v>19457975</v>
      </c>
      <c r="K57" s="41">
        <v>0</v>
      </c>
      <c r="L57" s="41">
        <v>666209678</v>
      </c>
      <c r="M57" s="41">
        <v>399188</v>
      </c>
      <c r="N57" s="41">
        <v>837528</v>
      </c>
      <c r="O57" s="41">
        <v>18148622</v>
      </c>
      <c r="P57" s="41">
        <v>286789</v>
      </c>
      <c r="Q57" s="41">
        <v>11509020</v>
      </c>
      <c r="R57" s="41">
        <v>260307661</v>
      </c>
      <c r="S57" s="41">
        <v>65421156324</v>
      </c>
      <c r="T57" s="41">
        <v>13801527108</v>
      </c>
      <c r="U57" s="43">
        <v>51619629216</v>
      </c>
    </row>
    <row r="58" spans="1:21" x14ac:dyDescent="0.2">
      <c r="A58" s="40" t="s">
        <v>54</v>
      </c>
      <c r="B58" s="41">
        <v>477141147</v>
      </c>
      <c r="C58" s="41">
        <v>284893193</v>
      </c>
      <c r="D58" s="41">
        <v>43432622</v>
      </c>
      <c r="E58" s="41">
        <v>24083982</v>
      </c>
      <c r="F58" s="41">
        <v>663749744</v>
      </c>
      <c r="G58" s="41">
        <v>229342076</v>
      </c>
      <c r="H58" s="41">
        <v>1112490</v>
      </c>
      <c r="I58" s="41">
        <v>42838110</v>
      </c>
      <c r="J58" s="41">
        <v>2795038</v>
      </c>
      <c r="K58" s="41">
        <v>0</v>
      </c>
      <c r="L58" s="41">
        <v>0</v>
      </c>
      <c r="M58" s="41">
        <v>123150</v>
      </c>
      <c r="N58" s="41">
        <v>0</v>
      </c>
      <c r="O58" s="41">
        <v>3109570</v>
      </c>
      <c r="P58" s="41">
        <v>0</v>
      </c>
      <c r="Q58" s="41">
        <v>7573610</v>
      </c>
      <c r="R58" s="41">
        <v>56206926</v>
      </c>
      <c r="S58" s="41">
        <v>7350772552</v>
      </c>
      <c r="T58" s="41">
        <v>1836401658</v>
      </c>
      <c r="U58" s="43">
        <v>5514370894</v>
      </c>
    </row>
    <row r="59" spans="1:21" x14ac:dyDescent="0.2">
      <c r="A59" s="40" t="s">
        <v>55</v>
      </c>
      <c r="B59" s="41">
        <v>2032136971</v>
      </c>
      <c r="C59" s="41">
        <v>1969071285</v>
      </c>
      <c r="D59" s="41">
        <v>121147794</v>
      </c>
      <c r="E59" s="41">
        <v>103844871</v>
      </c>
      <c r="F59" s="41">
        <v>1722506265</v>
      </c>
      <c r="G59" s="41">
        <v>924301193</v>
      </c>
      <c r="H59" s="41">
        <v>3423213</v>
      </c>
      <c r="I59" s="41">
        <v>551932698</v>
      </c>
      <c r="J59" s="41">
        <v>3648431</v>
      </c>
      <c r="K59" s="41">
        <v>1704799</v>
      </c>
      <c r="L59" s="41">
        <v>0</v>
      </c>
      <c r="M59" s="41">
        <v>7294</v>
      </c>
      <c r="N59" s="41">
        <v>1096184</v>
      </c>
      <c r="O59" s="41">
        <v>39394932</v>
      </c>
      <c r="P59" s="41">
        <v>6976865</v>
      </c>
      <c r="Q59" s="41">
        <v>8026545</v>
      </c>
      <c r="R59" s="41">
        <v>0</v>
      </c>
      <c r="S59" s="41">
        <v>48345836853</v>
      </c>
      <c r="T59" s="41">
        <v>7489219340</v>
      </c>
      <c r="U59" s="43">
        <v>40856617513</v>
      </c>
    </row>
    <row r="60" spans="1:21" x14ac:dyDescent="0.2">
      <c r="A60" s="40" t="s">
        <v>56</v>
      </c>
      <c r="B60" s="41">
        <v>2285800420</v>
      </c>
      <c r="C60" s="41">
        <v>2008212754</v>
      </c>
      <c r="D60" s="41">
        <v>196742833</v>
      </c>
      <c r="E60" s="41">
        <v>91003726</v>
      </c>
      <c r="F60" s="41">
        <v>2542100493</v>
      </c>
      <c r="G60" s="41">
        <v>584856722</v>
      </c>
      <c r="H60" s="41">
        <v>4067351</v>
      </c>
      <c r="I60" s="41">
        <v>338930491</v>
      </c>
      <c r="J60" s="41">
        <v>571497</v>
      </c>
      <c r="K60" s="41">
        <v>0</v>
      </c>
      <c r="L60" s="41">
        <v>106891658</v>
      </c>
      <c r="M60" s="41">
        <v>0</v>
      </c>
      <c r="N60" s="41">
        <v>0</v>
      </c>
      <c r="O60" s="41">
        <v>19129890</v>
      </c>
      <c r="P60" s="41">
        <v>406108</v>
      </c>
      <c r="Q60" s="41">
        <v>0</v>
      </c>
      <c r="R60" s="41">
        <v>178853531</v>
      </c>
      <c r="S60" s="41">
        <v>38474363517</v>
      </c>
      <c r="T60" s="41">
        <v>8357567474</v>
      </c>
      <c r="U60" s="43">
        <v>30116796043</v>
      </c>
    </row>
    <row r="61" spans="1:21" x14ac:dyDescent="0.2">
      <c r="A61" s="40" t="s">
        <v>57</v>
      </c>
      <c r="B61" s="41">
        <v>1269488373</v>
      </c>
      <c r="C61" s="41">
        <v>1088690985</v>
      </c>
      <c r="D61" s="41">
        <v>92265371</v>
      </c>
      <c r="E61" s="41">
        <v>38092964</v>
      </c>
      <c r="F61" s="41">
        <v>1358070591</v>
      </c>
      <c r="G61" s="41">
        <v>255736274</v>
      </c>
      <c r="H61" s="41">
        <v>1792716</v>
      </c>
      <c r="I61" s="41">
        <v>572222017</v>
      </c>
      <c r="J61" s="41">
        <v>155630</v>
      </c>
      <c r="K61" s="41">
        <v>0</v>
      </c>
      <c r="L61" s="41">
        <v>0</v>
      </c>
      <c r="M61" s="41">
        <v>0</v>
      </c>
      <c r="N61" s="41">
        <v>774695</v>
      </c>
      <c r="O61" s="41">
        <v>33060197</v>
      </c>
      <c r="P61" s="41">
        <v>7341564</v>
      </c>
      <c r="Q61" s="41">
        <v>15407752</v>
      </c>
      <c r="R61" s="41">
        <v>42506673</v>
      </c>
      <c r="S61" s="41">
        <v>19007371951</v>
      </c>
      <c r="T61" s="41">
        <v>4775605802</v>
      </c>
      <c r="U61" s="43">
        <v>14231766149</v>
      </c>
    </row>
    <row r="62" spans="1:21" x14ac:dyDescent="0.2">
      <c r="A62" s="40" t="s">
        <v>58</v>
      </c>
      <c r="B62" s="41">
        <v>3286089467</v>
      </c>
      <c r="C62" s="41">
        <v>3099415280</v>
      </c>
      <c r="D62" s="41">
        <v>13129791</v>
      </c>
      <c r="E62" s="41">
        <v>135149846</v>
      </c>
      <c r="F62" s="41">
        <v>5148099345</v>
      </c>
      <c r="G62" s="41">
        <v>1625923358</v>
      </c>
      <c r="H62" s="41">
        <v>8857047</v>
      </c>
      <c r="I62" s="41">
        <v>456613138</v>
      </c>
      <c r="J62" s="41">
        <v>1887792</v>
      </c>
      <c r="K62" s="41">
        <v>535643</v>
      </c>
      <c r="L62" s="41">
        <v>15745416</v>
      </c>
      <c r="M62" s="41">
        <v>1652</v>
      </c>
      <c r="N62" s="41">
        <v>0</v>
      </c>
      <c r="O62" s="41">
        <v>81321277</v>
      </c>
      <c r="P62" s="41">
        <v>1727220</v>
      </c>
      <c r="Q62" s="41">
        <v>0</v>
      </c>
      <c r="R62" s="41">
        <v>0</v>
      </c>
      <c r="S62" s="41">
        <v>96273043880</v>
      </c>
      <c r="T62" s="41">
        <v>13874496272</v>
      </c>
      <c r="U62" s="43">
        <v>82398547608</v>
      </c>
    </row>
    <row r="63" spans="1:21" x14ac:dyDescent="0.2">
      <c r="A63" s="40" t="s">
        <v>59</v>
      </c>
      <c r="B63" s="41">
        <v>2619934908</v>
      </c>
      <c r="C63" s="41">
        <v>2480223276</v>
      </c>
      <c r="D63" s="41">
        <v>245322540</v>
      </c>
      <c r="E63" s="41">
        <v>163355501</v>
      </c>
      <c r="F63" s="41">
        <v>1184354720</v>
      </c>
      <c r="G63" s="41">
        <v>1701394354</v>
      </c>
      <c r="H63" s="41">
        <v>3529143</v>
      </c>
      <c r="I63" s="41">
        <v>281081379</v>
      </c>
      <c r="J63" s="41">
        <v>239731</v>
      </c>
      <c r="K63" s="41">
        <v>0</v>
      </c>
      <c r="L63" s="41">
        <v>0</v>
      </c>
      <c r="M63" s="41">
        <v>0</v>
      </c>
      <c r="N63" s="41">
        <v>1805339</v>
      </c>
      <c r="O63" s="41">
        <v>25752542</v>
      </c>
      <c r="P63" s="41">
        <v>342050</v>
      </c>
      <c r="Q63" s="41">
        <v>0</v>
      </c>
      <c r="R63" s="41">
        <v>3663974</v>
      </c>
      <c r="S63" s="41">
        <v>53641629163</v>
      </c>
      <c r="T63" s="41">
        <v>8710999457</v>
      </c>
      <c r="U63" s="43">
        <v>44930629706</v>
      </c>
    </row>
    <row r="64" spans="1:21" x14ac:dyDescent="0.2">
      <c r="A64" s="40" t="s">
        <v>60</v>
      </c>
      <c r="B64" s="41">
        <v>1300472299</v>
      </c>
      <c r="C64" s="41">
        <v>1207854043</v>
      </c>
      <c r="D64" s="41">
        <v>29279620</v>
      </c>
      <c r="E64" s="41">
        <v>34697661</v>
      </c>
      <c r="F64" s="41">
        <v>398559630</v>
      </c>
      <c r="G64" s="41">
        <v>211731439</v>
      </c>
      <c r="H64" s="41">
        <v>3670580</v>
      </c>
      <c r="I64" s="41">
        <v>232927548</v>
      </c>
      <c r="J64" s="41">
        <v>0</v>
      </c>
      <c r="K64" s="41">
        <v>0</v>
      </c>
      <c r="L64" s="41">
        <v>0</v>
      </c>
      <c r="M64" s="41">
        <v>671820</v>
      </c>
      <c r="N64" s="41">
        <v>24104</v>
      </c>
      <c r="O64" s="41">
        <v>80898000</v>
      </c>
      <c r="P64" s="41">
        <v>35757</v>
      </c>
      <c r="Q64" s="41">
        <v>0</v>
      </c>
      <c r="R64" s="41">
        <v>0</v>
      </c>
      <c r="S64" s="41">
        <v>21426708794</v>
      </c>
      <c r="T64" s="41">
        <v>3500822501</v>
      </c>
      <c r="U64" s="43">
        <v>17925886293</v>
      </c>
    </row>
    <row r="65" spans="1:21" x14ac:dyDescent="0.2">
      <c r="A65" s="40" t="s">
        <v>61</v>
      </c>
      <c r="B65" s="41">
        <v>254053751</v>
      </c>
      <c r="C65" s="41">
        <v>160283210</v>
      </c>
      <c r="D65" s="41">
        <v>13478867</v>
      </c>
      <c r="E65" s="41">
        <v>14495150</v>
      </c>
      <c r="F65" s="41">
        <v>122115640</v>
      </c>
      <c r="G65" s="41">
        <v>74869132</v>
      </c>
      <c r="H65" s="41">
        <v>517914</v>
      </c>
      <c r="I65" s="41">
        <v>39648365</v>
      </c>
      <c r="J65" s="41">
        <v>9256884</v>
      </c>
      <c r="K65" s="41">
        <v>0</v>
      </c>
      <c r="L65" s="41">
        <v>0</v>
      </c>
      <c r="M65" s="41">
        <v>9410</v>
      </c>
      <c r="N65" s="41">
        <v>0</v>
      </c>
      <c r="O65" s="41">
        <v>278304</v>
      </c>
      <c r="P65" s="41">
        <v>0</v>
      </c>
      <c r="Q65" s="41">
        <v>0</v>
      </c>
      <c r="R65" s="41">
        <v>0</v>
      </c>
      <c r="S65" s="41">
        <v>2982014623</v>
      </c>
      <c r="T65" s="41">
        <v>689006627</v>
      </c>
      <c r="U65" s="43">
        <v>2293007996</v>
      </c>
    </row>
    <row r="66" spans="1:21" x14ac:dyDescent="0.2">
      <c r="A66" s="40" t="s">
        <v>62</v>
      </c>
      <c r="B66" s="41">
        <v>129474534</v>
      </c>
      <c r="C66" s="41">
        <v>68932892</v>
      </c>
      <c r="D66" s="41">
        <v>0</v>
      </c>
      <c r="E66" s="41">
        <v>11760976</v>
      </c>
      <c r="F66" s="41">
        <v>182734198</v>
      </c>
      <c r="G66" s="41">
        <v>46233024</v>
      </c>
      <c r="H66" s="41">
        <v>183690</v>
      </c>
      <c r="I66" s="41">
        <v>11700120</v>
      </c>
      <c r="J66" s="41">
        <v>4132560</v>
      </c>
      <c r="K66" s="41">
        <v>0</v>
      </c>
      <c r="L66" s="41">
        <v>24594559</v>
      </c>
      <c r="M66" s="41">
        <v>4700</v>
      </c>
      <c r="N66" s="41">
        <v>0</v>
      </c>
      <c r="O66" s="41">
        <v>798582</v>
      </c>
      <c r="P66" s="41">
        <v>169611</v>
      </c>
      <c r="Q66" s="41">
        <v>0</v>
      </c>
      <c r="R66" s="41">
        <v>0</v>
      </c>
      <c r="S66" s="41">
        <v>2230994681</v>
      </c>
      <c r="T66" s="41">
        <v>480719446</v>
      </c>
      <c r="U66" s="43">
        <v>1750275235</v>
      </c>
    </row>
    <row r="67" spans="1:21" x14ac:dyDescent="0.2">
      <c r="A67" s="40" t="s">
        <v>63</v>
      </c>
      <c r="B67" s="41">
        <v>69303541</v>
      </c>
      <c r="C67" s="41">
        <v>39133285</v>
      </c>
      <c r="D67" s="41">
        <v>2336232</v>
      </c>
      <c r="E67" s="41">
        <v>3819248</v>
      </c>
      <c r="F67" s="41">
        <v>117435619</v>
      </c>
      <c r="G67" s="41">
        <v>17252571</v>
      </c>
      <c r="H67" s="41">
        <v>140309</v>
      </c>
      <c r="I67" s="41">
        <v>2981069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3766971</v>
      </c>
      <c r="P67" s="41">
        <v>47733</v>
      </c>
      <c r="Q67" s="41">
        <v>0</v>
      </c>
      <c r="R67" s="41">
        <v>0</v>
      </c>
      <c r="S67" s="41">
        <v>568545247</v>
      </c>
      <c r="T67" s="41">
        <v>256216578</v>
      </c>
      <c r="U67" s="43">
        <v>312328669</v>
      </c>
    </row>
    <row r="68" spans="1:21" x14ac:dyDescent="0.2">
      <c r="A68" s="40" t="s">
        <v>64</v>
      </c>
      <c r="B68" s="41">
        <v>3610562066</v>
      </c>
      <c r="C68" s="41">
        <v>3224782936</v>
      </c>
      <c r="D68" s="41">
        <v>516513560</v>
      </c>
      <c r="E68" s="41">
        <v>232750817</v>
      </c>
      <c r="F68" s="41">
        <v>3243483948</v>
      </c>
      <c r="G68" s="41">
        <v>2600266215</v>
      </c>
      <c r="H68" s="41">
        <v>6438426</v>
      </c>
      <c r="I68" s="41">
        <v>872361780</v>
      </c>
      <c r="J68" s="41">
        <v>19753682</v>
      </c>
      <c r="K68" s="41">
        <v>172082</v>
      </c>
      <c r="L68" s="41">
        <v>203508</v>
      </c>
      <c r="M68" s="41">
        <v>133318</v>
      </c>
      <c r="N68" s="41">
        <v>4387251</v>
      </c>
      <c r="O68" s="41">
        <v>57887494</v>
      </c>
      <c r="P68" s="41">
        <v>990662</v>
      </c>
      <c r="Q68" s="41">
        <v>29725408</v>
      </c>
      <c r="R68" s="41">
        <v>100759960</v>
      </c>
      <c r="S68" s="41">
        <v>63308976820</v>
      </c>
      <c r="T68" s="41">
        <v>14521173113</v>
      </c>
      <c r="U68" s="43">
        <v>48787803707</v>
      </c>
    </row>
    <row r="69" spans="1:21" x14ac:dyDescent="0.2">
      <c r="A69" s="40" t="s">
        <v>65</v>
      </c>
      <c r="B69" s="41">
        <v>235982898</v>
      </c>
      <c r="C69" s="41">
        <v>179734841</v>
      </c>
      <c r="D69" s="41">
        <v>17405461</v>
      </c>
      <c r="E69" s="41">
        <v>7359750</v>
      </c>
      <c r="F69" s="41">
        <v>453710224</v>
      </c>
      <c r="G69" s="41">
        <v>37674442</v>
      </c>
      <c r="H69" s="41">
        <v>321500</v>
      </c>
      <c r="I69" s="41">
        <v>28792770</v>
      </c>
      <c r="J69" s="41">
        <v>658241</v>
      </c>
      <c r="K69" s="41">
        <v>0</v>
      </c>
      <c r="L69" s="41">
        <v>0</v>
      </c>
      <c r="M69" s="41">
        <v>0</v>
      </c>
      <c r="N69" s="41">
        <v>339763</v>
      </c>
      <c r="O69" s="41">
        <v>3161405</v>
      </c>
      <c r="P69" s="41">
        <v>0</v>
      </c>
      <c r="Q69" s="41">
        <v>0</v>
      </c>
      <c r="R69" s="41">
        <v>0</v>
      </c>
      <c r="S69" s="41">
        <v>2725865603</v>
      </c>
      <c r="T69" s="41">
        <v>965141295</v>
      </c>
      <c r="U69" s="43">
        <v>1760724308</v>
      </c>
    </row>
    <row r="70" spans="1:21" x14ac:dyDescent="0.2">
      <c r="A70" s="40" t="s">
        <v>66</v>
      </c>
      <c r="B70" s="41">
        <v>474784998</v>
      </c>
      <c r="C70" s="41">
        <v>378172313</v>
      </c>
      <c r="D70" s="41">
        <v>35731527</v>
      </c>
      <c r="E70" s="41">
        <v>59356993</v>
      </c>
      <c r="F70" s="41">
        <v>1418132729</v>
      </c>
      <c r="G70" s="41">
        <v>309928281</v>
      </c>
      <c r="H70" s="41">
        <v>711860</v>
      </c>
      <c r="I70" s="41">
        <v>131699573</v>
      </c>
      <c r="J70" s="41">
        <v>5298115</v>
      </c>
      <c r="K70" s="41">
        <v>0</v>
      </c>
      <c r="L70" s="41">
        <v>1596369</v>
      </c>
      <c r="M70" s="41">
        <v>0</v>
      </c>
      <c r="N70" s="41">
        <v>0</v>
      </c>
      <c r="O70" s="41">
        <v>12841362</v>
      </c>
      <c r="P70" s="41">
        <v>2515045</v>
      </c>
      <c r="Q70" s="41">
        <v>0</v>
      </c>
      <c r="R70" s="41">
        <v>0</v>
      </c>
      <c r="S70" s="41">
        <v>34281992345</v>
      </c>
      <c r="T70" s="41">
        <v>2830769165</v>
      </c>
      <c r="U70" s="43">
        <v>31451223180</v>
      </c>
    </row>
    <row r="71" spans="1:21" x14ac:dyDescent="0.2">
      <c r="A71" s="40" t="s">
        <v>67</v>
      </c>
      <c r="B71" s="41">
        <v>145603598</v>
      </c>
      <c r="C71" s="41">
        <v>87741862</v>
      </c>
      <c r="D71" s="41">
        <v>14713533</v>
      </c>
      <c r="E71" s="41">
        <v>9728575</v>
      </c>
      <c r="F71" s="41">
        <v>144704169</v>
      </c>
      <c r="G71" s="41">
        <v>54414766</v>
      </c>
      <c r="H71" s="41">
        <v>336077</v>
      </c>
      <c r="I71" s="41">
        <v>18832865</v>
      </c>
      <c r="J71" s="41">
        <v>441815</v>
      </c>
      <c r="K71" s="41">
        <v>0</v>
      </c>
      <c r="L71" s="41">
        <v>0</v>
      </c>
      <c r="M71" s="41">
        <v>0</v>
      </c>
      <c r="N71" s="41">
        <v>45399</v>
      </c>
      <c r="O71" s="41">
        <v>855282</v>
      </c>
      <c r="P71" s="41">
        <v>0</v>
      </c>
      <c r="Q71" s="41">
        <v>0</v>
      </c>
      <c r="R71" s="41">
        <v>0</v>
      </c>
      <c r="S71" s="41">
        <v>1577644983</v>
      </c>
      <c r="T71" s="41">
        <v>477417941</v>
      </c>
      <c r="U71" s="43">
        <v>1100227042</v>
      </c>
    </row>
    <row r="72" spans="1:21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3"/>
    </row>
    <row r="73" spans="1:21" ht="15.75" thickBot="1" x14ac:dyDescent="0.3">
      <c r="A73" s="45" t="s">
        <v>68</v>
      </c>
      <c r="B73" s="46">
        <f t="shared" ref="B73:O73" si="0">SUM(B5:B71)</f>
        <v>122326288327</v>
      </c>
      <c r="C73" s="46">
        <f t="shared" si="0"/>
        <v>108176646352</v>
      </c>
      <c r="D73" s="46">
        <f t="shared" si="0"/>
        <v>7837465155</v>
      </c>
      <c r="E73" s="46">
        <f t="shared" si="0"/>
        <v>7786097687</v>
      </c>
      <c r="F73" s="46">
        <f>SUM(F5:F71)</f>
        <v>199167745273</v>
      </c>
      <c r="G73" s="46">
        <f t="shared" si="0"/>
        <v>95498569672</v>
      </c>
      <c r="H73" s="46">
        <f t="shared" si="0"/>
        <v>215844698</v>
      </c>
      <c r="I73" s="46">
        <f t="shared" si="0"/>
        <v>20054635808</v>
      </c>
      <c r="J73" s="46">
        <f t="shared" si="0"/>
        <v>406166265</v>
      </c>
      <c r="K73" s="46">
        <f t="shared" si="0"/>
        <v>382869766</v>
      </c>
      <c r="L73" s="46">
        <f t="shared" si="0"/>
        <v>2564702544</v>
      </c>
      <c r="M73" s="46">
        <f t="shared" si="0"/>
        <v>6566108</v>
      </c>
      <c r="N73" s="46">
        <f t="shared" si="0"/>
        <v>41091554</v>
      </c>
      <c r="O73" s="46">
        <f t="shared" si="0"/>
        <v>1428300792</v>
      </c>
      <c r="P73" s="46">
        <f t="shared" ref="P73:U73" si="1">SUM(P5:P71)</f>
        <v>106960507</v>
      </c>
      <c r="Q73" s="46">
        <f t="shared" si="1"/>
        <v>992477058</v>
      </c>
      <c r="R73" s="46">
        <f t="shared" si="1"/>
        <v>1789448414</v>
      </c>
      <c r="S73" s="46">
        <f t="shared" si="1"/>
        <v>3155429716194</v>
      </c>
      <c r="T73" s="46">
        <f t="shared" si="1"/>
        <v>568781956851</v>
      </c>
      <c r="U73" s="48">
        <f t="shared" si="1"/>
        <v>2586647756650</v>
      </c>
    </row>
    <row r="75" spans="1:21" x14ac:dyDescent="0.2">
      <c r="A75" s="2" t="s">
        <v>109</v>
      </c>
      <c r="U75" s="29"/>
    </row>
    <row r="76" spans="1:21" x14ac:dyDescent="0.2">
      <c r="U76" s="29"/>
    </row>
    <row r="77" spans="1:21" x14ac:dyDescent="0.2">
      <c r="A77" s="38" t="s">
        <v>116</v>
      </c>
      <c r="U77" s="29"/>
    </row>
  </sheetData>
  <phoneticPr fontId="18" type="noConversion"/>
  <conditionalFormatting sqref="A4:U73">
    <cfRule type="expression" dxfId="3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5" width="21.42578125" style="2" bestFit="1" customWidth="1"/>
    <col min="6" max="6" width="20.140625" style="2" bestFit="1" customWidth="1"/>
    <col min="7" max="7" width="16.85546875" style="2" bestFit="1" customWidth="1"/>
    <col min="8" max="8" width="19" style="2" bestFit="1" customWidth="1"/>
    <col min="9" max="9" width="18.5703125" style="2" bestFit="1" customWidth="1"/>
    <col min="10" max="10" width="16.5703125" style="2" bestFit="1" customWidth="1"/>
    <col min="11" max="11" width="21.85546875" style="2" bestFit="1" customWidth="1"/>
    <col min="12" max="12" width="14.85546875" style="2" bestFit="1" customWidth="1"/>
    <col min="13" max="13" width="28" style="2" bestFit="1" customWidth="1"/>
    <col min="14" max="14" width="21.85546875" style="2" bestFit="1" customWidth="1"/>
    <col min="15" max="15" width="20.5703125" style="2" bestFit="1" customWidth="1"/>
    <col min="16" max="16" width="20.5703125" style="2" customWidth="1"/>
    <col min="17" max="17" width="24.85546875" style="2" bestFit="1" customWidth="1"/>
    <col min="18" max="18" width="22.28515625" style="2" bestFit="1" customWidth="1"/>
    <col min="19" max="19" width="23" style="2" bestFit="1" customWidth="1"/>
    <col min="20" max="16384" width="9.140625" style="2"/>
  </cols>
  <sheetData>
    <row r="1" spans="1:19" ht="23.25" x14ac:dyDescent="0.35">
      <c r="A1" s="6" t="s">
        <v>104</v>
      </c>
    </row>
    <row r="2" spans="1:19" ht="15" x14ac:dyDescent="0.25">
      <c r="A2" s="11">
        <v>2022</v>
      </c>
    </row>
    <row r="3" spans="1:19" ht="15" thickBot="1" x14ac:dyDescent="0.25">
      <c r="A3" s="39"/>
    </row>
    <row r="4" spans="1:19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71</v>
      </c>
      <c r="J4" s="52" t="s">
        <v>95</v>
      </c>
      <c r="K4" s="52" t="s">
        <v>107</v>
      </c>
      <c r="L4" s="52" t="s">
        <v>110</v>
      </c>
      <c r="M4" s="52" t="s">
        <v>72</v>
      </c>
      <c r="N4" s="52" t="s">
        <v>73</v>
      </c>
      <c r="O4" s="52" t="s">
        <v>97</v>
      </c>
      <c r="P4" s="52" t="s">
        <v>105</v>
      </c>
      <c r="Q4" s="52" t="s">
        <v>74</v>
      </c>
      <c r="R4" s="52" t="s">
        <v>75</v>
      </c>
      <c r="S4" s="53" t="s">
        <v>76</v>
      </c>
    </row>
    <row r="5" spans="1:19" x14ac:dyDescent="0.2">
      <c r="A5" s="40" t="s">
        <v>2</v>
      </c>
      <c r="B5" s="41">
        <v>1323262059</v>
      </c>
      <c r="C5" s="41">
        <v>1164666031</v>
      </c>
      <c r="D5" s="41">
        <v>39209870</v>
      </c>
      <c r="E5" s="41">
        <v>5377110778</v>
      </c>
      <c r="F5" s="41">
        <v>1033200410</v>
      </c>
      <c r="G5" s="41">
        <v>1700422</v>
      </c>
      <c r="H5" s="41">
        <v>107171906</v>
      </c>
      <c r="I5" s="41">
        <v>667054</v>
      </c>
      <c r="J5" s="41">
        <v>743783</v>
      </c>
      <c r="K5" s="41">
        <v>0</v>
      </c>
      <c r="L5" s="41">
        <v>51827</v>
      </c>
      <c r="M5" s="41">
        <v>0</v>
      </c>
      <c r="N5" s="41">
        <v>8345039</v>
      </c>
      <c r="O5" s="41">
        <v>257218</v>
      </c>
      <c r="P5" s="41">
        <v>12162132</v>
      </c>
      <c r="Q5" s="41">
        <v>26685054444</v>
      </c>
      <c r="R5" s="41">
        <f>SUM(B5:P5)</f>
        <v>9068548529</v>
      </c>
      <c r="S5" s="43">
        <f>Q5-R5</f>
        <v>17616505915</v>
      </c>
    </row>
    <row r="6" spans="1:19" x14ac:dyDescent="0.2">
      <c r="A6" s="40" t="s">
        <v>3</v>
      </c>
      <c r="B6" s="41">
        <v>157130791</v>
      </c>
      <c r="C6" s="41">
        <v>123381732</v>
      </c>
      <c r="D6" s="41">
        <v>14990257</v>
      </c>
      <c r="E6" s="41">
        <v>261886179</v>
      </c>
      <c r="F6" s="41">
        <v>54193225</v>
      </c>
      <c r="G6" s="41">
        <v>288000</v>
      </c>
      <c r="H6" s="41">
        <v>25671066</v>
      </c>
      <c r="I6" s="41">
        <v>0</v>
      </c>
      <c r="J6" s="41">
        <v>0</v>
      </c>
      <c r="K6" s="41">
        <v>0</v>
      </c>
      <c r="L6" s="41">
        <v>0</v>
      </c>
      <c r="M6" s="41">
        <v>180192</v>
      </c>
      <c r="N6" s="41">
        <v>288228</v>
      </c>
      <c r="O6" s="41">
        <v>381554</v>
      </c>
      <c r="P6" s="41">
        <v>0</v>
      </c>
      <c r="Q6" s="41">
        <v>1724620159</v>
      </c>
      <c r="R6" s="41">
        <f>SUM(B6:P6)</f>
        <v>638391224</v>
      </c>
      <c r="S6" s="43">
        <f t="shared" ref="S6:S21" si="0">Q6-R6</f>
        <v>1086228935</v>
      </c>
    </row>
    <row r="7" spans="1:19" x14ac:dyDescent="0.2">
      <c r="A7" s="40" t="s">
        <v>4</v>
      </c>
      <c r="B7" s="41">
        <v>1035307077</v>
      </c>
      <c r="C7" s="41">
        <v>841293698</v>
      </c>
      <c r="D7" s="41">
        <v>71529287</v>
      </c>
      <c r="E7" s="41">
        <v>2018153108</v>
      </c>
      <c r="F7" s="41">
        <v>449133293</v>
      </c>
      <c r="G7" s="41">
        <v>1517831</v>
      </c>
      <c r="H7" s="41">
        <v>327493629</v>
      </c>
      <c r="I7" s="41">
        <v>11731</v>
      </c>
      <c r="J7" s="41">
        <v>0</v>
      </c>
      <c r="K7" s="41">
        <v>5435653</v>
      </c>
      <c r="L7" s="41">
        <v>0</v>
      </c>
      <c r="M7" s="41">
        <v>287208</v>
      </c>
      <c r="N7" s="41">
        <v>16172687</v>
      </c>
      <c r="O7" s="41">
        <v>1236576</v>
      </c>
      <c r="P7" s="41">
        <v>21646429</v>
      </c>
      <c r="Q7" s="41">
        <v>25733447313</v>
      </c>
      <c r="R7" s="41">
        <f>SUM(B7:P7)</f>
        <v>4789218207</v>
      </c>
      <c r="S7" s="43">
        <f t="shared" si="0"/>
        <v>20944229106</v>
      </c>
    </row>
    <row r="8" spans="1:19" x14ac:dyDescent="0.2">
      <c r="A8" s="40" t="s">
        <v>5</v>
      </c>
      <c r="B8" s="41">
        <v>165749733</v>
      </c>
      <c r="C8" s="41">
        <v>110779110</v>
      </c>
      <c r="D8" s="41">
        <v>8871854</v>
      </c>
      <c r="E8" s="41">
        <v>98503531</v>
      </c>
      <c r="F8" s="41">
        <v>50163587</v>
      </c>
      <c r="G8" s="41">
        <v>355001</v>
      </c>
      <c r="H8" s="41">
        <v>16476025</v>
      </c>
      <c r="I8" s="41">
        <v>646727</v>
      </c>
      <c r="J8" s="41">
        <v>0</v>
      </c>
      <c r="K8" s="41">
        <v>0</v>
      </c>
      <c r="L8" s="41">
        <v>0</v>
      </c>
      <c r="M8" s="41">
        <v>25677</v>
      </c>
      <c r="N8" s="41">
        <v>772437</v>
      </c>
      <c r="O8" s="41">
        <v>57821</v>
      </c>
      <c r="P8" s="41">
        <v>0</v>
      </c>
      <c r="Q8" s="41">
        <v>1340206268</v>
      </c>
      <c r="R8" s="41">
        <f>SUM(B8:P8)</f>
        <v>452401503</v>
      </c>
      <c r="S8" s="43">
        <f t="shared" si="0"/>
        <v>887804765</v>
      </c>
    </row>
    <row r="9" spans="1:19" x14ac:dyDescent="0.2">
      <c r="A9" s="40" t="s">
        <v>6</v>
      </c>
      <c r="B9" s="41">
        <v>4135171430</v>
      </c>
      <c r="C9" s="41">
        <v>3628220700</v>
      </c>
      <c r="D9" s="41">
        <v>338196940</v>
      </c>
      <c r="E9" s="41">
        <v>4121652594</v>
      </c>
      <c r="F9" s="41">
        <v>2944894858</v>
      </c>
      <c r="G9" s="41">
        <v>7906000</v>
      </c>
      <c r="H9" s="41">
        <v>1183597148</v>
      </c>
      <c r="I9" s="41">
        <v>1637175</v>
      </c>
      <c r="J9" s="41">
        <v>0</v>
      </c>
      <c r="K9" s="41">
        <v>193084910</v>
      </c>
      <c r="L9" s="41">
        <v>251050</v>
      </c>
      <c r="M9" s="41">
        <v>523630</v>
      </c>
      <c r="N9" s="41">
        <v>67365901</v>
      </c>
      <c r="O9" s="41">
        <v>2695277</v>
      </c>
      <c r="P9" s="41">
        <v>0</v>
      </c>
      <c r="Q9" s="41">
        <v>66811306480</v>
      </c>
      <c r="R9" s="41">
        <f>SUM(B9:P9)</f>
        <v>16625197613</v>
      </c>
      <c r="S9" s="43">
        <f t="shared" si="0"/>
        <v>50186108867</v>
      </c>
    </row>
    <row r="10" spans="1:19" x14ac:dyDescent="0.2">
      <c r="A10" s="40" t="s">
        <v>7</v>
      </c>
      <c r="B10" s="41">
        <v>10337091070</v>
      </c>
      <c r="C10" s="41">
        <v>9279911670</v>
      </c>
      <c r="D10" s="41">
        <v>913061340</v>
      </c>
      <c r="E10" s="41">
        <v>18769852860</v>
      </c>
      <c r="F10" s="41">
        <v>6250717640</v>
      </c>
      <c r="G10" s="41">
        <v>18236940</v>
      </c>
      <c r="H10" s="41">
        <v>1009870650</v>
      </c>
      <c r="I10" s="41">
        <v>0</v>
      </c>
      <c r="J10" s="41">
        <v>30413120</v>
      </c>
      <c r="K10" s="41">
        <v>2141420</v>
      </c>
      <c r="L10" s="41">
        <v>361060</v>
      </c>
      <c r="M10" s="41">
        <v>4182780</v>
      </c>
      <c r="N10" s="41">
        <v>20548040</v>
      </c>
      <c r="O10" s="41">
        <v>9489960</v>
      </c>
      <c r="P10" s="41">
        <v>179828670</v>
      </c>
      <c r="Q10" s="41">
        <v>282687824110</v>
      </c>
      <c r="R10" s="41">
        <f>SUM(B10:P10)</f>
        <v>46825707220</v>
      </c>
      <c r="S10" s="43">
        <f t="shared" si="0"/>
        <v>235862116890</v>
      </c>
    </row>
    <row r="11" spans="1:19" x14ac:dyDescent="0.2">
      <c r="A11" s="40" t="s">
        <v>8</v>
      </c>
      <c r="B11" s="41">
        <v>79241779</v>
      </c>
      <c r="C11" s="41">
        <v>38969727</v>
      </c>
      <c r="D11" s="41">
        <v>8948578</v>
      </c>
      <c r="E11" s="41">
        <v>36085767</v>
      </c>
      <c r="F11" s="41">
        <v>14650560</v>
      </c>
      <c r="G11" s="41">
        <v>103872</v>
      </c>
      <c r="H11" s="41">
        <v>6321510</v>
      </c>
      <c r="I11" s="41">
        <v>554345</v>
      </c>
      <c r="J11" s="41">
        <v>0</v>
      </c>
      <c r="K11" s="41">
        <v>0</v>
      </c>
      <c r="L11" s="41">
        <v>0</v>
      </c>
      <c r="M11" s="41">
        <v>67689</v>
      </c>
      <c r="N11" s="41">
        <v>457016</v>
      </c>
      <c r="O11" s="41">
        <v>63875</v>
      </c>
      <c r="P11" s="41">
        <v>0</v>
      </c>
      <c r="Q11" s="41">
        <v>547767097</v>
      </c>
      <c r="R11" s="41">
        <f>SUM(B11:P11)</f>
        <v>185464718</v>
      </c>
      <c r="S11" s="43">
        <f t="shared" si="0"/>
        <v>362302379</v>
      </c>
    </row>
    <row r="12" spans="1:19" x14ac:dyDescent="0.2">
      <c r="A12" s="40" t="s">
        <v>9</v>
      </c>
      <c r="B12" s="41">
        <v>1534454016</v>
      </c>
      <c r="C12" s="41">
        <v>1369300326</v>
      </c>
      <c r="D12" s="41">
        <v>204235018</v>
      </c>
      <c r="E12" s="41">
        <v>1234494450</v>
      </c>
      <c r="F12" s="41">
        <v>310872203</v>
      </c>
      <c r="G12" s="41">
        <v>3493787</v>
      </c>
      <c r="H12" s="41">
        <v>332688161</v>
      </c>
      <c r="I12" s="41">
        <v>828002</v>
      </c>
      <c r="J12" s="41">
        <v>0</v>
      </c>
      <c r="K12" s="41">
        <v>34145162</v>
      </c>
      <c r="L12" s="41">
        <v>2720</v>
      </c>
      <c r="M12" s="41">
        <v>0</v>
      </c>
      <c r="N12" s="41">
        <v>49542978</v>
      </c>
      <c r="O12" s="41">
        <v>375307</v>
      </c>
      <c r="P12" s="41">
        <v>0</v>
      </c>
      <c r="Q12" s="41">
        <v>27699304384</v>
      </c>
      <c r="R12" s="41">
        <f>SUM(B12:P12)</f>
        <v>5074432130</v>
      </c>
      <c r="S12" s="43">
        <f t="shared" si="0"/>
        <v>22624872254</v>
      </c>
    </row>
    <row r="13" spans="1:19" x14ac:dyDescent="0.2">
      <c r="A13" s="40" t="s">
        <v>10</v>
      </c>
      <c r="B13" s="41">
        <v>1235863172</v>
      </c>
      <c r="C13" s="41">
        <v>958147876</v>
      </c>
      <c r="D13" s="41">
        <v>0</v>
      </c>
      <c r="E13" s="41">
        <v>1041369698</v>
      </c>
      <c r="F13" s="41">
        <v>279652040</v>
      </c>
      <c r="G13" s="41">
        <v>2725596</v>
      </c>
      <c r="H13" s="41">
        <v>249131666</v>
      </c>
      <c r="I13" s="41">
        <v>0</v>
      </c>
      <c r="J13" s="41">
        <v>0</v>
      </c>
      <c r="K13" s="41">
        <v>0</v>
      </c>
      <c r="L13" s="41">
        <v>22712</v>
      </c>
      <c r="M13" s="41">
        <v>0</v>
      </c>
      <c r="N13" s="41">
        <v>27823622</v>
      </c>
      <c r="O13" s="41">
        <v>157047</v>
      </c>
      <c r="P13" s="41">
        <v>0</v>
      </c>
      <c r="Q13" s="41">
        <v>14055532380</v>
      </c>
      <c r="R13" s="41">
        <f>SUM(B13:P13)</f>
        <v>3794893429</v>
      </c>
      <c r="S13" s="43">
        <f t="shared" si="0"/>
        <v>10260638951</v>
      </c>
    </row>
    <row r="14" spans="1:19" x14ac:dyDescent="0.2">
      <c r="A14" s="40" t="s">
        <v>11</v>
      </c>
      <c r="B14" s="41">
        <v>1323410043</v>
      </c>
      <c r="C14" s="41">
        <v>1211147674</v>
      </c>
      <c r="D14" s="41">
        <v>75802147</v>
      </c>
      <c r="E14" s="41">
        <v>935216875</v>
      </c>
      <c r="F14" s="41">
        <v>512826567</v>
      </c>
      <c r="G14" s="41">
        <v>1937500</v>
      </c>
      <c r="H14" s="41">
        <v>545114797</v>
      </c>
      <c r="I14" s="41">
        <v>3682740</v>
      </c>
      <c r="J14" s="41">
        <v>0</v>
      </c>
      <c r="K14" s="41">
        <v>0</v>
      </c>
      <c r="L14" s="41">
        <v>0</v>
      </c>
      <c r="M14" s="41">
        <v>818520</v>
      </c>
      <c r="N14" s="41">
        <v>8080659</v>
      </c>
      <c r="O14" s="41">
        <v>6608401</v>
      </c>
      <c r="P14" s="41">
        <v>0</v>
      </c>
      <c r="Q14" s="41">
        <v>18261337269</v>
      </c>
      <c r="R14" s="41">
        <f>SUM(B14:P14)</f>
        <v>4624645923</v>
      </c>
      <c r="S14" s="43">
        <f t="shared" si="0"/>
        <v>13636691346</v>
      </c>
    </row>
    <row r="15" spans="1:19" x14ac:dyDescent="0.2">
      <c r="A15" s="40" t="s">
        <v>12</v>
      </c>
      <c r="B15" s="41">
        <v>2590086878</v>
      </c>
      <c r="C15" s="41">
        <v>2448032504</v>
      </c>
      <c r="D15" s="41">
        <v>103899515</v>
      </c>
      <c r="E15" s="41">
        <v>4193945815</v>
      </c>
      <c r="F15" s="41">
        <v>2216339570</v>
      </c>
      <c r="G15" s="41">
        <v>5096378</v>
      </c>
      <c r="H15" s="41">
        <v>306559637</v>
      </c>
      <c r="I15" s="41">
        <v>0</v>
      </c>
      <c r="J15" s="41">
        <v>0</v>
      </c>
      <c r="K15" s="41">
        <v>4930300</v>
      </c>
      <c r="L15" s="41">
        <v>0</v>
      </c>
      <c r="M15" s="41">
        <v>0</v>
      </c>
      <c r="N15" s="41">
        <v>61104279</v>
      </c>
      <c r="O15" s="41">
        <v>143256</v>
      </c>
      <c r="P15" s="41">
        <v>2964238</v>
      </c>
      <c r="Q15" s="41">
        <v>131498501684</v>
      </c>
      <c r="R15" s="41">
        <f>SUM(B15:P15)</f>
        <v>11933102370</v>
      </c>
      <c r="S15" s="43">
        <f t="shared" si="0"/>
        <v>119565399314</v>
      </c>
    </row>
    <row r="16" spans="1:19" x14ac:dyDescent="0.2">
      <c r="A16" s="40" t="s">
        <v>13</v>
      </c>
      <c r="B16" s="41">
        <v>402349996</v>
      </c>
      <c r="C16" s="41">
        <v>282376549</v>
      </c>
      <c r="D16" s="41">
        <v>43878669</v>
      </c>
      <c r="E16" s="41">
        <v>422738334</v>
      </c>
      <c r="F16" s="41">
        <v>130592192</v>
      </c>
      <c r="G16" s="41">
        <v>680604</v>
      </c>
      <c r="H16" s="41">
        <v>62042495</v>
      </c>
      <c r="I16" s="41">
        <v>3736854</v>
      </c>
      <c r="J16" s="41">
        <v>0</v>
      </c>
      <c r="K16" s="41">
        <v>9502891</v>
      </c>
      <c r="L16" s="41">
        <v>16551</v>
      </c>
      <c r="M16" s="41">
        <v>0</v>
      </c>
      <c r="N16" s="41">
        <v>2607503</v>
      </c>
      <c r="O16" s="41">
        <v>234859</v>
      </c>
      <c r="P16" s="41">
        <v>1592495</v>
      </c>
      <c r="Q16" s="41">
        <v>4309602274</v>
      </c>
      <c r="R16" s="41">
        <f>SUM(B16:P16)</f>
        <v>1362349992</v>
      </c>
      <c r="S16" s="43">
        <f t="shared" si="0"/>
        <v>2947252282</v>
      </c>
    </row>
    <row r="17" spans="1:19" x14ac:dyDescent="0.2">
      <c r="A17" s="40" t="s">
        <v>106</v>
      </c>
      <c r="B17" s="41">
        <v>11024000128</v>
      </c>
      <c r="C17" s="41">
        <v>10239384286</v>
      </c>
      <c r="D17" s="41">
        <v>1578528302</v>
      </c>
      <c r="E17" s="41">
        <v>22835222483</v>
      </c>
      <c r="F17" s="41">
        <v>11725943786</v>
      </c>
      <c r="G17" s="41">
        <v>13398000</v>
      </c>
      <c r="H17" s="41">
        <v>563429786</v>
      </c>
      <c r="I17" s="41">
        <v>13700318</v>
      </c>
      <c r="J17" s="41">
        <v>140702900</v>
      </c>
      <c r="K17" s="41">
        <v>0</v>
      </c>
      <c r="L17" s="41">
        <v>254701</v>
      </c>
      <c r="M17" s="41">
        <v>2793937</v>
      </c>
      <c r="N17" s="41">
        <v>12116104</v>
      </c>
      <c r="O17" s="41">
        <v>4556967</v>
      </c>
      <c r="P17" s="41">
        <v>337597540</v>
      </c>
      <c r="Q17" s="41">
        <v>418940611969</v>
      </c>
      <c r="R17" s="41">
        <f>SUM(B17:P17)</f>
        <v>58491629238</v>
      </c>
      <c r="S17" s="43">
        <f t="shared" si="0"/>
        <v>360448982731</v>
      </c>
    </row>
    <row r="18" spans="1:19" x14ac:dyDescent="0.2">
      <c r="A18" s="40" t="s">
        <v>14</v>
      </c>
      <c r="B18" s="41">
        <v>152345496</v>
      </c>
      <c r="C18" s="41">
        <v>108103538</v>
      </c>
      <c r="D18" s="41">
        <v>18652176</v>
      </c>
      <c r="E18" s="41">
        <v>211130994</v>
      </c>
      <c r="F18" s="41">
        <v>128449218</v>
      </c>
      <c r="G18" s="41">
        <v>343027</v>
      </c>
      <c r="H18" s="41">
        <v>16570500</v>
      </c>
      <c r="I18" s="41">
        <v>31313937</v>
      </c>
      <c r="J18" s="41">
        <v>0</v>
      </c>
      <c r="K18" s="41">
        <v>0</v>
      </c>
      <c r="L18" s="41">
        <v>9900</v>
      </c>
      <c r="M18" s="41">
        <v>0</v>
      </c>
      <c r="N18" s="41">
        <v>1229259</v>
      </c>
      <c r="O18" s="41">
        <v>17656</v>
      </c>
      <c r="P18" s="41">
        <v>0</v>
      </c>
      <c r="Q18" s="41">
        <v>2250860905</v>
      </c>
      <c r="R18" s="41">
        <f>SUM(B18:P18)</f>
        <v>668165701</v>
      </c>
      <c r="S18" s="43">
        <f t="shared" si="0"/>
        <v>1582695204</v>
      </c>
    </row>
    <row r="19" spans="1:19" x14ac:dyDescent="0.2">
      <c r="A19" s="40" t="s">
        <v>15</v>
      </c>
      <c r="B19" s="41">
        <v>109292673</v>
      </c>
      <c r="C19" s="41">
        <v>37657049</v>
      </c>
      <c r="D19" s="41">
        <v>0</v>
      </c>
      <c r="E19" s="41">
        <v>161282285</v>
      </c>
      <c r="F19" s="41">
        <v>15840989</v>
      </c>
      <c r="G19" s="41">
        <v>217198</v>
      </c>
      <c r="H19" s="41">
        <v>7536839</v>
      </c>
      <c r="I19" s="41">
        <v>1413128</v>
      </c>
      <c r="J19" s="41">
        <v>0</v>
      </c>
      <c r="K19" s="41">
        <v>0</v>
      </c>
      <c r="L19" s="41">
        <v>145080</v>
      </c>
      <c r="M19" s="41">
        <v>0</v>
      </c>
      <c r="N19" s="41">
        <v>0</v>
      </c>
      <c r="O19" s="41">
        <v>38681</v>
      </c>
      <c r="P19" s="41">
        <v>0</v>
      </c>
      <c r="Q19" s="41">
        <v>903192282</v>
      </c>
      <c r="R19" s="41">
        <f>SUM(B19:P19)</f>
        <v>333423922</v>
      </c>
      <c r="S19" s="43">
        <f>Q19-R19</f>
        <v>569768360</v>
      </c>
    </row>
    <row r="20" spans="1:19" x14ac:dyDescent="0.2">
      <c r="A20" s="40" t="s">
        <v>16</v>
      </c>
      <c r="B20" s="41">
        <v>5073021555</v>
      </c>
      <c r="C20" s="41">
        <v>4478021183</v>
      </c>
      <c r="D20" s="41">
        <v>238431165</v>
      </c>
      <c r="E20" s="41">
        <v>6142999530</v>
      </c>
      <c r="F20" s="41">
        <v>5426425788</v>
      </c>
      <c r="G20" s="41">
        <v>7127405</v>
      </c>
      <c r="H20" s="41">
        <v>676342801</v>
      </c>
      <c r="I20" s="41">
        <v>993637</v>
      </c>
      <c r="J20" s="41">
        <v>27387858</v>
      </c>
      <c r="K20" s="41">
        <v>658053</v>
      </c>
      <c r="L20" s="41">
        <v>321821</v>
      </c>
      <c r="M20" s="41">
        <v>737483</v>
      </c>
      <c r="N20" s="41">
        <v>52048272</v>
      </c>
      <c r="O20" s="41">
        <v>10709946</v>
      </c>
      <c r="P20" s="41">
        <v>22110990</v>
      </c>
      <c r="Q20" s="41">
        <v>104891873380</v>
      </c>
      <c r="R20" s="41">
        <f>SUM(B20:P20)</f>
        <v>22157337487</v>
      </c>
      <c r="S20" s="43">
        <f t="shared" si="0"/>
        <v>82734535893</v>
      </c>
    </row>
    <row r="21" spans="1:19" x14ac:dyDescent="0.2">
      <c r="A21" s="40" t="s">
        <v>17</v>
      </c>
      <c r="B21" s="41">
        <v>1814059278</v>
      </c>
      <c r="C21" s="41">
        <v>1516718010</v>
      </c>
      <c r="D21" s="41">
        <v>124338610</v>
      </c>
      <c r="E21" s="41">
        <v>4047786777</v>
      </c>
      <c r="F21" s="41">
        <v>1241149975</v>
      </c>
      <c r="G21" s="41">
        <v>3704379</v>
      </c>
      <c r="H21" s="41">
        <v>373771055</v>
      </c>
      <c r="I21" s="41">
        <v>153385</v>
      </c>
      <c r="J21" s="41">
        <v>193001</v>
      </c>
      <c r="K21" s="41">
        <v>391810521</v>
      </c>
      <c r="L21" s="41">
        <v>81003</v>
      </c>
      <c r="M21" s="41">
        <v>1562033</v>
      </c>
      <c r="N21" s="41">
        <v>36710020</v>
      </c>
      <c r="O21" s="41">
        <v>1283379</v>
      </c>
      <c r="P21" s="41">
        <v>44144042</v>
      </c>
      <c r="Q21" s="41">
        <v>31018968917</v>
      </c>
      <c r="R21" s="41">
        <f>SUM(B21:P21)</f>
        <v>9597465468</v>
      </c>
      <c r="S21" s="43">
        <f t="shared" si="0"/>
        <v>21421503449</v>
      </c>
    </row>
    <row r="22" spans="1:19" x14ac:dyDescent="0.2">
      <c r="A22" s="40" t="s">
        <v>18</v>
      </c>
      <c r="B22" s="41">
        <v>940095201</v>
      </c>
      <c r="C22" s="41">
        <v>915468269</v>
      </c>
      <c r="D22" s="41">
        <v>202113188</v>
      </c>
      <c r="E22" s="41">
        <v>477910767</v>
      </c>
      <c r="F22" s="41">
        <v>186801877</v>
      </c>
      <c r="G22" s="41">
        <v>1892500</v>
      </c>
      <c r="H22" s="41">
        <v>184337434</v>
      </c>
      <c r="I22" s="41">
        <v>5448827</v>
      </c>
      <c r="J22" s="41">
        <v>0</v>
      </c>
      <c r="K22" s="41">
        <v>0</v>
      </c>
      <c r="L22" s="41">
        <v>41624</v>
      </c>
      <c r="M22" s="41">
        <v>491380</v>
      </c>
      <c r="N22" s="41">
        <v>39684728</v>
      </c>
      <c r="O22" s="41">
        <v>79170</v>
      </c>
      <c r="P22" s="41">
        <v>6742076</v>
      </c>
      <c r="Q22" s="41">
        <v>15209357667</v>
      </c>
      <c r="R22" s="41">
        <f>SUM(B22:P22)</f>
        <v>2961107041</v>
      </c>
      <c r="S22" s="43">
        <f>Q22-R22</f>
        <v>12248250626</v>
      </c>
    </row>
    <row r="23" spans="1:19" x14ac:dyDescent="0.2">
      <c r="A23" s="40" t="s">
        <v>19</v>
      </c>
      <c r="B23" s="41">
        <v>80268212</v>
      </c>
      <c r="C23" s="41">
        <v>55244458</v>
      </c>
      <c r="D23" s="41">
        <v>7839095</v>
      </c>
      <c r="E23" s="41">
        <v>544672520</v>
      </c>
      <c r="F23" s="41">
        <v>32295426</v>
      </c>
      <c r="G23" s="41">
        <v>137500</v>
      </c>
      <c r="H23" s="41">
        <v>6966991</v>
      </c>
      <c r="I23" s="41">
        <v>397481</v>
      </c>
      <c r="J23" s="41">
        <v>0</v>
      </c>
      <c r="K23" s="41">
        <v>0</v>
      </c>
      <c r="L23" s="41">
        <v>2090</v>
      </c>
      <c r="M23" s="41">
        <v>0</v>
      </c>
      <c r="N23" s="41">
        <v>6024445</v>
      </c>
      <c r="O23" s="41">
        <v>0</v>
      </c>
      <c r="P23" s="41">
        <v>0</v>
      </c>
      <c r="Q23" s="41">
        <v>3297102662</v>
      </c>
      <c r="R23" s="41">
        <f>SUM(B23:P23)</f>
        <v>733848218</v>
      </c>
      <c r="S23" s="43">
        <f t="shared" ref="S23:S71" si="1">Q23-R23</f>
        <v>2563254444</v>
      </c>
    </row>
    <row r="24" spans="1:19" x14ac:dyDescent="0.2">
      <c r="A24" s="40" t="s">
        <v>20</v>
      </c>
      <c r="B24" s="41">
        <v>244823271</v>
      </c>
      <c r="C24" s="41">
        <v>147370732</v>
      </c>
      <c r="D24" s="41">
        <v>7726726</v>
      </c>
      <c r="E24" s="41">
        <v>170440038</v>
      </c>
      <c r="F24" s="41">
        <v>65887374</v>
      </c>
      <c r="G24" s="41">
        <v>347185</v>
      </c>
      <c r="H24" s="41">
        <v>28890596</v>
      </c>
      <c r="I24" s="41">
        <v>1959595</v>
      </c>
      <c r="J24" s="41">
        <v>0</v>
      </c>
      <c r="K24" s="41">
        <v>0</v>
      </c>
      <c r="L24" s="41">
        <v>157058</v>
      </c>
      <c r="M24" s="41">
        <v>0</v>
      </c>
      <c r="N24" s="41">
        <v>1146361</v>
      </c>
      <c r="O24" s="41">
        <v>25698</v>
      </c>
      <c r="P24" s="41">
        <v>0</v>
      </c>
      <c r="Q24" s="41">
        <v>2056196445</v>
      </c>
      <c r="R24" s="41">
        <f>SUM(B24:P24)</f>
        <v>668774634</v>
      </c>
      <c r="S24" s="43">
        <f t="shared" si="1"/>
        <v>1387421811</v>
      </c>
    </row>
    <row r="25" spans="1:19" x14ac:dyDescent="0.2">
      <c r="A25" s="40" t="s">
        <v>21</v>
      </c>
      <c r="B25" s="41">
        <v>128486465</v>
      </c>
      <c r="C25" s="41">
        <v>81996920</v>
      </c>
      <c r="D25" s="41">
        <v>5976345</v>
      </c>
      <c r="E25" s="41">
        <v>90930620</v>
      </c>
      <c r="F25" s="41">
        <v>30542236</v>
      </c>
      <c r="G25" s="41">
        <v>265624</v>
      </c>
      <c r="H25" s="41">
        <v>16146517</v>
      </c>
      <c r="I25" s="41">
        <v>743204</v>
      </c>
      <c r="J25" s="41">
        <v>0</v>
      </c>
      <c r="K25" s="41">
        <v>0</v>
      </c>
      <c r="L25" s="41">
        <v>3044</v>
      </c>
      <c r="M25" s="41">
        <v>0</v>
      </c>
      <c r="N25" s="41">
        <v>1671893</v>
      </c>
      <c r="O25" s="41">
        <v>33559</v>
      </c>
      <c r="P25" s="41">
        <v>4729611</v>
      </c>
      <c r="Q25" s="41">
        <v>1073026148</v>
      </c>
      <c r="R25" s="41">
        <f>SUM(B25:P25)</f>
        <v>361526038</v>
      </c>
      <c r="S25" s="43">
        <f t="shared" si="1"/>
        <v>711500110</v>
      </c>
    </row>
    <row r="26" spans="1:19" x14ac:dyDescent="0.2">
      <c r="A26" s="40" t="s">
        <v>22</v>
      </c>
      <c r="B26" s="41">
        <v>63279497</v>
      </c>
      <c r="C26" s="41">
        <v>41389520</v>
      </c>
      <c r="D26" s="41">
        <v>2937203</v>
      </c>
      <c r="E26" s="41">
        <v>801186184</v>
      </c>
      <c r="F26" s="41">
        <v>29838144</v>
      </c>
      <c r="G26" s="41">
        <v>158666</v>
      </c>
      <c r="H26" s="41">
        <v>7223951</v>
      </c>
      <c r="I26" s="41">
        <v>2588923</v>
      </c>
      <c r="J26" s="41">
        <v>0</v>
      </c>
      <c r="K26" s="41">
        <v>0</v>
      </c>
      <c r="L26" s="41">
        <v>0</v>
      </c>
      <c r="M26" s="41">
        <v>0</v>
      </c>
      <c r="N26" s="41">
        <v>1056404</v>
      </c>
      <c r="O26" s="41">
        <v>0</v>
      </c>
      <c r="P26" s="41">
        <v>0</v>
      </c>
      <c r="Q26" s="41">
        <v>1688963233</v>
      </c>
      <c r="R26" s="41">
        <f>SUM(B26:P26)</f>
        <v>949658492</v>
      </c>
      <c r="S26" s="43">
        <f t="shared" si="1"/>
        <v>739304741</v>
      </c>
    </row>
    <row r="27" spans="1:19" x14ac:dyDescent="0.2">
      <c r="A27" s="40" t="s">
        <v>23</v>
      </c>
      <c r="B27" s="41">
        <v>93617390</v>
      </c>
      <c r="C27" s="41">
        <v>61254246</v>
      </c>
      <c r="D27" s="41">
        <v>4311208</v>
      </c>
      <c r="E27" s="41">
        <v>532340513</v>
      </c>
      <c r="F27" s="41">
        <v>54471025</v>
      </c>
      <c r="G27" s="41">
        <v>175000</v>
      </c>
      <c r="H27" s="41">
        <v>18057489</v>
      </c>
      <c r="I27" s="41">
        <v>121030</v>
      </c>
      <c r="J27" s="41">
        <v>0</v>
      </c>
      <c r="K27" s="41">
        <v>0</v>
      </c>
      <c r="L27" s="41">
        <v>0</v>
      </c>
      <c r="M27" s="41">
        <v>315271</v>
      </c>
      <c r="N27" s="41">
        <v>4276754</v>
      </c>
      <c r="O27" s="41">
        <v>0</v>
      </c>
      <c r="P27" s="41">
        <v>291610</v>
      </c>
      <c r="Q27" s="41">
        <v>3154034902</v>
      </c>
      <c r="R27" s="41">
        <f>SUM(B27:P27)</f>
        <v>769231536</v>
      </c>
      <c r="S27" s="43">
        <f t="shared" si="1"/>
        <v>2384803366</v>
      </c>
    </row>
    <row r="28" spans="1:19" x14ac:dyDescent="0.2">
      <c r="A28" s="40" t="s">
        <v>24</v>
      </c>
      <c r="B28" s="41">
        <v>66867116</v>
      </c>
      <c r="C28" s="41">
        <v>33855339</v>
      </c>
      <c r="D28" s="41">
        <v>5479614</v>
      </c>
      <c r="E28" s="41">
        <v>132876432</v>
      </c>
      <c r="F28" s="41">
        <v>21918859</v>
      </c>
      <c r="G28" s="41">
        <v>152555</v>
      </c>
      <c r="H28" s="41">
        <v>6508350</v>
      </c>
      <c r="I28" s="41">
        <v>393366</v>
      </c>
      <c r="J28" s="41">
        <v>0</v>
      </c>
      <c r="K28" s="41">
        <v>0</v>
      </c>
      <c r="L28" s="41">
        <v>17510</v>
      </c>
      <c r="M28" s="41">
        <v>0</v>
      </c>
      <c r="N28" s="41">
        <v>479685</v>
      </c>
      <c r="O28" s="41">
        <v>0</v>
      </c>
      <c r="P28" s="41">
        <v>0</v>
      </c>
      <c r="Q28" s="41">
        <v>749352778</v>
      </c>
      <c r="R28" s="41">
        <f>SUM(B28:P28)</f>
        <v>268548826</v>
      </c>
      <c r="S28" s="43">
        <f t="shared" si="1"/>
        <v>480803952</v>
      </c>
    </row>
    <row r="29" spans="1:19" x14ac:dyDescent="0.2">
      <c r="A29" s="40" t="s">
        <v>25</v>
      </c>
      <c r="B29" s="41">
        <v>108874656</v>
      </c>
      <c r="C29" s="41">
        <v>66713198</v>
      </c>
      <c r="D29" s="41">
        <v>7045344</v>
      </c>
      <c r="E29" s="41">
        <v>123383197</v>
      </c>
      <c r="F29" s="41">
        <v>160832577</v>
      </c>
      <c r="G29" s="41">
        <v>235135</v>
      </c>
      <c r="H29" s="41">
        <v>4840290</v>
      </c>
      <c r="I29" s="41">
        <v>1710751</v>
      </c>
      <c r="J29" s="41">
        <v>0</v>
      </c>
      <c r="K29" s="41">
        <v>0</v>
      </c>
      <c r="L29" s="41">
        <v>0</v>
      </c>
      <c r="M29" s="41">
        <v>0</v>
      </c>
      <c r="N29" s="41">
        <v>114382</v>
      </c>
      <c r="O29" s="41">
        <v>0</v>
      </c>
      <c r="P29" s="41">
        <v>0</v>
      </c>
      <c r="Q29" s="41">
        <v>1643915908</v>
      </c>
      <c r="R29" s="41">
        <f>SUM(B29:P29)</f>
        <v>473749530</v>
      </c>
      <c r="S29" s="43">
        <f t="shared" si="1"/>
        <v>1170166378</v>
      </c>
    </row>
    <row r="30" spans="1:19" x14ac:dyDescent="0.2">
      <c r="A30" s="40" t="s">
        <v>26</v>
      </c>
      <c r="B30" s="41">
        <v>181763749</v>
      </c>
      <c r="C30" s="41">
        <v>118857417</v>
      </c>
      <c r="D30" s="41">
        <v>12272538</v>
      </c>
      <c r="E30" s="41">
        <v>1202916205</v>
      </c>
      <c r="F30" s="41">
        <v>93059783</v>
      </c>
      <c r="G30" s="41">
        <v>277256</v>
      </c>
      <c r="H30" s="41">
        <v>11244335</v>
      </c>
      <c r="I30" s="41">
        <v>11058444</v>
      </c>
      <c r="J30" s="41">
        <v>0</v>
      </c>
      <c r="K30" s="41">
        <v>1728451</v>
      </c>
      <c r="L30" s="41">
        <v>12100</v>
      </c>
      <c r="M30" s="41">
        <v>0</v>
      </c>
      <c r="N30" s="41">
        <v>0</v>
      </c>
      <c r="O30" s="41">
        <v>0</v>
      </c>
      <c r="P30" s="41">
        <v>0</v>
      </c>
      <c r="Q30" s="41">
        <v>3846759604</v>
      </c>
      <c r="R30" s="41">
        <f>SUM(B30:P30)</f>
        <v>1633190278</v>
      </c>
      <c r="S30" s="43">
        <f t="shared" si="1"/>
        <v>2213569326</v>
      </c>
    </row>
    <row r="31" spans="1:19" x14ac:dyDescent="0.2">
      <c r="A31" s="40" t="s">
        <v>27</v>
      </c>
      <c r="B31" s="41">
        <v>1379056012</v>
      </c>
      <c r="C31" s="41">
        <v>1169340191</v>
      </c>
      <c r="D31" s="41">
        <v>185255074</v>
      </c>
      <c r="E31" s="41">
        <v>1062718648</v>
      </c>
      <c r="F31" s="41">
        <v>287116253</v>
      </c>
      <c r="G31" s="41">
        <v>3150734</v>
      </c>
      <c r="H31" s="41">
        <v>304415056</v>
      </c>
      <c r="I31" s="41">
        <v>86033</v>
      </c>
      <c r="J31" s="41">
        <v>0</v>
      </c>
      <c r="K31" s="41">
        <v>0</v>
      </c>
      <c r="L31" s="41">
        <v>169304</v>
      </c>
      <c r="M31" s="41">
        <v>0</v>
      </c>
      <c r="N31" s="41">
        <v>7603485</v>
      </c>
      <c r="O31" s="41">
        <v>15380</v>
      </c>
      <c r="P31" s="41">
        <v>14301950</v>
      </c>
      <c r="Q31" s="41">
        <v>16033070411</v>
      </c>
      <c r="R31" s="41">
        <f>SUM(B31:P31)</f>
        <v>4413228120</v>
      </c>
      <c r="S31" s="43">
        <f t="shared" si="1"/>
        <v>11619842291</v>
      </c>
    </row>
    <row r="32" spans="1:19" x14ac:dyDescent="0.2">
      <c r="A32" s="40" t="s">
        <v>28</v>
      </c>
      <c r="B32" s="41">
        <v>623547971</v>
      </c>
      <c r="C32" s="41">
        <v>472888156</v>
      </c>
      <c r="D32" s="41">
        <v>26042293</v>
      </c>
      <c r="E32" s="41">
        <v>565631013</v>
      </c>
      <c r="F32" s="41">
        <v>439894868</v>
      </c>
      <c r="G32" s="41">
        <v>1998000</v>
      </c>
      <c r="H32" s="41">
        <v>100709589</v>
      </c>
      <c r="I32" s="41">
        <v>14004114</v>
      </c>
      <c r="J32" s="41">
        <v>0</v>
      </c>
      <c r="K32" s="41">
        <v>464158</v>
      </c>
      <c r="L32" s="41">
        <v>3125</v>
      </c>
      <c r="M32" s="41">
        <v>0</v>
      </c>
      <c r="N32" s="41">
        <v>5827947</v>
      </c>
      <c r="O32" s="41">
        <v>280731</v>
      </c>
      <c r="P32" s="41">
        <v>0</v>
      </c>
      <c r="Q32" s="41">
        <v>8041302774</v>
      </c>
      <c r="R32" s="41">
        <f>SUM(B32:P32)</f>
        <v>2251291965</v>
      </c>
      <c r="S32" s="43">
        <f t="shared" si="1"/>
        <v>5790010809</v>
      </c>
    </row>
    <row r="33" spans="1:19" x14ac:dyDescent="0.2">
      <c r="A33" s="40" t="s">
        <v>29</v>
      </c>
      <c r="B33" s="41">
        <v>7315002134</v>
      </c>
      <c r="C33" s="41">
        <v>6601509257</v>
      </c>
      <c r="D33" s="41">
        <v>240956116</v>
      </c>
      <c r="E33" s="41">
        <v>11505112610</v>
      </c>
      <c r="F33" s="41">
        <v>5613685787</v>
      </c>
      <c r="G33" s="41">
        <v>9082000</v>
      </c>
      <c r="H33" s="41">
        <v>2023414622</v>
      </c>
      <c r="I33" s="41">
        <v>1236728</v>
      </c>
      <c r="J33" s="41">
        <v>82471340</v>
      </c>
      <c r="K33" s="41">
        <v>0</v>
      </c>
      <c r="L33" s="41">
        <v>4620</v>
      </c>
      <c r="M33" s="41">
        <v>3863574</v>
      </c>
      <c r="N33" s="41">
        <v>34410698</v>
      </c>
      <c r="O33" s="41">
        <v>12224426</v>
      </c>
      <c r="P33" s="41">
        <v>135827183</v>
      </c>
      <c r="Q33" s="41">
        <v>163726113434</v>
      </c>
      <c r="R33" s="41">
        <f>SUM(B33:P33)</f>
        <v>33578801095</v>
      </c>
      <c r="S33" s="43">
        <f t="shared" si="1"/>
        <v>130147312339</v>
      </c>
    </row>
    <row r="34" spans="1:19" x14ac:dyDescent="0.2">
      <c r="A34" s="40" t="s">
        <v>30</v>
      </c>
      <c r="B34" s="41">
        <v>116889974</v>
      </c>
      <c r="C34" s="41">
        <v>61062272</v>
      </c>
      <c r="D34" s="41">
        <v>17865640</v>
      </c>
      <c r="E34" s="41">
        <v>73682335</v>
      </c>
      <c r="F34" s="41">
        <v>43310032</v>
      </c>
      <c r="G34" s="41">
        <v>240422</v>
      </c>
      <c r="H34" s="41">
        <v>15921697</v>
      </c>
      <c r="I34" s="41">
        <v>0</v>
      </c>
      <c r="J34" s="41">
        <v>0</v>
      </c>
      <c r="K34" s="41">
        <v>272317</v>
      </c>
      <c r="L34" s="41">
        <v>55810</v>
      </c>
      <c r="M34" s="41">
        <v>0</v>
      </c>
      <c r="N34" s="41">
        <v>555316</v>
      </c>
      <c r="O34" s="41">
        <v>0</v>
      </c>
      <c r="P34" s="41">
        <v>0</v>
      </c>
      <c r="Q34" s="41">
        <v>771694443</v>
      </c>
      <c r="R34" s="41">
        <f>SUM(B34:P34)</f>
        <v>329855815</v>
      </c>
      <c r="S34" s="43">
        <f t="shared" si="1"/>
        <v>441838628</v>
      </c>
    </row>
    <row r="35" spans="1:19" x14ac:dyDescent="0.2">
      <c r="A35" s="40" t="s">
        <v>31</v>
      </c>
      <c r="B35" s="41">
        <v>1195818845</v>
      </c>
      <c r="C35" s="41">
        <v>1081563694</v>
      </c>
      <c r="D35" s="41">
        <v>45776325</v>
      </c>
      <c r="E35" s="41">
        <v>957453847</v>
      </c>
      <c r="F35" s="41">
        <v>792565547</v>
      </c>
      <c r="G35" s="41">
        <v>2207962</v>
      </c>
      <c r="H35" s="41">
        <v>167043607</v>
      </c>
      <c r="I35" s="41">
        <v>1415712</v>
      </c>
      <c r="J35" s="41">
        <v>0</v>
      </c>
      <c r="K35" s="41">
        <v>0</v>
      </c>
      <c r="L35" s="41">
        <v>10165</v>
      </c>
      <c r="M35" s="41">
        <v>161115</v>
      </c>
      <c r="N35" s="41">
        <v>32202096</v>
      </c>
      <c r="O35" s="41">
        <v>53577</v>
      </c>
      <c r="P35" s="41">
        <v>0</v>
      </c>
      <c r="Q35" s="41">
        <v>26739941916</v>
      </c>
      <c r="R35" s="41">
        <f>SUM(B35:P35)</f>
        <v>4276272492</v>
      </c>
      <c r="S35" s="43">
        <f t="shared" si="1"/>
        <v>22463669424</v>
      </c>
    </row>
    <row r="36" spans="1:19" x14ac:dyDescent="0.2">
      <c r="A36" s="40" t="s">
        <v>32</v>
      </c>
      <c r="B36" s="41">
        <v>248478407</v>
      </c>
      <c r="C36" s="41">
        <v>133921114</v>
      </c>
      <c r="D36" s="41">
        <v>8080818</v>
      </c>
      <c r="E36" s="41">
        <v>347441385</v>
      </c>
      <c r="F36" s="41">
        <v>140147338</v>
      </c>
      <c r="G36" s="41">
        <v>618516</v>
      </c>
      <c r="H36" s="41">
        <v>27536672</v>
      </c>
      <c r="I36" s="41">
        <v>191907</v>
      </c>
      <c r="J36" s="41">
        <v>0</v>
      </c>
      <c r="K36" s="41">
        <v>0</v>
      </c>
      <c r="L36" s="41">
        <v>117952</v>
      </c>
      <c r="M36" s="41">
        <v>32618</v>
      </c>
      <c r="N36" s="41">
        <v>1533510</v>
      </c>
      <c r="O36" s="41">
        <v>0</v>
      </c>
      <c r="P36" s="41">
        <v>908031</v>
      </c>
      <c r="Q36" s="41">
        <v>2401085264</v>
      </c>
      <c r="R36" s="41">
        <f>SUM(B36:P36)</f>
        <v>909008268</v>
      </c>
      <c r="S36" s="43">
        <f>Q36-R36</f>
        <v>1492076996</v>
      </c>
    </row>
    <row r="37" spans="1:19" x14ac:dyDescent="0.2">
      <c r="A37" s="40" t="s">
        <v>33</v>
      </c>
      <c r="B37" s="41">
        <v>95065972</v>
      </c>
      <c r="C37" s="41">
        <v>65018416</v>
      </c>
      <c r="D37" s="41">
        <v>1911801</v>
      </c>
      <c r="E37" s="41">
        <v>83166077</v>
      </c>
      <c r="F37" s="41">
        <v>38269072</v>
      </c>
      <c r="G37" s="41">
        <v>2626476</v>
      </c>
      <c r="H37" s="41">
        <v>7757863</v>
      </c>
      <c r="I37" s="41">
        <v>44471802</v>
      </c>
      <c r="J37" s="41">
        <v>0</v>
      </c>
      <c r="K37" s="41">
        <v>0</v>
      </c>
      <c r="L37" s="41">
        <v>24076</v>
      </c>
      <c r="M37" s="41">
        <v>368417</v>
      </c>
      <c r="N37" s="41">
        <v>313189</v>
      </c>
      <c r="O37" s="41">
        <v>0</v>
      </c>
      <c r="P37" s="41">
        <v>0</v>
      </c>
      <c r="Q37" s="41">
        <v>975798105</v>
      </c>
      <c r="R37" s="41">
        <f>SUM(B37:P37)</f>
        <v>338993161</v>
      </c>
      <c r="S37" s="43">
        <f t="shared" si="1"/>
        <v>636804944</v>
      </c>
    </row>
    <row r="38" spans="1:19" x14ac:dyDescent="0.2">
      <c r="A38" s="40" t="s">
        <v>34</v>
      </c>
      <c r="B38" s="41">
        <v>40739468</v>
      </c>
      <c r="C38" s="41">
        <v>24943857</v>
      </c>
      <c r="D38" s="41">
        <v>565165</v>
      </c>
      <c r="E38" s="41">
        <v>88576224</v>
      </c>
      <c r="F38" s="41">
        <v>16357061</v>
      </c>
      <c r="G38" s="41">
        <v>84000</v>
      </c>
      <c r="H38" s="41">
        <v>4763867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426953443</v>
      </c>
      <c r="R38" s="41">
        <f>SUM(B38:P38)</f>
        <v>176029642</v>
      </c>
      <c r="S38" s="43">
        <f t="shared" si="1"/>
        <v>250923801</v>
      </c>
    </row>
    <row r="39" spans="1:19" x14ac:dyDescent="0.2">
      <c r="A39" s="40" t="s">
        <v>35</v>
      </c>
      <c r="B39" s="41">
        <v>2514214621</v>
      </c>
      <c r="C39" s="41">
        <v>2275181083</v>
      </c>
      <c r="D39" s="41">
        <v>277452565</v>
      </c>
      <c r="E39" s="41">
        <v>871265748</v>
      </c>
      <c r="F39" s="41">
        <v>1288462647</v>
      </c>
      <c r="G39" s="41">
        <v>3859489</v>
      </c>
      <c r="H39" s="41">
        <v>401474095</v>
      </c>
      <c r="I39" s="41">
        <v>14784144</v>
      </c>
      <c r="J39" s="41">
        <v>0</v>
      </c>
      <c r="K39" s="41">
        <v>0</v>
      </c>
      <c r="L39" s="41">
        <v>3604</v>
      </c>
      <c r="M39" s="41">
        <v>0</v>
      </c>
      <c r="N39" s="41">
        <v>30232567</v>
      </c>
      <c r="O39" s="41">
        <v>297846</v>
      </c>
      <c r="P39" s="41">
        <v>12103690</v>
      </c>
      <c r="Q39" s="41">
        <v>36332010853</v>
      </c>
      <c r="R39" s="41">
        <f>SUM(B39:P39)</f>
        <v>7689332099</v>
      </c>
      <c r="S39" s="43">
        <f t="shared" si="1"/>
        <v>28642678754</v>
      </c>
    </row>
    <row r="40" spans="1:19" x14ac:dyDescent="0.2">
      <c r="A40" s="40" t="s">
        <v>36</v>
      </c>
      <c r="B40" s="41">
        <v>5000511844</v>
      </c>
      <c r="C40" s="41">
        <v>4556297212</v>
      </c>
      <c r="D40" s="41">
        <v>297975318</v>
      </c>
      <c r="E40" s="41">
        <v>5915756337</v>
      </c>
      <c r="F40" s="41">
        <v>1777998873</v>
      </c>
      <c r="G40" s="41">
        <v>8977471</v>
      </c>
      <c r="H40" s="41">
        <v>692989037</v>
      </c>
      <c r="I40" s="41">
        <v>2315713</v>
      </c>
      <c r="J40" s="41">
        <v>0</v>
      </c>
      <c r="K40" s="41">
        <v>0</v>
      </c>
      <c r="L40" s="41">
        <v>94066</v>
      </c>
      <c r="M40" s="41">
        <v>0</v>
      </c>
      <c r="N40" s="41">
        <v>97900777</v>
      </c>
      <c r="O40" s="41">
        <v>530264</v>
      </c>
      <c r="P40" s="41">
        <v>2313871</v>
      </c>
      <c r="Q40" s="41">
        <v>125682715549</v>
      </c>
      <c r="R40" s="41">
        <f>SUM(B40:P40)</f>
        <v>18353660783</v>
      </c>
      <c r="S40" s="43">
        <f t="shared" si="1"/>
        <v>107329054766</v>
      </c>
    </row>
    <row r="41" spans="1:19" x14ac:dyDescent="0.2">
      <c r="A41" s="40" t="s">
        <v>37</v>
      </c>
      <c r="B41" s="41">
        <v>1428739142</v>
      </c>
      <c r="C41" s="41">
        <v>1282876835</v>
      </c>
      <c r="D41" s="41">
        <v>33875610</v>
      </c>
      <c r="E41" s="41">
        <v>5331958132</v>
      </c>
      <c r="F41" s="41">
        <v>1158545999</v>
      </c>
      <c r="G41" s="41">
        <v>2208287</v>
      </c>
      <c r="H41" s="41">
        <v>171266008</v>
      </c>
      <c r="I41" s="41">
        <v>115224997</v>
      </c>
      <c r="J41" s="41">
        <v>7757627</v>
      </c>
      <c r="K41" s="41">
        <v>2204837</v>
      </c>
      <c r="L41" s="41">
        <v>165349</v>
      </c>
      <c r="M41" s="41">
        <v>1515776</v>
      </c>
      <c r="N41" s="41">
        <v>19521176</v>
      </c>
      <c r="O41" s="41">
        <v>110069</v>
      </c>
      <c r="P41" s="41">
        <v>25269528</v>
      </c>
      <c r="Q41" s="41">
        <v>29747347069</v>
      </c>
      <c r="R41" s="41">
        <f>SUM(B41:P41)</f>
        <v>9581239372</v>
      </c>
      <c r="S41" s="43">
        <f t="shared" si="1"/>
        <v>20166107697</v>
      </c>
    </row>
    <row r="42" spans="1:19" x14ac:dyDescent="0.2">
      <c r="A42" s="40" t="s">
        <v>38</v>
      </c>
      <c r="B42" s="41">
        <v>309211143</v>
      </c>
      <c r="C42" s="41">
        <v>190449608</v>
      </c>
      <c r="D42" s="41">
        <v>33478615</v>
      </c>
      <c r="E42" s="41">
        <v>262352967</v>
      </c>
      <c r="F42" s="41">
        <v>101031343</v>
      </c>
      <c r="G42" s="41">
        <v>613500</v>
      </c>
      <c r="H42" s="41">
        <v>44517526</v>
      </c>
      <c r="I42" s="41">
        <v>4721647</v>
      </c>
      <c r="J42" s="41">
        <v>441489</v>
      </c>
      <c r="K42" s="41">
        <v>0</v>
      </c>
      <c r="L42" s="41">
        <v>440</v>
      </c>
      <c r="M42" s="41">
        <v>0</v>
      </c>
      <c r="N42" s="41">
        <v>3214169</v>
      </c>
      <c r="O42" s="41">
        <v>93471</v>
      </c>
      <c r="P42" s="41">
        <v>0</v>
      </c>
      <c r="Q42" s="41">
        <v>3065701472</v>
      </c>
      <c r="R42" s="41">
        <f>SUM(B42:P42)</f>
        <v>950125918</v>
      </c>
      <c r="S42" s="43">
        <f t="shared" si="1"/>
        <v>2115575554</v>
      </c>
    </row>
    <row r="43" spans="1:19" x14ac:dyDescent="0.2">
      <c r="A43" s="40" t="s">
        <v>39</v>
      </c>
      <c r="B43" s="41">
        <v>36114651</v>
      </c>
      <c r="C43" s="41">
        <v>18640447</v>
      </c>
      <c r="D43" s="41">
        <v>2019437</v>
      </c>
      <c r="E43" s="41">
        <v>343951375</v>
      </c>
      <c r="F43" s="41">
        <v>21131824</v>
      </c>
      <c r="G43" s="41">
        <v>47052</v>
      </c>
      <c r="H43" s="41">
        <v>4266483</v>
      </c>
      <c r="I43" s="41">
        <v>316200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622884443</v>
      </c>
      <c r="R43" s="41">
        <f>SUM(B43:P43)</f>
        <v>426487469</v>
      </c>
      <c r="S43" s="43">
        <f t="shared" si="1"/>
        <v>196396974</v>
      </c>
    </row>
    <row r="44" spans="1:19" x14ac:dyDescent="0.2">
      <c r="A44" s="40" t="s">
        <v>40</v>
      </c>
      <c r="B44" s="41">
        <v>100615007</v>
      </c>
      <c r="C44" s="41">
        <v>55540062</v>
      </c>
      <c r="D44" s="41">
        <v>7353937</v>
      </c>
      <c r="E44" s="41">
        <v>63927420</v>
      </c>
      <c r="F44" s="41">
        <v>61678062</v>
      </c>
      <c r="G44" s="41">
        <v>249786</v>
      </c>
      <c r="H44" s="41">
        <v>11644880</v>
      </c>
      <c r="I44" s="41">
        <v>423995</v>
      </c>
      <c r="J44" s="41">
        <v>72346</v>
      </c>
      <c r="K44" s="41">
        <v>0</v>
      </c>
      <c r="L44" s="41">
        <v>171661</v>
      </c>
      <c r="M44" s="41">
        <v>219515</v>
      </c>
      <c r="N44" s="41">
        <v>395050</v>
      </c>
      <c r="O44" s="41">
        <v>0</v>
      </c>
      <c r="P44" s="41">
        <v>1723863</v>
      </c>
      <c r="Q44" s="41">
        <v>977651361</v>
      </c>
      <c r="R44" s="41">
        <f>SUM(B44:P44)</f>
        <v>304015584</v>
      </c>
      <c r="S44" s="43">
        <f t="shared" si="1"/>
        <v>673635777</v>
      </c>
    </row>
    <row r="45" spans="1:19" x14ac:dyDescent="0.2">
      <c r="A45" s="40" t="s">
        <v>41</v>
      </c>
      <c r="B45" s="41">
        <v>2455332510</v>
      </c>
      <c r="C45" s="41">
        <v>2259977228</v>
      </c>
      <c r="D45" s="41">
        <v>67865770</v>
      </c>
      <c r="E45" s="41">
        <v>1628204061</v>
      </c>
      <c r="F45" s="41">
        <v>1139243571</v>
      </c>
      <c r="G45" s="41">
        <v>5698774</v>
      </c>
      <c r="H45" s="41">
        <v>426824513</v>
      </c>
      <c r="I45" s="41">
        <v>0</v>
      </c>
      <c r="J45" s="41">
        <v>0</v>
      </c>
      <c r="K45" s="41">
        <v>13623891</v>
      </c>
      <c r="L45" s="41">
        <v>0</v>
      </c>
      <c r="M45" s="41">
        <v>834020</v>
      </c>
      <c r="N45" s="41">
        <v>42088558</v>
      </c>
      <c r="O45" s="41">
        <v>1916540</v>
      </c>
      <c r="P45" s="41">
        <v>0</v>
      </c>
      <c r="Q45" s="41">
        <v>57142431329</v>
      </c>
      <c r="R45" s="41">
        <f>SUM(B45:P45)</f>
        <v>8041609436</v>
      </c>
      <c r="S45" s="43">
        <f t="shared" si="1"/>
        <v>49100821893</v>
      </c>
    </row>
    <row r="46" spans="1:19" x14ac:dyDescent="0.2">
      <c r="A46" s="40" t="s">
        <v>42</v>
      </c>
      <c r="B46" s="41">
        <v>2586961328</v>
      </c>
      <c r="C46" s="41">
        <v>2069998864</v>
      </c>
      <c r="D46" s="41">
        <v>0</v>
      </c>
      <c r="E46" s="41">
        <v>1429711289</v>
      </c>
      <c r="F46" s="41">
        <v>1451982354</v>
      </c>
      <c r="G46" s="41">
        <v>5463892</v>
      </c>
      <c r="H46" s="41">
        <v>406921216</v>
      </c>
      <c r="I46" s="41">
        <v>943419</v>
      </c>
      <c r="J46" s="41">
        <v>0</v>
      </c>
      <c r="K46" s="41">
        <v>0</v>
      </c>
      <c r="L46" s="41">
        <v>28973</v>
      </c>
      <c r="M46" s="41">
        <v>2052648</v>
      </c>
      <c r="N46" s="41">
        <v>45436108</v>
      </c>
      <c r="O46" s="41">
        <v>433276</v>
      </c>
      <c r="P46" s="41">
        <v>0</v>
      </c>
      <c r="Q46" s="41">
        <v>31565430564</v>
      </c>
      <c r="R46" s="41">
        <f>SUM(B46:P46)</f>
        <v>7999933367</v>
      </c>
      <c r="S46" s="43">
        <f t="shared" si="1"/>
        <v>23565497197</v>
      </c>
    </row>
    <row r="47" spans="1:19" x14ac:dyDescent="0.2">
      <c r="A47" s="40" t="s">
        <v>43</v>
      </c>
      <c r="B47" s="41">
        <v>1197200196</v>
      </c>
      <c r="C47" s="41">
        <v>1092253455</v>
      </c>
      <c r="D47" s="41">
        <v>55205408</v>
      </c>
      <c r="E47" s="41">
        <v>948638511</v>
      </c>
      <c r="F47" s="41">
        <v>570269701</v>
      </c>
      <c r="G47" s="41">
        <v>1923763</v>
      </c>
      <c r="H47" s="41">
        <v>130069077</v>
      </c>
      <c r="I47" s="41">
        <v>4338671</v>
      </c>
      <c r="J47" s="41">
        <v>0</v>
      </c>
      <c r="K47" s="41">
        <v>0</v>
      </c>
      <c r="L47" s="41">
        <v>0</v>
      </c>
      <c r="M47" s="41">
        <v>1877792</v>
      </c>
      <c r="N47" s="41">
        <v>20017053</v>
      </c>
      <c r="O47" s="41">
        <v>181891</v>
      </c>
      <c r="P47" s="41">
        <v>22503404</v>
      </c>
      <c r="Q47" s="41">
        <v>29127486125</v>
      </c>
      <c r="R47" s="41">
        <f>SUM(B47:P47)</f>
        <v>4044478922</v>
      </c>
      <c r="S47" s="43">
        <f t="shared" si="1"/>
        <v>25083007203</v>
      </c>
    </row>
    <row r="48" spans="1:19" x14ac:dyDescent="0.2">
      <c r="A48" s="40" t="s">
        <v>44</v>
      </c>
      <c r="B48" s="41">
        <v>403306220</v>
      </c>
      <c r="C48" s="41">
        <v>398169407</v>
      </c>
      <c r="D48" s="41">
        <v>26045489</v>
      </c>
      <c r="E48" s="41">
        <v>4198594937</v>
      </c>
      <c r="F48" s="41">
        <v>826643576</v>
      </c>
      <c r="G48" s="41">
        <v>761500</v>
      </c>
      <c r="H48" s="41">
        <v>135981191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12543858</v>
      </c>
      <c r="O48" s="41">
        <v>264217</v>
      </c>
      <c r="P48" s="41">
        <v>1163096</v>
      </c>
      <c r="Q48" s="41">
        <v>42124488789</v>
      </c>
      <c r="R48" s="41">
        <f>SUM(B48:P48)</f>
        <v>6003473491</v>
      </c>
      <c r="S48" s="43">
        <f t="shared" si="1"/>
        <v>36121015298</v>
      </c>
    </row>
    <row r="49" spans="1:19" x14ac:dyDescent="0.2">
      <c r="A49" s="40" t="s">
        <v>45</v>
      </c>
      <c r="B49" s="41">
        <v>669557561</v>
      </c>
      <c r="C49" s="41">
        <v>610036595</v>
      </c>
      <c r="D49" s="41">
        <v>27725267</v>
      </c>
      <c r="E49" s="41">
        <v>585884535</v>
      </c>
      <c r="F49" s="41">
        <v>260878247</v>
      </c>
      <c r="G49" s="41">
        <v>1188555</v>
      </c>
      <c r="H49" s="41">
        <v>205645838</v>
      </c>
      <c r="I49" s="41">
        <v>7402038</v>
      </c>
      <c r="J49" s="41">
        <v>0</v>
      </c>
      <c r="K49" s="41">
        <v>0</v>
      </c>
      <c r="L49" s="41">
        <v>0</v>
      </c>
      <c r="M49" s="41">
        <v>0</v>
      </c>
      <c r="N49" s="41">
        <v>8174881</v>
      </c>
      <c r="O49" s="41">
        <v>724891</v>
      </c>
      <c r="P49" s="41">
        <v>12924819</v>
      </c>
      <c r="Q49" s="41">
        <v>14161400016</v>
      </c>
      <c r="R49" s="41">
        <f>SUM(B49:P49)</f>
        <v>2390143227</v>
      </c>
      <c r="S49" s="43">
        <f t="shared" si="1"/>
        <v>11771256789</v>
      </c>
    </row>
    <row r="50" spans="1:19" x14ac:dyDescent="0.2">
      <c r="A50" s="40" t="s">
        <v>46</v>
      </c>
      <c r="B50" s="41">
        <v>1210494328</v>
      </c>
      <c r="C50" s="41">
        <v>1080758181</v>
      </c>
      <c r="D50" s="41">
        <v>61226418</v>
      </c>
      <c r="E50" s="41">
        <v>2075519141</v>
      </c>
      <c r="F50" s="41">
        <v>310156476</v>
      </c>
      <c r="G50" s="41">
        <v>1934000</v>
      </c>
      <c r="H50" s="41">
        <v>648624973</v>
      </c>
      <c r="I50" s="41">
        <v>0</v>
      </c>
      <c r="J50" s="41">
        <v>0</v>
      </c>
      <c r="K50" s="41">
        <v>38318</v>
      </c>
      <c r="L50" s="41">
        <v>0</v>
      </c>
      <c r="M50" s="41">
        <v>0</v>
      </c>
      <c r="N50" s="41">
        <v>28786284</v>
      </c>
      <c r="O50" s="41">
        <v>22529794</v>
      </c>
      <c r="P50" s="41">
        <v>0</v>
      </c>
      <c r="Q50" s="41">
        <v>28575410336</v>
      </c>
      <c r="R50" s="41">
        <f>SUM(B50:P50)</f>
        <v>5440067913</v>
      </c>
      <c r="S50" s="43">
        <f t="shared" si="1"/>
        <v>23135342423</v>
      </c>
    </row>
    <row r="51" spans="1:19" x14ac:dyDescent="0.2">
      <c r="A51" s="40" t="s">
        <v>47</v>
      </c>
      <c r="B51" s="41">
        <v>209183852</v>
      </c>
      <c r="C51" s="41">
        <v>137009526</v>
      </c>
      <c r="D51" s="41">
        <v>17412245</v>
      </c>
      <c r="E51" s="41">
        <v>420178321</v>
      </c>
      <c r="F51" s="41">
        <v>74717182</v>
      </c>
      <c r="G51" s="41">
        <v>456780</v>
      </c>
      <c r="H51" s="41">
        <v>27119230</v>
      </c>
      <c r="I51" s="41">
        <v>5938228</v>
      </c>
      <c r="J51" s="41">
        <v>0</v>
      </c>
      <c r="K51" s="41">
        <v>3071290</v>
      </c>
      <c r="L51" s="41">
        <v>95879</v>
      </c>
      <c r="M51" s="41">
        <v>0</v>
      </c>
      <c r="N51" s="41">
        <v>1168660</v>
      </c>
      <c r="O51" s="41">
        <v>0</v>
      </c>
      <c r="P51" s="41">
        <v>0</v>
      </c>
      <c r="Q51" s="41">
        <v>3094809233</v>
      </c>
      <c r="R51" s="41">
        <f>SUM(B51:P51)</f>
        <v>896351193</v>
      </c>
      <c r="S51" s="43">
        <f t="shared" si="1"/>
        <v>2198458040</v>
      </c>
    </row>
    <row r="52" spans="1:19" x14ac:dyDescent="0.2">
      <c r="A52" s="40" t="s">
        <v>48</v>
      </c>
      <c r="B52" s="41">
        <v>6038659453</v>
      </c>
      <c r="C52" s="41">
        <v>5517602936</v>
      </c>
      <c r="D52" s="41">
        <v>241378376</v>
      </c>
      <c r="E52" s="41">
        <v>13990611015</v>
      </c>
      <c r="F52" s="41">
        <v>12316725389</v>
      </c>
      <c r="G52" s="41">
        <v>6088802</v>
      </c>
      <c r="H52" s="41">
        <v>1088015285</v>
      </c>
      <c r="I52" s="41">
        <v>12419058</v>
      </c>
      <c r="J52" s="41">
        <v>0</v>
      </c>
      <c r="K52" s="41">
        <v>158364878</v>
      </c>
      <c r="L52" s="41">
        <v>67112</v>
      </c>
      <c r="M52" s="41">
        <v>0</v>
      </c>
      <c r="N52" s="41">
        <v>38082956</v>
      </c>
      <c r="O52" s="41">
        <v>1717354</v>
      </c>
      <c r="P52" s="41">
        <v>45990126</v>
      </c>
      <c r="Q52" s="41">
        <v>209098851096</v>
      </c>
      <c r="R52" s="41">
        <f>SUM(B52:P52)</f>
        <v>39455722740</v>
      </c>
      <c r="S52" s="43">
        <f t="shared" si="1"/>
        <v>169643128356</v>
      </c>
    </row>
    <row r="53" spans="1:19" x14ac:dyDescent="0.2">
      <c r="A53" s="40" t="s">
        <v>49</v>
      </c>
      <c r="B53" s="41">
        <v>1891133744</v>
      </c>
      <c r="C53" s="41">
        <v>1714636558</v>
      </c>
      <c r="D53" s="41">
        <v>126957756</v>
      </c>
      <c r="E53" s="41">
        <v>2172404093</v>
      </c>
      <c r="F53" s="41">
        <v>1263274347</v>
      </c>
      <c r="G53" s="41">
        <v>1886060</v>
      </c>
      <c r="H53" s="41">
        <v>496312023</v>
      </c>
      <c r="I53" s="41">
        <v>7109631</v>
      </c>
      <c r="J53" s="41">
        <v>0</v>
      </c>
      <c r="K53" s="41">
        <v>0</v>
      </c>
      <c r="L53" s="41">
        <v>0</v>
      </c>
      <c r="M53" s="41">
        <v>1214262</v>
      </c>
      <c r="N53" s="41">
        <v>6704269</v>
      </c>
      <c r="O53" s="41">
        <v>472652</v>
      </c>
      <c r="P53" s="41">
        <v>11395329</v>
      </c>
      <c r="Q53" s="41">
        <v>45654755729</v>
      </c>
      <c r="R53" s="41">
        <f>SUM(B53:P53)</f>
        <v>7693500724</v>
      </c>
      <c r="S53" s="43">
        <f t="shared" si="1"/>
        <v>37961255005</v>
      </c>
    </row>
    <row r="54" spans="1:19" x14ac:dyDescent="0.2">
      <c r="A54" s="40" t="s">
        <v>50</v>
      </c>
      <c r="B54" s="41">
        <v>8886715579</v>
      </c>
      <c r="C54" s="41">
        <v>8045314357</v>
      </c>
      <c r="D54" s="41">
        <v>345759663</v>
      </c>
      <c r="E54" s="41">
        <v>13847748984</v>
      </c>
      <c r="F54" s="41">
        <v>5372735354</v>
      </c>
      <c r="G54" s="41">
        <v>17586733</v>
      </c>
      <c r="H54" s="41">
        <v>833323706</v>
      </c>
      <c r="I54" s="41">
        <v>7397562</v>
      </c>
      <c r="J54" s="41">
        <v>85887895</v>
      </c>
      <c r="K54" s="41">
        <v>79048347</v>
      </c>
      <c r="L54" s="41">
        <v>1925388</v>
      </c>
      <c r="M54" s="41">
        <v>6911279</v>
      </c>
      <c r="N54" s="41">
        <v>53182082</v>
      </c>
      <c r="O54" s="41">
        <v>2113269</v>
      </c>
      <c r="P54" s="41">
        <v>0</v>
      </c>
      <c r="Q54" s="41">
        <v>281245711418</v>
      </c>
      <c r="R54" s="41">
        <f>SUM(B54:P54)</f>
        <v>37585650198</v>
      </c>
      <c r="S54" s="43">
        <f t="shared" si="1"/>
        <v>243660061220</v>
      </c>
    </row>
    <row r="55" spans="1:19" x14ac:dyDescent="0.2">
      <c r="A55" s="40" t="s">
        <v>51</v>
      </c>
      <c r="B55" s="41">
        <v>3740170918</v>
      </c>
      <c r="C55" s="41">
        <v>3101985880</v>
      </c>
      <c r="D55" s="41">
        <v>0</v>
      </c>
      <c r="E55" s="41">
        <v>688251217</v>
      </c>
      <c r="F55" s="41">
        <v>2007801132</v>
      </c>
      <c r="G55" s="41">
        <v>7013714</v>
      </c>
      <c r="H55" s="41">
        <v>688990393</v>
      </c>
      <c r="I55" s="41">
        <v>9366621</v>
      </c>
      <c r="J55" s="41">
        <v>0</v>
      </c>
      <c r="K55" s="41">
        <v>0</v>
      </c>
      <c r="L55" s="41">
        <v>480600</v>
      </c>
      <c r="M55" s="41">
        <v>744475</v>
      </c>
      <c r="N55" s="41">
        <v>31328586</v>
      </c>
      <c r="O55" s="41">
        <v>1400243</v>
      </c>
      <c r="P55" s="41">
        <v>0</v>
      </c>
      <c r="Q55" s="41">
        <v>48849028643</v>
      </c>
      <c r="R55" s="41">
        <f>SUM(B55:P55)</f>
        <v>10277533779</v>
      </c>
      <c r="S55" s="43">
        <f t="shared" si="1"/>
        <v>38571494864</v>
      </c>
    </row>
    <row r="56" spans="1:19" x14ac:dyDescent="0.2">
      <c r="A56" s="40" t="s">
        <v>52</v>
      </c>
      <c r="B56" s="41">
        <v>6213939252</v>
      </c>
      <c r="C56" s="41">
        <v>5462300913</v>
      </c>
      <c r="D56" s="41">
        <v>0</v>
      </c>
      <c r="E56" s="41">
        <v>6910166456</v>
      </c>
      <c r="F56" s="41">
        <v>4757180830</v>
      </c>
      <c r="G56" s="41">
        <v>14383449</v>
      </c>
      <c r="H56" s="41">
        <v>879227316</v>
      </c>
      <c r="I56" s="41">
        <v>0</v>
      </c>
      <c r="J56" s="41">
        <v>4385883</v>
      </c>
      <c r="K56" s="41">
        <v>3832229</v>
      </c>
      <c r="L56" s="41">
        <v>45601</v>
      </c>
      <c r="M56" s="41">
        <v>0</v>
      </c>
      <c r="N56" s="41">
        <v>107006391</v>
      </c>
      <c r="O56" s="41">
        <v>2315005</v>
      </c>
      <c r="P56" s="41">
        <v>0</v>
      </c>
      <c r="Q56" s="41">
        <v>129912182436</v>
      </c>
      <c r="R56" s="41">
        <f>SUM(B56:P56)</f>
        <v>24354783325</v>
      </c>
      <c r="S56" s="43">
        <f t="shared" si="1"/>
        <v>105557399111</v>
      </c>
    </row>
    <row r="57" spans="1:19" x14ac:dyDescent="0.2">
      <c r="A57" s="40" t="s">
        <v>53</v>
      </c>
      <c r="B57" s="41">
        <v>3828886493</v>
      </c>
      <c r="C57" s="41">
        <v>3061966331</v>
      </c>
      <c r="D57" s="41">
        <v>309505309</v>
      </c>
      <c r="E57" s="41">
        <v>1313715371</v>
      </c>
      <c r="F57" s="41">
        <v>2704964610</v>
      </c>
      <c r="G57" s="41">
        <v>7184240</v>
      </c>
      <c r="H57" s="41">
        <v>432610821</v>
      </c>
      <c r="I57" s="41">
        <v>19457975</v>
      </c>
      <c r="J57" s="41">
        <v>0</v>
      </c>
      <c r="K57" s="41">
        <v>300645004</v>
      </c>
      <c r="L57" s="41">
        <v>399188</v>
      </c>
      <c r="M57" s="41">
        <v>837528</v>
      </c>
      <c r="N57" s="41">
        <v>18148622</v>
      </c>
      <c r="O57" s="41">
        <v>286789</v>
      </c>
      <c r="P57" s="41">
        <v>11509020</v>
      </c>
      <c r="Q57" s="41">
        <v>56606011959</v>
      </c>
      <c r="R57" s="41">
        <f>SUM(B57:P57)</f>
        <v>12010117301</v>
      </c>
      <c r="S57" s="43">
        <f t="shared" si="1"/>
        <v>44595894658</v>
      </c>
    </row>
    <row r="58" spans="1:19" x14ac:dyDescent="0.2">
      <c r="A58" s="40" t="s">
        <v>54</v>
      </c>
      <c r="B58" s="41">
        <v>477141147</v>
      </c>
      <c r="C58" s="41">
        <v>284893193</v>
      </c>
      <c r="D58" s="41">
        <v>43432622</v>
      </c>
      <c r="E58" s="41">
        <v>545510584</v>
      </c>
      <c r="F58" s="41">
        <v>222154985</v>
      </c>
      <c r="G58" s="41">
        <v>1112490</v>
      </c>
      <c r="H58" s="41">
        <v>42838110</v>
      </c>
      <c r="I58" s="41">
        <v>2795038</v>
      </c>
      <c r="J58" s="41">
        <v>0</v>
      </c>
      <c r="K58" s="41">
        <v>0</v>
      </c>
      <c r="L58" s="41">
        <v>123150</v>
      </c>
      <c r="M58" s="41">
        <v>0</v>
      </c>
      <c r="N58" s="41">
        <v>3109570</v>
      </c>
      <c r="O58" s="41">
        <v>0</v>
      </c>
      <c r="P58" s="41">
        <v>7573610</v>
      </c>
      <c r="Q58" s="41">
        <v>5539277361</v>
      </c>
      <c r="R58" s="41">
        <f>SUM(B58:P58)</f>
        <v>1630684499</v>
      </c>
      <c r="S58" s="43">
        <f t="shared" si="1"/>
        <v>3908592862</v>
      </c>
    </row>
    <row r="59" spans="1:19" x14ac:dyDescent="0.2">
      <c r="A59" s="40" t="s">
        <v>55</v>
      </c>
      <c r="B59" s="41">
        <v>2032136971</v>
      </c>
      <c r="C59" s="41">
        <v>1969071285</v>
      </c>
      <c r="D59" s="41">
        <v>121147794</v>
      </c>
      <c r="E59" s="41">
        <v>1702197837</v>
      </c>
      <c r="F59" s="41">
        <v>675726906</v>
      </c>
      <c r="G59" s="41">
        <v>3423213</v>
      </c>
      <c r="H59" s="41">
        <v>551922698</v>
      </c>
      <c r="I59" s="41">
        <v>3648431</v>
      </c>
      <c r="J59" s="41">
        <v>1704799</v>
      </c>
      <c r="K59" s="41">
        <v>0</v>
      </c>
      <c r="L59" s="41">
        <v>7294</v>
      </c>
      <c r="M59" s="41">
        <v>1096184</v>
      </c>
      <c r="N59" s="41">
        <v>39394932</v>
      </c>
      <c r="O59" s="41">
        <v>6976865</v>
      </c>
      <c r="P59" s="41">
        <v>8026545</v>
      </c>
      <c r="Q59" s="41">
        <v>46513228839</v>
      </c>
      <c r="R59" s="41">
        <f>SUM(B59:P59)</f>
        <v>7116481754</v>
      </c>
      <c r="S59" s="43">
        <f t="shared" si="1"/>
        <v>39396747085</v>
      </c>
    </row>
    <row r="60" spans="1:19" x14ac:dyDescent="0.2">
      <c r="A60" s="40" t="s">
        <v>56</v>
      </c>
      <c r="B60" s="41">
        <v>2285800420</v>
      </c>
      <c r="C60" s="41">
        <v>2008212754</v>
      </c>
      <c r="D60" s="41">
        <v>196742833</v>
      </c>
      <c r="E60" s="41">
        <v>1543146778</v>
      </c>
      <c r="F60" s="41">
        <v>533038677</v>
      </c>
      <c r="G60" s="41">
        <v>4067351</v>
      </c>
      <c r="H60" s="41">
        <v>338930491</v>
      </c>
      <c r="I60" s="41">
        <v>571497</v>
      </c>
      <c r="J60" s="41">
        <v>0</v>
      </c>
      <c r="K60" s="41">
        <v>73158032</v>
      </c>
      <c r="L60" s="41">
        <v>0</v>
      </c>
      <c r="M60" s="41">
        <v>0</v>
      </c>
      <c r="N60" s="41">
        <v>19129890</v>
      </c>
      <c r="O60" s="41">
        <v>406108</v>
      </c>
      <c r="P60" s="41">
        <v>0</v>
      </c>
      <c r="Q60" s="41">
        <v>33315696704</v>
      </c>
      <c r="R60" s="41">
        <f>SUM(B60:P60)</f>
        <v>7003204831</v>
      </c>
      <c r="S60" s="43">
        <f t="shared" si="1"/>
        <v>26312491873</v>
      </c>
    </row>
    <row r="61" spans="1:19" x14ac:dyDescent="0.2">
      <c r="A61" s="40" t="s">
        <v>57</v>
      </c>
      <c r="B61" s="41">
        <v>1269488373</v>
      </c>
      <c r="C61" s="41">
        <v>1088690985</v>
      </c>
      <c r="D61" s="41">
        <v>92265371</v>
      </c>
      <c r="E61" s="41">
        <v>1357575664</v>
      </c>
      <c r="F61" s="41">
        <v>249515150</v>
      </c>
      <c r="G61" s="41">
        <v>1792716</v>
      </c>
      <c r="H61" s="41">
        <v>572222017</v>
      </c>
      <c r="I61" s="41">
        <v>155630</v>
      </c>
      <c r="J61" s="41">
        <v>0</v>
      </c>
      <c r="K61" s="41">
        <v>0</v>
      </c>
      <c r="L61" s="41">
        <v>0</v>
      </c>
      <c r="M61" s="41">
        <v>774695</v>
      </c>
      <c r="N61" s="41">
        <v>33060197</v>
      </c>
      <c r="O61" s="41">
        <v>7341564</v>
      </c>
      <c r="P61" s="41">
        <v>15407752</v>
      </c>
      <c r="Q61" s="41">
        <v>18031426502</v>
      </c>
      <c r="R61" s="41">
        <f>SUM(B61:P61)</f>
        <v>4688290114</v>
      </c>
      <c r="S61" s="43">
        <f t="shared" si="1"/>
        <v>13343136388</v>
      </c>
    </row>
    <row r="62" spans="1:19" x14ac:dyDescent="0.2">
      <c r="A62" s="40" t="s">
        <v>58</v>
      </c>
      <c r="B62" s="41">
        <v>3286089467</v>
      </c>
      <c r="C62" s="41">
        <v>3099415280</v>
      </c>
      <c r="D62" s="41">
        <v>13129791</v>
      </c>
      <c r="E62" s="41">
        <v>4513676794</v>
      </c>
      <c r="F62" s="41">
        <v>1522254940</v>
      </c>
      <c r="G62" s="41">
        <v>8857047</v>
      </c>
      <c r="H62" s="41">
        <v>456613138</v>
      </c>
      <c r="I62" s="41">
        <v>1887792</v>
      </c>
      <c r="J62" s="41">
        <v>535643</v>
      </c>
      <c r="K62" s="41">
        <v>13080877</v>
      </c>
      <c r="L62" s="41">
        <v>1652</v>
      </c>
      <c r="M62" s="41">
        <v>0</v>
      </c>
      <c r="N62" s="41">
        <v>81321277</v>
      </c>
      <c r="O62" s="41">
        <v>1727220</v>
      </c>
      <c r="P62" s="41">
        <v>0</v>
      </c>
      <c r="Q62" s="41">
        <v>93079101944</v>
      </c>
      <c r="R62" s="41">
        <f>SUM(B62:P62)</f>
        <v>12998590918</v>
      </c>
      <c r="S62" s="43">
        <f t="shared" si="1"/>
        <v>80080511026</v>
      </c>
    </row>
    <row r="63" spans="1:19" x14ac:dyDescent="0.2">
      <c r="A63" s="40" t="s">
        <v>59</v>
      </c>
      <c r="B63" s="41">
        <v>2619934908</v>
      </c>
      <c r="C63" s="41">
        <v>2480223276</v>
      </c>
      <c r="D63" s="41">
        <v>245322540</v>
      </c>
      <c r="E63" s="41">
        <v>1045325952</v>
      </c>
      <c r="F63" s="41">
        <v>1371353482</v>
      </c>
      <c r="G63" s="41">
        <v>3529143</v>
      </c>
      <c r="H63" s="41">
        <v>281081379</v>
      </c>
      <c r="I63" s="41">
        <v>239731</v>
      </c>
      <c r="J63" s="41">
        <v>0</v>
      </c>
      <c r="K63" s="41">
        <v>0</v>
      </c>
      <c r="L63" s="41">
        <v>0</v>
      </c>
      <c r="M63" s="41">
        <v>1805339</v>
      </c>
      <c r="N63" s="41">
        <v>25752542</v>
      </c>
      <c r="O63" s="41">
        <v>342050</v>
      </c>
      <c r="P63" s="41">
        <v>0</v>
      </c>
      <c r="Q63" s="41">
        <v>50623905313</v>
      </c>
      <c r="R63" s="41">
        <f>SUM(B63:P63)</f>
        <v>8074910342</v>
      </c>
      <c r="S63" s="43">
        <f t="shared" si="1"/>
        <v>42548994971</v>
      </c>
    </row>
    <row r="64" spans="1:19" x14ac:dyDescent="0.2">
      <c r="A64" s="40" t="s">
        <v>60</v>
      </c>
      <c r="B64" s="41">
        <v>1300472299</v>
      </c>
      <c r="C64" s="41">
        <v>1207854043</v>
      </c>
      <c r="D64" s="41">
        <v>29279620</v>
      </c>
      <c r="E64" s="41">
        <v>393216770</v>
      </c>
      <c r="F64" s="41">
        <v>173035869</v>
      </c>
      <c r="G64" s="41">
        <v>3670580</v>
      </c>
      <c r="H64" s="41">
        <v>232927548</v>
      </c>
      <c r="I64" s="41">
        <v>0</v>
      </c>
      <c r="J64" s="41">
        <v>0</v>
      </c>
      <c r="K64" s="41">
        <v>0</v>
      </c>
      <c r="L64" s="41">
        <v>671820</v>
      </c>
      <c r="M64" s="41">
        <v>24104</v>
      </c>
      <c r="N64" s="41">
        <v>80898000</v>
      </c>
      <c r="O64" s="41">
        <v>35757</v>
      </c>
      <c r="P64" s="41">
        <v>0</v>
      </c>
      <c r="Q64" s="41">
        <v>20226915835</v>
      </c>
      <c r="R64" s="41">
        <f>SUM(B64:P64)</f>
        <v>3422086410</v>
      </c>
      <c r="S64" s="43">
        <f t="shared" si="1"/>
        <v>16804829425</v>
      </c>
    </row>
    <row r="65" spans="1:19" x14ac:dyDescent="0.2">
      <c r="A65" s="40" t="s">
        <v>61</v>
      </c>
      <c r="B65" s="41">
        <v>254053751</v>
      </c>
      <c r="C65" s="41">
        <v>160283210</v>
      </c>
      <c r="D65" s="41">
        <v>13478867</v>
      </c>
      <c r="E65" s="41">
        <v>119948260</v>
      </c>
      <c r="F65" s="41">
        <v>74634167</v>
      </c>
      <c r="G65" s="41">
        <v>517914</v>
      </c>
      <c r="H65" s="41">
        <v>39648365</v>
      </c>
      <c r="I65" s="41">
        <v>9256884</v>
      </c>
      <c r="J65" s="41">
        <v>0</v>
      </c>
      <c r="K65" s="41">
        <v>0</v>
      </c>
      <c r="L65" s="41">
        <v>9410</v>
      </c>
      <c r="M65" s="41">
        <v>0</v>
      </c>
      <c r="N65" s="41">
        <v>278304</v>
      </c>
      <c r="O65" s="41">
        <v>0</v>
      </c>
      <c r="P65" s="41">
        <v>0</v>
      </c>
      <c r="Q65" s="41">
        <v>2214469423</v>
      </c>
      <c r="R65" s="41">
        <f>SUM(B65:P65)</f>
        <v>672109132</v>
      </c>
      <c r="S65" s="43">
        <f t="shared" si="1"/>
        <v>1542360291</v>
      </c>
    </row>
    <row r="66" spans="1:19" x14ac:dyDescent="0.2">
      <c r="A66" s="40" t="s">
        <v>62</v>
      </c>
      <c r="B66" s="41">
        <v>129474534</v>
      </c>
      <c r="C66" s="41">
        <v>68932892</v>
      </c>
      <c r="D66" s="41">
        <v>0</v>
      </c>
      <c r="E66" s="41">
        <v>164146960</v>
      </c>
      <c r="F66" s="41">
        <v>44121510</v>
      </c>
      <c r="G66" s="41">
        <v>183690</v>
      </c>
      <c r="H66" s="41">
        <v>11700120</v>
      </c>
      <c r="I66" s="41">
        <v>4132560</v>
      </c>
      <c r="J66" s="41">
        <v>0</v>
      </c>
      <c r="K66" s="41">
        <v>2370628</v>
      </c>
      <c r="L66" s="41">
        <v>4700</v>
      </c>
      <c r="M66" s="41">
        <v>0</v>
      </c>
      <c r="N66" s="41">
        <v>798582</v>
      </c>
      <c r="O66" s="41">
        <v>169611</v>
      </c>
      <c r="P66" s="41">
        <v>0</v>
      </c>
      <c r="Q66" s="41">
        <v>1412464038</v>
      </c>
      <c r="R66" s="41">
        <f>SUM(B66:P66)</f>
        <v>426035787</v>
      </c>
      <c r="S66" s="43">
        <f t="shared" si="1"/>
        <v>986428251</v>
      </c>
    </row>
    <row r="67" spans="1:19" x14ac:dyDescent="0.2">
      <c r="A67" s="40" t="s">
        <v>63</v>
      </c>
      <c r="B67" s="41">
        <v>69303541</v>
      </c>
      <c r="C67" s="41">
        <v>39133285</v>
      </c>
      <c r="D67" s="41">
        <v>2336232</v>
      </c>
      <c r="E67" s="41">
        <v>102394746</v>
      </c>
      <c r="F67" s="41">
        <v>15738342</v>
      </c>
      <c r="G67" s="41">
        <v>140309</v>
      </c>
      <c r="H67" s="41">
        <v>2981069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3766971</v>
      </c>
      <c r="O67" s="41">
        <v>47733</v>
      </c>
      <c r="P67" s="41">
        <v>0</v>
      </c>
      <c r="Q67" s="41">
        <v>481017468</v>
      </c>
      <c r="R67" s="41">
        <f>SUM(B67:P67)</f>
        <v>235842228</v>
      </c>
      <c r="S67" s="43">
        <f>Q67-R67</f>
        <v>245175240</v>
      </c>
    </row>
    <row r="68" spans="1:19" x14ac:dyDescent="0.2">
      <c r="A68" s="40" t="s">
        <v>64</v>
      </c>
      <c r="B68" s="41">
        <v>3610562066</v>
      </c>
      <c r="C68" s="41">
        <v>3224782936</v>
      </c>
      <c r="D68" s="41">
        <v>516513560</v>
      </c>
      <c r="E68" s="41">
        <v>3043689140</v>
      </c>
      <c r="F68" s="41">
        <v>2338281476</v>
      </c>
      <c r="G68" s="41">
        <v>6347432</v>
      </c>
      <c r="H68" s="41">
        <v>872268429</v>
      </c>
      <c r="I68" s="41">
        <v>19753682</v>
      </c>
      <c r="J68" s="41">
        <v>172082</v>
      </c>
      <c r="K68" s="41">
        <v>203508</v>
      </c>
      <c r="L68" s="41">
        <v>133318</v>
      </c>
      <c r="M68" s="41">
        <v>4387251</v>
      </c>
      <c r="N68" s="41">
        <v>57887494</v>
      </c>
      <c r="O68" s="41">
        <v>990662</v>
      </c>
      <c r="P68" s="41">
        <v>29725408</v>
      </c>
      <c r="Q68" s="41">
        <v>58690461940</v>
      </c>
      <c r="R68" s="41">
        <f>SUM(B68:P68)</f>
        <v>13725698444</v>
      </c>
      <c r="S68" s="43">
        <f t="shared" si="1"/>
        <v>44964763496</v>
      </c>
    </row>
    <row r="69" spans="1:19" x14ac:dyDescent="0.2">
      <c r="A69" s="40" t="s">
        <v>65</v>
      </c>
      <c r="B69" s="41">
        <v>235982898</v>
      </c>
      <c r="C69" s="41">
        <v>179734841</v>
      </c>
      <c r="D69" s="41">
        <v>17405461</v>
      </c>
      <c r="E69" s="41">
        <v>441787008</v>
      </c>
      <c r="F69" s="41">
        <v>37650045</v>
      </c>
      <c r="G69" s="41">
        <v>321500</v>
      </c>
      <c r="H69" s="41">
        <v>28791253</v>
      </c>
      <c r="I69" s="41">
        <v>658241</v>
      </c>
      <c r="J69" s="41">
        <v>0</v>
      </c>
      <c r="K69" s="41">
        <v>0</v>
      </c>
      <c r="L69" s="41">
        <v>0</v>
      </c>
      <c r="M69" s="41">
        <v>339763</v>
      </c>
      <c r="N69" s="41">
        <v>3161405</v>
      </c>
      <c r="O69" s="41">
        <v>0</v>
      </c>
      <c r="P69" s="41">
        <v>0</v>
      </c>
      <c r="Q69" s="41">
        <v>2513287172</v>
      </c>
      <c r="R69" s="41">
        <f>SUM(B69:P69)</f>
        <v>945832415</v>
      </c>
      <c r="S69" s="43">
        <f t="shared" si="1"/>
        <v>1567454757</v>
      </c>
    </row>
    <row r="70" spans="1:19" x14ac:dyDescent="0.2">
      <c r="A70" s="40" t="s">
        <v>66</v>
      </c>
      <c r="B70" s="41">
        <v>474784998</v>
      </c>
      <c r="C70" s="41">
        <v>378172313</v>
      </c>
      <c r="D70" s="41">
        <v>35731527</v>
      </c>
      <c r="E70" s="41">
        <v>1417014684</v>
      </c>
      <c r="F70" s="41">
        <v>226717517</v>
      </c>
      <c r="G70" s="41">
        <v>711360</v>
      </c>
      <c r="H70" s="41">
        <v>131699573</v>
      </c>
      <c r="I70" s="41">
        <v>5298115</v>
      </c>
      <c r="J70" s="41">
        <v>0</v>
      </c>
      <c r="K70" s="41">
        <v>1275318</v>
      </c>
      <c r="L70" s="41">
        <v>0</v>
      </c>
      <c r="M70" s="41">
        <v>0</v>
      </c>
      <c r="N70" s="41">
        <v>12841362</v>
      </c>
      <c r="O70" s="41">
        <v>2515045</v>
      </c>
      <c r="P70" s="41">
        <v>0</v>
      </c>
      <c r="Q70" s="41">
        <v>33525507948</v>
      </c>
      <c r="R70" s="41">
        <f>SUM(B70:P70)</f>
        <v>2686761812</v>
      </c>
      <c r="S70" s="43">
        <f t="shared" si="1"/>
        <v>30838746136</v>
      </c>
    </row>
    <row r="71" spans="1:19" x14ac:dyDescent="0.2">
      <c r="A71" s="40" t="s">
        <v>67</v>
      </c>
      <c r="B71" s="41">
        <v>145603598</v>
      </c>
      <c r="C71" s="41">
        <v>87741862</v>
      </c>
      <c r="D71" s="41">
        <v>14713533</v>
      </c>
      <c r="E71" s="41">
        <v>144704169</v>
      </c>
      <c r="F71" s="41">
        <v>54388517</v>
      </c>
      <c r="G71" s="41">
        <v>336077</v>
      </c>
      <c r="H71" s="41">
        <v>18832865</v>
      </c>
      <c r="I71" s="41">
        <v>441815</v>
      </c>
      <c r="J71" s="41">
        <v>0</v>
      </c>
      <c r="K71" s="41">
        <v>0</v>
      </c>
      <c r="L71" s="41">
        <v>0</v>
      </c>
      <c r="M71" s="41">
        <v>45399</v>
      </c>
      <c r="N71" s="41">
        <v>855282</v>
      </c>
      <c r="O71" s="41">
        <v>0</v>
      </c>
      <c r="P71" s="41">
        <v>0</v>
      </c>
      <c r="Q71" s="41">
        <v>1297713936</v>
      </c>
      <c r="R71" s="41">
        <f>SUM(B71:P71)</f>
        <v>467663117</v>
      </c>
      <c r="S71" s="43">
        <f t="shared" si="1"/>
        <v>830050819</v>
      </c>
    </row>
    <row r="72" spans="1:19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3"/>
    </row>
    <row r="73" spans="1:19" ht="15.75" thickBot="1" x14ac:dyDescent="0.3">
      <c r="A73" s="45" t="s">
        <v>68</v>
      </c>
      <c r="B73" s="46">
        <f>SUM(B5:B71)</f>
        <v>122326288327</v>
      </c>
      <c r="C73" s="46">
        <f>SUM(C5:C71)</f>
        <v>108176646352</v>
      </c>
      <c r="D73" s="46">
        <f>SUM(D5:D71)</f>
        <v>7837465155</v>
      </c>
      <c r="E73" s="46">
        <f>SUM(E5:E71)</f>
        <v>170203045929</v>
      </c>
      <c r="F73" s="46">
        <f t="shared" ref="F73:S73" si="2">SUM(F5:F71)</f>
        <v>85836072260</v>
      </c>
      <c r="G73" s="46">
        <f t="shared" si="2"/>
        <v>215018140</v>
      </c>
      <c r="H73" s="46">
        <f t="shared" si="2"/>
        <v>20053849263</v>
      </c>
      <c r="I73" s="46">
        <f t="shared" si="2"/>
        <v>406166265</v>
      </c>
      <c r="J73" s="46">
        <f t="shared" si="2"/>
        <v>382869766</v>
      </c>
      <c r="K73" s="46">
        <f t="shared" si="2"/>
        <v>1295090993</v>
      </c>
      <c r="L73" s="46">
        <f t="shared" si="2"/>
        <v>6566108</v>
      </c>
      <c r="M73" s="46">
        <f t="shared" si="2"/>
        <v>41091554</v>
      </c>
      <c r="N73" s="46">
        <f t="shared" si="2"/>
        <v>1428300792</v>
      </c>
      <c r="O73" s="46">
        <f t="shared" si="2"/>
        <v>106960507</v>
      </c>
      <c r="P73" s="46">
        <f>SUM(P5:P71)</f>
        <v>992477058</v>
      </c>
      <c r="Q73" s="46">
        <f t="shared" si="2"/>
        <v>2952245463295</v>
      </c>
      <c r="R73" s="46">
        <f t="shared" si="2"/>
        <v>519307908469</v>
      </c>
      <c r="S73" s="48">
        <f t="shared" si="2"/>
        <v>2432937554826</v>
      </c>
    </row>
    <row r="75" spans="1:19" x14ac:dyDescent="0.2">
      <c r="A75" s="38" t="s">
        <v>116</v>
      </c>
      <c r="S75" s="29"/>
    </row>
  </sheetData>
  <phoneticPr fontId="18" type="noConversion"/>
  <conditionalFormatting sqref="A4:S73">
    <cfRule type="expression" dxfId="2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  <ignoredErrors>
    <ignoredError sqref="R20:R21 R33 R41 R6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17.5703125" style="2" customWidth="1"/>
    <col min="3" max="3" width="20.5703125" style="2" bestFit="1" customWidth="1"/>
    <col min="4" max="4" width="18.5703125" style="2" bestFit="1" customWidth="1"/>
    <col min="5" max="5" width="13.7109375" style="2" bestFit="1" customWidth="1"/>
    <col min="6" max="6" width="14" style="2" bestFit="1" customWidth="1"/>
    <col min="7" max="7" width="19.42578125" style="2" bestFit="1" customWidth="1"/>
    <col min="8" max="8" width="20.42578125" style="2" bestFit="1" customWidth="1"/>
    <col min="9" max="9" width="20.42578125" style="2" customWidth="1"/>
    <col min="10" max="10" width="23.140625" style="2" customWidth="1"/>
    <col min="11" max="11" width="22.28515625" style="2" bestFit="1" customWidth="1"/>
    <col min="12" max="12" width="22.28515625" style="2" customWidth="1"/>
    <col min="13" max="13" width="9.140625" style="2"/>
    <col min="14" max="14" width="11.28515625" style="2" bestFit="1" customWidth="1"/>
    <col min="15" max="16384" width="9.140625" style="2"/>
  </cols>
  <sheetData>
    <row r="1" spans="1:14" ht="23.25" x14ac:dyDescent="0.35">
      <c r="A1" s="6" t="s">
        <v>99</v>
      </c>
    </row>
    <row r="2" spans="1:14" ht="15" x14ac:dyDescent="0.25">
      <c r="A2" s="11">
        <v>2022</v>
      </c>
    </row>
    <row r="3" spans="1:14" ht="15" thickBot="1" x14ac:dyDescent="0.25">
      <c r="A3" s="39"/>
    </row>
    <row r="4" spans="1:14" s="58" customFormat="1" ht="38.25" x14ac:dyDescent="0.25">
      <c r="A4" s="50" t="s">
        <v>1</v>
      </c>
      <c r="B4" s="55" t="s">
        <v>82</v>
      </c>
      <c r="C4" s="55" t="s">
        <v>83</v>
      </c>
      <c r="D4" s="55" t="s">
        <v>70</v>
      </c>
      <c r="E4" s="55" t="s">
        <v>84</v>
      </c>
      <c r="F4" s="55" t="s">
        <v>85</v>
      </c>
      <c r="G4" s="55" t="s">
        <v>86</v>
      </c>
      <c r="H4" s="55" t="s">
        <v>87</v>
      </c>
      <c r="I4" s="56" t="s">
        <v>113</v>
      </c>
      <c r="J4" s="56" t="s">
        <v>74</v>
      </c>
      <c r="K4" s="56" t="s">
        <v>75</v>
      </c>
      <c r="L4" s="57" t="s">
        <v>76</v>
      </c>
      <c r="M4" s="54"/>
    </row>
    <row r="5" spans="1:14" x14ac:dyDescent="0.2">
      <c r="A5" s="40" t="s">
        <v>2</v>
      </c>
      <c r="B5" s="41">
        <v>76656133</v>
      </c>
      <c r="C5" s="41">
        <v>2321860196</v>
      </c>
      <c r="D5" s="41">
        <v>192716419</v>
      </c>
      <c r="E5" s="41">
        <v>0</v>
      </c>
      <c r="F5" s="41">
        <v>0</v>
      </c>
      <c r="G5" s="41">
        <v>0</v>
      </c>
      <c r="H5" s="41">
        <v>0</v>
      </c>
      <c r="I5" s="42">
        <v>0</v>
      </c>
      <c r="J5" s="42">
        <v>4017481347</v>
      </c>
      <c r="K5" s="42">
        <f>SUM(B5:I5)</f>
        <v>2591232748</v>
      </c>
      <c r="L5" s="43">
        <f>J5-K5</f>
        <v>1426248599</v>
      </c>
      <c r="M5" s="44"/>
      <c r="N5" s="29"/>
    </row>
    <row r="6" spans="1:14" x14ac:dyDescent="0.2">
      <c r="A6" s="40" t="s">
        <v>3</v>
      </c>
      <c r="B6" s="41">
        <v>6325020</v>
      </c>
      <c r="C6" s="41">
        <v>11884078</v>
      </c>
      <c r="D6" s="41">
        <v>18301773</v>
      </c>
      <c r="E6" s="41">
        <v>0</v>
      </c>
      <c r="F6" s="41">
        <v>0</v>
      </c>
      <c r="G6" s="41">
        <v>0</v>
      </c>
      <c r="H6" s="41">
        <v>0</v>
      </c>
      <c r="I6" s="42">
        <v>0</v>
      </c>
      <c r="J6" s="42">
        <v>232449160</v>
      </c>
      <c r="K6" s="42">
        <f t="shared" ref="K6:K69" si="0">SUM(B6:I6)</f>
        <v>36510871</v>
      </c>
      <c r="L6" s="43">
        <f t="shared" ref="L6:L69" si="1">J6-K6</f>
        <v>195938289</v>
      </c>
      <c r="N6" s="29"/>
    </row>
    <row r="7" spans="1:14" x14ac:dyDescent="0.2">
      <c r="A7" s="40" t="s">
        <v>4</v>
      </c>
      <c r="B7" s="41">
        <v>86755447</v>
      </c>
      <c r="C7" s="41">
        <v>506391761</v>
      </c>
      <c r="D7" s="41">
        <v>11447125</v>
      </c>
      <c r="E7" s="41">
        <v>0</v>
      </c>
      <c r="F7" s="41">
        <v>0</v>
      </c>
      <c r="G7" s="41">
        <v>0</v>
      </c>
      <c r="H7" s="41">
        <v>3465250</v>
      </c>
      <c r="I7" s="42">
        <v>0</v>
      </c>
      <c r="J7" s="42">
        <v>2150454429</v>
      </c>
      <c r="K7" s="42">
        <f t="shared" si="0"/>
        <v>608059583</v>
      </c>
      <c r="L7" s="43">
        <f t="shared" si="1"/>
        <v>1542394846</v>
      </c>
      <c r="N7" s="29"/>
    </row>
    <row r="8" spans="1:14" x14ac:dyDescent="0.2">
      <c r="A8" s="40" t="s">
        <v>5</v>
      </c>
      <c r="B8" s="41">
        <v>7781232</v>
      </c>
      <c r="C8" s="41">
        <v>662430</v>
      </c>
      <c r="D8" s="41">
        <v>298979</v>
      </c>
      <c r="E8" s="41">
        <v>0</v>
      </c>
      <c r="F8" s="41">
        <v>0</v>
      </c>
      <c r="G8" s="41">
        <v>0</v>
      </c>
      <c r="H8" s="41">
        <v>0</v>
      </c>
      <c r="I8" s="42">
        <v>0</v>
      </c>
      <c r="J8" s="42">
        <v>339661189</v>
      </c>
      <c r="K8" s="42">
        <f t="shared" si="0"/>
        <v>8742641</v>
      </c>
      <c r="L8" s="43">
        <f t="shared" si="1"/>
        <v>330918548</v>
      </c>
      <c r="N8" s="29"/>
    </row>
    <row r="9" spans="1:14" x14ac:dyDescent="0.2">
      <c r="A9" s="40" t="s">
        <v>6</v>
      </c>
      <c r="B9" s="41">
        <v>164654086</v>
      </c>
      <c r="C9" s="41">
        <v>5826540713</v>
      </c>
      <c r="D9" s="41">
        <v>628267926</v>
      </c>
      <c r="E9" s="41">
        <v>25500</v>
      </c>
      <c r="F9" s="41">
        <v>11500</v>
      </c>
      <c r="G9" s="41">
        <v>0</v>
      </c>
      <c r="H9" s="41">
        <v>69921169</v>
      </c>
      <c r="I9" s="42">
        <v>130433080</v>
      </c>
      <c r="J9" s="42">
        <v>10577764678</v>
      </c>
      <c r="K9" s="42">
        <f t="shared" si="0"/>
        <v>6819853974</v>
      </c>
      <c r="L9" s="43">
        <f t="shared" si="1"/>
        <v>3757910704</v>
      </c>
      <c r="N9" s="29"/>
    </row>
    <row r="10" spans="1:14" x14ac:dyDescent="0.2">
      <c r="A10" s="40" t="s">
        <v>7</v>
      </c>
      <c r="B10" s="41">
        <v>778280962</v>
      </c>
      <c r="C10" s="41">
        <v>20707210</v>
      </c>
      <c r="D10" s="41">
        <v>201978637</v>
      </c>
      <c r="E10" s="41">
        <v>0</v>
      </c>
      <c r="F10" s="41">
        <v>0</v>
      </c>
      <c r="G10" s="41">
        <v>0</v>
      </c>
      <c r="H10" s="41">
        <v>491000</v>
      </c>
      <c r="I10" s="42">
        <v>0</v>
      </c>
      <c r="J10" s="42">
        <v>10480265271</v>
      </c>
      <c r="K10" s="42">
        <f t="shared" si="0"/>
        <v>1001457809</v>
      </c>
      <c r="L10" s="43">
        <f t="shared" si="1"/>
        <v>9478807462</v>
      </c>
      <c r="N10" s="29"/>
    </row>
    <row r="11" spans="1:14" x14ac:dyDescent="0.2">
      <c r="A11" s="40" t="s">
        <v>8</v>
      </c>
      <c r="B11" s="41">
        <v>4953979</v>
      </c>
      <c r="C11" s="41">
        <v>5700164</v>
      </c>
      <c r="D11" s="41">
        <v>32582</v>
      </c>
      <c r="E11" s="41">
        <v>0</v>
      </c>
      <c r="F11" s="41">
        <v>0</v>
      </c>
      <c r="G11" s="41">
        <v>0</v>
      </c>
      <c r="H11" s="41">
        <v>0</v>
      </c>
      <c r="I11" s="42">
        <v>0</v>
      </c>
      <c r="J11" s="42">
        <v>135274404</v>
      </c>
      <c r="K11" s="42">
        <f t="shared" si="0"/>
        <v>10686725</v>
      </c>
      <c r="L11" s="43">
        <f t="shared" si="1"/>
        <v>124587679</v>
      </c>
      <c r="N11" s="29"/>
    </row>
    <row r="12" spans="1:14" x14ac:dyDescent="0.2">
      <c r="A12" s="40" t="s">
        <v>9</v>
      </c>
      <c r="B12" s="41">
        <v>102082552</v>
      </c>
      <c r="C12" s="41">
        <v>251648872</v>
      </c>
      <c r="D12" s="41">
        <v>70121339</v>
      </c>
      <c r="E12" s="41">
        <v>4500</v>
      </c>
      <c r="F12" s="41">
        <v>17500</v>
      </c>
      <c r="G12" s="41">
        <v>0</v>
      </c>
      <c r="H12" s="41">
        <v>5533111</v>
      </c>
      <c r="I12" s="42">
        <v>232660</v>
      </c>
      <c r="J12" s="42">
        <v>1570192818</v>
      </c>
      <c r="K12" s="42">
        <f t="shared" si="0"/>
        <v>429640534</v>
      </c>
      <c r="L12" s="43">
        <f t="shared" si="1"/>
        <v>1140552284</v>
      </c>
      <c r="N12" s="29"/>
    </row>
    <row r="13" spans="1:14" x14ac:dyDescent="0.2">
      <c r="A13" s="40" t="s">
        <v>10</v>
      </c>
      <c r="B13" s="41">
        <v>53407610</v>
      </c>
      <c r="C13" s="41">
        <v>6408175</v>
      </c>
      <c r="D13" s="41">
        <v>0</v>
      </c>
      <c r="E13" s="41">
        <v>20500</v>
      </c>
      <c r="F13" s="41">
        <v>26620</v>
      </c>
      <c r="G13" s="41">
        <v>0</v>
      </c>
      <c r="H13" s="41">
        <v>0</v>
      </c>
      <c r="I13" s="42">
        <v>0</v>
      </c>
      <c r="J13" s="42">
        <v>1966400804</v>
      </c>
      <c r="K13" s="42">
        <f t="shared" si="0"/>
        <v>59862905</v>
      </c>
      <c r="L13" s="43">
        <f t="shared" si="1"/>
        <v>1906537899</v>
      </c>
      <c r="N13" s="29"/>
    </row>
    <row r="14" spans="1:14" x14ac:dyDescent="0.2">
      <c r="A14" s="40" t="s">
        <v>11</v>
      </c>
      <c r="B14" s="41">
        <v>49770541</v>
      </c>
      <c r="C14" s="41">
        <v>518412513</v>
      </c>
      <c r="D14" s="41">
        <v>52266889</v>
      </c>
      <c r="E14" s="41">
        <v>0</v>
      </c>
      <c r="F14" s="41">
        <v>0</v>
      </c>
      <c r="G14" s="41">
        <v>0</v>
      </c>
      <c r="H14" s="41">
        <v>0</v>
      </c>
      <c r="I14" s="42">
        <v>0</v>
      </c>
      <c r="J14" s="42">
        <v>1623346507</v>
      </c>
      <c r="K14" s="42">
        <f t="shared" si="0"/>
        <v>620449943</v>
      </c>
      <c r="L14" s="43">
        <f t="shared" si="1"/>
        <v>1002896564</v>
      </c>
      <c r="N14" s="29"/>
    </row>
    <row r="15" spans="1:14" x14ac:dyDescent="0.2">
      <c r="A15" s="40" t="s">
        <v>12</v>
      </c>
      <c r="B15" s="41">
        <v>161769513</v>
      </c>
      <c r="C15" s="41">
        <v>184977329</v>
      </c>
      <c r="D15" s="41">
        <v>120136858</v>
      </c>
      <c r="E15" s="41">
        <v>0</v>
      </c>
      <c r="F15" s="41">
        <v>0</v>
      </c>
      <c r="G15" s="41">
        <v>0</v>
      </c>
      <c r="H15" s="41">
        <v>0</v>
      </c>
      <c r="I15" s="42">
        <v>683802</v>
      </c>
      <c r="J15" s="42">
        <v>3052292848</v>
      </c>
      <c r="K15" s="42">
        <f t="shared" si="0"/>
        <v>467567502</v>
      </c>
      <c r="L15" s="43">
        <f t="shared" si="1"/>
        <v>2584725346</v>
      </c>
      <c r="N15" s="29"/>
    </row>
    <row r="16" spans="1:14" x14ac:dyDescent="0.2">
      <c r="A16" s="40" t="s">
        <v>13</v>
      </c>
      <c r="B16" s="41">
        <v>22323510</v>
      </c>
      <c r="C16" s="41">
        <v>22988370</v>
      </c>
      <c r="D16" s="41">
        <v>7864398</v>
      </c>
      <c r="E16" s="41">
        <v>0</v>
      </c>
      <c r="F16" s="41">
        <v>0</v>
      </c>
      <c r="G16" s="41">
        <v>0</v>
      </c>
      <c r="H16" s="41">
        <v>1533150</v>
      </c>
      <c r="I16" s="42">
        <v>151279007</v>
      </c>
      <c r="J16" s="42">
        <v>828685808</v>
      </c>
      <c r="K16" s="42">
        <f t="shared" si="0"/>
        <v>205988435</v>
      </c>
      <c r="L16" s="43">
        <f t="shared" si="1"/>
        <v>622697373</v>
      </c>
      <c r="N16" s="29"/>
    </row>
    <row r="17" spans="1:14" x14ac:dyDescent="0.2">
      <c r="A17" s="40" t="s">
        <v>106</v>
      </c>
      <c r="B17" s="41">
        <v>1037492775</v>
      </c>
      <c r="C17" s="41">
        <v>18372489</v>
      </c>
      <c r="D17" s="41">
        <v>1221720051</v>
      </c>
      <c r="E17" s="41">
        <v>0</v>
      </c>
      <c r="F17" s="41">
        <v>0</v>
      </c>
      <c r="G17" s="41">
        <v>0</v>
      </c>
      <c r="H17" s="41">
        <v>0</v>
      </c>
      <c r="I17" s="42">
        <v>5151451</v>
      </c>
      <c r="J17" s="42">
        <v>20057527684</v>
      </c>
      <c r="K17" s="42">
        <f t="shared" si="0"/>
        <v>2282736766</v>
      </c>
      <c r="L17" s="43">
        <f t="shared" si="1"/>
        <v>17774790918</v>
      </c>
      <c r="N17" s="29"/>
    </row>
    <row r="18" spans="1:14" x14ac:dyDescent="0.2">
      <c r="A18" s="40" t="s">
        <v>14</v>
      </c>
      <c r="B18" s="41">
        <v>20030813</v>
      </c>
      <c r="C18" s="41">
        <v>480244</v>
      </c>
      <c r="D18" s="41">
        <v>285680</v>
      </c>
      <c r="E18" s="41">
        <v>0</v>
      </c>
      <c r="F18" s="41">
        <v>0</v>
      </c>
      <c r="G18" s="41">
        <v>0</v>
      </c>
      <c r="H18" s="41">
        <v>0</v>
      </c>
      <c r="I18" s="42">
        <v>78537128</v>
      </c>
      <c r="J18" s="42">
        <v>756796626</v>
      </c>
      <c r="K18" s="42">
        <f t="shared" si="0"/>
        <v>99333865</v>
      </c>
      <c r="L18" s="43">
        <f t="shared" si="1"/>
        <v>657462761</v>
      </c>
      <c r="N18" s="29"/>
    </row>
    <row r="19" spans="1:14" x14ac:dyDescent="0.2">
      <c r="A19" s="40" t="s">
        <v>15</v>
      </c>
      <c r="B19" s="41">
        <v>3745434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2">
        <v>0</v>
      </c>
      <c r="J19" s="42">
        <v>98408399</v>
      </c>
      <c r="K19" s="42">
        <f t="shared" si="0"/>
        <v>3745434</v>
      </c>
      <c r="L19" s="43">
        <f t="shared" si="1"/>
        <v>94662965</v>
      </c>
      <c r="N19" s="29"/>
    </row>
    <row r="20" spans="1:14" x14ac:dyDescent="0.2">
      <c r="A20" s="40" t="s">
        <v>16</v>
      </c>
      <c r="B20" s="41">
        <v>272879294</v>
      </c>
      <c r="C20" s="41">
        <v>6292070170</v>
      </c>
      <c r="D20" s="41">
        <v>1018423938</v>
      </c>
      <c r="E20" s="41">
        <v>0</v>
      </c>
      <c r="F20" s="41">
        <v>0</v>
      </c>
      <c r="G20" s="41">
        <v>0</v>
      </c>
      <c r="H20" s="41">
        <v>0</v>
      </c>
      <c r="I20" s="42">
        <v>44176687</v>
      </c>
      <c r="J20" s="42">
        <v>15115079987</v>
      </c>
      <c r="K20" s="42">
        <f t="shared" si="0"/>
        <v>7627550089</v>
      </c>
      <c r="L20" s="43">
        <f t="shared" si="1"/>
        <v>7487529898</v>
      </c>
      <c r="N20" s="29"/>
    </row>
    <row r="21" spans="1:14" x14ac:dyDescent="0.2">
      <c r="A21" s="40" t="s">
        <v>17</v>
      </c>
      <c r="B21" s="41">
        <v>105578893</v>
      </c>
      <c r="C21" s="41">
        <v>0</v>
      </c>
      <c r="D21" s="41">
        <v>222193009</v>
      </c>
      <c r="E21" s="41">
        <v>0</v>
      </c>
      <c r="F21" s="41">
        <v>0</v>
      </c>
      <c r="G21" s="41">
        <v>0</v>
      </c>
      <c r="H21" s="41">
        <v>48521449</v>
      </c>
      <c r="I21" s="42">
        <v>139036488</v>
      </c>
      <c r="J21" s="42">
        <v>3430142109</v>
      </c>
      <c r="K21" s="42">
        <f t="shared" si="0"/>
        <v>515329839</v>
      </c>
      <c r="L21" s="43">
        <f t="shared" si="1"/>
        <v>2914812270</v>
      </c>
      <c r="N21" s="29"/>
    </row>
    <row r="22" spans="1:14" x14ac:dyDescent="0.2">
      <c r="A22" s="40" t="s">
        <v>18</v>
      </c>
      <c r="B22" s="41">
        <v>32495048</v>
      </c>
      <c r="C22" s="41">
        <v>271429530</v>
      </c>
      <c r="D22" s="41">
        <v>208917564</v>
      </c>
      <c r="E22" s="41">
        <v>4500</v>
      </c>
      <c r="F22" s="41">
        <v>45008</v>
      </c>
      <c r="G22" s="41">
        <v>0</v>
      </c>
      <c r="H22" s="41">
        <v>0</v>
      </c>
      <c r="I22" s="42">
        <v>0</v>
      </c>
      <c r="J22" s="42">
        <v>929516427</v>
      </c>
      <c r="K22" s="42">
        <f t="shared" si="0"/>
        <v>512891650</v>
      </c>
      <c r="L22" s="43">
        <f t="shared" si="1"/>
        <v>416624777</v>
      </c>
      <c r="N22" s="29"/>
    </row>
    <row r="23" spans="1:14" x14ac:dyDescent="0.2">
      <c r="A23" s="40" t="s">
        <v>19</v>
      </c>
      <c r="B23" s="41">
        <v>4657782</v>
      </c>
      <c r="C23" s="41">
        <v>0</v>
      </c>
      <c r="D23" s="41">
        <v>177</v>
      </c>
      <c r="E23" s="41">
        <v>0</v>
      </c>
      <c r="F23" s="41">
        <v>0</v>
      </c>
      <c r="G23" s="41">
        <v>0</v>
      </c>
      <c r="H23" s="41">
        <v>0</v>
      </c>
      <c r="I23" s="42">
        <v>0</v>
      </c>
      <c r="J23" s="42">
        <v>98222209</v>
      </c>
      <c r="K23" s="42">
        <f t="shared" si="0"/>
        <v>4657959</v>
      </c>
      <c r="L23" s="43">
        <f t="shared" si="1"/>
        <v>93564250</v>
      </c>
      <c r="N23" s="29"/>
    </row>
    <row r="24" spans="1:14" x14ac:dyDescent="0.2">
      <c r="A24" s="40" t="s">
        <v>20</v>
      </c>
      <c r="B24" s="41">
        <v>13158111</v>
      </c>
      <c r="C24" s="41">
        <v>258820731</v>
      </c>
      <c r="D24" s="41">
        <v>3890317</v>
      </c>
      <c r="E24" s="41">
        <v>1000</v>
      </c>
      <c r="F24" s="41">
        <v>0</v>
      </c>
      <c r="G24" s="41">
        <v>0</v>
      </c>
      <c r="H24" s="41">
        <v>17641308</v>
      </c>
      <c r="I24" s="42">
        <v>0</v>
      </c>
      <c r="J24" s="42">
        <v>692109389</v>
      </c>
      <c r="K24" s="42">
        <f t="shared" si="0"/>
        <v>293511467</v>
      </c>
      <c r="L24" s="43">
        <f t="shared" si="1"/>
        <v>398597922</v>
      </c>
      <c r="N24" s="29"/>
    </row>
    <row r="25" spans="1:14" x14ac:dyDescent="0.2">
      <c r="A25" s="40" t="s">
        <v>21</v>
      </c>
      <c r="B25" s="41">
        <v>5731622</v>
      </c>
      <c r="C25" s="41">
        <v>0</v>
      </c>
      <c r="D25" s="41">
        <v>356866</v>
      </c>
      <c r="E25" s="41">
        <v>0</v>
      </c>
      <c r="F25" s="41">
        <v>0</v>
      </c>
      <c r="G25" s="41">
        <v>0</v>
      </c>
      <c r="H25" s="41">
        <v>0</v>
      </c>
      <c r="I25" s="42">
        <v>0</v>
      </c>
      <c r="J25" s="42">
        <v>335194715</v>
      </c>
      <c r="K25" s="42">
        <f t="shared" si="0"/>
        <v>6088488</v>
      </c>
      <c r="L25" s="43">
        <f t="shared" si="1"/>
        <v>329106227</v>
      </c>
      <c r="N25" s="29"/>
    </row>
    <row r="26" spans="1:14" x14ac:dyDescent="0.2">
      <c r="A26" s="40" t="s">
        <v>22</v>
      </c>
      <c r="B26" s="41">
        <v>17124284</v>
      </c>
      <c r="C26" s="41">
        <v>13033262</v>
      </c>
      <c r="D26" s="41">
        <v>386226</v>
      </c>
      <c r="E26" s="41">
        <v>500</v>
      </c>
      <c r="F26" s="41">
        <v>0</v>
      </c>
      <c r="G26" s="41">
        <v>0</v>
      </c>
      <c r="H26" s="41">
        <v>2129362</v>
      </c>
      <c r="I26" s="42">
        <v>0</v>
      </c>
      <c r="J26" s="42">
        <v>170612129</v>
      </c>
      <c r="K26" s="42">
        <f t="shared" si="0"/>
        <v>32673634</v>
      </c>
      <c r="L26" s="43">
        <f t="shared" si="1"/>
        <v>137938495</v>
      </c>
      <c r="N26" s="29"/>
    </row>
    <row r="27" spans="1:14" x14ac:dyDescent="0.2">
      <c r="A27" s="40" t="s">
        <v>23</v>
      </c>
      <c r="B27" s="41">
        <v>4932460</v>
      </c>
      <c r="C27" s="41">
        <v>2456495</v>
      </c>
      <c r="D27" s="41">
        <v>61047</v>
      </c>
      <c r="E27" s="41">
        <v>0</v>
      </c>
      <c r="F27" s="41">
        <v>0</v>
      </c>
      <c r="G27" s="41">
        <v>0</v>
      </c>
      <c r="H27" s="41">
        <v>0</v>
      </c>
      <c r="I27" s="42">
        <v>0</v>
      </c>
      <c r="J27" s="42">
        <v>123725192</v>
      </c>
      <c r="K27" s="42">
        <f t="shared" si="0"/>
        <v>7450002</v>
      </c>
      <c r="L27" s="43">
        <f t="shared" si="1"/>
        <v>116275190</v>
      </c>
      <c r="N27" s="29"/>
    </row>
    <row r="28" spans="1:14" x14ac:dyDescent="0.2">
      <c r="A28" s="40" t="s">
        <v>24</v>
      </c>
      <c r="B28" s="41">
        <v>6811241</v>
      </c>
      <c r="C28" s="41">
        <v>0</v>
      </c>
      <c r="D28" s="41">
        <v>1015717</v>
      </c>
      <c r="E28" s="41">
        <v>0</v>
      </c>
      <c r="F28" s="41">
        <v>0</v>
      </c>
      <c r="G28" s="41">
        <v>0</v>
      </c>
      <c r="H28" s="41">
        <v>0</v>
      </c>
      <c r="I28" s="42">
        <v>0</v>
      </c>
      <c r="J28" s="42">
        <v>633950511</v>
      </c>
      <c r="K28" s="42">
        <f t="shared" si="0"/>
        <v>7826958</v>
      </c>
      <c r="L28" s="43">
        <f t="shared" si="1"/>
        <v>626123553</v>
      </c>
      <c r="N28" s="29"/>
    </row>
    <row r="29" spans="1:14" x14ac:dyDescent="0.2">
      <c r="A29" s="40" t="s">
        <v>25</v>
      </c>
      <c r="B29" s="41">
        <v>18450618</v>
      </c>
      <c r="C29" s="41">
        <v>0</v>
      </c>
      <c r="D29" s="41">
        <v>4654634</v>
      </c>
      <c r="E29" s="41">
        <v>0</v>
      </c>
      <c r="F29" s="41">
        <v>0</v>
      </c>
      <c r="G29" s="41">
        <v>0</v>
      </c>
      <c r="H29" s="41">
        <v>0</v>
      </c>
      <c r="I29" s="42">
        <v>0</v>
      </c>
      <c r="J29" s="42">
        <v>922453940</v>
      </c>
      <c r="K29" s="42">
        <f t="shared" si="0"/>
        <v>23105252</v>
      </c>
      <c r="L29" s="43">
        <f t="shared" si="1"/>
        <v>899348688</v>
      </c>
      <c r="N29" s="29"/>
    </row>
    <row r="30" spans="1:14" x14ac:dyDescent="0.2">
      <c r="A30" s="40" t="s">
        <v>26</v>
      </c>
      <c r="B30" s="41">
        <v>17362191</v>
      </c>
      <c r="C30" s="41">
        <v>46775549</v>
      </c>
      <c r="D30" s="41">
        <v>4760762</v>
      </c>
      <c r="E30" s="41">
        <v>1000</v>
      </c>
      <c r="F30" s="41">
        <v>0</v>
      </c>
      <c r="G30" s="41">
        <v>0</v>
      </c>
      <c r="H30" s="41">
        <v>0</v>
      </c>
      <c r="I30" s="42">
        <v>61600984</v>
      </c>
      <c r="J30" s="42">
        <v>1206735028</v>
      </c>
      <c r="K30" s="42">
        <f t="shared" si="0"/>
        <v>130500486</v>
      </c>
      <c r="L30" s="43">
        <f t="shared" si="1"/>
        <v>1076234542</v>
      </c>
      <c r="N30" s="29"/>
    </row>
    <row r="31" spans="1:14" x14ac:dyDescent="0.2">
      <c r="A31" s="40" t="s">
        <v>27</v>
      </c>
      <c r="B31" s="41">
        <v>58104521</v>
      </c>
      <c r="C31" s="41">
        <v>556730221</v>
      </c>
      <c r="D31" s="41">
        <v>2857646</v>
      </c>
      <c r="E31" s="41">
        <v>0</v>
      </c>
      <c r="F31" s="41">
        <v>0</v>
      </c>
      <c r="G31" s="41">
        <v>0</v>
      </c>
      <c r="H31" s="41">
        <v>0</v>
      </c>
      <c r="I31" s="42">
        <v>0</v>
      </c>
      <c r="J31" s="42">
        <v>1857269202</v>
      </c>
      <c r="K31" s="42">
        <f t="shared" si="0"/>
        <v>617692388</v>
      </c>
      <c r="L31" s="43">
        <f t="shared" si="1"/>
        <v>1239576814</v>
      </c>
      <c r="N31" s="29"/>
    </row>
    <row r="32" spans="1:14" x14ac:dyDescent="0.2">
      <c r="A32" s="40" t="s">
        <v>28</v>
      </c>
      <c r="B32" s="41">
        <v>74929579</v>
      </c>
      <c r="C32" s="41">
        <v>11751861</v>
      </c>
      <c r="D32" s="41">
        <v>8804014</v>
      </c>
      <c r="E32" s="41">
        <v>87963</v>
      </c>
      <c r="F32" s="41">
        <v>147952</v>
      </c>
      <c r="G32" s="41">
        <v>0</v>
      </c>
      <c r="H32" s="41">
        <v>802187</v>
      </c>
      <c r="I32" s="42">
        <v>0</v>
      </c>
      <c r="J32" s="42">
        <v>749240212</v>
      </c>
      <c r="K32" s="42">
        <f t="shared" si="0"/>
        <v>96523556</v>
      </c>
      <c r="L32" s="43">
        <f t="shared" si="1"/>
        <v>652716656</v>
      </c>
      <c r="N32" s="29"/>
    </row>
    <row r="33" spans="1:14" x14ac:dyDescent="0.2">
      <c r="A33" s="40" t="s">
        <v>29</v>
      </c>
      <c r="B33" s="41">
        <v>400648743</v>
      </c>
      <c r="C33" s="41">
        <v>997447030</v>
      </c>
      <c r="D33" s="41">
        <v>838125670</v>
      </c>
      <c r="E33" s="41">
        <v>0</v>
      </c>
      <c r="F33" s="41">
        <v>500</v>
      </c>
      <c r="G33" s="41">
        <v>0</v>
      </c>
      <c r="H33" s="41">
        <v>13566140</v>
      </c>
      <c r="I33" s="42">
        <v>0</v>
      </c>
      <c r="J33" s="42">
        <v>12576742750</v>
      </c>
      <c r="K33" s="42">
        <f t="shared" si="0"/>
        <v>2249788083</v>
      </c>
      <c r="L33" s="43">
        <f t="shared" si="1"/>
        <v>10326954667</v>
      </c>
      <c r="N33" s="29"/>
    </row>
    <row r="34" spans="1:14" x14ac:dyDescent="0.2">
      <c r="A34" s="40" t="s">
        <v>30</v>
      </c>
      <c r="B34" s="41">
        <v>12063816</v>
      </c>
      <c r="C34" s="41">
        <v>6405661</v>
      </c>
      <c r="D34" s="41">
        <v>716971</v>
      </c>
      <c r="E34" s="41">
        <v>0</v>
      </c>
      <c r="F34" s="41">
        <v>0</v>
      </c>
      <c r="G34" s="41">
        <v>0</v>
      </c>
      <c r="H34" s="41">
        <v>0</v>
      </c>
      <c r="I34" s="42">
        <v>0</v>
      </c>
      <c r="J34" s="42">
        <v>109194421</v>
      </c>
      <c r="K34" s="42">
        <f t="shared" si="0"/>
        <v>19186448</v>
      </c>
      <c r="L34" s="43">
        <f t="shared" si="1"/>
        <v>90007973</v>
      </c>
      <c r="N34" s="29"/>
    </row>
    <row r="35" spans="1:14" x14ac:dyDescent="0.2">
      <c r="A35" s="40" t="s">
        <v>31</v>
      </c>
      <c r="B35" s="41">
        <v>47141689</v>
      </c>
      <c r="C35" s="41">
        <v>10151905</v>
      </c>
      <c r="D35" s="41">
        <v>52123574</v>
      </c>
      <c r="E35" s="41">
        <v>33999</v>
      </c>
      <c r="F35" s="41">
        <v>14058</v>
      </c>
      <c r="G35" s="41">
        <v>0</v>
      </c>
      <c r="H35" s="41">
        <v>0</v>
      </c>
      <c r="I35" s="42">
        <v>0</v>
      </c>
      <c r="J35" s="42">
        <v>985586805</v>
      </c>
      <c r="K35" s="42">
        <f t="shared" si="0"/>
        <v>109465225</v>
      </c>
      <c r="L35" s="43">
        <f t="shared" si="1"/>
        <v>876121580</v>
      </c>
      <c r="N35" s="29"/>
    </row>
    <row r="36" spans="1:14" x14ac:dyDescent="0.2">
      <c r="A36" s="40" t="s">
        <v>32</v>
      </c>
      <c r="B36" s="41">
        <v>17530189</v>
      </c>
      <c r="C36" s="41">
        <v>51657581</v>
      </c>
      <c r="D36" s="41">
        <v>115679</v>
      </c>
      <c r="E36" s="41">
        <v>0</v>
      </c>
      <c r="F36" s="41">
        <v>0</v>
      </c>
      <c r="G36" s="41">
        <v>0</v>
      </c>
      <c r="H36" s="41">
        <v>0</v>
      </c>
      <c r="I36" s="42">
        <v>0</v>
      </c>
      <c r="J36" s="42">
        <v>486440798</v>
      </c>
      <c r="K36" s="42">
        <f t="shared" si="0"/>
        <v>69303449</v>
      </c>
      <c r="L36" s="43">
        <f t="shared" si="1"/>
        <v>417137349</v>
      </c>
      <c r="N36" s="29"/>
    </row>
    <row r="37" spans="1:14" x14ac:dyDescent="0.2">
      <c r="A37" s="40" t="s">
        <v>33</v>
      </c>
      <c r="B37" s="41">
        <v>13967210</v>
      </c>
      <c r="C37" s="41">
        <v>6652036</v>
      </c>
      <c r="D37" s="41">
        <v>270195</v>
      </c>
      <c r="E37" s="41">
        <v>5000</v>
      </c>
      <c r="F37" s="41">
        <v>0</v>
      </c>
      <c r="G37" s="41">
        <v>0</v>
      </c>
      <c r="H37" s="41">
        <v>0</v>
      </c>
      <c r="I37" s="42">
        <v>0</v>
      </c>
      <c r="J37" s="42">
        <v>189245441</v>
      </c>
      <c r="K37" s="42">
        <f t="shared" si="0"/>
        <v>20894441</v>
      </c>
      <c r="L37" s="43">
        <f t="shared" si="1"/>
        <v>168351000</v>
      </c>
      <c r="N37" s="29"/>
    </row>
    <row r="38" spans="1:14" x14ac:dyDescent="0.2">
      <c r="A38" s="40" t="s">
        <v>34</v>
      </c>
      <c r="B38" s="41">
        <v>3520653</v>
      </c>
      <c r="C38" s="41">
        <v>4335826</v>
      </c>
      <c r="D38" s="41">
        <v>43240</v>
      </c>
      <c r="E38" s="41">
        <v>0</v>
      </c>
      <c r="F38" s="41">
        <v>0</v>
      </c>
      <c r="G38" s="41">
        <v>0</v>
      </c>
      <c r="H38" s="41">
        <v>0</v>
      </c>
      <c r="I38" s="42">
        <v>0</v>
      </c>
      <c r="J38" s="42">
        <v>78754649</v>
      </c>
      <c r="K38" s="42">
        <f t="shared" si="0"/>
        <v>7899719</v>
      </c>
      <c r="L38" s="43">
        <f t="shared" si="1"/>
        <v>70854930</v>
      </c>
      <c r="N38" s="29"/>
    </row>
    <row r="39" spans="1:14" x14ac:dyDescent="0.2">
      <c r="A39" s="40" t="s">
        <v>35</v>
      </c>
      <c r="B39" s="41">
        <v>145057190</v>
      </c>
      <c r="C39" s="41">
        <v>169913559</v>
      </c>
      <c r="D39" s="41">
        <v>290888729</v>
      </c>
      <c r="E39" s="41">
        <v>0</v>
      </c>
      <c r="F39" s="41">
        <v>0</v>
      </c>
      <c r="G39" s="41">
        <v>0</v>
      </c>
      <c r="H39" s="41">
        <v>0</v>
      </c>
      <c r="I39" s="42">
        <v>0</v>
      </c>
      <c r="J39" s="42">
        <v>2374028227</v>
      </c>
      <c r="K39" s="42">
        <f t="shared" si="0"/>
        <v>605859478</v>
      </c>
      <c r="L39" s="43">
        <f t="shared" si="1"/>
        <v>1768168749</v>
      </c>
      <c r="N39" s="29"/>
    </row>
    <row r="40" spans="1:14" x14ac:dyDescent="0.2">
      <c r="A40" s="40" t="s">
        <v>36</v>
      </c>
      <c r="B40" s="41">
        <v>410007141</v>
      </c>
      <c r="C40" s="41">
        <v>313300461</v>
      </c>
      <c r="D40" s="41">
        <v>165355881</v>
      </c>
      <c r="E40" s="41">
        <v>116000</v>
      </c>
      <c r="F40" s="41">
        <v>139826</v>
      </c>
      <c r="G40" s="41">
        <v>0</v>
      </c>
      <c r="H40" s="41">
        <v>0</v>
      </c>
      <c r="I40" s="42">
        <v>649832</v>
      </c>
      <c r="J40" s="42">
        <v>6160285826</v>
      </c>
      <c r="K40" s="42">
        <f t="shared" si="0"/>
        <v>889569141</v>
      </c>
      <c r="L40" s="43">
        <f t="shared" si="1"/>
        <v>5270716685</v>
      </c>
      <c r="N40" s="29"/>
    </row>
    <row r="41" spans="1:14" x14ac:dyDescent="0.2">
      <c r="A41" s="40" t="s">
        <v>37</v>
      </c>
      <c r="B41" s="41">
        <v>119004244</v>
      </c>
      <c r="C41" s="41">
        <v>898025996</v>
      </c>
      <c r="D41" s="41">
        <v>33931052</v>
      </c>
      <c r="E41" s="41">
        <v>500</v>
      </c>
      <c r="F41" s="41">
        <v>500</v>
      </c>
      <c r="G41" s="41">
        <v>0</v>
      </c>
      <c r="H41" s="41">
        <v>0</v>
      </c>
      <c r="I41" s="42">
        <v>24955302</v>
      </c>
      <c r="J41" s="42">
        <v>2255235854</v>
      </c>
      <c r="K41" s="42">
        <f t="shared" si="0"/>
        <v>1075917594</v>
      </c>
      <c r="L41" s="43">
        <f t="shared" si="1"/>
        <v>1179318260</v>
      </c>
      <c r="N41" s="29"/>
    </row>
    <row r="42" spans="1:14" x14ac:dyDescent="0.2">
      <c r="A42" s="40" t="s">
        <v>38</v>
      </c>
      <c r="B42" s="41">
        <v>15252580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2">
        <v>0</v>
      </c>
      <c r="J42" s="42">
        <v>400726480</v>
      </c>
      <c r="K42" s="42">
        <f t="shared" si="0"/>
        <v>15252580</v>
      </c>
      <c r="L42" s="43">
        <f t="shared" si="1"/>
        <v>385473900</v>
      </c>
      <c r="N42" s="29"/>
    </row>
    <row r="43" spans="1:14" x14ac:dyDescent="0.2">
      <c r="A43" s="40" t="s">
        <v>39</v>
      </c>
      <c r="B43" s="41">
        <v>2141156</v>
      </c>
      <c r="C43" s="41">
        <v>409447</v>
      </c>
      <c r="D43" s="41">
        <v>9157</v>
      </c>
      <c r="E43" s="41">
        <v>0</v>
      </c>
      <c r="F43" s="41">
        <v>0</v>
      </c>
      <c r="G43" s="41">
        <v>0</v>
      </c>
      <c r="H43" s="41">
        <v>0</v>
      </c>
      <c r="I43" s="42">
        <v>0</v>
      </c>
      <c r="J43" s="42">
        <v>149058826</v>
      </c>
      <c r="K43" s="42">
        <f t="shared" si="0"/>
        <v>2559760</v>
      </c>
      <c r="L43" s="43">
        <f t="shared" si="1"/>
        <v>146499066</v>
      </c>
      <c r="N43" s="29"/>
    </row>
    <row r="44" spans="1:14" x14ac:dyDescent="0.2">
      <c r="A44" s="40" t="s">
        <v>40</v>
      </c>
      <c r="B44" s="41">
        <v>11453233</v>
      </c>
      <c r="C44" s="41">
        <v>0</v>
      </c>
      <c r="D44" s="41">
        <v>454188</v>
      </c>
      <c r="E44" s="41">
        <v>0</v>
      </c>
      <c r="F44" s="41">
        <v>0</v>
      </c>
      <c r="G44" s="41">
        <v>0</v>
      </c>
      <c r="H44" s="41">
        <v>0</v>
      </c>
      <c r="I44" s="42">
        <v>0</v>
      </c>
      <c r="J44" s="42">
        <v>244518723</v>
      </c>
      <c r="K44" s="42">
        <f t="shared" si="0"/>
        <v>11907421</v>
      </c>
      <c r="L44" s="43">
        <f t="shared" si="1"/>
        <v>232611302</v>
      </c>
      <c r="N44" s="29"/>
    </row>
    <row r="45" spans="1:14" x14ac:dyDescent="0.2">
      <c r="A45" s="40" t="s">
        <v>41</v>
      </c>
      <c r="B45" s="41">
        <v>143068495</v>
      </c>
      <c r="C45" s="41">
        <v>4403026</v>
      </c>
      <c r="D45" s="41">
        <v>42692625</v>
      </c>
      <c r="E45" s="41">
        <v>34300</v>
      </c>
      <c r="F45" s="41">
        <v>33925</v>
      </c>
      <c r="G45" s="41">
        <v>0</v>
      </c>
      <c r="H45" s="41">
        <v>0</v>
      </c>
      <c r="I45" s="42">
        <v>0</v>
      </c>
      <c r="J45" s="42">
        <v>3965157902</v>
      </c>
      <c r="K45" s="42">
        <f t="shared" si="0"/>
        <v>190232371</v>
      </c>
      <c r="L45" s="43">
        <f t="shared" si="1"/>
        <v>3774925531</v>
      </c>
      <c r="N45" s="29"/>
    </row>
    <row r="46" spans="1:14" x14ac:dyDescent="0.2">
      <c r="A46" s="40" t="s">
        <v>42</v>
      </c>
      <c r="B46" s="41">
        <v>125108343</v>
      </c>
      <c r="C46" s="41">
        <v>22548399</v>
      </c>
      <c r="D46" s="41">
        <v>48745641</v>
      </c>
      <c r="E46" s="41">
        <v>0</v>
      </c>
      <c r="F46" s="41">
        <v>8763</v>
      </c>
      <c r="G46" s="41">
        <v>0</v>
      </c>
      <c r="H46" s="41">
        <v>0</v>
      </c>
      <c r="I46" s="42">
        <v>755635</v>
      </c>
      <c r="J46" s="42">
        <v>2267076775</v>
      </c>
      <c r="K46" s="42">
        <f t="shared" si="0"/>
        <v>197166781</v>
      </c>
      <c r="L46" s="43">
        <f t="shared" si="1"/>
        <v>2069909994</v>
      </c>
      <c r="N46" s="29"/>
    </row>
    <row r="47" spans="1:14" x14ac:dyDescent="0.2">
      <c r="A47" s="40" t="s">
        <v>43</v>
      </c>
      <c r="B47" s="41">
        <v>72914448</v>
      </c>
      <c r="C47" s="41">
        <v>26865934</v>
      </c>
      <c r="D47" s="41">
        <v>74371581</v>
      </c>
      <c r="E47" s="41">
        <v>0</v>
      </c>
      <c r="F47" s="41">
        <v>0</v>
      </c>
      <c r="G47" s="41">
        <v>0</v>
      </c>
      <c r="H47" s="41">
        <v>0</v>
      </c>
      <c r="I47" s="42">
        <v>51127941</v>
      </c>
      <c r="J47" s="42">
        <v>3240030632</v>
      </c>
      <c r="K47" s="42">
        <f t="shared" si="0"/>
        <v>225279904</v>
      </c>
      <c r="L47" s="43">
        <f t="shared" si="1"/>
        <v>3014750728</v>
      </c>
      <c r="N47" s="29"/>
    </row>
    <row r="48" spans="1:14" x14ac:dyDescent="0.2">
      <c r="A48" s="40" t="s">
        <v>44</v>
      </c>
      <c r="B48" s="41">
        <v>88438692</v>
      </c>
      <c r="C48" s="41">
        <v>136777135</v>
      </c>
      <c r="D48" s="41">
        <v>44568537</v>
      </c>
      <c r="E48" s="41">
        <v>0</v>
      </c>
      <c r="F48" s="41">
        <v>0</v>
      </c>
      <c r="G48" s="41">
        <v>0</v>
      </c>
      <c r="H48" s="41">
        <v>0</v>
      </c>
      <c r="I48" s="42">
        <v>0</v>
      </c>
      <c r="J48" s="42">
        <v>957309313</v>
      </c>
      <c r="K48" s="42">
        <f t="shared" si="0"/>
        <v>269784364</v>
      </c>
      <c r="L48" s="43">
        <f t="shared" si="1"/>
        <v>687524949</v>
      </c>
      <c r="N48" s="29"/>
    </row>
    <row r="49" spans="1:14" x14ac:dyDescent="0.2">
      <c r="A49" s="40" t="s">
        <v>45</v>
      </c>
      <c r="B49" s="41">
        <v>26495309</v>
      </c>
      <c r="C49" s="41">
        <v>370556498</v>
      </c>
      <c r="D49" s="41">
        <v>36983282</v>
      </c>
      <c r="E49" s="41">
        <v>0</v>
      </c>
      <c r="F49" s="41">
        <v>0</v>
      </c>
      <c r="G49" s="41">
        <v>0</v>
      </c>
      <c r="H49" s="41">
        <v>0</v>
      </c>
      <c r="I49" s="42">
        <v>0</v>
      </c>
      <c r="J49" s="42">
        <v>1411623213</v>
      </c>
      <c r="K49" s="42">
        <f t="shared" si="0"/>
        <v>434035089</v>
      </c>
      <c r="L49" s="43">
        <f t="shared" si="1"/>
        <v>977588124</v>
      </c>
      <c r="N49" s="29"/>
    </row>
    <row r="50" spans="1:14" x14ac:dyDescent="0.2">
      <c r="A50" s="40" t="s">
        <v>46</v>
      </c>
      <c r="B50" s="41">
        <v>82470921</v>
      </c>
      <c r="C50" s="41">
        <v>2471774</v>
      </c>
      <c r="D50" s="41">
        <v>447836</v>
      </c>
      <c r="E50" s="41">
        <v>0</v>
      </c>
      <c r="F50" s="41">
        <v>0</v>
      </c>
      <c r="G50" s="41">
        <v>0</v>
      </c>
      <c r="H50" s="41">
        <v>944939</v>
      </c>
      <c r="I50" s="42">
        <v>36145039</v>
      </c>
      <c r="J50" s="42">
        <v>1080824347</v>
      </c>
      <c r="K50" s="42">
        <f t="shared" si="0"/>
        <v>122480509</v>
      </c>
      <c r="L50" s="43">
        <f t="shared" si="1"/>
        <v>958343838</v>
      </c>
      <c r="N50" s="29"/>
    </row>
    <row r="51" spans="1:14" x14ac:dyDescent="0.2">
      <c r="A51" s="40" t="s">
        <v>47</v>
      </c>
      <c r="B51" s="41">
        <v>34549705</v>
      </c>
      <c r="C51" s="41">
        <v>2280060</v>
      </c>
      <c r="D51" s="41">
        <v>2098971</v>
      </c>
      <c r="E51" s="41">
        <v>0</v>
      </c>
      <c r="F51" s="41">
        <v>0</v>
      </c>
      <c r="G51" s="41">
        <v>0</v>
      </c>
      <c r="H51" s="41">
        <v>515665495</v>
      </c>
      <c r="I51" s="42">
        <v>178838012</v>
      </c>
      <c r="J51" s="42">
        <v>1831675152</v>
      </c>
      <c r="K51" s="42">
        <f t="shared" si="0"/>
        <v>733432243</v>
      </c>
      <c r="L51" s="43">
        <f t="shared" si="1"/>
        <v>1098242909</v>
      </c>
      <c r="N51" s="29"/>
    </row>
    <row r="52" spans="1:14" x14ac:dyDescent="0.2">
      <c r="A52" s="40" t="s">
        <v>48</v>
      </c>
      <c r="B52" s="41">
        <v>495865036</v>
      </c>
      <c r="C52" s="41">
        <v>2819359819</v>
      </c>
      <c r="D52" s="41">
        <v>1127883496</v>
      </c>
      <c r="E52" s="41">
        <v>0</v>
      </c>
      <c r="F52" s="41">
        <v>0</v>
      </c>
      <c r="G52" s="41">
        <v>0</v>
      </c>
      <c r="H52" s="41">
        <v>125774092</v>
      </c>
      <c r="I52" s="42">
        <v>118913132</v>
      </c>
      <c r="J52" s="42">
        <v>16614910363</v>
      </c>
      <c r="K52" s="42">
        <f t="shared" si="0"/>
        <v>4687795575</v>
      </c>
      <c r="L52" s="43">
        <f t="shared" si="1"/>
        <v>11927114788</v>
      </c>
      <c r="N52" s="29"/>
    </row>
    <row r="53" spans="1:14" x14ac:dyDescent="0.2">
      <c r="A53" s="40" t="s">
        <v>49</v>
      </c>
      <c r="B53" s="41">
        <v>149644604</v>
      </c>
      <c r="C53" s="41">
        <v>1306039433</v>
      </c>
      <c r="D53" s="41">
        <v>287554878</v>
      </c>
      <c r="E53" s="41">
        <v>8500</v>
      </c>
      <c r="F53" s="41">
        <v>6064</v>
      </c>
      <c r="G53" s="41">
        <v>0</v>
      </c>
      <c r="H53" s="41">
        <v>0</v>
      </c>
      <c r="I53" s="42">
        <v>0</v>
      </c>
      <c r="J53" s="42">
        <v>3516169412</v>
      </c>
      <c r="K53" s="42">
        <f t="shared" si="0"/>
        <v>1743253479</v>
      </c>
      <c r="L53" s="43">
        <f t="shared" si="1"/>
        <v>1772915933</v>
      </c>
      <c r="N53" s="29"/>
    </row>
    <row r="54" spans="1:14" x14ac:dyDescent="0.2">
      <c r="A54" s="40" t="s">
        <v>50</v>
      </c>
      <c r="B54" s="41">
        <v>367690689</v>
      </c>
      <c r="C54" s="41">
        <v>651943386</v>
      </c>
      <c r="D54" s="41">
        <v>458337798</v>
      </c>
      <c r="E54" s="41">
        <v>0</v>
      </c>
      <c r="F54" s="41">
        <v>0</v>
      </c>
      <c r="G54" s="41">
        <v>0</v>
      </c>
      <c r="H54" s="41">
        <v>38736166</v>
      </c>
      <c r="I54" s="42">
        <v>121129954</v>
      </c>
      <c r="J54" s="42">
        <v>12900710255</v>
      </c>
      <c r="K54" s="42">
        <f t="shared" si="0"/>
        <v>1637837993</v>
      </c>
      <c r="L54" s="43">
        <f t="shared" si="1"/>
        <v>11262872262</v>
      </c>
      <c r="N54" s="29"/>
    </row>
    <row r="55" spans="1:14" x14ac:dyDescent="0.2">
      <c r="A55" s="40" t="s">
        <v>51</v>
      </c>
      <c r="B55" s="41">
        <v>122242827</v>
      </c>
      <c r="C55" s="41">
        <v>865725403</v>
      </c>
      <c r="D55" s="41">
        <v>82173416</v>
      </c>
      <c r="E55" s="41">
        <v>0</v>
      </c>
      <c r="F55" s="41">
        <v>0</v>
      </c>
      <c r="G55" s="41">
        <v>0</v>
      </c>
      <c r="H55" s="41">
        <v>0</v>
      </c>
      <c r="I55" s="42">
        <v>0</v>
      </c>
      <c r="J55" s="42">
        <v>3377605157</v>
      </c>
      <c r="K55" s="42">
        <f t="shared" si="0"/>
        <v>1070141646</v>
      </c>
      <c r="L55" s="43">
        <f t="shared" si="1"/>
        <v>2307463511</v>
      </c>
      <c r="N55" s="29"/>
    </row>
    <row r="56" spans="1:14" x14ac:dyDescent="0.2">
      <c r="A56" s="40" t="s">
        <v>52</v>
      </c>
      <c r="B56" s="41">
        <v>321531363</v>
      </c>
      <c r="C56" s="41">
        <v>385459692</v>
      </c>
      <c r="D56" s="41">
        <v>739419848</v>
      </c>
      <c r="E56" s="41">
        <v>381802</v>
      </c>
      <c r="F56" s="41">
        <v>201191</v>
      </c>
      <c r="G56" s="41">
        <v>0</v>
      </c>
      <c r="H56" s="41">
        <v>378912</v>
      </c>
      <c r="I56" s="42">
        <v>3503555</v>
      </c>
      <c r="J56" s="42">
        <v>6715815759</v>
      </c>
      <c r="K56" s="42">
        <f t="shared" si="0"/>
        <v>1450876363</v>
      </c>
      <c r="L56" s="43">
        <f t="shared" si="1"/>
        <v>5264939396</v>
      </c>
      <c r="N56" s="29"/>
    </row>
    <row r="57" spans="1:14" x14ac:dyDescent="0.2">
      <c r="A57" s="40" t="s">
        <v>53</v>
      </c>
      <c r="B57" s="41">
        <v>368590771</v>
      </c>
      <c r="C57" s="41">
        <v>596444951</v>
      </c>
      <c r="D57" s="41">
        <v>198112330</v>
      </c>
      <c r="E57" s="41">
        <v>9500</v>
      </c>
      <c r="F57" s="41">
        <v>28270</v>
      </c>
      <c r="G57" s="41">
        <v>0</v>
      </c>
      <c r="H57" s="41">
        <v>365564674</v>
      </c>
      <c r="I57" s="42">
        <v>260307661</v>
      </c>
      <c r="J57" s="42">
        <v>8680488333</v>
      </c>
      <c r="K57" s="42">
        <f t="shared" si="0"/>
        <v>1789058157</v>
      </c>
      <c r="L57" s="43">
        <f t="shared" si="1"/>
        <v>6891430176</v>
      </c>
      <c r="N57" s="29"/>
    </row>
    <row r="58" spans="1:14" x14ac:dyDescent="0.2">
      <c r="A58" s="40" t="s">
        <v>54</v>
      </c>
      <c r="B58" s="41">
        <v>22796837</v>
      </c>
      <c r="C58" s="41">
        <v>118239160</v>
      </c>
      <c r="D58" s="41">
        <v>7187091</v>
      </c>
      <c r="E58" s="41">
        <v>0</v>
      </c>
      <c r="F58" s="41">
        <v>0</v>
      </c>
      <c r="G58" s="41">
        <v>0</v>
      </c>
      <c r="H58" s="41">
        <v>0</v>
      </c>
      <c r="I58" s="42">
        <v>56206926</v>
      </c>
      <c r="J58" s="42">
        <v>1793049045</v>
      </c>
      <c r="K58" s="42">
        <f t="shared" si="0"/>
        <v>204430014</v>
      </c>
      <c r="L58" s="43">
        <f t="shared" si="1"/>
        <v>1588619031</v>
      </c>
      <c r="N58" s="29"/>
    </row>
    <row r="59" spans="1:14" x14ac:dyDescent="0.2">
      <c r="A59" s="40" t="s">
        <v>55</v>
      </c>
      <c r="B59" s="41">
        <v>102720151</v>
      </c>
      <c r="C59" s="41">
        <v>20308428</v>
      </c>
      <c r="D59" s="41">
        <v>248574287</v>
      </c>
      <c r="E59" s="41">
        <v>0</v>
      </c>
      <c r="F59" s="41">
        <v>10000</v>
      </c>
      <c r="G59" s="41">
        <v>0</v>
      </c>
      <c r="H59" s="41">
        <v>0</v>
      </c>
      <c r="I59" s="42">
        <v>0</v>
      </c>
      <c r="J59" s="42">
        <v>1790060338</v>
      </c>
      <c r="K59" s="42">
        <f t="shared" si="0"/>
        <v>371612866</v>
      </c>
      <c r="L59" s="43">
        <f t="shared" si="1"/>
        <v>1418447472</v>
      </c>
      <c r="N59" s="29"/>
    </row>
    <row r="60" spans="1:14" x14ac:dyDescent="0.2">
      <c r="A60" s="40" t="s">
        <v>56</v>
      </c>
      <c r="B60" s="41">
        <v>89748216</v>
      </c>
      <c r="C60" s="41">
        <v>998953715</v>
      </c>
      <c r="D60" s="41">
        <v>51818045</v>
      </c>
      <c r="E60" s="41">
        <v>0</v>
      </c>
      <c r="F60" s="41">
        <v>0</v>
      </c>
      <c r="G60" s="41">
        <v>0</v>
      </c>
      <c r="H60" s="41">
        <v>33733626</v>
      </c>
      <c r="I60" s="42">
        <v>178853531</v>
      </c>
      <c r="J60" s="42">
        <v>5099458957</v>
      </c>
      <c r="K60" s="42">
        <f t="shared" si="0"/>
        <v>1353107133</v>
      </c>
      <c r="L60" s="43">
        <f t="shared" si="1"/>
        <v>3746351824</v>
      </c>
      <c r="N60" s="29"/>
    </row>
    <row r="61" spans="1:14" x14ac:dyDescent="0.2">
      <c r="A61" s="40" t="s">
        <v>57</v>
      </c>
      <c r="B61" s="41">
        <v>37398724</v>
      </c>
      <c r="C61" s="41">
        <v>494927</v>
      </c>
      <c r="D61" s="41">
        <v>6221124</v>
      </c>
      <c r="E61" s="41">
        <v>0</v>
      </c>
      <c r="F61" s="41">
        <v>0</v>
      </c>
      <c r="G61" s="41">
        <v>0</v>
      </c>
      <c r="H61" s="41">
        <v>0</v>
      </c>
      <c r="I61" s="42">
        <v>42506673</v>
      </c>
      <c r="J61" s="42">
        <v>971950108</v>
      </c>
      <c r="K61" s="42">
        <f t="shared" si="0"/>
        <v>86621448</v>
      </c>
      <c r="L61" s="43">
        <f t="shared" si="1"/>
        <v>885328660</v>
      </c>
      <c r="N61" s="29"/>
    </row>
    <row r="62" spans="1:14" x14ac:dyDescent="0.2">
      <c r="A62" s="40" t="s">
        <v>58</v>
      </c>
      <c r="B62" s="41">
        <v>134815254</v>
      </c>
      <c r="C62" s="41">
        <v>634422551</v>
      </c>
      <c r="D62" s="41">
        <v>103668418</v>
      </c>
      <c r="E62" s="41">
        <v>0</v>
      </c>
      <c r="F62" s="41">
        <v>0</v>
      </c>
      <c r="G62" s="41">
        <v>0</v>
      </c>
      <c r="H62" s="41">
        <v>2664539</v>
      </c>
      <c r="I62" s="42">
        <v>0</v>
      </c>
      <c r="J62" s="42">
        <v>3193004350</v>
      </c>
      <c r="K62" s="42">
        <f t="shared" si="0"/>
        <v>875570762</v>
      </c>
      <c r="L62" s="43">
        <f t="shared" si="1"/>
        <v>2317433588</v>
      </c>
      <c r="N62" s="29"/>
    </row>
    <row r="63" spans="1:14" x14ac:dyDescent="0.2">
      <c r="A63" s="40" t="s">
        <v>59</v>
      </c>
      <c r="B63" s="41">
        <v>162506524</v>
      </c>
      <c r="C63" s="41">
        <v>139028768</v>
      </c>
      <c r="D63" s="41">
        <v>330040872</v>
      </c>
      <c r="E63" s="41">
        <v>0</v>
      </c>
      <c r="F63" s="41">
        <v>0</v>
      </c>
      <c r="G63" s="41">
        <v>0</v>
      </c>
      <c r="H63" s="41">
        <v>0</v>
      </c>
      <c r="I63" s="42">
        <v>3663974</v>
      </c>
      <c r="J63" s="42">
        <v>3005420631</v>
      </c>
      <c r="K63" s="42">
        <f t="shared" si="0"/>
        <v>635240138</v>
      </c>
      <c r="L63" s="43">
        <f t="shared" si="1"/>
        <v>2370180493</v>
      </c>
      <c r="N63" s="29"/>
    </row>
    <row r="64" spans="1:14" x14ac:dyDescent="0.2">
      <c r="A64" s="40" t="s">
        <v>60</v>
      </c>
      <c r="B64" s="41">
        <v>33418807</v>
      </c>
      <c r="C64" s="41">
        <v>5342860</v>
      </c>
      <c r="D64" s="41">
        <v>38695570</v>
      </c>
      <c r="E64" s="41">
        <v>0</v>
      </c>
      <c r="F64" s="41">
        <v>0</v>
      </c>
      <c r="G64" s="41">
        <v>0</v>
      </c>
      <c r="H64" s="41">
        <v>0</v>
      </c>
      <c r="I64" s="42">
        <v>0</v>
      </c>
      <c r="J64" s="42">
        <v>1182512751</v>
      </c>
      <c r="K64" s="42">
        <f t="shared" si="0"/>
        <v>77457237</v>
      </c>
      <c r="L64" s="43">
        <f t="shared" si="1"/>
        <v>1105055514</v>
      </c>
      <c r="N64" s="29"/>
    </row>
    <row r="65" spans="1:14" x14ac:dyDescent="0.2">
      <c r="A65" s="40" t="s">
        <v>61</v>
      </c>
      <c r="B65" s="41">
        <v>13804718</v>
      </c>
      <c r="C65" s="41">
        <v>2167380</v>
      </c>
      <c r="D65" s="41">
        <v>234965</v>
      </c>
      <c r="E65" s="41">
        <v>0</v>
      </c>
      <c r="F65" s="41">
        <v>0</v>
      </c>
      <c r="G65" s="41">
        <v>0</v>
      </c>
      <c r="H65" s="41">
        <v>0</v>
      </c>
      <c r="I65" s="42">
        <v>0</v>
      </c>
      <c r="J65" s="42">
        <v>763497620</v>
      </c>
      <c r="K65" s="42">
        <f t="shared" si="0"/>
        <v>16207063</v>
      </c>
      <c r="L65" s="43">
        <f t="shared" si="1"/>
        <v>747290557</v>
      </c>
      <c r="N65" s="29"/>
    </row>
    <row r="66" spans="1:14" x14ac:dyDescent="0.2">
      <c r="A66" s="40" t="s">
        <v>62</v>
      </c>
      <c r="B66" s="41">
        <v>11450958</v>
      </c>
      <c r="C66" s="41">
        <v>18587238</v>
      </c>
      <c r="D66" s="41">
        <v>2111514</v>
      </c>
      <c r="E66" s="41">
        <v>0</v>
      </c>
      <c r="F66" s="41">
        <v>0</v>
      </c>
      <c r="G66" s="41">
        <v>0</v>
      </c>
      <c r="H66" s="41">
        <v>22223931</v>
      </c>
      <c r="I66" s="42">
        <v>0</v>
      </c>
      <c r="J66" s="42">
        <v>816176146</v>
      </c>
      <c r="K66" s="42">
        <f t="shared" si="0"/>
        <v>54373641</v>
      </c>
      <c r="L66" s="43">
        <f t="shared" si="1"/>
        <v>761802505</v>
      </c>
      <c r="N66" s="29"/>
    </row>
    <row r="67" spans="1:14" x14ac:dyDescent="0.2">
      <c r="A67" s="40" t="s">
        <v>63</v>
      </c>
      <c r="B67" s="41">
        <v>3819248</v>
      </c>
      <c r="C67" s="41">
        <v>15040873</v>
      </c>
      <c r="D67" s="41">
        <v>1514229</v>
      </c>
      <c r="E67" s="41">
        <v>0</v>
      </c>
      <c r="F67" s="41">
        <v>0</v>
      </c>
      <c r="G67" s="41">
        <v>0</v>
      </c>
      <c r="H67" s="41">
        <v>0</v>
      </c>
      <c r="I67" s="42">
        <v>0</v>
      </c>
      <c r="J67" s="42">
        <v>87527779</v>
      </c>
      <c r="K67" s="42">
        <f t="shared" si="0"/>
        <v>20374350</v>
      </c>
      <c r="L67" s="43">
        <f t="shared" si="1"/>
        <v>67153429</v>
      </c>
      <c r="N67" s="29"/>
    </row>
    <row r="68" spans="1:14" x14ac:dyDescent="0.2">
      <c r="A68" s="40" t="s">
        <v>64</v>
      </c>
      <c r="B68" s="41">
        <v>230978651</v>
      </c>
      <c r="C68" s="41">
        <v>199794808</v>
      </c>
      <c r="D68" s="41">
        <v>261984739</v>
      </c>
      <c r="E68" s="41">
        <v>90994</v>
      </c>
      <c r="F68" s="41">
        <v>93351</v>
      </c>
      <c r="G68" s="41">
        <v>0</v>
      </c>
      <c r="H68" s="41">
        <v>0</v>
      </c>
      <c r="I68" s="42">
        <v>100759960</v>
      </c>
      <c r="J68" s="42">
        <v>4544146115</v>
      </c>
      <c r="K68" s="42">
        <f t="shared" si="0"/>
        <v>793702503</v>
      </c>
      <c r="L68" s="43">
        <f t="shared" si="1"/>
        <v>3750443612</v>
      </c>
      <c r="N68" s="29"/>
    </row>
    <row r="69" spans="1:14" x14ac:dyDescent="0.2">
      <c r="A69" s="40" t="s">
        <v>65</v>
      </c>
      <c r="B69" s="41">
        <v>7359750</v>
      </c>
      <c r="C69" s="41">
        <v>11923216</v>
      </c>
      <c r="D69" s="41">
        <v>24397</v>
      </c>
      <c r="E69" s="41">
        <v>0</v>
      </c>
      <c r="F69" s="41">
        <v>1517</v>
      </c>
      <c r="G69" s="41">
        <v>0</v>
      </c>
      <c r="H69" s="41">
        <v>0</v>
      </c>
      <c r="I69" s="42">
        <v>0</v>
      </c>
      <c r="J69" s="42">
        <v>212578431</v>
      </c>
      <c r="K69" s="42">
        <f t="shared" si="0"/>
        <v>19308880</v>
      </c>
      <c r="L69" s="43">
        <f t="shared" si="1"/>
        <v>193269551</v>
      </c>
      <c r="N69" s="29"/>
    </row>
    <row r="70" spans="1:14" x14ac:dyDescent="0.2">
      <c r="A70" s="40" t="s">
        <v>66</v>
      </c>
      <c r="B70" s="41">
        <v>58699653</v>
      </c>
      <c r="C70" s="41">
        <v>1118045</v>
      </c>
      <c r="D70" s="41">
        <v>83210764</v>
      </c>
      <c r="E70" s="41">
        <v>500</v>
      </c>
      <c r="F70" s="41">
        <v>0</v>
      </c>
      <c r="G70" s="41">
        <v>0</v>
      </c>
      <c r="H70" s="41">
        <v>321051</v>
      </c>
      <c r="I70" s="42">
        <v>0</v>
      </c>
      <c r="J70" s="42">
        <v>753027345</v>
      </c>
      <c r="K70" s="42">
        <f>SUM(B70:I70)</f>
        <v>143350013</v>
      </c>
      <c r="L70" s="43">
        <f>J70-K70</f>
        <v>609677332</v>
      </c>
      <c r="N70" s="29"/>
    </row>
    <row r="71" spans="1:14" x14ac:dyDescent="0.2">
      <c r="A71" s="40" t="s">
        <v>67</v>
      </c>
      <c r="B71" s="41">
        <v>9204816</v>
      </c>
      <c r="C71" s="41">
        <v>0</v>
      </c>
      <c r="D71" s="41">
        <v>26249</v>
      </c>
      <c r="E71" s="41">
        <v>0</v>
      </c>
      <c r="F71" s="41">
        <v>0</v>
      </c>
      <c r="G71" s="41">
        <v>0</v>
      </c>
      <c r="H71" s="41">
        <v>0</v>
      </c>
      <c r="I71" s="42">
        <v>0</v>
      </c>
      <c r="J71" s="42">
        <v>277904053</v>
      </c>
      <c r="K71" s="42">
        <f>SUM(B71:I71)</f>
        <v>9231065</v>
      </c>
      <c r="L71" s="43">
        <f>J71-K71</f>
        <v>268672988</v>
      </c>
      <c r="N71" s="29"/>
    </row>
    <row r="72" spans="1:14" x14ac:dyDescent="0.2">
      <c r="A72" s="40"/>
      <c r="B72" s="41"/>
      <c r="C72" s="41"/>
      <c r="D72" s="41"/>
      <c r="E72" s="41"/>
      <c r="F72" s="41"/>
      <c r="G72" s="41"/>
      <c r="H72" s="41"/>
      <c r="I72" s="42"/>
      <c r="J72" s="42"/>
      <c r="K72" s="42"/>
      <c r="L72" s="43"/>
      <c r="N72" s="29"/>
    </row>
    <row r="73" spans="1:14" ht="15.75" thickBot="1" x14ac:dyDescent="0.3">
      <c r="A73" s="45" t="s">
        <v>68</v>
      </c>
      <c r="B73" s="46">
        <f>SUM(B5:B71)</f>
        <v>7723366605</v>
      </c>
      <c r="C73" s="46">
        <f t="shared" ref="C73:J73" si="2">SUM(C5:C71)</f>
        <v>28964699344</v>
      </c>
      <c r="D73" s="46">
        <f t="shared" si="2"/>
        <v>9662497412</v>
      </c>
      <c r="E73" s="46">
        <f>SUM(E5:E71)</f>
        <v>826558</v>
      </c>
      <c r="F73" s="46">
        <f t="shared" si="2"/>
        <v>786545</v>
      </c>
      <c r="G73" s="46">
        <f t="shared" si="2"/>
        <v>0</v>
      </c>
      <c r="H73" s="46">
        <f>SUM(H5:H71)</f>
        <v>1269611551</v>
      </c>
      <c r="I73" s="46">
        <f>SUM(I5:I71)</f>
        <v>1789448414</v>
      </c>
      <c r="J73" s="46">
        <f t="shared" si="2"/>
        <v>201210782104</v>
      </c>
      <c r="K73" s="47">
        <f>SUM(K5:K71)</f>
        <v>49411236429</v>
      </c>
      <c r="L73" s="48">
        <f>SUM(L5:L71)</f>
        <v>151799545675</v>
      </c>
      <c r="N73" s="29"/>
    </row>
    <row r="75" spans="1:14" x14ac:dyDescent="0.2">
      <c r="A75" s="38" t="s">
        <v>117</v>
      </c>
    </row>
  </sheetData>
  <phoneticPr fontId="18" type="noConversion"/>
  <conditionalFormatting sqref="A4:L73">
    <cfRule type="expression" dxfId="1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7" bestFit="1" customWidth="1"/>
    <col min="3" max="3" width="19.7109375" style="2" bestFit="1" customWidth="1"/>
    <col min="4" max="4" width="16.42578125" style="8" bestFit="1" customWidth="1"/>
    <col min="5" max="5" width="21.42578125" style="2" bestFit="1" customWidth="1"/>
    <col min="6" max="6" width="16.42578125" style="10" customWidth="1"/>
    <col min="7" max="7" width="21.140625" style="2" bestFit="1" customWidth="1"/>
    <col min="8" max="8" width="19.7109375" style="2" customWidth="1"/>
    <col min="9" max="9" width="16.42578125" style="10" customWidth="1"/>
    <col min="10" max="10" width="19.140625" style="2" bestFit="1" customWidth="1"/>
    <col min="11" max="11" width="16.42578125" style="10" customWidth="1"/>
    <col min="12" max="12" width="20.5703125" style="2" bestFit="1" customWidth="1"/>
    <col min="13" max="13" width="20.5703125" style="2" customWidth="1"/>
    <col min="14" max="14" width="16.42578125" style="10" customWidth="1"/>
    <col min="15" max="15" width="20.7109375" style="2" bestFit="1" customWidth="1"/>
    <col min="16" max="16" width="16.42578125" style="10" customWidth="1"/>
    <col min="17" max="17" width="20.28515625" style="2" bestFit="1" customWidth="1"/>
    <col min="18" max="18" width="14" style="2" bestFit="1" customWidth="1"/>
    <col min="19" max="16384" width="9.140625" style="2"/>
  </cols>
  <sheetData>
    <row r="1" spans="1:18" ht="23.25" x14ac:dyDescent="0.35">
      <c r="A1" s="6" t="s">
        <v>118</v>
      </c>
      <c r="E1" s="9"/>
    </row>
    <row r="2" spans="1:18" ht="15.75" thickBot="1" x14ac:dyDescent="0.3">
      <c r="A2" s="11">
        <v>2022</v>
      </c>
    </row>
    <row r="3" spans="1:18" ht="15.75" thickBot="1" x14ac:dyDescent="0.3">
      <c r="C3" s="12"/>
      <c r="D3" s="13"/>
      <c r="E3" s="14" t="s">
        <v>77</v>
      </c>
      <c r="F3" s="15"/>
      <c r="G3" s="16"/>
      <c r="H3" s="17"/>
      <c r="I3" s="18"/>
      <c r="J3" s="19" t="s">
        <v>78</v>
      </c>
      <c r="K3" s="20"/>
      <c r="L3" s="21"/>
      <c r="M3" s="22"/>
      <c r="N3" s="15"/>
      <c r="O3" s="14" t="s">
        <v>79</v>
      </c>
      <c r="P3" s="15"/>
      <c r="Q3" s="16"/>
    </row>
    <row r="4" spans="1:18" s="54" customFormat="1" ht="25.5" x14ac:dyDescent="0.25">
      <c r="A4" s="50" t="s">
        <v>1</v>
      </c>
      <c r="B4" s="59" t="s">
        <v>69</v>
      </c>
      <c r="C4" s="50" t="s">
        <v>119</v>
      </c>
      <c r="D4" s="51" t="s">
        <v>120</v>
      </c>
      <c r="E4" s="52" t="s">
        <v>114</v>
      </c>
      <c r="F4" s="51" t="s">
        <v>115</v>
      </c>
      <c r="G4" s="53" t="s">
        <v>112</v>
      </c>
      <c r="H4" s="50" t="s">
        <v>119</v>
      </c>
      <c r="I4" s="51" t="s">
        <v>120</v>
      </c>
      <c r="J4" s="52" t="s">
        <v>114</v>
      </c>
      <c r="K4" s="51" t="s">
        <v>115</v>
      </c>
      <c r="L4" s="53" t="s">
        <v>112</v>
      </c>
      <c r="M4" s="50" t="s">
        <v>119</v>
      </c>
      <c r="N4" s="51" t="s">
        <v>120</v>
      </c>
      <c r="O4" s="52" t="s">
        <v>114</v>
      </c>
      <c r="P4" s="51" t="s">
        <v>115</v>
      </c>
      <c r="Q4" s="53" t="s">
        <v>112</v>
      </c>
    </row>
    <row r="5" spans="1:18" x14ac:dyDescent="0.2">
      <c r="A5" s="23" t="s">
        <v>2</v>
      </c>
      <c r="B5" s="60" t="s">
        <v>121</v>
      </c>
      <c r="C5" s="24">
        <v>1323262059</v>
      </c>
      <c r="D5" s="25">
        <f>((C5-E5)/E5)</f>
        <v>8.0621919667215759E-3</v>
      </c>
      <c r="E5" s="26">
        <v>1312678989</v>
      </c>
      <c r="F5" s="25">
        <f>((E5-G5)/G5)</f>
        <v>1.5313291118508666E-2</v>
      </c>
      <c r="G5" s="27">
        <v>1292880730</v>
      </c>
      <c r="H5" s="24">
        <v>1164666031</v>
      </c>
      <c r="I5" s="25">
        <f t="shared" ref="I5:I36" si="0">((H5-J5)/J5)</f>
        <v>2.3706284368192165E-2</v>
      </c>
      <c r="J5" s="26">
        <v>1137695498</v>
      </c>
      <c r="K5" s="25">
        <f t="shared" ref="K5:K36" si="1">((J5-L5)/L5)</f>
        <v>2.5669277861313164E-2</v>
      </c>
      <c r="L5" s="27">
        <v>1109222556</v>
      </c>
      <c r="M5" s="24">
        <f t="shared" ref="M5:M36" si="2">C5+H5</f>
        <v>2487928090</v>
      </c>
      <c r="N5" s="25">
        <f t="shared" ref="N5:N36" si="3">((M5-O5)/O5)</f>
        <v>1.5325658669413007E-2</v>
      </c>
      <c r="O5" s="26">
        <f t="shared" ref="O5:O36" si="4">E5+J5</f>
        <v>2450374487</v>
      </c>
      <c r="P5" s="25">
        <f t="shared" ref="P5:P36" si="5">((O5-Q5)/Q5)</f>
        <v>2.0095389436971946E-2</v>
      </c>
      <c r="Q5" s="28">
        <f t="shared" ref="Q5:Q36" si="6">G5+L5</f>
        <v>2402103286</v>
      </c>
      <c r="R5" s="29"/>
    </row>
    <row r="6" spans="1:18" x14ac:dyDescent="0.2">
      <c r="A6" s="23" t="s">
        <v>3</v>
      </c>
      <c r="B6" s="60" t="s">
        <v>122</v>
      </c>
      <c r="C6" s="24">
        <v>157130791</v>
      </c>
      <c r="D6" s="25">
        <f t="shared" ref="D6:F69" si="7">((C6-E6)/E6)</f>
        <v>1.333262489187567E-2</v>
      </c>
      <c r="E6" s="26">
        <v>155063389</v>
      </c>
      <c r="F6" s="25">
        <f t="shared" si="7"/>
        <v>1.4925061210307225E-2</v>
      </c>
      <c r="G6" s="27">
        <v>152783092</v>
      </c>
      <c r="H6" s="24">
        <v>123381732</v>
      </c>
      <c r="I6" s="25">
        <f t="shared" si="0"/>
        <v>3.94626392270018E-2</v>
      </c>
      <c r="J6" s="26">
        <v>118697611</v>
      </c>
      <c r="K6" s="25">
        <f t="shared" si="1"/>
        <v>4.5710447732450185E-2</v>
      </c>
      <c r="L6" s="27">
        <v>113509061</v>
      </c>
      <c r="M6" s="24">
        <f t="shared" si="2"/>
        <v>280512523</v>
      </c>
      <c r="N6" s="25">
        <f t="shared" si="3"/>
        <v>2.4662106728131471E-2</v>
      </c>
      <c r="O6" s="26">
        <f t="shared" si="4"/>
        <v>273761000</v>
      </c>
      <c r="P6" s="25">
        <f t="shared" si="5"/>
        <v>2.8047566989328445E-2</v>
      </c>
      <c r="Q6" s="28">
        <f t="shared" si="6"/>
        <v>266292153</v>
      </c>
    </row>
    <row r="7" spans="1:18" x14ac:dyDescent="0.2">
      <c r="A7" s="23" t="s">
        <v>4</v>
      </c>
      <c r="B7" s="60" t="s">
        <v>121</v>
      </c>
      <c r="C7" s="24">
        <v>1035307077</v>
      </c>
      <c r="D7" s="25">
        <f t="shared" si="7"/>
        <v>2.4516958647089054E-2</v>
      </c>
      <c r="E7" s="26">
        <v>1010531908</v>
      </c>
      <c r="F7" s="25">
        <f t="shared" si="7"/>
        <v>1.6947126746070632E-2</v>
      </c>
      <c r="G7" s="27">
        <v>993691689</v>
      </c>
      <c r="H7" s="24">
        <v>841293698</v>
      </c>
      <c r="I7" s="25">
        <f t="shared" si="0"/>
        <v>5.3248241972732584E-2</v>
      </c>
      <c r="J7" s="26">
        <v>798761075</v>
      </c>
      <c r="K7" s="25">
        <f t="shared" si="1"/>
        <v>5.0410029480731179E-2</v>
      </c>
      <c r="L7" s="27">
        <v>760427883</v>
      </c>
      <c r="M7" s="24">
        <f t="shared" si="2"/>
        <v>1876600775</v>
      </c>
      <c r="N7" s="25">
        <f t="shared" si="3"/>
        <v>3.7201156823366735E-2</v>
      </c>
      <c r="O7" s="26">
        <f t="shared" si="4"/>
        <v>1809292983</v>
      </c>
      <c r="P7" s="25">
        <f t="shared" si="5"/>
        <v>3.1453620312264549E-2</v>
      </c>
      <c r="Q7" s="28">
        <f t="shared" si="6"/>
        <v>1754119572</v>
      </c>
    </row>
    <row r="8" spans="1:18" x14ac:dyDescent="0.2">
      <c r="A8" s="23" t="s">
        <v>5</v>
      </c>
      <c r="B8" s="60" t="s">
        <v>122</v>
      </c>
      <c r="C8" s="24">
        <v>165749733</v>
      </c>
      <c r="D8" s="25">
        <f t="shared" si="7"/>
        <v>2.1232105859038911E-2</v>
      </c>
      <c r="E8" s="26">
        <v>162303684</v>
      </c>
      <c r="F8" s="25">
        <f t="shared" si="7"/>
        <v>1.4214712029642593E-2</v>
      </c>
      <c r="G8" s="27">
        <v>160028919</v>
      </c>
      <c r="H8" s="24">
        <v>110779110</v>
      </c>
      <c r="I8" s="25">
        <f t="shared" si="0"/>
        <v>8.2320103383015139E-2</v>
      </c>
      <c r="J8" s="26">
        <v>102353370</v>
      </c>
      <c r="K8" s="25">
        <f t="shared" si="1"/>
        <v>5.4408336620589047E-2</v>
      </c>
      <c r="L8" s="27">
        <v>97071852</v>
      </c>
      <c r="M8" s="24">
        <f t="shared" si="2"/>
        <v>276528843</v>
      </c>
      <c r="N8" s="25">
        <f t="shared" si="3"/>
        <v>4.4857255155572012E-2</v>
      </c>
      <c r="O8" s="26">
        <f t="shared" si="4"/>
        <v>264657054</v>
      </c>
      <c r="P8" s="25">
        <f t="shared" si="5"/>
        <v>2.939035527046319E-2</v>
      </c>
      <c r="Q8" s="28">
        <f t="shared" si="6"/>
        <v>257100771</v>
      </c>
    </row>
    <row r="9" spans="1:18" x14ac:dyDescent="0.2">
      <c r="A9" s="23" t="s">
        <v>6</v>
      </c>
      <c r="B9" s="60" t="s">
        <v>121</v>
      </c>
      <c r="C9" s="24">
        <v>4135171430</v>
      </c>
      <c r="D9" s="25">
        <f t="shared" si="7"/>
        <v>1.1489983814629727E-2</v>
      </c>
      <c r="E9" s="26">
        <v>4088198100</v>
      </c>
      <c r="F9" s="25">
        <f t="shared" si="7"/>
        <v>1.7051912429038162E-2</v>
      </c>
      <c r="G9" s="27">
        <v>4019655290</v>
      </c>
      <c r="H9" s="24">
        <v>3628220700</v>
      </c>
      <c r="I9" s="25">
        <f t="shared" si="0"/>
        <v>3.4960565630192036E-2</v>
      </c>
      <c r="J9" s="26">
        <v>3505660815</v>
      </c>
      <c r="K9" s="25">
        <f t="shared" si="1"/>
        <v>3.5814870243472768E-2</v>
      </c>
      <c r="L9" s="27">
        <v>3384447275</v>
      </c>
      <c r="M9" s="24">
        <f t="shared" si="2"/>
        <v>7763392130</v>
      </c>
      <c r="N9" s="25">
        <f t="shared" si="3"/>
        <v>2.2325041444360309E-2</v>
      </c>
      <c r="O9" s="26">
        <f t="shared" si="4"/>
        <v>7593858915</v>
      </c>
      <c r="P9" s="25">
        <f t="shared" si="5"/>
        <v>2.5628541519265136E-2</v>
      </c>
      <c r="Q9" s="28">
        <f t="shared" si="6"/>
        <v>7404102565</v>
      </c>
    </row>
    <row r="10" spans="1:18" x14ac:dyDescent="0.2">
      <c r="A10" s="23" t="s">
        <v>7</v>
      </c>
      <c r="B10" s="60" t="s">
        <v>121</v>
      </c>
      <c r="C10" s="24">
        <v>10337091070</v>
      </c>
      <c r="D10" s="25">
        <f t="shared" si="7"/>
        <v>5.3341722889957421E-3</v>
      </c>
      <c r="E10" s="26">
        <v>10282243810</v>
      </c>
      <c r="F10" s="25">
        <f t="shared" si="7"/>
        <v>1.0977345072735229E-2</v>
      </c>
      <c r="G10" s="27">
        <v>10170597650</v>
      </c>
      <c r="H10" s="24">
        <v>9279911670</v>
      </c>
      <c r="I10" s="25">
        <f t="shared" si="0"/>
        <v>2.028561951793216E-2</v>
      </c>
      <c r="J10" s="26">
        <v>9095405730</v>
      </c>
      <c r="K10" s="25">
        <f t="shared" si="1"/>
        <v>2.2613987646969327E-2</v>
      </c>
      <c r="L10" s="27">
        <v>8894270800</v>
      </c>
      <c r="M10" s="24">
        <f t="shared" si="2"/>
        <v>19617002740</v>
      </c>
      <c r="N10" s="25">
        <f t="shared" si="3"/>
        <v>1.2352024403471589E-2</v>
      </c>
      <c r="O10" s="26">
        <f t="shared" si="4"/>
        <v>19377649540</v>
      </c>
      <c r="P10" s="25">
        <f t="shared" si="5"/>
        <v>1.6406149920221453E-2</v>
      </c>
      <c r="Q10" s="28">
        <f t="shared" si="6"/>
        <v>19064868450</v>
      </c>
    </row>
    <row r="11" spans="1:18" x14ac:dyDescent="0.2">
      <c r="A11" s="23" t="s">
        <v>8</v>
      </c>
      <c r="B11" s="60" t="s">
        <v>122</v>
      </c>
      <c r="C11" s="24">
        <v>79241779</v>
      </c>
      <c r="D11" s="25">
        <f t="shared" si="7"/>
        <v>2.7619117917585122E-3</v>
      </c>
      <c r="E11" s="26">
        <v>79023523</v>
      </c>
      <c r="F11" s="25">
        <f t="shared" si="7"/>
        <v>9.9907945654386255E-3</v>
      </c>
      <c r="G11" s="27">
        <v>78241825</v>
      </c>
      <c r="H11" s="24">
        <v>38969727</v>
      </c>
      <c r="I11" s="25">
        <f t="shared" si="0"/>
        <v>6.870021695835915E-2</v>
      </c>
      <c r="J11" s="26">
        <v>36464601</v>
      </c>
      <c r="K11" s="25">
        <f t="shared" si="1"/>
        <v>5.6968485559330713E-2</v>
      </c>
      <c r="L11" s="27">
        <v>34499232</v>
      </c>
      <c r="M11" s="24">
        <f t="shared" si="2"/>
        <v>118211506</v>
      </c>
      <c r="N11" s="25">
        <f t="shared" si="3"/>
        <v>2.3581489643038966E-2</v>
      </c>
      <c r="O11" s="26">
        <f t="shared" si="4"/>
        <v>115488124</v>
      </c>
      <c r="P11" s="25">
        <f t="shared" si="5"/>
        <v>2.4366163251423125E-2</v>
      </c>
      <c r="Q11" s="28">
        <f t="shared" si="6"/>
        <v>112741057</v>
      </c>
    </row>
    <row r="12" spans="1:18" x14ac:dyDescent="0.2">
      <c r="A12" s="23" t="s">
        <v>9</v>
      </c>
      <c r="B12" s="60" t="s">
        <v>121</v>
      </c>
      <c r="C12" s="24">
        <v>1534454016</v>
      </c>
      <c r="D12" s="25">
        <f t="shared" si="7"/>
        <v>3.4591650013309855E-2</v>
      </c>
      <c r="E12" s="26">
        <v>1483149430</v>
      </c>
      <c r="F12" s="25">
        <f t="shared" si="7"/>
        <v>3.8552684187026953E-2</v>
      </c>
      <c r="G12" s="27">
        <v>1428092626</v>
      </c>
      <c r="H12" s="24">
        <v>1369300326</v>
      </c>
      <c r="I12" s="25">
        <f t="shared" si="0"/>
        <v>5.9109417772962962E-2</v>
      </c>
      <c r="J12" s="26">
        <v>1292879001</v>
      </c>
      <c r="K12" s="25">
        <f t="shared" si="1"/>
        <v>5.7556663655470075E-2</v>
      </c>
      <c r="L12" s="27">
        <v>1222515110</v>
      </c>
      <c r="M12" s="24">
        <f t="shared" si="2"/>
        <v>2903754342</v>
      </c>
      <c r="N12" s="25">
        <f t="shared" si="3"/>
        <v>4.6010303631504844E-2</v>
      </c>
      <c r="O12" s="26">
        <f t="shared" si="4"/>
        <v>2776028431</v>
      </c>
      <c r="P12" s="25">
        <f t="shared" si="5"/>
        <v>4.7317712574577654E-2</v>
      </c>
      <c r="Q12" s="28">
        <f t="shared" si="6"/>
        <v>2650607736</v>
      </c>
    </row>
    <row r="13" spans="1:18" x14ac:dyDescent="0.2">
      <c r="A13" s="23" t="s">
        <v>10</v>
      </c>
      <c r="B13" s="60" t="s">
        <v>121</v>
      </c>
      <c r="C13" s="24">
        <v>1235863172</v>
      </c>
      <c r="D13" s="25">
        <f t="shared" si="7"/>
        <v>2.2536271405843893E-2</v>
      </c>
      <c r="E13" s="26">
        <v>1208625265</v>
      </c>
      <c r="F13" s="25">
        <f t="shared" si="7"/>
        <v>2.1037946572025925E-2</v>
      </c>
      <c r="G13" s="27">
        <v>1183722181</v>
      </c>
      <c r="H13" s="24">
        <v>958147876</v>
      </c>
      <c r="I13" s="25">
        <f t="shared" si="0"/>
        <v>6.8769980906281294E-2</v>
      </c>
      <c r="J13" s="26">
        <v>896495872</v>
      </c>
      <c r="K13" s="25">
        <f t="shared" si="1"/>
        <v>5.5225025801341754E-2</v>
      </c>
      <c r="L13" s="27">
        <v>849577910</v>
      </c>
      <c r="M13" s="24">
        <f t="shared" si="2"/>
        <v>2194011048</v>
      </c>
      <c r="N13" s="25">
        <f t="shared" si="3"/>
        <v>4.2225556257858239E-2</v>
      </c>
      <c r="O13" s="26">
        <f t="shared" si="4"/>
        <v>2105121137</v>
      </c>
      <c r="P13" s="25">
        <f t="shared" si="5"/>
        <v>3.5322403376610086E-2</v>
      </c>
      <c r="Q13" s="28">
        <f t="shared" si="6"/>
        <v>2033300091</v>
      </c>
    </row>
    <row r="14" spans="1:18" x14ac:dyDescent="0.2">
      <c r="A14" s="23" t="s">
        <v>11</v>
      </c>
      <c r="B14" s="60" t="s">
        <v>121</v>
      </c>
      <c r="C14" s="24">
        <v>1323410043</v>
      </c>
      <c r="D14" s="25">
        <f t="shared" si="7"/>
        <v>5.4925995428732853E-3</v>
      </c>
      <c r="E14" s="26">
        <v>1316180789</v>
      </c>
      <c r="F14" s="25">
        <f t="shared" si="7"/>
        <v>1.4343086874100595E-2</v>
      </c>
      <c r="G14" s="27">
        <v>1297569635</v>
      </c>
      <c r="H14" s="24">
        <v>1211147674</v>
      </c>
      <c r="I14" s="25">
        <f t="shared" si="0"/>
        <v>1.8046772392191903E-2</v>
      </c>
      <c r="J14" s="26">
        <v>1189677829</v>
      </c>
      <c r="K14" s="25">
        <f t="shared" si="1"/>
        <v>2.3136987261225515E-2</v>
      </c>
      <c r="L14" s="27">
        <v>1162774725</v>
      </c>
      <c r="M14" s="24">
        <f t="shared" si="2"/>
        <v>2534557717</v>
      </c>
      <c r="N14" s="25">
        <f t="shared" si="3"/>
        <v>1.1452800566580089E-2</v>
      </c>
      <c r="O14" s="26">
        <f t="shared" si="4"/>
        <v>2505858618</v>
      </c>
      <c r="P14" s="25">
        <f t="shared" si="5"/>
        <v>1.8499141315323844E-2</v>
      </c>
      <c r="Q14" s="28">
        <f t="shared" si="6"/>
        <v>2460344360</v>
      </c>
    </row>
    <row r="15" spans="1:18" x14ac:dyDescent="0.2">
      <c r="A15" s="23" t="s">
        <v>12</v>
      </c>
      <c r="B15" s="60" t="s">
        <v>121</v>
      </c>
      <c r="C15" s="24">
        <v>2590086878</v>
      </c>
      <c r="D15" s="25">
        <f t="shared" si="7"/>
        <v>3.4515722521673037E-2</v>
      </c>
      <c r="E15" s="26">
        <v>2503670869</v>
      </c>
      <c r="F15" s="25">
        <f t="shared" si="7"/>
        <v>2.8960063475454788E-2</v>
      </c>
      <c r="G15" s="27">
        <v>2433205095</v>
      </c>
      <c r="H15" s="24">
        <v>2448032504</v>
      </c>
      <c r="I15" s="25">
        <f t="shared" si="0"/>
        <v>3.5596886402375003E-2</v>
      </c>
      <c r="J15" s="26">
        <v>2363885539</v>
      </c>
      <c r="K15" s="25">
        <f t="shared" si="1"/>
        <v>3.3391585167663579E-2</v>
      </c>
      <c r="L15" s="27">
        <v>2287502214</v>
      </c>
      <c r="M15" s="24">
        <f t="shared" si="2"/>
        <v>5038119382</v>
      </c>
      <c r="N15" s="25">
        <f t="shared" si="3"/>
        <v>3.5040780158124875E-2</v>
      </c>
      <c r="O15" s="26">
        <f t="shared" si="4"/>
        <v>4867556408</v>
      </c>
      <c r="P15" s="25">
        <f t="shared" si="5"/>
        <v>3.1107435684485898E-2</v>
      </c>
      <c r="Q15" s="28">
        <f t="shared" si="6"/>
        <v>4720707309</v>
      </c>
    </row>
    <row r="16" spans="1:18" x14ac:dyDescent="0.2">
      <c r="A16" s="23" t="s">
        <v>13</v>
      </c>
      <c r="B16" s="60" t="s">
        <v>121</v>
      </c>
      <c r="C16" s="24">
        <v>402349996</v>
      </c>
      <c r="D16" s="25">
        <f t="shared" si="7"/>
        <v>1.5135016087020236E-2</v>
      </c>
      <c r="E16" s="26">
        <v>396351214</v>
      </c>
      <c r="F16" s="25">
        <f t="shared" si="7"/>
        <v>6.1769172958489856E-3</v>
      </c>
      <c r="G16" s="27">
        <v>393918015</v>
      </c>
      <c r="H16" s="24">
        <v>282376549</v>
      </c>
      <c r="I16" s="25">
        <f t="shared" si="0"/>
        <v>5.5225047036340055E-2</v>
      </c>
      <c r="J16" s="26">
        <v>267598414</v>
      </c>
      <c r="K16" s="25">
        <f t="shared" si="1"/>
        <v>3.4198919416497185E-2</v>
      </c>
      <c r="L16" s="27">
        <v>258749462</v>
      </c>
      <c r="M16" s="24">
        <f t="shared" si="2"/>
        <v>684726545</v>
      </c>
      <c r="N16" s="25">
        <f t="shared" si="3"/>
        <v>3.1292911576117341E-2</v>
      </c>
      <c r="O16" s="26">
        <f t="shared" si="4"/>
        <v>663949628</v>
      </c>
      <c r="P16" s="25">
        <f t="shared" si="5"/>
        <v>1.7286216025132198E-2</v>
      </c>
      <c r="Q16" s="28">
        <f t="shared" si="6"/>
        <v>652667477</v>
      </c>
    </row>
    <row r="17" spans="1:17" x14ac:dyDescent="0.2">
      <c r="A17" s="23" t="s">
        <v>106</v>
      </c>
      <c r="B17" s="60" t="s">
        <v>121</v>
      </c>
      <c r="C17" s="24">
        <v>11024000128</v>
      </c>
      <c r="D17" s="25">
        <f t="shared" si="7"/>
        <v>3.7908742858466216E-3</v>
      </c>
      <c r="E17" s="26">
        <v>10982367354</v>
      </c>
      <c r="F17" s="25">
        <f t="shared" si="7"/>
        <v>1.0235744992313474E-2</v>
      </c>
      <c r="G17" s="27">
        <v>10871093612</v>
      </c>
      <c r="H17" s="24">
        <v>10239384286</v>
      </c>
      <c r="I17" s="25">
        <f t="shared" si="0"/>
        <v>1.6522789942219587E-2</v>
      </c>
      <c r="J17" s="26">
        <v>10072951032</v>
      </c>
      <c r="K17" s="25">
        <f t="shared" si="1"/>
        <v>1.3030080641068134E-2</v>
      </c>
      <c r="L17" s="27">
        <v>9943387886</v>
      </c>
      <c r="M17" s="24">
        <f t="shared" si="2"/>
        <v>21263384414</v>
      </c>
      <c r="N17" s="25">
        <f t="shared" si="3"/>
        <v>9.8818751721344786E-3</v>
      </c>
      <c r="O17" s="26">
        <f t="shared" si="4"/>
        <v>21055318386</v>
      </c>
      <c r="P17" s="25">
        <f t="shared" si="5"/>
        <v>1.1570640759085989E-2</v>
      </c>
      <c r="Q17" s="28">
        <f t="shared" si="6"/>
        <v>20814481498</v>
      </c>
    </row>
    <row r="18" spans="1:17" x14ac:dyDescent="0.2">
      <c r="A18" s="23" t="s">
        <v>14</v>
      </c>
      <c r="B18" s="60" t="s">
        <v>121</v>
      </c>
      <c r="C18" s="24">
        <v>152345496</v>
      </c>
      <c r="D18" s="25">
        <f t="shared" si="7"/>
        <v>8.3981763782849227E-3</v>
      </c>
      <c r="E18" s="26">
        <v>151076727</v>
      </c>
      <c r="F18" s="25">
        <f t="shared" si="7"/>
        <v>1.7833841776201381E-2</v>
      </c>
      <c r="G18" s="27">
        <v>148429656</v>
      </c>
      <c r="H18" s="24">
        <v>108103538</v>
      </c>
      <c r="I18" s="25">
        <f t="shared" si="0"/>
        <v>6.3581413400506187E-2</v>
      </c>
      <c r="J18" s="26">
        <v>101641056</v>
      </c>
      <c r="K18" s="25">
        <f t="shared" si="1"/>
        <v>5.4008322763114049E-2</v>
      </c>
      <c r="L18" s="27">
        <v>96432878</v>
      </c>
      <c r="M18" s="24">
        <f t="shared" si="2"/>
        <v>260449034</v>
      </c>
      <c r="N18" s="25">
        <f t="shared" si="3"/>
        <v>3.0592429658976551E-2</v>
      </c>
      <c r="O18" s="26">
        <f t="shared" si="4"/>
        <v>252717783</v>
      </c>
      <c r="P18" s="25">
        <f t="shared" si="5"/>
        <v>3.2080240581027396E-2</v>
      </c>
      <c r="Q18" s="28">
        <f t="shared" si="6"/>
        <v>244862534</v>
      </c>
    </row>
    <row r="19" spans="1:17" x14ac:dyDescent="0.2">
      <c r="A19" s="23" t="s">
        <v>15</v>
      </c>
      <c r="B19" s="60" t="s">
        <v>122</v>
      </c>
      <c r="C19" s="24">
        <v>109292673</v>
      </c>
      <c r="D19" s="25">
        <f t="shared" si="7"/>
        <v>2.6431239959751808E-2</v>
      </c>
      <c r="E19" s="26">
        <v>106478319</v>
      </c>
      <c r="F19" s="25">
        <f t="shared" si="7"/>
        <v>1.7119728793848422E-2</v>
      </c>
      <c r="G19" s="27">
        <v>104686121</v>
      </c>
      <c r="H19" s="24">
        <v>37657049</v>
      </c>
      <c r="I19" s="25">
        <f t="shared" si="0"/>
        <v>0.150884956550077</v>
      </c>
      <c r="J19" s="26">
        <v>32720081</v>
      </c>
      <c r="K19" s="25">
        <f t="shared" si="1"/>
        <v>0.11392268844166789</v>
      </c>
      <c r="L19" s="27">
        <v>29373745</v>
      </c>
      <c r="M19" s="24">
        <f t="shared" si="2"/>
        <v>146949722</v>
      </c>
      <c r="N19" s="25">
        <f t="shared" si="3"/>
        <v>5.5685424545109712E-2</v>
      </c>
      <c r="O19" s="26">
        <f t="shared" si="4"/>
        <v>139198400</v>
      </c>
      <c r="P19" s="25">
        <f t="shared" si="5"/>
        <v>3.8330144235710337E-2</v>
      </c>
      <c r="Q19" s="28">
        <f t="shared" si="6"/>
        <v>134059866</v>
      </c>
    </row>
    <row r="20" spans="1:17" x14ac:dyDescent="0.2">
      <c r="A20" s="23" t="s">
        <v>16</v>
      </c>
      <c r="B20" s="60" t="s">
        <v>121</v>
      </c>
      <c r="C20" s="24">
        <v>5073021555</v>
      </c>
      <c r="D20" s="25">
        <f t="shared" si="7"/>
        <v>4.7780401471032453E-3</v>
      </c>
      <c r="E20" s="26">
        <v>5048897719</v>
      </c>
      <c r="F20" s="25">
        <f t="shared" si="7"/>
        <v>1.9406897568989195E-2</v>
      </c>
      <c r="G20" s="27">
        <v>4952779632</v>
      </c>
      <c r="H20" s="24">
        <v>4478021183</v>
      </c>
      <c r="I20" s="25">
        <f t="shared" si="0"/>
        <v>2.3990954111276025E-2</v>
      </c>
      <c r="J20" s="26">
        <v>4373106193</v>
      </c>
      <c r="K20" s="25">
        <f t="shared" si="1"/>
        <v>3.5987516285429559E-2</v>
      </c>
      <c r="L20" s="27">
        <v>4221195839</v>
      </c>
      <c r="M20" s="24">
        <f t="shared" si="2"/>
        <v>9551042738</v>
      </c>
      <c r="N20" s="25">
        <f t="shared" si="3"/>
        <v>1.3695475740108142E-2</v>
      </c>
      <c r="O20" s="26">
        <f t="shared" si="4"/>
        <v>9422003912</v>
      </c>
      <c r="P20" s="25">
        <f t="shared" si="5"/>
        <v>2.7036091581457422E-2</v>
      </c>
      <c r="Q20" s="28">
        <f t="shared" si="6"/>
        <v>9173975471</v>
      </c>
    </row>
    <row r="21" spans="1:17" x14ac:dyDescent="0.2">
      <c r="A21" s="23" t="s">
        <v>17</v>
      </c>
      <c r="B21" s="60" t="s">
        <v>121</v>
      </c>
      <c r="C21" s="24">
        <v>1814059278</v>
      </c>
      <c r="D21" s="25">
        <f t="shared" si="7"/>
        <v>1.1018343183637003E-2</v>
      </c>
      <c r="E21" s="26">
        <v>1794289184</v>
      </c>
      <c r="F21" s="25">
        <f t="shared" si="7"/>
        <v>1.1828130109597561E-2</v>
      </c>
      <c r="G21" s="27">
        <v>1773314193</v>
      </c>
      <c r="H21" s="24">
        <v>1516718010</v>
      </c>
      <c r="I21" s="25">
        <f t="shared" si="0"/>
        <v>4.0106209142880912E-2</v>
      </c>
      <c r="J21" s="26">
        <v>1458233781</v>
      </c>
      <c r="K21" s="25">
        <f t="shared" si="1"/>
        <v>3.0773829347532533E-2</v>
      </c>
      <c r="L21" s="27">
        <v>1414698103</v>
      </c>
      <c r="M21" s="24">
        <f t="shared" si="2"/>
        <v>3330777288</v>
      </c>
      <c r="N21" s="25">
        <f t="shared" si="3"/>
        <v>2.4059575856061634E-2</v>
      </c>
      <c r="O21" s="26">
        <f t="shared" si="4"/>
        <v>3252522965</v>
      </c>
      <c r="P21" s="25">
        <f t="shared" si="5"/>
        <v>2.0235389016830817E-2</v>
      </c>
      <c r="Q21" s="28">
        <f t="shared" si="6"/>
        <v>3188012296</v>
      </c>
    </row>
    <row r="22" spans="1:17" x14ac:dyDescent="0.2">
      <c r="A22" s="23" t="s">
        <v>18</v>
      </c>
      <c r="B22" s="60" t="s">
        <v>121</v>
      </c>
      <c r="C22" s="24">
        <v>940095201</v>
      </c>
      <c r="D22" s="25">
        <f t="shared" si="7"/>
        <v>5.0735920876831875E-2</v>
      </c>
      <c r="E22" s="26">
        <v>894701687</v>
      </c>
      <c r="F22" s="25">
        <f t="shared" si="7"/>
        <v>4.3506491084490728E-2</v>
      </c>
      <c r="G22" s="27">
        <v>857399254</v>
      </c>
      <c r="H22" s="24">
        <v>915468269</v>
      </c>
      <c r="I22" s="25">
        <f t="shared" si="0"/>
        <v>5.7197841881737974E-2</v>
      </c>
      <c r="J22" s="26">
        <v>865938458</v>
      </c>
      <c r="K22" s="25">
        <f t="shared" si="1"/>
        <v>8.0503582197556642E-2</v>
      </c>
      <c r="L22" s="27">
        <v>801421182</v>
      </c>
      <c r="M22" s="24">
        <f t="shared" si="2"/>
        <v>1855563470</v>
      </c>
      <c r="N22" s="25">
        <f t="shared" si="3"/>
        <v>5.3914097818097861E-2</v>
      </c>
      <c r="O22" s="26">
        <f t="shared" si="4"/>
        <v>1760640145</v>
      </c>
      <c r="P22" s="25">
        <f t="shared" si="5"/>
        <v>6.1380790102588297E-2</v>
      </c>
      <c r="Q22" s="28">
        <f t="shared" si="6"/>
        <v>1658820436</v>
      </c>
    </row>
    <row r="23" spans="1:17" x14ac:dyDescent="0.2">
      <c r="A23" s="23" t="s">
        <v>19</v>
      </c>
      <c r="B23" s="60" t="s">
        <v>122</v>
      </c>
      <c r="C23" s="24">
        <v>80268212</v>
      </c>
      <c r="D23" s="25">
        <f t="shared" si="7"/>
        <v>3.3205615187634485E-2</v>
      </c>
      <c r="E23" s="26">
        <v>77688517</v>
      </c>
      <c r="F23" s="25">
        <f t="shared" si="7"/>
        <v>2.2620670031367699E-3</v>
      </c>
      <c r="G23" s="27">
        <v>77513177</v>
      </c>
      <c r="H23" s="24">
        <v>55244458</v>
      </c>
      <c r="I23" s="25">
        <f t="shared" si="0"/>
        <v>7.441421728161221E-2</v>
      </c>
      <c r="J23" s="26">
        <v>51418212</v>
      </c>
      <c r="K23" s="25">
        <f t="shared" si="1"/>
        <v>2.1174984299037601E-2</v>
      </c>
      <c r="L23" s="27">
        <v>50352009</v>
      </c>
      <c r="M23" s="24">
        <f t="shared" si="2"/>
        <v>135512670</v>
      </c>
      <c r="N23" s="25">
        <f t="shared" si="3"/>
        <v>4.9617406076487305E-2</v>
      </c>
      <c r="O23" s="26">
        <f t="shared" si="4"/>
        <v>129106729</v>
      </c>
      <c r="P23" s="25">
        <f t="shared" si="5"/>
        <v>9.7097813630052515E-3</v>
      </c>
      <c r="Q23" s="28">
        <f t="shared" si="6"/>
        <v>127865186</v>
      </c>
    </row>
    <row r="24" spans="1:17" x14ac:dyDescent="0.2">
      <c r="A24" s="23" t="s">
        <v>20</v>
      </c>
      <c r="B24" s="60" t="s">
        <v>122</v>
      </c>
      <c r="C24" s="24">
        <v>244823271</v>
      </c>
      <c r="D24" s="25">
        <f t="shared" si="7"/>
        <v>2.7830318418352205E-3</v>
      </c>
      <c r="E24" s="26">
        <v>244143811</v>
      </c>
      <c r="F24" s="25">
        <f t="shared" si="7"/>
        <v>-2.0021455150131942E-2</v>
      </c>
      <c r="G24" s="27">
        <v>249131792</v>
      </c>
      <c r="H24" s="24">
        <v>147370732</v>
      </c>
      <c r="I24" s="25">
        <f t="shared" si="0"/>
        <v>5.9232433405197432E-2</v>
      </c>
      <c r="J24" s="26">
        <v>139129739</v>
      </c>
      <c r="K24" s="25">
        <f t="shared" si="1"/>
        <v>1.605879816881221E-2</v>
      </c>
      <c r="L24" s="27">
        <v>136930795</v>
      </c>
      <c r="M24" s="24">
        <f t="shared" si="2"/>
        <v>392194003</v>
      </c>
      <c r="N24" s="25">
        <f t="shared" si="3"/>
        <v>2.3274376747364905E-2</v>
      </c>
      <c r="O24" s="26">
        <f t="shared" si="4"/>
        <v>383273550</v>
      </c>
      <c r="P24" s="25">
        <f t="shared" si="5"/>
        <v>-7.224313087867279E-3</v>
      </c>
      <c r="Q24" s="28">
        <f t="shared" si="6"/>
        <v>386062587</v>
      </c>
    </row>
    <row r="25" spans="1:17" x14ac:dyDescent="0.2">
      <c r="A25" s="23" t="s">
        <v>21</v>
      </c>
      <c r="B25" s="60" t="s">
        <v>122</v>
      </c>
      <c r="C25" s="24">
        <v>128486465</v>
      </c>
      <c r="D25" s="25">
        <f t="shared" si="7"/>
        <v>3.5045765885378818E-2</v>
      </c>
      <c r="E25" s="26">
        <v>124136023</v>
      </c>
      <c r="F25" s="25">
        <f t="shared" si="7"/>
        <v>1.9447198338525408E-2</v>
      </c>
      <c r="G25" s="27">
        <v>121767977</v>
      </c>
      <c r="H25" s="24">
        <v>81996920</v>
      </c>
      <c r="I25" s="25">
        <f t="shared" si="0"/>
        <v>0.11064355475092578</v>
      </c>
      <c r="J25" s="26">
        <v>73828295</v>
      </c>
      <c r="K25" s="25">
        <f t="shared" si="1"/>
        <v>5.4780489010556481E-2</v>
      </c>
      <c r="L25" s="27">
        <v>69993990</v>
      </c>
      <c r="M25" s="24">
        <f t="shared" si="2"/>
        <v>210483385</v>
      </c>
      <c r="N25" s="25">
        <f t="shared" si="3"/>
        <v>6.3239007546804477E-2</v>
      </c>
      <c r="O25" s="26">
        <f t="shared" si="4"/>
        <v>197964318</v>
      </c>
      <c r="P25" s="25">
        <f t="shared" si="5"/>
        <v>3.234401011332972E-2</v>
      </c>
      <c r="Q25" s="28">
        <f t="shared" si="6"/>
        <v>191761967</v>
      </c>
    </row>
    <row r="26" spans="1:17" x14ac:dyDescent="0.2">
      <c r="A26" s="23" t="s">
        <v>22</v>
      </c>
      <c r="B26" s="60" t="s">
        <v>122</v>
      </c>
      <c r="C26" s="24">
        <v>63279497</v>
      </c>
      <c r="D26" s="25">
        <f t="shared" si="7"/>
        <v>2.2004226298858506E-2</v>
      </c>
      <c r="E26" s="26">
        <v>61917060</v>
      </c>
      <c r="F26" s="25">
        <f t="shared" si="7"/>
        <v>1.6938329271326952E-2</v>
      </c>
      <c r="G26" s="27">
        <v>60885757</v>
      </c>
      <c r="H26" s="24">
        <v>41389520</v>
      </c>
      <c r="I26" s="25">
        <f t="shared" si="0"/>
        <v>9.4195575438416265E-2</v>
      </c>
      <c r="J26" s="26">
        <v>37826437</v>
      </c>
      <c r="K26" s="25">
        <f t="shared" si="1"/>
        <v>5.9261682470418596E-2</v>
      </c>
      <c r="L26" s="27">
        <v>35710191</v>
      </c>
      <c r="M26" s="24">
        <f t="shared" si="2"/>
        <v>104669017</v>
      </c>
      <c r="N26" s="25">
        <f t="shared" si="3"/>
        <v>4.9381865967663037E-2</v>
      </c>
      <c r="O26" s="26">
        <f t="shared" si="4"/>
        <v>99743497</v>
      </c>
      <c r="P26" s="25">
        <f t="shared" si="5"/>
        <v>3.2584689784296128E-2</v>
      </c>
      <c r="Q26" s="28">
        <f t="shared" si="6"/>
        <v>96595948</v>
      </c>
    </row>
    <row r="27" spans="1:17" x14ac:dyDescent="0.2">
      <c r="A27" s="23" t="s">
        <v>23</v>
      </c>
      <c r="B27" s="60" t="s">
        <v>122</v>
      </c>
      <c r="C27" s="24">
        <v>93617390</v>
      </c>
      <c r="D27" s="25">
        <f t="shared" si="7"/>
        <v>2.8031777631471518E-2</v>
      </c>
      <c r="E27" s="26">
        <v>91064685</v>
      </c>
      <c r="F27" s="25">
        <f t="shared" si="7"/>
        <v>1.8471569345806602E-2</v>
      </c>
      <c r="G27" s="27">
        <v>89413085</v>
      </c>
      <c r="H27" s="24">
        <v>61254246</v>
      </c>
      <c r="I27" s="25">
        <f t="shared" si="0"/>
        <v>8.7780577989659783E-2</v>
      </c>
      <c r="J27" s="26">
        <v>56311215</v>
      </c>
      <c r="K27" s="25">
        <f t="shared" si="1"/>
        <v>6.6968254750824241E-2</v>
      </c>
      <c r="L27" s="27">
        <v>52776842</v>
      </c>
      <c r="M27" s="24">
        <f t="shared" si="2"/>
        <v>154871636</v>
      </c>
      <c r="N27" s="25">
        <f t="shared" si="3"/>
        <v>5.0861341644054418E-2</v>
      </c>
      <c r="O27" s="26">
        <f t="shared" si="4"/>
        <v>147375900</v>
      </c>
      <c r="P27" s="25">
        <f t="shared" si="5"/>
        <v>3.6472154599249497E-2</v>
      </c>
      <c r="Q27" s="28">
        <f t="shared" si="6"/>
        <v>142189927</v>
      </c>
    </row>
    <row r="28" spans="1:17" x14ac:dyDescent="0.2">
      <c r="A28" s="23" t="s">
        <v>24</v>
      </c>
      <c r="B28" s="60" t="s">
        <v>122</v>
      </c>
      <c r="C28" s="24">
        <v>66867116</v>
      </c>
      <c r="D28" s="25">
        <f t="shared" si="7"/>
        <v>9.0691416320483071E-3</v>
      </c>
      <c r="E28" s="26">
        <v>66266139</v>
      </c>
      <c r="F28" s="25">
        <f t="shared" si="7"/>
        <v>1.5279241807121556E-2</v>
      </c>
      <c r="G28" s="27">
        <v>65268880</v>
      </c>
      <c r="H28" s="24">
        <v>33855339</v>
      </c>
      <c r="I28" s="25">
        <f t="shared" si="0"/>
        <v>9.9001497912193981E-2</v>
      </c>
      <c r="J28" s="26">
        <v>30805544</v>
      </c>
      <c r="K28" s="25">
        <f t="shared" si="1"/>
        <v>6.4317757761686523E-2</v>
      </c>
      <c r="L28" s="27">
        <v>28943935</v>
      </c>
      <c r="M28" s="24">
        <f t="shared" si="2"/>
        <v>100722455</v>
      </c>
      <c r="N28" s="25">
        <f t="shared" si="3"/>
        <v>3.7609031667865486E-2</v>
      </c>
      <c r="O28" s="26">
        <f t="shared" si="4"/>
        <v>97071683</v>
      </c>
      <c r="P28" s="25">
        <f t="shared" si="5"/>
        <v>3.0344789082037301E-2</v>
      </c>
      <c r="Q28" s="28">
        <f t="shared" si="6"/>
        <v>94212815</v>
      </c>
    </row>
    <row r="29" spans="1:17" x14ac:dyDescent="0.2">
      <c r="A29" s="23" t="s">
        <v>25</v>
      </c>
      <c r="B29" s="60" t="s">
        <v>121</v>
      </c>
      <c r="C29" s="24">
        <v>108874656</v>
      </c>
      <c r="D29" s="25">
        <f t="shared" si="7"/>
        <v>-3.7812693688522876E-3</v>
      </c>
      <c r="E29" s="26">
        <v>109287903</v>
      </c>
      <c r="F29" s="25">
        <f t="shared" si="7"/>
        <v>3.0024388138646801E-3</v>
      </c>
      <c r="G29" s="27">
        <v>108960755</v>
      </c>
      <c r="H29" s="24">
        <v>66713198</v>
      </c>
      <c r="I29" s="25">
        <f t="shared" si="0"/>
        <v>5.5857435343464913E-2</v>
      </c>
      <c r="J29" s="26">
        <v>63183907</v>
      </c>
      <c r="K29" s="25">
        <f t="shared" si="1"/>
        <v>4.6594927280229979E-2</v>
      </c>
      <c r="L29" s="27">
        <v>60370928</v>
      </c>
      <c r="M29" s="24">
        <f t="shared" si="2"/>
        <v>175587854</v>
      </c>
      <c r="N29" s="25">
        <f t="shared" si="3"/>
        <v>1.8066975698811303E-2</v>
      </c>
      <c r="O29" s="26">
        <f t="shared" si="4"/>
        <v>172471810</v>
      </c>
      <c r="P29" s="25">
        <f t="shared" si="5"/>
        <v>1.8544237819924106E-2</v>
      </c>
      <c r="Q29" s="28">
        <f t="shared" si="6"/>
        <v>169331683</v>
      </c>
    </row>
    <row r="30" spans="1:17" x14ac:dyDescent="0.2">
      <c r="A30" s="23" t="s">
        <v>26</v>
      </c>
      <c r="B30" s="60" t="s">
        <v>121</v>
      </c>
      <c r="C30" s="24">
        <v>181763749</v>
      </c>
      <c r="D30" s="25">
        <f t="shared" si="7"/>
        <v>3.6628077875967786E-2</v>
      </c>
      <c r="E30" s="26">
        <v>175341333</v>
      </c>
      <c r="F30" s="25">
        <f t="shared" si="7"/>
        <v>3.2483963232874322E-2</v>
      </c>
      <c r="G30" s="27">
        <v>169824752</v>
      </c>
      <c r="H30" s="24">
        <v>118857417</v>
      </c>
      <c r="I30" s="25">
        <f t="shared" si="0"/>
        <v>0.11756191658869138</v>
      </c>
      <c r="J30" s="26">
        <v>106354212</v>
      </c>
      <c r="K30" s="25">
        <f t="shared" si="1"/>
        <v>9.3890031471003513E-2</v>
      </c>
      <c r="L30" s="27">
        <v>97225689</v>
      </c>
      <c r="M30" s="24">
        <f t="shared" si="2"/>
        <v>300621166</v>
      </c>
      <c r="N30" s="25">
        <f t="shared" si="3"/>
        <v>6.7184665628986076E-2</v>
      </c>
      <c r="O30" s="26">
        <f t="shared" si="4"/>
        <v>281695545</v>
      </c>
      <c r="P30" s="25">
        <f t="shared" si="5"/>
        <v>5.4840216496777852E-2</v>
      </c>
      <c r="Q30" s="28">
        <f t="shared" si="6"/>
        <v>267050441</v>
      </c>
    </row>
    <row r="31" spans="1:17" x14ac:dyDescent="0.2">
      <c r="A31" s="23" t="s">
        <v>27</v>
      </c>
      <c r="B31" s="60" t="s">
        <v>121</v>
      </c>
      <c r="C31" s="24">
        <v>1379056012</v>
      </c>
      <c r="D31" s="25">
        <f t="shared" si="7"/>
        <v>1.7218465736028844E-2</v>
      </c>
      <c r="E31" s="26">
        <v>1355712719</v>
      </c>
      <c r="F31" s="25">
        <f t="shared" si="7"/>
        <v>2.4413824585808579E-2</v>
      </c>
      <c r="G31" s="27">
        <v>1323403381</v>
      </c>
      <c r="H31" s="24">
        <v>1169340191</v>
      </c>
      <c r="I31" s="25">
        <f t="shared" si="0"/>
        <v>5.0583972136527384E-2</v>
      </c>
      <c r="J31" s="26">
        <v>1113038293</v>
      </c>
      <c r="K31" s="25">
        <f t="shared" si="1"/>
        <v>4.7564981940238699E-2</v>
      </c>
      <c r="L31" s="27">
        <v>1062500477</v>
      </c>
      <c r="M31" s="24">
        <f t="shared" si="2"/>
        <v>2548396203</v>
      </c>
      <c r="N31" s="25">
        <f t="shared" si="3"/>
        <v>3.2261329965178359E-2</v>
      </c>
      <c r="O31" s="26">
        <f t="shared" si="4"/>
        <v>2468751012</v>
      </c>
      <c r="P31" s="25">
        <f t="shared" si="5"/>
        <v>3.4723592789462687E-2</v>
      </c>
      <c r="Q31" s="28">
        <f t="shared" si="6"/>
        <v>2385903858</v>
      </c>
    </row>
    <row r="32" spans="1:17" x14ac:dyDescent="0.2">
      <c r="A32" s="23" t="s">
        <v>28</v>
      </c>
      <c r="B32" s="60" t="s">
        <v>121</v>
      </c>
      <c r="C32" s="24">
        <v>623547971</v>
      </c>
      <c r="D32" s="25">
        <f t="shared" si="7"/>
        <v>1.2842027555302074E-2</v>
      </c>
      <c r="E32" s="26">
        <v>615641881</v>
      </c>
      <c r="F32" s="25">
        <f t="shared" si="7"/>
        <v>1.4880728107538018E-2</v>
      </c>
      <c r="G32" s="27">
        <v>606615008</v>
      </c>
      <c r="H32" s="24">
        <v>472888156</v>
      </c>
      <c r="I32" s="25">
        <f t="shared" si="0"/>
        <v>6.3520913861947956E-2</v>
      </c>
      <c r="J32" s="26">
        <v>444643965</v>
      </c>
      <c r="K32" s="25">
        <f t="shared" si="1"/>
        <v>4.8660604385093321E-2</v>
      </c>
      <c r="L32" s="27">
        <v>424011318</v>
      </c>
      <c r="M32" s="24">
        <f t="shared" si="2"/>
        <v>1096436127</v>
      </c>
      <c r="N32" s="25">
        <f t="shared" si="3"/>
        <v>3.4094844457633174E-2</v>
      </c>
      <c r="O32" s="26">
        <f t="shared" si="4"/>
        <v>1060285846</v>
      </c>
      <c r="P32" s="25">
        <f t="shared" si="5"/>
        <v>2.8778150966813163E-2</v>
      </c>
      <c r="Q32" s="28">
        <f t="shared" si="6"/>
        <v>1030626326</v>
      </c>
    </row>
    <row r="33" spans="1:17" x14ac:dyDescent="0.2">
      <c r="A33" s="23" t="s">
        <v>29</v>
      </c>
      <c r="B33" s="60" t="s">
        <v>121</v>
      </c>
      <c r="C33" s="24">
        <v>7315002134</v>
      </c>
      <c r="D33" s="25">
        <f t="shared" si="7"/>
        <v>9.8351519252787931E-3</v>
      </c>
      <c r="E33" s="26">
        <v>7243758667</v>
      </c>
      <c r="F33" s="25">
        <f t="shared" si="7"/>
        <v>2.4812934333399182E-2</v>
      </c>
      <c r="G33" s="27">
        <v>7068371626</v>
      </c>
      <c r="H33" s="24">
        <v>6601509257</v>
      </c>
      <c r="I33" s="25">
        <f t="shared" si="0"/>
        <v>2.7561414884730642E-2</v>
      </c>
      <c r="J33" s="26">
        <v>6424442531</v>
      </c>
      <c r="K33" s="25">
        <f t="shared" si="1"/>
        <v>3.9901545633972239E-2</v>
      </c>
      <c r="L33" s="27">
        <v>6177933438</v>
      </c>
      <c r="M33" s="24">
        <f t="shared" si="2"/>
        <v>13916511391</v>
      </c>
      <c r="N33" s="25">
        <f t="shared" si="3"/>
        <v>1.8166998671071216E-2</v>
      </c>
      <c r="O33" s="26">
        <f t="shared" si="4"/>
        <v>13668201198</v>
      </c>
      <c r="P33" s="25">
        <f t="shared" si="5"/>
        <v>3.1850099477672728E-2</v>
      </c>
      <c r="Q33" s="28">
        <f t="shared" si="6"/>
        <v>13246305064</v>
      </c>
    </row>
    <row r="34" spans="1:17" x14ac:dyDescent="0.2">
      <c r="A34" s="23" t="s">
        <v>30</v>
      </c>
      <c r="B34" s="60" t="s">
        <v>122</v>
      </c>
      <c r="C34" s="24">
        <v>116889974</v>
      </c>
      <c r="D34" s="25">
        <f t="shared" si="7"/>
        <v>1.4437992591919328E-2</v>
      </c>
      <c r="E34" s="26">
        <v>115226337</v>
      </c>
      <c r="F34" s="25">
        <f t="shared" si="7"/>
        <v>5.8635073243865406E-3</v>
      </c>
      <c r="G34" s="27">
        <v>114554645</v>
      </c>
      <c r="H34" s="24">
        <v>61062272</v>
      </c>
      <c r="I34" s="25">
        <f t="shared" si="0"/>
        <v>7.4861682717671685E-2</v>
      </c>
      <c r="J34" s="26">
        <v>56809423</v>
      </c>
      <c r="K34" s="25">
        <f t="shared" si="1"/>
        <v>4.1589585626482441E-2</v>
      </c>
      <c r="L34" s="27">
        <v>54541082</v>
      </c>
      <c r="M34" s="24">
        <f t="shared" si="2"/>
        <v>177952246</v>
      </c>
      <c r="N34" s="25">
        <f t="shared" si="3"/>
        <v>3.4391024284718477E-2</v>
      </c>
      <c r="O34" s="26">
        <f t="shared" si="4"/>
        <v>172035760</v>
      </c>
      <c r="P34" s="25">
        <f t="shared" si="5"/>
        <v>1.7386796533303293E-2</v>
      </c>
      <c r="Q34" s="28">
        <f t="shared" si="6"/>
        <v>169095727</v>
      </c>
    </row>
    <row r="35" spans="1:17" x14ac:dyDescent="0.2">
      <c r="A35" s="23" t="s">
        <v>31</v>
      </c>
      <c r="B35" s="60" t="s">
        <v>121</v>
      </c>
      <c r="C35" s="24">
        <v>1195818845</v>
      </c>
      <c r="D35" s="25">
        <f t="shared" si="7"/>
        <v>2.512888021422274E-2</v>
      </c>
      <c r="E35" s="26">
        <v>1166505859</v>
      </c>
      <c r="F35" s="25">
        <f t="shared" si="7"/>
        <v>3.1315326347561692E-2</v>
      </c>
      <c r="G35" s="27">
        <v>1131085546</v>
      </c>
      <c r="H35" s="24">
        <v>1081563694</v>
      </c>
      <c r="I35" s="25">
        <f t="shared" si="0"/>
        <v>4.609923827984496E-2</v>
      </c>
      <c r="J35" s="26">
        <v>1033901617</v>
      </c>
      <c r="K35" s="25">
        <f t="shared" si="1"/>
        <v>4.7181167472290474E-2</v>
      </c>
      <c r="L35" s="27">
        <v>987318765</v>
      </c>
      <c r="M35" s="24">
        <f t="shared" si="2"/>
        <v>2277382539</v>
      </c>
      <c r="N35" s="25">
        <f t="shared" si="3"/>
        <v>3.4982185726767638E-2</v>
      </c>
      <c r="O35" s="26">
        <f t="shared" si="4"/>
        <v>2200407476</v>
      </c>
      <c r="P35" s="25">
        <f t="shared" si="5"/>
        <v>3.8709874490998428E-2</v>
      </c>
      <c r="Q35" s="28">
        <f t="shared" si="6"/>
        <v>2118404311</v>
      </c>
    </row>
    <row r="36" spans="1:17" x14ac:dyDescent="0.2">
      <c r="A36" s="23" t="s">
        <v>32</v>
      </c>
      <c r="B36" s="60" t="s">
        <v>122</v>
      </c>
      <c r="C36" s="24">
        <v>248478407</v>
      </c>
      <c r="D36" s="25">
        <f t="shared" si="7"/>
        <v>1.3534665867216767E-2</v>
      </c>
      <c r="E36" s="26">
        <v>245160245</v>
      </c>
      <c r="F36" s="25">
        <f t="shared" si="7"/>
        <v>-2.871296785412532E-4</v>
      </c>
      <c r="G36" s="27">
        <v>245230658</v>
      </c>
      <c r="H36" s="24">
        <v>133921114</v>
      </c>
      <c r="I36" s="25">
        <f t="shared" si="0"/>
        <v>7.555954150351131E-2</v>
      </c>
      <c r="J36" s="26">
        <v>124512971</v>
      </c>
      <c r="K36" s="25">
        <f t="shared" si="1"/>
        <v>4.7761238591016157E-2</v>
      </c>
      <c r="L36" s="27">
        <v>118837161</v>
      </c>
      <c r="M36" s="24">
        <f t="shared" si="2"/>
        <v>382399521</v>
      </c>
      <c r="N36" s="25">
        <f t="shared" si="3"/>
        <v>3.4425823806504822E-2</v>
      </c>
      <c r="O36" s="26">
        <f t="shared" si="4"/>
        <v>369673216</v>
      </c>
      <c r="P36" s="25">
        <f t="shared" si="5"/>
        <v>1.5396573680685576E-2</v>
      </c>
      <c r="Q36" s="28">
        <f t="shared" si="6"/>
        <v>364067819</v>
      </c>
    </row>
    <row r="37" spans="1:17" x14ac:dyDescent="0.2">
      <c r="A37" s="23" t="s">
        <v>33</v>
      </c>
      <c r="B37" s="60" t="s">
        <v>121</v>
      </c>
      <c r="C37" s="24">
        <v>95065972</v>
      </c>
      <c r="D37" s="25">
        <f t="shared" si="7"/>
        <v>2.0345644040168524E-2</v>
      </c>
      <c r="E37" s="26">
        <v>93170361</v>
      </c>
      <c r="F37" s="25">
        <f t="shared" si="7"/>
        <v>9.3938374605305186E-3</v>
      </c>
      <c r="G37" s="27">
        <v>92303279</v>
      </c>
      <c r="H37" s="24">
        <v>65018416</v>
      </c>
      <c r="I37" s="25">
        <f t="shared" ref="I37:I68" si="8">((H37-J37)/J37)</f>
        <v>6.909176304580647E-2</v>
      </c>
      <c r="J37" s="26">
        <v>60816497</v>
      </c>
      <c r="K37" s="25">
        <f t="shared" ref="K37:K68" si="9">((J37-L37)/L37)</f>
        <v>4.8994450203053867E-2</v>
      </c>
      <c r="L37" s="27">
        <v>57975995</v>
      </c>
      <c r="M37" s="24">
        <f t="shared" ref="M37:M71" si="10">C37+H37</f>
        <v>160084388</v>
      </c>
      <c r="N37" s="25">
        <f t="shared" ref="N37:N68" si="11">((M37-O37)/O37)</f>
        <v>3.959772982704797E-2</v>
      </c>
      <c r="O37" s="26">
        <f t="shared" ref="O37:O71" si="12">E37+J37</f>
        <v>153986858</v>
      </c>
      <c r="P37" s="25">
        <f t="shared" ref="P37:P68" si="13">((O37-Q37)/Q37)</f>
        <v>2.4671292995466561E-2</v>
      </c>
      <c r="Q37" s="28">
        <f t="shared" ref="Q37:Q71" si="14">G37+L37</f>
        <v>150279274</v>
      </c>
    </row>
    <row r="38" spans="1:17" x14ac:dyDescent="0.2">
      <c r="A38" s="23" t="s">
        <v>34</v>
      </c>
      <c r="B38" s="60" t="s">
        <v>122</v>
      </c>
      <c r="C38" s="24">
        <v>40739468</v>
      </c>
      <c r="D38" s="25">
        <f t="shared" si="7"/>
        <v>4.0725853895524711E-3</v>
      </c>
      <c r="E38" s="26">
        <v>40574226</v>
      </c>
      <c r="F38" s="25">
        <f t="shared" si="7"/>
        <v>9.8798121784345692E-3</v>
      </c>
      <c r="G38" s="27">
        <v>40177282</v>
      </c>
      <c r="H38" s="24">
        <v>24943857</v>
      </c>
      <c r="I38" s="25">
        <f t="shared" si="8"/>
        <v>4.5204998207000552E-2</v>
      </c>
      <c r="J38" s="26">
        <v>23865038</v>
      </c>
      <c r="K38" s="25">
        <f t="shared" si="9"/>
        <v>4.3534995075082364E-2</v>
      </c>
      <c r="L38" s="27">
        <v>22869418</v>
      </c>
      <c r="M38" s="24">
        <f t="shared" si="10"/>
        <v>65683325</v>
      </c>
      <c r="N38" s="25">
        <f t="shared" si="11"/>
        <v>1.9305946759416742E-2</v>
      </c>
      <c r="O38" s="26">
        <f t="shared" si="12"/>
        <v>64439264</v>
      </c>
      <c r="P38" s="25">
        <f t="shared" si="13"/>
        <v>2.2087817443260313E-2</v>
      </c>
      <c r="Q38" s="28">
        <f t="shared" si="14"/>
        <v>63046700</v>
      </c>
    </row>
    <row r="39" spans="1:17" x14ac:dyDescent="0.2">
      <c r="A39" s="23" t="s">
        <v>35</v>
      </c>
      <c r="B39" s="60" t="s">
        <v>121</v>
      </c>
      <c r="C39" s="24">
        <v>2514214621</v>
      </c>
      <c r="D39" s="25">
        <f t="shared" si="7"/>
        <v>4.538774169870486E-2</v>
      </c>
      <c r="E39" s="26">
        <v>2405054623</v>
      </c>
      <c r="F39" s="25">
        <f t="shared" si="7"/>
        <v>3.2719229133079307E-2</v>
      </c>
      <c r="G39" s="27">
        <v>2328856242</v>
      </c>
      <c r="H39" s="24">
        <v>2275181083</v>
      </c>
      <c r="I39" s="25">
        <f t="shared" si="8"/>
        <v>6.1373587068660446E-2</v>
      </c>
      <c r="J39" s="26">
        <v>2143619467</v>
      </c>
      <c r="K39" s="25">
        <f t="shared" si="9"/>
        <v>4.4234620478902052E-2</v>
      </c>
      <c r="L39" s="27">
        <v>2052814018</v>
      </c>
      <c r="M39" s="24">
        <f t="shared" si="10"/>
        <v>4789395704</v>
      </c>
      <c r="N39" s="25">
        <f t="shared" si="11"/>
        <v>5.2921270954367279E-2</v>
      </c>
      <c r="O39" s="26">
        <f t="shared" si="12"/>
        <v>4548674090</v>
      </c>
      <c r="P39" s="25">
        <f t="shared" si="13"/>
        <v>3.8114193923848572E-2</v>
      </c>
      <c r="Q39" s="28">
        <f t="shared" si="14"/>
        <v>4381670260</v>
      </c>
    </row>
    <row r="40" spans="1:17" x14ac:dyDescent="0.2">
      <c r="A40" s="23" t="s">
        <v>36</v>
      </c>
      <c r="B40" s="60" t="s">
        <v>121</v>
      </c>
      <c r="C40" s="24">
        <v>5000511844</v>
      </c>
      <c r="D40" s="25">
        <f t="shared" si="7"/>
        <v>3.5857064712242578E-2</v>
      </c>
      <c r="E40" s="26">
        <v>4827414915</v>
      </c>
      <c r="F40" s="25">
        <f t="shared" si="7"/>
        <v>4.2268335438780544E-2</v>
      </c>
      <c r="G40" s="27">
        <v>4631643072</v>
      </c>
      <c r="H40" s="24">
        <v>4556297212</v>
      </c>
      <c r="I40" s="25">
        <f t="shared" si="8"/>
        <v>5.6450873325156484E-2</v>
      </c>
      <c r="J40" s="26">
        <v>4312833968</v>
      </c>
      <c r="K40" s="25">
        <f t="shared" si="9"/>
        <v>5.8674923336514896E-2</v>
      </c>
      <c r="L40" s="27">
        <v>4073803840</v>
      </c>
      <c r="M40" s="24">
        <f t="shared" si="10"/>
        <v>9556809056</v>
      </c>
      <c r="N40" s="25">
        <f t="shared" si="11"/>
        <v>4.5574270277777947E-2</v>
      </c>
      <c r="O40" s="26">
        <f t="shared" si="12"/>
        <v>9140248883</v>
      </c>
      <c r="P40" s="25">
        <f t="shared" si="13"/>
        <v>4.9945967782613017E-2</v>
      </c>
      <c r="Q40" s="28">
        <f t="shared" si="14"/>
        <v>8705446912</v>
      </c>
    </row>
    <row r="41" spans="1:17" x14ac:dyDescent="0.2">
      <c r="A41" s="23" t="s">
        <v>37</v>
      </c>
      <c r="B41" s="60" t="s">
        <v>121</v>
      </c>
      <c r="C41" s="24">
        <v>1428739142</v>
      </c>
      <c r="D41" s="25">
        <f t="shared" si="7"/>
        <v>1.4285499343279667E-2</v>
      </c>
      <c r="E41" s="26">
        <v>1408616354</v>
      </c>
      <c r="F41" s="25">
        <f t="shared" si="7"/>
        <v>4.5897866494867979E-3</v>
      </c>
      <c r="G41" s="27">
        <v>1402180644</v>
      </c>
      <c r="H41" s="24">
        <v>1282876835</v>
      </c>
      <c r="I41" s="25">
        <f t="shared" si="8"/>
        <v>2.5850884746913674E-2</v>
      </c>
      <c r="J41" s="26">
        <v>1250549036</v>
      </c>
      <c r="K41" s="25">
        <f t="shared" si="9"/>
        <v>1.209484172571796E-2</v>
      </c>
      <c r="L41" s="27">
        <v>1235604594</v>
      </c>
      <c r="M41" s="24">
        <f t="shared" si="10"/>
        <v>2711615977</v>
      </c>
      <c r="N41" s="25">
        <f t="shared" si="11"/>
        <v>1.9724454596635677E-2</v>
      </c>
      <c r="O41" s="26">
        <f t="shared" si="12"/>
        <v>2659165390</v>
      </c>
      <c r="P41" s="25">
        <f t="shared" si="13"/>
        <v>8.1053421984462557E-3</v>
      </c>
      <c r="Q41" s="28">
        <f t="shared" si="14"/>
        <v>2637785238</v>
      </c>
    </row>
    <row r="42" spans="1:17" x14ac:dyDescent="0.2">
      <c r="A42" s="23" t="s">
        <v>38</v>
      </c>
      <c r="B42" s="60" t="s">
        <v>122</v>
      </c>
      <c r="C42" s="24">
        <v>309211143</v>
      </c>
      <c r="D42" s="25">
        <f t="shared" si="7"/>
        <v>2.0893904353876357E-2</v>
      </c>
      <c r="E42" s="26">
        <v>302882740</v>
      </c>
      <c r="F42" s="25">
        <f t="shared" si="7"/>
        <v>2.5798205385525977E-2</v>
      </c>
      <c r="G42" s="27">
        <v>295265422</v>
      </c>
      <c r="H42" s="24">
        <v>190449608</v>
      </c>
      <c r="I42" s="25">
        <f t="shared" si="8"/>
        <v>8.7991581687084527E-2</v>
      </c>
      <c r="J42" s="26">
        <v>175046950</v>
      </c>
      <c r="K42" s="25">
        <f t="shared" si="9"/>
        <v>7.5202661266624934E-2</v>
      </c>
      <c r="L42" s="27">
        <v>162803680</v>
      </c>
      <c r="M42" s="24">
        <f t="shared" si="10"/>
        <v>499660751</v>
      </c>
      <c r="N42" s="25">
        <f t="shared" si="11"/>
        <v>4.5469158863095535E-2</v>
      </c>
      <c r="O42" s="26">
        <f t="shared" si="12"/>
        <v>477929690</v>
      </c>
      <c r="P42" s="25">
        <f t="shared" si="13"/>
        <v>4.3357187623626274E-2</v>
      </c>
      <c r="Q42" s="28">
        <f t="shared" si="14"/>
        <v>458069102</v>
      </c>
    </row>
    <row r="43" spans="1:17" x14ac:dyDescent="0.2">
      <c r="A43" s="23" t="s">
        <v>39</v>
      </c>
      <c r="B43" s="60" t="s">
        <v>122</v>
      </c>
      <c r="C43" s="24">
        <v>36114651</v>
      </c>
      <c r="D43" s="25">
        <f t="shared" si="7"/>
        <v>1.5727060602886735E-2</v>
      </c>
      <c r="E43" s="26">
        <v>35555468</v>
      </c>
      <c r="F43" s="25">
        <f t="shared" si="7"/>
        <v>4.8764513211131097E-4</v>
      </c>
      <c r="G43" s="27">
        <v>35538138</v>
      </c>
      <c r="H43" s="24">
        <v>18640447</v>
      </c>
      <c r="I43" s="25">
        <f t="shared" si="8"/>
        <v>5.4595447877756761E-2</v>
      </c>
      <c r="J43" s="26">
        <v>17675448</v>
      </c>
      <c r="K43" s="25">
        <f t="shared" si="9"/>
        <v>5.1351337365304783E-2</v>
      </c>
      <c r="L43" s="27">
        <v>16812123</v>
      </c>
      <c r="M43" s="24">
        <f t="shared" si="10"/>
        <v>54755098</v>
      </c>
      <c r="N43" s="25">
        <f t="shared" si="11"/>
        <v>2.8633397929879695E-2</v>
      </c>
      <c r="O43" s="26">
        <f t="shared" si="12"/>
        <v>53230916</v>
      </c>
      <c r="P43" s="25">
        <f t="shared" si="13"/>
        <v>1.6822361210386324E-2</v>
      </c>
      <c r="Q43" s="28">
        <f t="shared" si="14"/>
        <v>52350261</v>
      </c>
    </row>
    <row r="44" spans="1:17" x14ac:dyDescent="0.2">
      <c r="A44" s="23" t="s">
        <v>40</v>
      </c>
      <c r="B44" s="60" t="s">
        <v>121</v>
      </c>
      <c r="C44" s="24">
        <v>100615007</v>
      </c>
      <c r="D44" s="25">
        <f t="shared" si="7"/>
        <v>1.0303762166508029E-2</v>
      </c>
      <c r="E44" s="26">
        <v>99588867</v>
      </c>
      <c r="F44" s="25">
        <f t="shared" si="7"/>
        <v>3.0706632423680694E-4</v>
      </c>
      <c r="G44" s="27">
        <v>99558296</v>
      </c>
      <c r="H44" s="24">
        <v>55540062</v>
      </c>
      <c r="I44" s="25">
        <f t="shared" si="8"/>
        <v>0.10219245560624189</v>
      </c>
      <c r="J44" s="26">
        <v>50390530</v>
      </c>
      <c r="K44" s="25">
        <f t="shared" si="9"/>
        <v>2.8831121914143956E-2</v>
      </c>
      <c r="L44" s="27">
        <v>48978427</v>
      </c>
      <c r="M44" s="24">
        <f t="shared" si="10"/>
        <v>156155069</v>
      </c>
      <c r="N44" s="25">
        <f t="shared" si="11"/>
        <v>4.1176802437737497E-2</v>
      </c>
      <c r="O44" s="26">
        <f t="shared" si="12"/>
        <v>149979397</v>
      </c>
      <c r="P44" s="25">
        <f t="shared" si="13"/>
        <v>9.7125745799575766E-3</v>
      </c>
      <c r="Q44" s="28">
        <f t="shared" si="14"/>
        <v>148536723</v>
      </c>
    </row>
    <row r="45" spans="1:17" x14ac:dyDescent="0.2">
      <c r="A45" s="23" t="s">
        <v>41</v>
      </c>
      <c r="B45" s="60" t="s">
        <v>121</v>
      </c>
      <c r="C45" s="24">
        <v>2455332510</v>
      </c>
      <c r="D45" s="25">
        <f t="shared" si="7"/>
        <v>3.2311633047580647E-2</v>
      </c>
      <c r="E45" s="26">
        <v>2378479939</v>
      </c>
      <c r="F45" s="25">
        <f t="shared" si="7"/>
        <v>3.261331238649396E-2</v>
      </c>
      <c r="G45" s="27">
        <v>2303359748</v>
      </c>
      <c r="H45" s="24">
        <v>2259977228</v>
      </c>
      <c r="I45" s="25">
        <f t="shared" si="8"/>
        <v>4.7304553148203955E-2</v>
      </c>
      <c r="J45" s="26">
        <v>2157898790</v>
      </c>
      <c r="K45" s="25">
        <f t="shared" si="9"/>
        <v>4.5139272274604132E-2</v>
      </c>
      <c r="L45" s="27">
        <v>2064699746</v>
      </c>
      <c r="M45" s="24">
        <f t="shared" si="10"/>
        <v>4715309738</v>
      </c>
      <c r="N45" s="25">
        <f t="shared" si="11"/>
        <v>3.9443578168669259E-2</v>
      </c>
      <c r="O45" s="26">
        <f t="shared" si="12"/>
        <v>4536378729</v>
      </c>
      <c r="P45" s="25">
        <f t="shared" si="13"/>
        <v>3.853409854678138E-2</v>
      </c>
      <c r="Q45" s="28">
        <f t="shared" si="14"/>
        <v>4368059494</v>
      </c>
    </row>
    <row r="46" spans="1:17" x14ac:dyDescent="0.2">
      <c r="A46" s="23" t="s">
        <v>42</v>
      </c>
      <c r="B46" s="60" t="s">
        <v>121</v>
      </c>
      <c r="C46" s="24">
        <v>2586961328</v>
      </c>
      <c r="D46" s="25">
        <f t="shared" si="7"/>
        <v>2.3643390619286546E-2</v>
      </c>
      <c r="E46" s="26">
        <v>2527209526</v>
      </c>
      <c r="F46" s="25">
        <f t="shared" si="7"/>
        <v>2.2289910712191961E-2</v>
      </c>
      <c r="G46" s="27">
        <v>2472106493</v>
      </c>
      <c r="H46" s="24">
        <v>2069998864</v>
      </c>
      <c r="I46" s="25">
        <f t="shared" si="8"/>
        <v>6.0760820539202662E-2</v>
      </c>
      <c r="J46" s="26">
        <v>1951428469</v>
      </c>
      <c r="K46" s="25">
        <f t="shared" si="9"/>
        <v>5.0753309240415087E-2</v>
      </c>
      <c r="L46" s="27">
        <v>1857170900</v>
      </c>
      <c r="M46" s="24">
        <f t="shared" si="10"/>
        <v>4656960192</v>
      </c>
      <c r="N46" s="25">
        <f t="shared" si="11"/>
        <v>3.9816166700474748E-2</v>
      </c>
      <c r="O46" s="26">
        <f t="shared" si="12"/>
        <v>4478637995</v>
      </c>
      <c r="P46" s="25">
        <f t="shared" si="13"/>
        <v>3.4500122870736089E-2</v>
      </c>
      <c r="Q46" s="28">
        <f t="shared" si="14"/>
        <v>4329277393</v>
      </c>
    </row>
    <row r="47" spans="1:17" x14ac:dyDescent="0.2">
      <c r="A47" s="23" t="s">
        <v>43</v>
      </c>
      <c r="B47" s="60" t="s">
        <v>121</v>
      </c>
      <c r="C47" s="24">
        <v>1197200196</v>
      </c>
      <c r="D47" s="25">
        <f t="shared" si="7"/>
        <v>1.3225134132023798E-2</v>
      </c>
      <c r="E47" s="26">
        <v>1181573725</v>
      </c>
      <c r="F47" s="25">
        <f t="shared" si="7"/>
        <v>1.2623845306866305E-2</v>
      </c>
      <c r="G47" s="27">
        <v>1166843671</v>
      </c>
      <c r="H47" s="24">
        <v>1092253455</v>
      </c>
      <c r="I47" s="25">
        <f t="shared" si="8"/>
        <v>2.8908912399365112E-2</v>
      </c>
      <c r="J47" s="26">
        <v>1061564772</v>
      </c>
      <c r="K47" s="25">
        <f t="shared" si="9"/>
        <v>3.5093028587256915E-2</v>
      </c>
      <c r="L47" s="27">
        <v>1025574265</v>
      </c>
      <c r="M47" s="24">
        <f t="shared" si="10"/>
        <v>2289453651</v>
      </c>
      <c r="N47" s="25">
        <f t="shared" si="11"/>
        <v>2.0647478549337205E-2</v>
      </c>
      <c r="O47" s="26">
        <f t="shared" si="12"/>
        <v>2243138497</v>
      </c>
      <c r="P47" s="25">
        <f t="shared" si="13"/>
        <v>2.3134531134395901E-2</v>
      </c>
      <c r="Q47" s="28">
        <f t="shared" si="14"/>
        <v>2192417936</v>
      </c>
    </row>
    <row r="48" spans="1:17" x14ac:dyDescent="0.2">
      <c r="A48" s="23" t="s">
        <v>44</v>
      </c>
      <c r="B48" s="60" t="s">
        <v>121</v>
      </c>
      <c r="C48" s="24">
        <v>403306220</v>
      </c>
      <c r="D48" s="25">
        <f t="shared" si="7"/>
        <v>2.2387152711531178E-3</v>
      </c>
      <c r="E48" s="26">
        <v>402405349</v>
      </c>
      <c r="F48" s="25">
        <f t="shared" si="7"/>
        <v>8.0001003778407097E-3</v>
      </c>
      <c r="G48" s="27">
        <v>399211616</v>
      </c>
      <c r="H48" s="24">
        <v>398169407</v>
      </c>
      <c r="I48" s="25">
        <f t="shared" si="8"/>
        <v>4.5016813552141207E-3</v>
      </c>
      <c r="J48" s="26">
        <v>396385008</v>
      </c>
      <c r="K48" s="25">
        <f t="shared" si="9"/>
        <v>1.1171376551493768E-2</v>
      </c>
      <c r="L48" s="27">
        <v>392005764</v>
      </c>
      <c r="M48" s="24">
        <f t="shared" si="10"/>
        <v>801475627</v>
      </c>
      <c r="N48" s="25">
        <f t="shared" si="11"/>
        <v>3.3616705265258982E-3</v>
      </c>
      <c r="O48" s="26">
        <f t="shared" si="12"/>
        <v>798790357</v>
      </c>
      <c r="P48" s="25">
        <f t="shared" si="13"/>
        <v>9.5712975870171097E-3</v>
      </c>
      <c r="Q48" s="28">
        <f t="shared" si="14"/>
        <v>791217380</v>
      </c>
    </row>
    <row r="49" spans="1:17" x14ac:dyDescent="0.2">
      <c r="A49" s="23" t="s">
        <v>45</v>
      </c>
      <c r="B49" s="60" t="s">
        <v>121</v>
      </c>
      <c r="C49" s="24">
        <v>669557561</v>
      </c>
      <c r="D49" s="25">
        <f t="shared" si="7"/>
        <v>4.0288114619472612E-2</v>
      </c>
      <c r="E49" s="26">
        <v>643627041</v>
      </c>
      <c r="F49" s="25">
        <f t="shared" si="7"/>
        <v>3.9011406942560757E-2</v>
      </c>
      <c r="G49" s="27">
        <v>619460996</v>
      </c>
      <c r="H49" s="24">
        <v>610036595</v>
      </c>
      <c r="I49" s="25">
        <f t="shared" si="8"/>
        <v>5.6653671281691943E-2</v>
      </c>
      <c r="J49" s="26">
        <v>577328799</v>
      </c>
      <c r="K49" s="25">
        <f t="shared" si="9"/>
        <v>5.1178914909008277E-2</v>
      </c>
      <c r="L49" s="27">
        <v>549220300</v>
      </c>
      <c r="M49" s="24">
        <f t="shared" si="10"/>
        <v>1279594156</v>
      </c>
      <c r="N49" s="25">
        <f t="shared" si="11"/>
        <v>4.8026565809292494E-2</v>
      </c>
      <c r="O49" s="26">
        <f t="shared" si="12"/>
        <v>1220955840</v>
      </c>
      <c r="P49" s="25">
        <f t="shared" si="13"/>
        <v>4.4729511954129879E-2</v>
      </c>
      <c r="Q49" s="28">
        <f t="shared" si="14"/>
        <v>1168681296</v>
      </c>
    </row>
    <row r="50" spans="1:17" x14ac:dyDescent="0.2">
      <c r="A50" s="23" t="s">
        <v>46</v>
      </c>
      <c r="B50" s="60" t="s">
        <v>121</v>
      </c>
      <c r="C50" s="24">
        <v>1210494328</v>
      </c>
      <c r="D50" s="25">
        <f t="shared" si="7"/>
        <v>1.6578709493546034E-2</v>
      </c>
      <c r="E50" s="26">
        <v>1190753177</v>
      </c>
      <c r="F50" s="25">
        <f t="shared" si="7"/>
        <v>1.2072018069007507E-2</v>
      </c>
      <c r="G50" s="27">
        <v>1176549846</v>
      </c>
      <c r="H50" s="24">
        <v>1080758181</v>
      </c>
      <c r="I50" s="25">
        <f t="shared" si="8"/>
        <v>1.5873658912753868E-2</v>
      </c>
      <c r="J50" s="26">
        <v>1063870661</v>
      </c>
      <c r="K50" s="25">
        <f t="shared" si="9"/>
        <v>1.2309179845295386E-2</v>
      </c>
      <c r="L50" s="27">
        <v>1050934519</v>
      </c>
      <c r="M50" s="24">
        <f t="shared" si="10"/>
        <v>2291252509</v>
      </c>
      <c r="N50" s="25">
        <f t="shared" si="11"/>
        <v>1.6246023120420852E-2</v>
      </c>
      <c r="O50" s="26">
        <f t="shared" si="12"/>
        <v>2254623838</v>
      </c>
      <c r="P50" s="25">
        <f t="shared" si="13"/>
        <v>1.2183911782473947E-2</v>
      </c>
      <c r="Q50" s="28">
        <f t="shared" si="14"/>
        <v>2227484365</v>
      </c>
    </row>
    <row r="51" spans="1:17" x14ac:dyDescent="0.2">
      <c r="A51" s="23" t="s">
        <v>47</v>
      </c>
      <c r="B51" s="60" t="s">
        <v>121</v>
      </c>
      <c r="C51" s="24">
        <v>209183852</v>
      </c>
      <c r="D51" s="25">
        <f t="shared" si="7"/>
        <v>3.4159158830687222E-2</v>
      </c>
      <c r="E51" s="26">
        <v>202274331</v>
      </c>
      <c r="F51" s="25">
        <f t="shared" si="7"/>
        <v>1.8360607841784737E-2</v>
      </c>
      <c r="G51" s="27">
        <v>198627411</v>
      </c>
      <c r="H51" s="24">
        <v>137009526</v>
      </c>
      <c r="I51" s="25">
        <f t="shared" si="8"/>
        <v>9.38385992571069E-2</v>
      </c>
      <c r="J51" s="26">
        <v>125255706</v>
      </c>
      <c r="K51" s="25">
        <f t="shared" si="9"/>
        <v>6.3167441923039261E-2</v>
      </c>
      <c r="L51" s="27">
        <v>117813715</v>
      </c>
      <c r="M51" s="24">
        <f t="shared" si="10"/>
        <v>346193378</v>
      </c>
      <c r="N51" s="25">
        <f t="shared" si="11"/>
        <v>5.6982074593665437E-2</v>
      </c>
      <c r="O51" s="26">
        <f t="shared" si="12"/>
        <v>327530037</v>
      </c>
      <c r="P51" s="25">
        <f t="shared" si="13"/>
        <v>3.5042572184501707E-2</v>
      </c>
      <c r="Q51" s="28">
        <f t="shared" si="14"/>
        <v>316441126</v>
      </c>
    </row>
    <row r="52" spans="1:17" x14ac:dyDescent="0.2">
      <c r="A52" s="23" t="s">
        <v>48</v>
      </c>
      <c r="B52" s="60" t="s">
        <v>121</v>
      </c>
      <c r="C52" s="24">
        <v>6038659453</v>
      </c>
      <c r="D52" s="25">
        <f t="shared" si="7"/>
        <v>1.0929060263188191E-2</v>
      </c>
      <c r="E52" s="26">
        <v>5973376066</v>
      </c>
      <c r="F52" s="25">
        <f t="shared" si="7"/>
        <v>1.8355449422393061E-2</v>
      </c>
      <c r="G52" s="27">
        <v>5865708353</v>
      </c>
      <c r="H52" s="24">
        <v>5517602936</v>
      </c>
      <c r="I52" s="25">
        <f t="shared" si="8"/>
        <v>2.310721365290087E-2</v>
      </c>
      <c r="J52" s="26">
        <v>5392986055</v>
      </c>
      <c r="K52" s="25">
        <f t="shared" si="9"/>
        <v>2.8951177702213692E-2</v>
      </c>
      <c r="L52" s="27">
        <v>5241245816</v>
      </c>
      <c r="M52" s="24">
        <f t="shared" si="10"/>
        <v>11556262389</v>
      </c>
      <c r="N52" s="25">
        <f t="shared" si="11"/>
        <v>1.6707216080081459E-2</v>
      </c>
      <c r="O52" s="26">
        <f t="shared" si="12"/>
        <v>11366362121</v>
      </c>
      <c r="P52" s="25">
        <f t="shared" si="13"/>
        <v>2.3355453534148817E-2</v>
      </c>
      <c r="Q52" s="28">
        <f t="shared" si="14"/>
        <v>11106954169</v>
      </c>
    </row>
    <row r="53" spans="1:17" x14ac:dyDescent="0.2">
      <c r="A53" s="23" t="s">
        <v>49</v>
      </c>
      <c r="B53" s="60" t="s">
        <v>121</v>
      </c>
      <c r="C53" s="24">
        <v>1891133744</v>
      </c>
      <c r="D53" s="25">
        <f t="shared" si="7"/>
        <v>4.6635997729647882E-2</v>
      </c>
      <c r="E53" s="26">
        <v>1806868623</v>
      </c>
      <c r="F53" s="25">
        <f t="shared" si="7"/>
        <v>6.0083835377755676E-2</v>
      </c>
      <c r="G53" s="27">
        <v>1704458235</v>
      </c>
      <c r="H53" s="24">
        <v>1714636558</v>
      </c>
      <c r="I53" s="25">
        <f t="shared" si="8"/>
        <v>6.1364736237257154E-2</v>
      </c>
      <c r="J53" s="26">
        <v>1615501721</v>
      </c>
      <c r="K53" s="25">
        <f t="shared" si="9"/>
        <v>7.2278917477926558E-2</v>
      </c>
      <c r="L53" s="27">
        <v>1506605879</v>
      </c>
      <c r="M53" s="24">
        <f t="shared" si="10"/>
        <v>3605770302</v>
      </c>
      <c r="N53" s="25">
        <f t="shared" si="11"/>
        <v>5.3588577379280841E-2</v>
      </c>
      <c r="O53" s="26">
        <f t="shared" si="12"/>
        <v>3422370344</v>
      </c>
      <c r="P53" s="25">
        <f t="shared" si="13"/>
        <v>6.5805671421732312E-2</v>
      </c>
      <c r="Q53" s="28">
        <f t="shared" si="14"/>
        <v>3211064114</v>
      </c>
    </row>
    <row r="54" spans="1:17" x14ac:dyDescent="0.2">
      <c r="A54" s="23" t="s">
        <v>50</v>
      </c>
      <c r="B54" s="60" t="s">
        <v>121</v>
      </c>
      <c r="C54" s="24">
        <v>8886715579</v>
      </c>
      <c r="D54" s="25">
        <f t="shared" si="7"/>
        <v>1.0445735978261079E-2</v>
      </c>
      <c r="E54" s="26">
        <v>8794846930</v>
      </c>
      <c r="F54" s="25">
        <f t="shared" si="7"/>
        <v>1.5900530869603812E-2</v>
      </c>
      <c r="G54" s="27">
        <v>8657192966</v>
      </c>
      <c r="H54" s="24">
        <v>8045314357</v>
      </c>
      <c r="I54" s="25">
        <f t="shared" si="8"/>
        <v>2.4987671498112287E-2</v>
      </c>
      <c r="J54" s="26">
        <v>7849181586</v>
      </c>
      <c r="K54" s="25">
        <f t="shared" si="9"/>
        <v>2.6182601676138267E-2</v>
      </c>
      <c r="L54" s="27">
        <v>7648913140</v>
      </c>
      <c r="M54" s="24">
        <f t="shared" si="10"/>
        <v>16932029936</v>
      </c>
      <c r="N54" s="25">
        <f t="shared" si="11"/>
        <v>1.7303588474577688E-2</v>
      </c>
      <c r="O54" s="26">
        <f t="shared" si="12"/>
        <v>16644028516</v>
      </c>
      <c r="P54" s="25">
        <f t="shared" si="13"/>
        <v>2.0723672948237345E-2</v>
      </c>
      <c r="Q54" s="28">
        <f t="shared" si="14"/>
        <v>16306106106</v>
      </c>
    </row>
    <row r="55" spans="1:17" x14ac:dyDescent="0.2">
      <c r="A55" s="23" t="s">
        <v>51</v>
      </c>
      <c r="B55" s="60" t="s">
        <v>121</v>
      </c>
      <c r="C55" s="24">
        <v>3740170918</v>
      </c>
      <c r="D55" s="25">
        <f t="shared" si="7"/>
        <v>3.3674211800792539E-2</v>
      </c>
      <c r="E55" s="26">
        <v>3618326621</v>
      </c>
      <c r="F55" s="25">
        <f t="shared" si="7"/>
        <v>3.9857976556765082E-2</v>
      </c>
      <c r="G55" s="27">
        <v>3479635395</v>
      </c>
      <c r="H55" s="24">
        <v>3101985880</v>
      </c>
      <c r="I55" s="25">
        <f t="shared" si="8"/>
        <v>6.6008199683046623E-2</v>
      </c>
      <c r="J55" s="26">
        <v>2909908086</v>
      </c>
      <c r="K55" s="25">
        <f t="shared" si="9"/>
        <v>6.754051269126983E-2</v>
      </c>
      <c r="L55" s="27">
        <v>2725805767</v>
      </c>
      <c r="M55" s="24">
        <f t="shared" si="10"/>
        <v>6842156798</v>
      </c>
      <c r="N55" s="25">
        <f t="shared" si="11"/>
        <v>4.808682669809531E-2</v>
      </c>
      <c r="O55" s="26">
        <f t="shared" si="12"/>
        <v>6528234707</v>
      </c>
      <c r="P55" s="25">
        <f t="shared" si="13"/>
        <v>5.2017823805449531E-2</v>
      </c>
      <c r="Q55" s="28">
        <f t="shared" si="14"/>
        <v>6205441162</v>
      </c>
    </row>
    <row r="56" spans="1:17" x14ac:dyDescent="0.2">
      <c r="A56" s="23" t="s">
        <v>52</v>
      </c>
      <c r="B56" s="60" t="s">
        <v>121</v>
      </c>
      <c r="C56" s="24">
        <v>6213939252</v>
      </c>
      <c r="D56" s="25">
        <f t="shared" si="7"/>
        <v>5.7173390148560635E-3</v>
      </c>
      <c r="E56" s="26">
        <v>6178614021</v>
      </c>
      <c r="F56" s="25">
        <f t="shared" si="7"/>
        <v>1.1321570834649139E-2</v>
      </c>
      <c r="G56" s="27">
        <v>6109445501</v>
      </c>
      <c r="H56" s="24">
        <v>5462300913</v>
      </c>
      <c r="I56" s="25">
        <f t="shared" si="8"/>
        <v>2.619208192057839E-2</v>
      </c>
      <c r="J56" s="26">
        <v>5322883512</v>
      </c>
      <c r="K56" s="25">
        <f t="shared" si="9"/>
        <v>2.6713750653800279E-2</v>
      </c>
      <c r="L56" s="27">
        <v>5184389036</v>
      </c>
      <c r="M56" s="24">
        <f t="shared" si="10"/>
        <v>11676240165</v>
      </c>
      <c r="N56" s="25">
        <f t="shared" si="11"/>
        <v>1.5193033037535322E-2</v>
      </c>
      <c r="O56" s="26">
        <f t="shared" si="12"/>
        <v>11501497533</v>
      </c>
      <c r="P56" s="25">
        <f t="shared" si="13"/>
        <v>1.8387288685669186E-2</v>
      </c>
      <c r="Q56" s="28">
        <f t="shared" si="14"/>
        <v>11293834537</v>
      </c>
    </row>
    <row r="57" spans="1:17" x14ac:dyDescent="0.2">
      <c r="A57" s="23" t="s">
        <v>53</v>
      </c>
      <c r="B57" s="60" t="s">
        <v>121</v>
      </c>
      <c r="C57" s="24">
        <v>3828886493</v>
      </c>
      <c r="D57" s="25">
        <f t="shared" si="7"/>
        <v>2.9984737715761267E-2</v>
      </c>
      <c r="E57" s="26">
        <v>3717420611</v>
      </c>
      <c r="F57" s="25">
        <f t="shared" si="7"/>
        <v>3.0963074534978596E-2</v>
      </c>
      <c r="G57" s="27">
        <v>3605774739</v>
      </c>
      <c r="H57" s="24">
        <v>3061966331</v>
      </c>
      <c r="I57" s="25">
        <f t="shared" si="8"/>
        <v>6.844237323523486E-2</v>
      </c>
      <c r="J57" s="26">
        <v>2865822629</v>
      </c>
      <c r="K57" s="25">
        <f t="shared" si="9"/>
        <v>6.3207067973227948E-2</v>
      </c>
      <c r="L57" s="27">
        <v>2695451070</v>
      </c>
      <c r="M57" s="24">
        <f t="shared" si="10"/>
        <v>6890852824</v>
      </c>
      <c r="N57" s="25">
        <f t="shared" si="11"/>
        <v>4.6726145880643472E-2</v>
      </c>
      <c r="O57" s="26">
        <f t="shared" si="12"/>
        <v>6583243240</v>
      </c>
      <c r="P57" s="25">
        <f t="shared" si="13"/>
        <v>4.4755963291649749E-2</v>
      </c>
      <c r="Q57" s="28">
        <f t="shared" si="14"/>
        <v>6301225809</v>
      </c>
    </row>
    <row r="58" spans="1:17" x14ac:dyDescent="0.2">
      <c r="A58" s="23" t="s">
        <v>54</v>
      </c>
      <c r="B58" s="60" t="s">
        <v>121</v>
      </c>
      <c r="C58" s="24">
        <v>477141147</v>
      </c>
      <c r="D58" s="25">
        <f t="shared" si="7"/>
        <v>1.1090665714954489E-2</v>
      </c>
      <c r="E58" s="26">
        <v>471907380</v>
      </c>
      <c r="F58" s="25">
        <f t="shared" si="7"/>
        <v>8.430544104369591E-3</v>
      </c>
      <c r="G58" s="27">
        <v>467962204</v>
      </c>
      <c r="H58" s="24">
        <v>284893193</v>
      </c>
      <c r="I58" s="25">
        <f t="shared" si="8"/>
        <v>8.2567026787702863E-2</v>
      </c>
      <c r="J58" s="26">
        <v>263164484</v>
      </c>
      <c r="K58" s="25">
        <f t="shared" si="9"/>
        <v>5.284517819787142E-2</v>
      </c>
      <c r="L58" s="27">
        <v>249955539</v>
      </c>
      <c r="M58" s="24">
        <f t="shared" si="10"/>
        <v>762034340</v>
      </c>
      <c r="N58" s="25">
        <f t="shared" si="11"/>
        <v>3.66800544551927E-2</v>
      </c>
      <c r="O58" s="26">
        <f t="shared" si="12"/>
        <v>735071864</v>
      </c>
      <c r="P58" s="25">
        <f t="shared" si="13"/>
        <v>2.3894270851027008E-2</v>
      </c>
      <c r="Q58" s="28">
        <f t="shared" si="14"/>
        <v>717917743</v>
      </c>
    </row>
    <row r="59" spans="1:17" x14ac:dyDescent="0.2">
      <c r="A59" s="23" t="s">
        <v>55</v>
      </c>
      <c r="B59" s="60" t="s">
        <v>121</v>
      </c>
      <c r="C59" s="24">
        <v>2032136971</v>
      </c>
      <c r="D59" s="25">
        <f t="shared" si="7"/>
        <v>4.9360351935911755E-2</v>
      </c>
      <c r="E59" s="26">
        <v>1936548267</v>
      </c>
      <c r="F59" s="25">
        <f t="shared" si="7"/>
        <v>5.8431590393281406E-2</v>
      </c>
      <c r="G59" s="27">
        <v>1829639520</v>
      </c>
      <c r="H59" s="24">
        <v>1969071285</v>
      </c>
      <c r="I59" s="25">
        <f t="shared" si="8"/>
        <v>5.6502737942279162E-2</v>
      </c>
      <c r="J59" s="26">
        <v>1863763542</v>
      </c>
      <c r="K59" s="25">
        <f t="shared" si="9"/>
        <v>6.4919472891597732E-2</v>
      </c>
      <c r="L59" s="27">
        <v>1750145048</v>
      </c>
      <c r="M59" s="24">
        <f t="shared" si="10"/>
        <v>4001208256</v>
      </c>
      <c r="N59" s="25">
        <f t="shared" si="11"/>
        <v>5.2863148366992324E-2</v>
      </c>
      <c r="O59" s="26">
        <f t="shared" si="12"/>
        <v>3800311809</v>
      </c>
      <c r="P59" s="25">
        <f t="shared" si="13"/>
        <v>6.1603495073785125E-2</v>
      </c>
      <c r="Q59" s="28">
        <f t="shared" si="14"/>
        <v>3579784568</v>
      </c>
    </row>
    <row r="60" spans="1:17" x14ac:dyDescent="0.2">
      <c r="A60" s="23" t="s">
        <v>56</v>
      </c>
      <c r="B60" s="60" t="s">
        <v>121</v>
      </c>
      <c r="C60" s="24">
        <v>2285800420</v>
      </c>
      <c r="D60" s="25">
        <f t="shared" si="7"/>
        <v>4.8419702957122453E-2</v>
      </c>
      <c r="E60" s="26">
        <v>2180234131</v>
      </c>
      <c r="F60" s="25">
        <f t="shared" si="7"/>
        <v>4.1180985491191015E-2</v>
      </c>
      <c r="G60" s="27">
        <v>2094001102</v>
      </c>
      <c r="H60" s="24">
        <v>2008212754</v>
      </c>
      <c r="I60" s="25">
        <f t="shared" si="8"/>
        <v>7.2008850319036199E-2</v>
      </c>
      <c r="J60" s="26">
        <v>1873317327</v>
      </c>
      <c r="K60" s="25">
        <f t="shared" si="9"/>
        <v>5.9943320427219282E-2</v>
      </c>
      <c r="L60" s="27">
        <v>1767375001</v>
      </c>
      <c r="M60" s="24">
        <f t="shared" si="10"/>
        <v>4294013174</v>
      </c>
      <c r="N60" s="25">
        <f t="shared" si="11"/>
        <v>5.93212442204058E-2</v>
      </c>
      <c r="O60" s="26">
        <f t="shared" si="12"/>
        <v>4053551458</v>
      </c>
      <c r="P60" s="25">
        <f t="shared" si="13"/>
        <v>4.976861871877597E-2</v>
      </c>
      <c r="Q60" s="28">
        <f t="shared" si="14"/>
        <v>3861376103</v>
      </c>
    </row>
    <row r="61" spans="1:17" x14ac:dyDescent="0.2">
      <c r="A61" s="23" t="s">
        <v>57</v>
      </c>
      <c r="B61" s="60" t="s">
        <v>121</v>
      </c>
      <c r="C61" s="24">
        <v>1269488373</v>
      </c>
      <c r="D61" s="25">
        <f t="shared" si="7"/>
        <v>3.5887655716964312E-2</v>
      </c>
      <c r="E61" s="26">
        <v>1225507772</v>
      </c>
      <c r="F61" s="25">
        <f t="shared" si="7"/>
        <v>2.4779383811933085E-2</v>
      </c>
      <c r="G61" s="27">
        <v>1195874733</v>
      </c>
      <c r="H61" s="24">
        <v>1088690985</v>
      </c>
      <c r="I61" s="25">
        <f t="shared" si="8"/>
        <v>4.2379493218583537E-2</v>
      </c>
      <c r="J61" s="26">
        <v>1044428629</v>
      </c>
      <c r="K61" s="25">
        <f t="shared" si="9"/>
        <v>2.9166752953751776E-2</v>
      </c>
      <c r="L61" s="27">
        <v>1014829352</v>
      </c>
      <c r="M61" s="24">
        <f t="shared" si="10"/>
        <v>2358179358</v>
      </c>
      <c r="N61" s="25">
        <f t="shared" si="11"/>
        <v>3.8874638496975228E-2</v>
      </c>
      <c r="O61" s="26">
        <f t="shared" si="12"/>
        <v>2269936401</v>
      </c>
      <c r="P61" s="25">
        <f t="shared" si="13"/>
        <v>2.6793416813177869E-2</v>
      </c>
      <c r="Q61" s="28">
        <f t="shared" si="14"/>
        <v>2210704085</v>
      </c>
    </row>
    <row r="62" spans="1:17" x14ac:dyDescent="0.2">
      <c r="A62" s="23" t="s">
        <v>58</v>
      </c>
      <c r="B62" s="60" t="s">
        <v>121</v>
      </c>
      <c r="C62" s="24">
        <v>3286089467</v>
      </c>
      <c r="D62" s="25">
        <f t="shared" si="7"/>
        <v>2.4765241461483928E-2</v>
      </c>
      <c r="E62" s="26">
        <v>3206675377</v>
      </c>
      <c r="F62" s="25">
        <f t="shared" si="7"/>
        <v>2.6010930890256495E-2</v>
      </c>
      <c r="G62" s="27">
        <v>3125381300</v>
      </c>
      <c r="H62" s="24">
        <v>3099415280</v>
      </c>
      <c r="I62" s="25">
        <f t="shared" si="8"/>
        <v>3.5777028596972349E-2</v>
      </c>
      <c r="J62" s="26">
        <v>2992357616</v>
      </c>
      <c r="K62" s="25">
        <f t="shared" si="9"/>
        <v>3.4091788130388108E-2</v>
      </c>
      <c r="L62" s="27">
        <v>2893706004</v>
      </c>
      <c r="M62" s="24">
        <f t="shared" si="10"/>
        <v>6385504747</v>
      </c>
      <c r="N62" s="25">
        <f t="shared" si="11"/>
        <v>3.0080781020292272E-2</v>
      </c>
      <c r="O62" s="26">
        <f t="shared" si="12"/>
        <v>6199032993</v>
      </c>
      <c r="P62" s="25">
        <f t="shared" si="13"/>
        <v>2.9895842992743539E-2</v>
      </c>
      <c r="Q62" s="28">
        <f t="shared" si="14"/>
        <v>6019087304</v>
      </c>
    </row>
    <row r="63" spans="1:17" x14ac:dyDescent="0.2">
      <c r="A63" s="23" t="s">
        <v>59</v>
      </c>
      <c r="B63" s="60" t="s">
        <v>121</v>
      </c>
      <c r="C63" s="24">
        <v>2619934908</v>
      </c>
      <c r="D63" s="25">
        <f t="shared" si="7"/>
        <v>9.8930641917177563E-3</v>
      </c>
      <c r="E63" s="26">
        <v>2594269632</v>
      </c>
      <c r="F63" s="25">
        <f t="shared" si="7"/>
        <v>1.4574325669836895E-2</v>
      </c>
      <c r="G63" s="27">
        <v>2557003037</v>
      </c>
      <c r="H63" s="24">
        <v>2480223276</v>
      </c>
      <c r="I63" s="25">
        <f t="shared" si="8"/>
        <v>1.9901565503740008E-2</v>
      </c>
      <c r="J63" s="26">
        <v>2431826129</v>
      </c>
      <c r="K63" s="25">
        <f t="shared" si="9"/>
        <v>2.2421912667518602E-2</v>
      </c>
      <c r="L63" s="27">
        <v>2378495706</v>
      </c>
      <c r="M63" s="24">
        <f t="shared" si="10"/>
        <v>5100158184</v>
      </c>
      <c r="N63" s="25">
        <f t="shared" si="11"/>
        <v>1.4735577378904619E-2</v>
      </c>
      <c r="O63" s="26">
        <f t="shared" si="12"/>
        <v>5026095761</v>
      </c>
      <c r="P63" s="25">
        <f t="shared" si="13"/>
        <v>1.8356203236500349E-2</v>
      </c>
      <c r="Q63" s="28">
        <f t="shared" si="14"/>
        <v>4935498743</v>
      </c>
    </row>
    <row r="64" spans="1:17" x14ac:dyDescent="0.2">
      <c r="A64" s="23" t="s">
        <v>60</v>
      </c>
      <c r="B64" s="60" t="s">
        <v>121</v>
      </c>
      <c r="C64" s="24">
        <v>1300472299</v>
      </c>
      <c r="D64" s="25">
        <f t="shared" si="7"/>
        <v>4.8499535052105427E-2</v>
      </c>
      <c r="E64" s="26">
        <v>1240317478</v>
      </c>
      <c r="F64" s="25">
        <f t="shared" si="7"/>
        <v>3.2201059347258414E-2</v>
      </c>
      <c r="G64" s="27">
        <v>1201623915</v>
      </c>
      <c r="H64" s="24">
        <v>1207854043</v>
      </c>
      <c r="I64" s="25">
        <f t="shared" si="8"/>
        <v>5.7815521494795061E-2</v>
      </c>
      <c r="J64" s="26">
        <v>1141838079</v>
      </c>
      <c r="K64" s="25">
        <f t="shared" si="9"/>
        <v>4.3969710352446172E-2</v>
      </c>
      <c r="L64" s="27">
        <v>1093746368</v>
      </c>
      <c r="M64" s="24">
        <f t="shared" si="10"/>
        <v>2508326342</v>
      </c>
      <c r="N64" s="25">
        <f t="shared" si="11"/>
        <v>5.2964964705703305E-2</v>
      </c>
      <c r="O64" s="26">
        <f t="shared" si="12"/>
        <v>2382155557</v>
      </c>
      <c r="P64" s="25">
        <f t="shared" si="13"/>
        <v>3.7808834000662192E-2</v>
      </c>
      <c r="Q64" s="28">
        <f t="shared" si="14"/>
        <v>2295370283</v>
      </c>
    </row>
    <row r="65" spans="1:17" x14ac:dyDescent="0.2">
      <c r="A65" s="23" t="s">
        <v>61</v>
      </c>
      <c r="B65" s="60" t="s">
        <v>121</v>
      </c>
      <c r="C65" s="24">
        <v>254053751</v>
      </c>
      <c r="D65" s="25">
        <f t="shared" si="7"/>
        <v>1.1705553119015886E-2</v>
      </c>
      <c r="E65" s="26">
        <v>251114319</v>
      </c>
      <c r="F65" s="25">
        <f t="shared" si="7"/>
        <v>1.5238844505594464E-2</v>
      </c>
      <c r="G65" s="27">
        <v>247345066</v>
      </c>
      <c r="H65" s="24">
        <v>160283210</v>
      </c>
      <c r="I65" s="25">
        <f t="shared" si="8"/>
        <v>2.7016845314766478E-2</v>
      </c>
      <c r="J65" s="26">
        <v>156066778</v>
      </c>
      <c r="K65" s="25">
        <f t="shared" si="9"/>
        <v>4.9163807854188835E-2</v>
      </c>
      <c r="L65" s="27">
        <v>148753490</v>
      </c>
      <c r="M65" s="24">
        <f t="shared" si="10"/>
        <v>414336961</v>
      </c>
      <c r="N65" s="25">
        <f t="shared" si="11"/>
        <v>1.7574155707920792E-2</v>
      </c>
      <c r="O65" s="26">
        <f t="shared" si="12"/>
        <v>407181097</v>
      </c>
      <c r="P65" s="25">
        <f t="shared" si="13"/>
        <v>2.7979251204339153E-2</v>
      </c>
      <c r="Q65" s="28">
        <f t="shared" si="14"/>
        <v>396098556</v>
      </c>
    </row>
    <row r="66" spans="1:17" x14ac:dyDescent="0.2">
      <c r="A66" s="23" t="s">
        <v>62</v>
      </c>
      <c r="B66" s="60" t="s">
        <v>122</v>
      </c>
      <c r="C66" s="24">
        <v>129474534</v>
      </c>
      <c r="D66" s="25">
        <f t="shared" si="7"/>
        <v>9.4229730043267623E-3</v>
      </c>
      <c r="E66" s="26">
        <v>128265888</v>
      </c>
      <c r="F66" s="25">
        <f t="shared" si="7"/>
        <v>9.1825495405751158E-3</v>
      </c>
      <c r="G66" s="27">
        <v>127098797</v>
      </c>
      <c r="H66" s="24">
        <v>68932892</v>
      </c>
      <c r="I66" s="25">
        <f t="shared" si="8"/>
        <v>7.8923250657962185E-2</v>
      </c>
      <c r="J66" s="26">
        <v>63890450</v>
      </c>
      <c r="K66" s="25">
        <f t="shared" si="9"/>
        <v>5.7008051336909719E-2</v>
      </c>
      <c r="L66" s="27">
        <v>60444620</v>
      </c>
      <c r="M66" s="24">
        <f t="shared" si="10"/>
        <v>198407426</v>
      </c>
      <c r="N66" s="25">
        <f t="shared" si="11"/>
        <v>3.2531261081796846E-2</v>
      </c>
      <c r="O66" s="26">
        <f t="shared" si="12"/>
        <v>192156338</v>
      </c>
      <c r="P66" s="25">
        <f t="shared" si="13"/>
        <v>2.4596549821847388E-2</v>
      </c>
      <c r="Q66" s="28">
        <f t="shared" si="14"/>
        <v>187543417</v>
      </c>
    </row>
    <row r="67" spans="1:17" x14ac:dyDescent="0.2">
      <c r="A67" s="23" t="s">
        <v>63</v>
      </c>
      <c r="B67" s="60" t="s">
        <v>122</v>
      </c>
      <c r="C67" s="24">
        <v>69303541</v>
      </c>
      <c r="D67" s="25">
        <f t="shared" si="7"/>
        <v>2.7881881137748667E-2</v>
      </c>
      <c r="E67" s="26">
        <v>67423643</v>
      </c>
      <c r="F67" s="25">
        <f t="shared" si="7"/>
        <v>1.285345541478825E-2</v>
      </c>
      <c r="G67" s="27">
        <v>66568014</v>
      </c>
      <c r="H67" s="24">
        <v>39133285</v>
      </c>
      <c r="I67" s="25">
        <f t="shared" si="8"/>
        <v>9.846300508635783E-2</v>
      </c>
      <c r="J67" s="26">
        <v>35625492</v>
      </c>
      <c r="K67" s="25">
        <f t="shared" si="9"/>
        <v>3.7370867673838681E-2</v>
      </c>
      <c r="L67" s="27">
        <v>34342098</v>
      </c>
      <c r="M67" s="24">
        <f t="shared" si="10"/>
        <v>108436826</v>
      </c>
      <c r="N67" s="25">
        <f t="shared" si="11"/>
        <v>5.2282738714885868E-2</v>
      </c>
      <c r="O67" s="26">
        <f t="shared" si="12"/>
        <v>103049135</v>
      </c>
      <c r="P67" s="25">
        <f t="shared" si="13"/>
        <v>2.1197310731356635E-2</v>
      </c>
      <c r="Q67" s="28">
        <f t="shared" si="14"/>
        <v>100910112</v>
      </c>
    </row>
    <row r="68" spans="1:17" x14ac:dyDescent="0.2">
      <c r="A68" s="23" t="s">
        <v>64</v>
      </c>
      <c r="B68" s="60" t="s">
        <v>121</v>
      </c>
      <c r="C68" s="24">
        <v>3610562066</v>
      </c>
      <c r="D68" s="25">
        <f t="shared" si="7"/>
        <v>2.1258344852868625E-2</v>
      </c>
      <c r="E68" s="26">
        <v>3535405203</v>
      </c>
      <c r="F68" s="25">
        <f t="shared" si="7"/>
        <v>2.2803565180741083E-2</v>
      </c>
      <c r="G68" s="27">
        <v>3456582792</v>
      </c>
      <c r="H68" s="24">
        <v>3224782936</v>
      </c>
      <c r="I68" s="25">
        <f t="shared" si="8"/>
        <v>4.4764125153208205E-2</v>
      </c>
      <c r="J68" s="26">
        <v>3086613388</v>
      </c>
      <c r="K68" s="25">
        <f t="shared" si="9"/>
        <v>4.217154316011941E-2</v>
      </c>
      <c r="L68" s="27">
        <v>2961713365</v>
      </c>
      <c r="M68" s="24">
        <f t="shared" si="10"/>
        <v>6835345002</v>
      </c>
      <c r="N68" s="25">
        <f t="shared" si="11"/>
        <v>3.2214710373953404E-2</v>
      </c>
      <c r="O68" s="26">
        <f t="shared" si="12"/>
        <v>6622018591</v>
      </c>
      <c r="P68" s="25">
        <f t="shared" si="13"/>
        <v>3.1740890263814603E-2</v>
      </c>
      <c r="Q68" s="28">
        <f t="shared" si="14"/>
        <v>6418296157</v>
      </c>
    </row>
    <row r="69" spans="1:17" x14ac:dyDescent="0.2">
      <c r="A69" s="23" t="s">
        <v>65</v>
      </c>
      <c r="B69" s="60" t="s">
        <v>122</v>
      </c>
      <c r="C69" s="24">
        <v>235982898</v>
      </c>
      <c r="D69" s="25">
        <f t="shared" si="7"/>
        <v>3.7185413809658396E-2</v>
      </c>
      <c r="E69" s="26">
        <v>227522384</v>
      </c>
      <c r="F69" s="25">
        <f t="shared" si="7"/>
        <v>3.6895204065851728E-2</v>
      </c>
      <c r="G69" s="27">
        <v>219426595</v>
      </c>
      <c r="H69" s="24">
        <v>179734841</v>
      </c>
      <c r="I69" s="25">
        <f>((H69-J69)/J69)</f>
        <v>7.3384278725826077E-2</v>
      </c>
      <c r="J69" s="26">
        <v>167446873</v>
      </c>
      <c r="K69" s="25">
        <f>((J69-L69)/L69)</f>
        <v>6.5038196563889192E-2</v>
      </c>
      <c r="L69" s="27">
        <v>157221472</v>
      </c>
      <c r="M69" s="24">
        <f t="shared" si="10"/>
        <v>415717739</v>
      </c>
      <c r="N69" s="25">
        <f>((M69-O69)/O69)</f>
        <v>5.2531891108679375E-2</v>
      </c>
      <c r="O69" s="26">
        <f t="shared" si="12"/>
        <v>394969257</v>
      </c>
      <c r="P69" s="25">
        <f>((O69-Q69)/Q69)</f>
        <v>4.8642729394387151E-2</v>
      </c>
      <c r="Q69" s="28">
        <f t="shared" si="14"/>
        <v>376648067</v>
      </c>
    </row>
    <row r="70" spans="1:17" x14ac:dyDescent="0.2">
      <c r="A70" s="23" t="s">
        <v>66</v>
      </c>
      <c r="B70" s="60" t="s">
        <v>121</v>
      </c>
      <c r="C70" s="24">
        <v>474784998</v>
      </c>
      <c r="D70" s="25">
        <f t="shared" ref="D70:F73" si="15">((C70-E70)/E70)</f>
        <v>2.4261783247527702E-2</v>
      </c>
      <c r="E70" s="26">
        <v>463538722</v>
      </c>
      <c r="F70" s="25">
        <f t="shared" si="15"/>
        <v>4.3943832577054143E-2</v>
      </c>
      <c r="G70" s="27">
        <v>444026496</v>
      </c>
      <c r="H70" s="24">
        <v>378172313</v>
      </c>
      <c r="I70" s="25">
        <f>((H70-J70)/J70)</f>
        <v>4.0553738716542914E-2</v>
      </c>
      <c r="J70" s="26">
        <v>363433717</v>
      </c>
      <c r="K70" s="25">
        <f>((J70-L70)/L70)</f>
        <v>6.1110508132108582E-2</v>
      </c>
      <c r="L70" s="27">
        <v>342503174</v>
      </c>
      <c r="M70" s="24">
        <f t="shared" si="10"/>
        <v>852957311</v>
      </c>
      <c r="N70" s="25">
        <f>((M70-O70)/O70)</f>
        <v>3.1421690463374681E-2</v>
      </c>
      <c r="O70" s="26">
        <f t="shared" si="12"/>
        <v>826972439</v>
      </c>
      <c r="P70" s="25">
        <f>((O70-Q70)/Q70)</f>
        <v>5.1419254152230517E-2</v>
      </c>
      <c r="Q70" s="28">
        <f t="shared" si="14"/>
        <v>786529670</v>
      </c>
    </row>
    <row r="71" spans="1:17" x14ac:dyDescent="0.2">
      <c r="A71" s="23" t="s">
        <v>67</v>
      </c>
      <c r="B71" s="60" t="s">
        <v>122</v>
      </c>
      <c r="C71" s="24">
        <v>145603598</v>
      </c>
      <c r="D71" s="25">
        <f t="shared" si="15"/>
        <v>1.6920709438877857E-2</v>
      </c>
      <c r="E71" s="26">
        <v>143180876</v>
      </c>
      <c r="F71" s="25">
        <f t="shared" si="15"/>
        <v>1.185930292012978E-2</v>
      </c>
      <c r="G71" s="27">
        <v>141502752</v>
      </c>
      <c r="H71" s="24">
        <v>87741862</v>
      </c>
      <c r="I71" s="25">
        <f>((H71-J71)/J71)</f>
        <v>8.5447995544586611E-2</v>
      </c>
      <c r="J71" s="26">
        <v>80834699</v>
      </c>
      <c r="K71" s="25">
        <f>((J71-L71)/L71)</f>
        <v>6.5207674826485207E-2</v>
      </c>
      <c r="L71" s="27">
        <v>75886328</v>
      </c>
      <c r="M71" s="24">
        <f t="shared" si="10"/>
        <v>233345460</v>
      </c>
      <c r="N71" s="25">
        <f>((M71-O71)/O71)</f>
        <v>4.1648376457752996E-2</v>
      </c>
      <c r="O71" s="26">
        <f t="shared" si="12"/>
        <v>224015575</v>
      </c>
      <c r="P71" s="25">
        <f>((O71-Q71)/Q71)</f>
        <v>3.048218889375676E-2</v>
      </c>
      <c r="Q71" s="28">
        <f t="shared" si="14"/>
        <v>217389080</v>
      </c>
    </row>
    <row r="72" spans="1:17" x14ac:dyDescent="0.2">
      <c r="A72" s="23"/>
      <c r="B72" s="60"/>
      <c r="C72" s="24"/>
      <c r="D72" s="30"/>
      <c r="E72" s="26"/>
      <c r="F72" s="30"/>
      <c r="G72" s="27"/>
      <c r="H72" s="24"/>
      <c r="I72" s="30"/>
      <c r="J72" s="26"/>
      <c r="K72" s="30"/>
      <c r="L72" s="27"/>
      <c r="M72" s="24"/>
      <c r="N72" s="30"/>
      <c r="O72" s="26"/>
      <c r="P72" s="30"/>
      <c r="Q72" s="28"/>
    </row>
    <row r="73" spans="1:17" ht="15.75" thickBot="1" x14ac:dyDescent="0.3">
      <c r="A73" s="31" t="s">
        <v>68</v>
      </c>
      <c r="B73" s="32"/>
      <c r="C73" s="33">
        <f>SUM(C5:C71)</f>
        <v>122326288327</v>
      </c>
      <c r="D73" s="34">
        <f t="shared" si="15"/>
        <v>1.795866214269742E-2</v>
      </c>
      <c r="E73" s="33">
        <f>SUM(E5:E71)</f>
        <v>120168227725</v>
      </c>
      <c r="F73" s="34">
        <f t="shared" si="15"/>
        <v>2.1820859455273331E-2</v>
      </c>
      <c r="G73" s="36">
        <f>SUM(G5:G71)</f>
        <v>117602049922</v>
      </c>
      <c r="H73" s="33">
        <f>SUM(H5:H71)</f>
        <v>108176646352</v>
      </c>
      <c r="I73" s="34">
        <f>((H73-J73)/J73)</f>
        <v>3.6613723318009953E-2</v>
      </c>
      <c r="J73" s="35">
        <f>SUM(J5:J71)</f>
        <v>104355792248</v>
      </c>
      <c r="K73" s="34">
        <f>((J73-L73)/L73)</f>
        <v>3.6312708918312481E-2</v>
      </c>
      <c r="L73" s="36">
        <f>SUM(L5:L71)</f>
        <v>100699133910</v>
      </c>
      <c r="M73" s="33">
        <f>SUM(M5:M71)</f>
        <v>230502934679</v>
      </c>
      <c r="N73" s="34">
        <f>((M73-O73)/O73)</f>
        <v>2.6629287622406683E-2</v>
      </c>
      <c r="O73" s="35">
        <f>SUM(O5:O71)</f>
        <v>224524019973</v>
      </c>
      <c r="P73" s="34">
        <f>((O73-Q73)/Q73)</f>
        <v>2.8505737036171843E-2</v>
      </c>
      <c r="Q73" s="37">
        <f>SUM(Q5:Q71)</f>
        <v>218301183832</v>
      </c>
    </row>
    <row r="75" spans="1:17" x14ac:dyDescent="0.2">
      <c r="A75" s="38" t="s">
        <v>116</v>
      </c>
    </row>
  </sheetData>
  <phoneticPr fontId="0" type="noConversion"/>
  <conditionalFormatting sqref="A4:Q73">
    <cfRule type="expression" dxfId="0" priority="1" stopIfTrue="1">
      <formula>MOD(ROW(),3)=1</formula>
    </cfRule>
  </conditionalFormatting>
  <pageMargins left="0.7" right="0.7" top="0.75" bottom="0.75" header="0.3" footer="0.3"/>
  <pageSetup scale="65" fitToWidth="3" orientation="landscape" r:id="rId1"/>
  <headerFooter alignWithMargins="0"/>
  <rowBreaks count="1" manualBreakCount="1">
    <brk id="37" max="16383" man="1"/>
  </rowBreaks>
  <ignoredErrors>
    <ignoredError sqref="Q5:Q16 J73 O72:O73 O5:O28 O66:O71 O29:O65 G73 L73 N5:N73 P5:P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FBE7B12-90AE-47AF-89A2-91A54492293B}"/>
</file>

<file path=customXml/itemProps2.xml><?xml version="1.0" encoding="utf-8"?>
<ds:datastoreItem xmlns:ds="http://schemas.openxmlformats.org/officeDocument/2006/customXml" ds:itemID="{451B124A-C912-47AA-BB09-6FA9DBE4B3C6}"/>
</file>

<file path=customXml/itemProps3.xml><?xml version="1.0" encoding="utf-8"?>
<ds:datastoreItem xmlns:ds="http://schemas.openxmlformats.org/officeDocument/2006/customXml" ds:itemID="{BBDD8B10-1D75-4E7C-8849-C8C00FEBA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Total Exemption Value by Type</vt:lpstr>
      <vt:lpstr>Real Exemption Value by Type</vt:lpstr>
      <vt:lpstr>Personal Property by Type</vt:lpstr>
      <vt:lpstr>3-Year Homestead Comparison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2011-08-03T19:54:02Z</cp:lastPrinted>
  <dcterms:created xsi:type="dcterms:W3CDTF">2011-02-09T19:53:54Z</dcterms:created>
  <dcterms:modified xsi:type="dcterms:W3CDTF">2023-01-04T18:20:02Z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