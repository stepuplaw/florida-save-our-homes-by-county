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2 Data Book\Final Drafts\"/>
    </mc:Choice>
  </mc:AlternateContent>
  <xr:revisionPtr revIDLastSave="0" documentId="13_ncr:1_{5BAAD3D5-EF75-4930-9CFC-CCFAF7819CAB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Report Index" sheetId="4" r:id="rId1"/>
    <sheet name="Millage Rates" sheetId="1" r:id="rId2"/>
    <sheet name="Taxes Levied" sheetId="2" r:id="rId3"/>
    <sheet name="Tax Roll Reconcilia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B73" i="2" l="1"/>
  <c r="C73" i="2"/>
  <c r="D73" i="2"/>
  <c r="E73" i="2"/>
  <c r="F73" i="2"/>
  <c r="G73" i="2"/>
  <c r="I73" i="2"/>
  <c r="J73" i="2"/>
  <c r="K73" i="2"/>
  <c r="L73" i="2"/>
  <c r="M73" i="2"/>
  <c r="E73" i="3"/>
  <c r="C73" i="3"/>
  <c r="D73" i="3"/>
  <c r="F73" i="3"/>
  <c r="G73" i="3"/>
  <c r="H73" i="3"/>
  <c r="I73" i="3"/>
  <c r="J73" i="3"/>
  <c r="K73" i="3"/>
  <c r="L73" i="3"/>
  <c r="M73" i="3"/>
  <c r="N73" i="3"/>
  <c r="O73" i="3"/>
  <c r="B73" i="3"/>
  <c r="N73" i="2" l="1"/>
  <c r="H73" i="2"/>
  <c r="O73" i="2" s="1"/>
</calcChain>
</file>

<file path=xl/sharedStrings.xml><?xml version="1.0" encoding="utf-8"?>
<sst xmlns="http://schemas.openxmlformats.org/spreadsheetml/2006/main" count="274" uniqueCount="119">
  <si>
    <t>County-Wide Levies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</si>
  <si>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</si>
  <si>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</si>
  <si>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</si>
  <si>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</si>
  <si>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</si>
  <si>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</si>
  <si>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</si>
  <si>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</si>
  <si>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</si>
  <si>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</si>
  <si>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</si>
  <si>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</si>
  <si>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</si>
  <si>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</si>
  <si>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</si>
  <si>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</si>
  <si>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</si>
  <si>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</si>
  <si>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</si>
  <si>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</si>
  <si>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</si>
  <si>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</si>
  <si>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</si>
  <si>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</si>
  <si>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</si>
  <si>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</si>
  <si>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</si>
  <si>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</si>
  <si>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</si>
  <si>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</si>
  <si>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</si>
  <si>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</si>
  <si>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</si>
  <si>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</si>
  <si>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</si>
  <si>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</si>
  <si>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</si>
  <si>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</si>
  <si>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</si>
  <si>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</si>
  <si>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</si>
  <si>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</si>
  <si>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</si>
  <si>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</si>
  <si>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</si>
  <si>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</si>
  <si>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</si>
  <si>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</si>
  <si>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</si>
  <si>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</si>
  <si>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</si>
  <si>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</si>
  <si>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</si>
  <si>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</si>
  <si>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</si>
  <si>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</si>
  <si>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</si>
  <si>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</si>
  <si>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</si>
  <si>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</si>
  <si>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</si>
  <si>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</si>
  <si>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</si>
  <si>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</si>
  <si>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</si>
  <si>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MSTU</t>
  </si>
  <si>
    <t>Municipal</t>
  </si>
  <si>
    <t>*Aggregate millage rates calculated by dividing total taxes levied by the county-wide taxable value.</t>
  </si>
  <si>
    <t>School millages are calculated based on school taxable value.</t>
  </si>
  <si>
    <t>Statewide</t>
  </si>
  <si>
    <t>Less Than County-Wide Levies</t>
  </si>
  <si>
    <t>Grand Total</t>
  </si>
  <si>
    <t>County Government Operating</t>
  </si>
  <si>
    <t>County Government Debt Service</t>
  </si>
  <si>
    <t>County Government Dependent Special District</t>
  </si>
  <si>
    <t>School Board Operating</t>
  </si>
  <si>
    <t>School Board Debt Service</t>
  </si>
  <si>
    <t>Independent Special Districts</t>
  </si>
  <si>
    <t>Sub Total (County Wide Millage)</t>
  </si>
  <si>
    <t>Sub Total (Aggregate Millage)</t>
  </si>
  <si>
    <t>Total Millage Rate</t>
  </si>
  <si>
    <t>Millage Rates by County</t>
  </si>
  <si>
    <t>Taxes Levied by County</t>
  </si>
  <si>
    <t>Total</t>
  </si>
  <si>
    <t>As Certified by Property Appraisers</t>
  </si>
  <si>
    <t>Additions or Deductions (-)</t>
  </si>
  <si>
    <t>Collected on Current Tax Roll</t>
  </si>
  <si>
    <t>Total Taxes Levied (1+2)</t>
  </si>
  <si>
    <t>Total Monies Collected</t>
  </si>
  <si>
    <t>Discount Allowed</t>
  </si>
  <si>
    <t>Credit on Collections (5+6)</t>
  </si>
  <si>
    <t>Warrants Pending</t>
  </si>
  <si>
    <t>Sale Certificates Omitted Taxes</t>
  </si>
  <si>
    <t>Errors and Insolvencies</t>
  </si>
  <si>
    <t>Uncollected Taxes Due to Pending Litigation</t>
  </si>
  <si>
    <t>Penalties and Interest on Warrants</t>
  </si>
  <si>
    <t>Over (-) or Under Collected</t>
  </si>
  <si>
    <t>Total Credits</t>
  </si>
  <si>
    <t>Millage and Taxes Levied Report</t>
  </si>
  <si>
    <t>Millage Rates</t>
  </si>
  <si>
    <t>Taxes Levied</t>
  </si>
  <si>
    <t>Tax Roll Reconciliation</t>
  </si>
  <si>
    <t>All other millages calculated based on county taxable value.</t>
  </si>
  <si>
    <t xml:space="preserve">Contact Information: </t>
  </si>
  <si>
    <t xml:space="preserve">Property Tax Oversight, Research &amp; Analysis  </t>
  </si>
  <si>
    <t>Dade</t>
  </si>
  <si>
    <r>
      <t>Reconciliation of Tax Roll Collections</t>
    </r>
    <r>
      <rPr>
        <b/>
        <vertAlign val="superscript"/>
        <sz val="18"/>
        <color indexed="8"/>
        <rFont val="Arial"/>
        <family val="2"/>
      </rPr>
      <t>1</t>
    </r>
  </si>
  <si>
    <r>
      <t>Orange</t>
    </r>
    <r>
      <rPr>
        <vertAlign val="superscript"/>
        <sz val="11"/>
        <rFont val="Arial"/>
        <family val="2"/>
      </rPr>
      <t>2</t>
    </r>
  </si>
  <si>
    <r>
      <t>Osceola</t>
    </r>
    <r>
      <rPr>
        <vertAlign val="superscript"/>
        <sz val="11"/>
        <rFont val="Arial"/>
        <family val="2"/>
      </rPr>
      <t>2</t>
    </r>
  </si>
  <si>
    <r>
      <rPr>
        <vertAlign val="superscript"/>
        <sz val="11"/>
        <color indexed="8"/>
        <rFont val="Arial"/>
        <family val="2"/>
      </rPr>
      <t>1</t>
    </r>
    <r>
      <rPr>
        <sz val="11"/>
        <color indexed="8"/>
        <rFont val="Arial"/>
        <family val="2"/>
      </rPr>
      <t>In some counties warrants and penalty data may be reported in the over/under collected column.</t>
    </r>
  </si>
  <si>
    <r>
      <rPr>
        <vertAlign val="superscript"/>
        <sz val="11"/>
        <color indexed="8"/>
        <rFont val="Arial"/>
        <family val="2"/>
      </rPr>
      <t>2</t>
    </r>
    <r>
      <rPr>
        <sz val="11"/>
        <color indexed="8"/>
        <rFont val="Arial"/>
        <family val="2"/>
      </rPr>
      <t>Data does not include Reedy Creek Improvement District.</t>
    </r>
  </si>
  <si>
    <r>
      <t>Orange</t>
    </r>
    <r>
      <rPr>
        <vertAlign val="superscript"/>
        <sz val="11"/>
        <color indexed="8"/>
        <rFont val="Arial"/>
        <family val="2"/>
      </rPr>
      <t>1</t>
    </r>
  </si>
  <si>
    <r>
      <t>Osceola</t>
    </r>
    <r>
      <rPr>
        <vertAlign val="superscript"/>
        <sz val="11"/>
        <color indexed="8"/>
        <rFont val="Arial"/>
        <family val="2"/>
      </rPr>
      <t>1</t>
    </r>
  </si>
  <si>
    <r>
      <rPr>
        <vertAlign val="superscript"/>
        <sz val="11"/>
        <color indexed="8"/>
        <rFont val="Arial"/>
        <family val="2"/>
      </rPr>
      <t>1</t>
    </r>
    <r>
      <rPr>
        <sz val="11"/>
        <color indexed="8"/>
        <rFont val="Arial"/>
        <family val="2"/>
      </rPr>
      <t>Data does not include Reedy Creek Improvement District.</t>
    </r>
  </si>
  <si>
    <t>PTOResearchAnalysis@floridarevenue.com</t>
  </si>
  <si>
    <t>Data Extract: November 2022</t>
  </si>
  <si>
    <t>Percent Increase 2022 Over 2021</t>
  </si>
  <si>
    <t>2022 Report - Collections of 2021 Tax Roll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</si>
</sst>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u/>
      <sz val="11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11"/>
      <name val="Arial"/>
      <family val="2"/>
    </font>
    <font>
      <sz val="11"/>
      <name val="Arial"/>
      <family val="2"/>
    </font>
    <font>
      <b/>
      <vertAlign val="superscript"/>
      <sz val="18"/>
      <color indexed="8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vertAlign val="superscript"/>
      <sz val="11"/>
      <color indexed="8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7" fillId="2" borderId="3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7" fillId="0" borderId="0" xfId="0" applyFont="1" applyBorder="1"/>
    <xf numFmtId="0" fontId="17" fillId="0" borderId="0" xfId="0" applyFont="1" applyFill="1"/>
    <xf numFmtId="0" fontId="4" fillId="0" borderId="1" xfId="0" applyFont="1" applyBorder="1" applyAlignment="1">
      <alignment horizontal="left" vertical="center"/>
    </xf>
    <xf numFmtId="0" fontId="11" fillId="0" borderId="0" xfId="3" applyFont="1"/>
    <xf numFmtId="0" fontId="4" fillId="0" borderId="0" xfId="0" applyFont="1" applyBorder="1" applyAlignment="1">
      <alignment horizontal="left" vertical="center"/>
    </xf>
    <xf numFmtId="0" fontId="11" fillId="0" borderId="6" xfId="3" applyFont="1" applyBorder="1"/>
    <xf numFmtId="4" fontId="11" fillId="0" borderId="7" xfId="3" applyNumberFormat="1" applyFont="1" applyBorder="1"/>
    <xf numFmtId="4" fontId="11" fillId="0" borderId="8" xfId="3" applyNumberFormat="1" applyFont="1" applyBorder="1"/>
    <xf numFmtId="4" fontId="11" fillId="0" borderId="9" xfId="3" applyNumberFormat="1" applyFont="1" applyBorder="1"/>
    <xf numFmtId="4" fontId="11" fillId="0" borderId="10" xfId="3" applyNumberFormat="1" applyFont="1" applyBorder="1"/>
    <xf numFmtId="4" fontId="11" fillId="0" borderId="7" xfId="1" applyNumberFormat="1" applyFont="1" applyBorder="1"/>
    <xf numFmtId="0" fontId="13" fillId="2" borderId="11" xfId="3" applyFont="1" applyFill="1" applyBorder="1"/>
    <xf numFmtId="4" fontId="13" fillId="2" borderId="12" xfId="3" applyNumberFormat="1" applyFont="1" applyFill="1" applyBorder="1"/>
    <xf numFmtId="4" fontId="13" fillId="2" borderId="13" xfId="3" applyNumberFormat="1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0" fontId="3" fillId="0" borderId="14" xfId="0" applyFont="1" applyBorder="1" applyAlignment="1">
      <alignment horizontal="left"/>
    </xf>
    <xf numFmtId="3" fontId="3" fillId="0" borderId="15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3" fillId="0" borderId="19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3" fontId="3" fillId="0" borderId="20" xfId="0" applyNumberFormat="1" applyFont="1" applyFill="1" applyBorder="1" applyAlignment="1">
      <alignment horizontal="right"/>
    </xf>
    <xf numFmtId="3" fontId="3" fillId="0" borderId="21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0" fontId="3" fillId="0" borderId="21" xfId="0" applyFont="1" applyBorder="1" applyAlignment="1">
      <alignment horizontal="left"/>
    </xf>
    <xf numFmtId="0" fontId="6" fillId="2" borderId="2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left"/>
    </xf>
    <xf numFmtId="3" fontId="3" fillId="0" borderId="21" xfId="0" applyNumberFormat="1" applyFont="1" applyFill="1" applyBorder="1" applyAlignment="1">
      <alignment horizontal="left"/>
    </xf>
    <xf numFmtId="164" fontId="3" fillId="0" borderId="15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3" fillId="0" borderId="20" xfId="0" applyNumberFormat="1" applyFont="1" applyBorder="1" applyAlignment="1">
      <alignment horizontal="right"/>
    </xf>
    <xf numFmtId="164" fontId="3" fillId="0" borderId="2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right"/>
    </xf>
    <xf numFmtId="4" fontId="11" fillId="0" borderId="15" xfId="3" applyNumberFormat="1" applyFont="1" applyBorder="1"/>
    <xf numFmtId="0" fontId="19" fillId="0" borderId="0" xfId="2" applyFont="1" applyAlignment="1" applyProtection="1"/>
    <xf numFmtId="10" fontId="3" fillId="0" borderId="8" xfId="4" applyNumberFormat="1" applyFont="1" applyBorder="1" applyAlignment="1">
      <alignment horizontal="right"/>
    </xf>
    <xf numFmtId="10" fontId="3" fillId="0" borderId="13" xfId="4" applyNumberFormat="1" applyFont="1" applyBorder="1" applyAlignment="1">
      <alignment horizontal="right"/>
    </xf>
    <xf numFmtId="10" fontId="17" fillId="0" borderId="8" xfId="4" applyNumberFormat="1" applyFont="1" applyBorder="1" applyAlignment="1">
      <alignment horizontal="right" vertical="center"/>
    </xf>
    <xf numFmtId="0" fontId="5" fillId="0" borderId="0" xfId="2" applyFont="1" applyAlignment="1" applyProtection="1">
      <alignment horizontal="left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left"/>
    </xf>
    <xf numFmtId="164" fontId="3" fillId="0" borderId="15" xfId="0" applyNumberFormat="1" applyFont="1" applyFill="1" applyBorder="1" applyAlignment="1">
      <alignment horizontal="right"/>
    </xf>
    <xf numFmtId="164" fontId="3" fillId="0" borderId="7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164" fontId="3" fillId="0" borderId="14" xfId="0" applyNumberFormat="1" applyFont="1" applyFill="1" applyBorder="1" applyAlignment="1">
      <alignment horizontal="right"/>
    </xf>
    <xf numFmtId="164" fontId="3" fillId="0" borderId="6" xfId="0" applyNumberFormat="1" applyFont="1" applyFill="1" applyBorder="1" applyAlignment="1">
      <alignment horizontal="right"/>
    </xf>
    <xf numFmtId="164" fontId="3" fillId="0" borderId="8" xfId="0" applyNumberFormat="1" applyFont="1" applyFill="1" applyBorder="1" applyAlignment="1">
      <alignment horizontal="right"/>
    </xf>
  </cellXfs>
  <cellStyles count="5">
    <cellStyle name="Comma" xfId="1" builtinId="3"/>
    <cellStyle name="Hyperlink" xfId="2" builtinId="8"/>
    <cellStyle name="Normal" xfId="0" builtinId="0"/>
    <cellStyle name="Normal_Sheet3" xfId="3" xr:uid="{00000000-0005-0000-0000-000003000000}"/>
    <cellStyle name="Percent" xfId="4" builtinId="5"/>
  </cellStyles>
  <dxfs count="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5"/>
  <sheetViews>
    <sheetView workbookViewId="0">
      <selection activeCell="J11" sqref="J11"/>
    </sheetView>
  </sheetViews>
  <sheetFormatPr defaultRowHeight="14.25" x14ac:dyDescent="0.2"/>
  <cols>
    <col min="1" max="16384" width="9.140625" style="3"/>
  </cols>
  <sheetData>
    <row r="2" spans="1:8" ht="15" x14ac:dyDescent="0.25">
      <c r="A2" s="2" t="s">
        <v>99</v>
      </c>
    </row>
    <row r="4" spans="1:8" x14ac:dyDescent="0.2">
      <c r="B4" s="71" t="s">
        <v>100</v>
      </c>
      <c r="C4" s="71"/>
      <c r="D4" s="71"/>
      <c r="E4" s="71"/>
      <c r="F4" s="71"/>
      <c r="G4" s="71"/>
      <c r="H4" s="71"/>
    </row>
    <row r="6" spans="1:8" x14ac:dyDescent="0.2">
      <c r="B6" s="71" t="s">
        <v>101</v>
      </c>
      <c r="C6" s="71"/>
      <c r="D6" s="71"/>
      <c r="E6" s="71"/>
      <c r="F6" s="71"/>
      <c r="G6" s="71"/>
      <c r="H6" s="71"/>
    </row>
    <row r="8" spans="1:8" x14ac:dyDescent="0.2">
      <c r="B8" s="71" t="s">
        <v>102</v>
      </c>
      <c r="C8" s="71"/>
      <c r="D8" s="71"/>
      <c r="E8" s="71"/>
      <c r="F8" s="71"/>
      <c r="G8" s="71"/>
      <c r="H8" s="71"/>
    </row>
    <row r="14" spans="1:8" x14ac:dyDescent="0.2">
      <c r="A14" s="4" t="s">
        <v>104</v>
      </c>
      <c r="B14" s="5"/>
      <c r="C14" s="5"/>
      <c r="D14" s="4" t="s">
        <v>105</v>
      </c>
      <c r="E14" s="5"/>
      <c r="F14" s="5"/>
      <c r="G14" s="5"/>
      <c r="H14" s="5"/>
    </row>
    <row r="15" spans="1:8" x14ac:dyDescent="0.2">
      <c r="A15" s="5"/>
      <c r="B15" s="5"/>
      <c r="C15" s="5"/>
      <c r="D15" s="67" t="s">
        <v>115</v>
      </c>
      <c r="E15" s="5"/>
      <c r="F15" s="5"/>
      <c r="G15" s="5"/>
      <c r="H15" s="5"/>
    </row>
  </sheetData>
  <mergeCells count="3">
    <mergeCell ref="B4:H4"/>
    <mergeCell ref="B6:H6"/>
    <mergeCell ref="B8:H8"/>
  </mergeCells>
  <phoneticPr fontId="9" type="noConversion"/>
  <hyperlinks>
    <hyperlink ref="B4:H4" location="'Millage Rates'!A1" display="Millage Rates" xr:uid="{00000000-0004-0000-0000-000000000000}"/>
    <hyperlink ref="B6:H6" location="'Taxes Levied'!A1" display="Taxes Levied" xr:uid="{00000000-0004-0000-0000-000001000000}"/>
    <hyperlink ref="B8:H8" location="'Tax Roll Reconciliation'!A1" display="Tax Roll Reconciliation" xr:uid="{00000000-0004-0000-0000-000002000000}"/>
    <hyperlink ref="D15" r:id="rId1" xr:uid="{00000000-0004-0000-0000-000003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tabSelected="1" workbookViewId="0">
      <pane ySplit="4" topLeftCell="A13" activePane="bottomLeft" state="frozen"/>
      <selection pane="bottomLeft" activeCell="A20" sqref="A20:XFD20"/>
    </sheetView>
  </sheetViews>
  <sheetFormatPr defaultRowHeight="14.25" x14ac:dyDescent="0.2"/>
  <cols>
    <col min="1" max="1" width="17.7109375" style="3" customWidth="1"/>
    <col min="2" max="2" width="13.5703125" style="3" bestFit="1" customWidth="1"/>
    <col min="3" max="3" width="13.140625" style="3" customWidth="1"/>
    <col min="4" max="4" width="13.42578125" style="3" customWidth="1"/>
    <col min="5" max="5" width="14" style="3" bestFit="1" customWidth="1"/>
    <col min="6" max="6" width="12.5703125" style="3" bestFit="1" customWidth="1"/>
    <col min="7" max="7" width="12.85546875" style="3" bestFit="1" customWidth="1"/>
    <col min="8" max="8" width="14" style="3" bestFit="1" customWidth="1"/>
    <col min="9" max="9" width="12.42578125" style="3" bestFit="1" customWidth="1"/>
    <col min="10" max="10" width="13.42578125" style="3" customWidth="1"/>
    <col min="11" max="11" width="12.7109375" style="3" bestFit="1" customWidth="1"/>
    <col min="12" max="12" width="12" style="3" bestFit="1" customWidth="1"/>
    <col min="13" max="13" width="12.85546875" style="3" bestFit="1" customWidth="1"/>
    <col min="14" max="14" width="13.5703125" style="3" bestFit="1" customWidth="1"/>
    <col min="15" max="15" width="13.85546875" style="3" bestFit="1" customWidth="1"/>
    <col min="16" max="16" width="10" style="10" bestFit="1" customWidth="1"/>
    <col min="17" max="17" width="13.7109375" style="10" bestFit="1" customWidth="1"/>
    <col min="18" max="16384" width="9.140625" style="10"/>
  </cols>
  <sheetData>
    <row r="1" spans="1:16" ht="23.25" x14ac:dyDescent="0.2">
      <c r="A1" s="1" t="s">
        <v>82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6"/>
    </row>
    <row r="2" spans="1:16" ht="15.75" thickBot="1" x14ac:dyDescent="0.25">
      <c r="A2" s="18">
        <v>2022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16"/>
    </row>
    <row r="3" spans="1:16" ht="15.75" thickBot="1" x14ac:dyDescent="0.3">
      <c r="A3" s="18"/>
      <c r="B3" s="72" t="s">
        <v>0</v>
      </c>
      <c r="C3" s="73"/>
      <c r="D3" s="73"/>
      <c r="E3" s="73"/>
      <c r="F3" s="73"/>
      <c r="G3" s="74"/>
      <c r="H3" s="31"/>
      <c r="I3" s="72" t="s">
        <v>71</v>
      </c>
      <c r="J3" s="73"/>
      <c r="K3" s="73"/>
      <c r="L3" s="73"/>
      <c r="M3" s="74"/>
      <c r="N3" s="31"/>
      <c r="O3" s="31"/>
      <c r="P3" s="16"/>
    </row>
    <row r="4" spans="1:16" s="11" customFormat="1" ht="63.75" x14ac:dyDescent="0.2">
      <c r="A4" s="6" t="s">
        <v>1</v>
      </c>
      <c r="B4" s="49" t="s">
        <v>73</v>
      </c>
      <c r="C4" s="50" t="s">
        <v>74</v>
      </c>
      <c r="D4" s="50" t="s">
        <v>75</v>
      </c>
      <c r="E4" s="50" t="s">
        <v>76</v>
      </c>
      <c r="F4" s="50" t="s">
        <v>77</v>
      </c>
      <c r="G4" s="51" t="s">
        <v>78</v>
      </c>
      <c r="H4" s="6" t="s">
        <v>79</v>
      </c>
      <c r="I4" s="49" t="s">
        <v>73</v>
      </c>
      <c r="J4" s="50" t="s">
        <v>75</v>
      </c>
      <c r="K4" s="50" t="s">
        <v>78</v>
      </c>
      <c r="L4" s="50" t="s">
        <v>66</v>
      </c>
      <c r="M4" s="51" t="s">
        <v>67</v>
      </c>
      <c r="N4" s="7" t="s">
        <v>80</v>
      </c>
      <c r="O4" s="15" t="s">
        <v>81</v>
      </c>
    </row>
    <row r="5" spans="1:16" ht="14.25" customHeight="1" x14ac:dyDescent="0.2">
      <c r="A5" s="33" t="s">
        <v>2</v>
      </c>
      <c r="B5" s="54">
        <v>7.7662000000000004</v>
      </c>
      <c r="C5" s="55"/>
      <c r="D5" s="55"/>
      <c r="E5" s="55">
        <v>6.4980000000000002</v>
      </c>
      <c r="F5" s="55"/>
      <c r="G5" s="56">
        <v>1.5177</v>
      </c>
      <c r="H5" s="57">
        <v>15.7819</v>
      </c>
      <c r="I5" s="54"/>
      <c r="J5" s="55"/>
      <c r="K5" s="55">
        <v>0.2392</v>
      </c>
      <c r="L5" s="55">
        <v>1.4905999999999999</v>
      </c>
      <c r="M5" s="56">
        <v>3.2648000000000001</v>
      </c>
      <c r="N5" s="58">
        <v>4.9946000000000002</v>
      </c>
      <c r="O5" s="59">
        <v>20.776499999999999</v>
      </c>
    </row>
    <row r="6" spans="1:16" ht="14.25" customHeight="1" x14ac:dyDescent="0.2">
      <c r="A6" s="33" t="s">
        <v>3</v>
      </c>
      <c r="B6" s="54">
        <v>7.2915999999999999</v>
      </c>
      <c r="C6" s="55"/>
      <c r="D6" s="55"/>
      <c r="E6" s="55">
        <v>5.4790000000000001</v>
      </c>
      <c r="F6" s="55"/>
      <c r="G6" s="56">
        <v>0.97450000000000003</v>
      </c>
      <c r="H6" s="57">
        <v>13.745100000000001</v>
      </c>
      <c r="I6" s="54"/>
      <c r="J6" s="55"/>
      <c r="K6" s="55">
        <v>0.20250000000000001</v>
      </c>
      <c r="L6" s="55"/>
      <c r="M6" s="56">
        <v>1.0088999999999999</v>
      </c>
      <c r="N6" s="58">
        <v>1.2114</v>
      </c>
      <c r="O6" s="59">
        <v>14.9565</v>
      </c>
    </row>
    <row r="7" spans="1:16" ht="14.25" customHeight="1" x14ac:dyDescent="0.2">
      <c r="A7" s="33" t="s">
        <v>4</v>
      </c>
      <c r="B7" s="54">
        <v>4.4362000000000004</v>
      </c>
      <c r="C7" s="55"/>
      <c r="D7" s="55"/>
      <c r="E7" s="55">
        <v>5.5039999999999996</v>
      </c>
      <c r="F7" s="55"/>
      <c r="G7" s="56">
        <v>2.6100000000000002E-2</v>
      </c>
      <c r="H7" s="57">
        <v>9.9663000000000004</v>
      </c>
      <c r="I7" s="54">
        <v>8.2600000000000007E-2</v>
      </c>
      <c r="J7" s="55">
        <v>0.55779999999999996</v>
      </c>
      <c r="K7" s="55">
        <v>0.1234</v>
      </c>
      <c r="L7" s="55"/>
      <c r="M7" s="56">
        <v>1.1507000000000001</v>
      </c>
      <c r="N7" s="58">
        <v>1.9145000000000001</v>
      </c>
      <c r="O7" s="59">
        <v>11.880800000000001</v>
      </c>
    </row>
    <row r="8" spans="1:16" ht="14.25" customHeight="1" x14ac:dyDescent="0.2">
      <c r="A8" s="33" t="s">
        <v>5</v>
      </c>
      <c r="B8" s="54">
        <v>10</v>
      </c>
      <c r="C8" s="55"/>
      <c r="D8" s="55"/>
      <c r="E8" s="55">
        <v>5.524</v>
      </c>
      <c r="F8" s="55"/>
      <c r="G8" s="56"/>
      <c r="H8" s="57">
        <v>15.523999999999999</v>
      </c>
      <c r="I8" s="54"/>
      <c r="J8" s="55"/>
      <c r="K8" s="55">
        <v>0.3296</v>
      </c>
      <c r="L8" s="55"/>
      <c r="M8" s="56">
        <v>0.97799999999999998</v>
      </c>
      <c r="N8" s="58">
        <v>1.3076000000000001</v>
      </c>
      <c r="O8" s="59">
        <v>16.831600000000002</v>
      </c>
    </row>
    <row r="9" spans="1:16" ht="14.25" customHeight="1" x14ac:dyDescent="0.2">
      <c r="A9" s="33" t="s">
        <v>6</v>
      </c>
      <c r="B9" s="54">
        <v>3.2618999999999998</v>
      </c>
      <c r="C9" s="55"/>
      <c r="D9" s="55">
        <v>0.62370000000000003</v>
      </c>
      <c r="E9" s="55">
        <v>5.4950000000000001</v>
      </c>
      <c r="F9" s="55"/>
      <c r="G9" s="56">
        <v>0.22939999999999999</v>
      </c>
      <c r="H9" s="57">
        <v>9.61</v>
      </c>
      <c r="I9" s="54"/>
      <c r="J9" s="55">
        <v>0.29349999999999998</v>
      </c>
      <c r="K9" s="55">
        <v>5.0999999999999997E-2</v>
      </c>
      <c r="L9" s="55">
        <v>0.88890000000000002</v>
      </c>
      <c r="M9" s="56">
        <v>3.7488999999999999</v>
      </c>
      <c r="N9" s="58">
        <v>4.9823000000000004</v>
      </c>
      <c r="O9" s="59">
        <v>14.5923</v>
      </c>
    </row>
    <row r="10" spans="1:16" ht="14.25" customHeight="1" x14ac:dyDescent="0.2">
      <c r="A10" s="33" t="s">
        <v>7</v>
      </c>
      <c r="B10" s="54">
        <v>5.5305999999999997</v>
      </c>
      <c r="C10" s="55">
        <v>0.1384</v>
      </c>
      <c r="D10" s="55"/>
      <c r="E10" s="55">
        <v>5.9509999999999996</v>
      </c>
      <c r="F10" s="55">
        <v>0.18729999999999999</v>
      </c>
      <c r="G10" s="56">
        <v>0.71209999999999996</v>
      </c>
      <c r="H10" s="57">
        <v>12.519399999999999</v>
      </c>
      <c r="I10" s="54"/>
      <c r="J10" s="55">
        <v>9.4999999999999998E-3</v>
      </c>
      <c r="K10" s="55">
        <v>1.1917</v>
      </c>
      <c r="L10" s="55">
        <v>2.3099999999999999E-2</v>
      </c>
      <c r="M10" s="56">
        <v>5.9819000000000004</v>
      </c>
      <c r="N10" s="58">
        <v>7.2061999999999999</v>
      </c>
      <c r="O10" s="59">
        <v>19.7256</v>
      </c>
    </row>
    <row r="11" spans="1:16" ht="14.25" customHeight="1" x14ac:dyDescent="0.2">
      <c r="A11" s="33" t="s">
        <v>8</v>
      </c>
      <c r="B11" s="54">
        <v>9.9</v>
      </c>
      <c r="C11" s="55"/>
      <c r="D11" s="55"/>
      <c r="E11" s="55">
        <v>5.585</v>
      </c>
      <c r="F11" s="55"/>
      <c r="G11" s="56">
        <v>2.6100000000000002E-2</v>
      </c>
      <c r="H11" s="57">
        <v>15.511100000000001</v>
      </c>
      <c r="I11" s="54"/>
      <c r="J11" s="55"/>
      <c r="K11" s="55"/>
      <c r="L11" s="55"/>
      <c r="M11" s="56">
        <v>0.23219999999999999</v>
      </c>
      <c r="N11" s="58">
        <v>0.23219999999999999</v>
      </c>
      <c r="O11" s="59">
        <v>15.7433</v>
      </c>
    </row>
    <row r="12" spans="1:16" ht="14.25" customHeight="1" x14ac:dyDescent="0.2">
      <c r="A12" s="33" t="s">
        <v>9</v>
      </c>
      <c r="B12" s="54">
        <v>6.1687000000000003</v>
      </c>
      <c r="C12" s="55">
        <v>0.2</v>
      </c>
      <c r="D12" s="55"/>
      <c r="E12" s="55">
        <v>6.5540000000000003</v>
      </c>
      <c r="F12" s="55"/>
      <c r="G12" s="56">
        <v>3.9399999999999998E-2</v>
      </c>
      <c r="H12" s="57">
        <v>12.9621</v>
      </c>
      <c r="I12" s="54"/>
      <c r="J12" s="55"/>
      <c r="K12" s="55">
        <v>0.27629999999999999</v>
      </c>
      <c r="L12" s="55">
        <v>2.3641999999999999</v>
      </c>
      <c r="M12" s="56">
        <v>0.68589999999999995</v>
      </c>
      <c r="N12" s="58">
        <v>3.3264</v>
      </c>
      <c r="O12" s="59">
        <v>16.288499999999999</v>
      </c>
    </row>
    <row r="13" spans="1:16" ht="14.25" customHeight="1" x14ac:dyDescent="0.2">
      <c r="A13" s="33" t="s">
        <v>10</v>
      </c>
      <c r="B13" s="54">
        <v>7.3531000000000004</v>
      </c>
      <c r="C13" s="55"/>
      <c r="D13" s="55">
        <v>0.31469999999999998</v>
      </c>
      <c r="E13" s="55">
        <v>5.5229999999999997</v>
      </c>
      <c r="F13" s="55"/>
      <c r="G13" s="56">
        <v>0.65669999999999995</v>
      </c>
      <c r="H13" s="57">
        <v>13.8475</v>
      </c>
      <c r="I13" s="54"/>
      <c r="J13" s="55"/>
      <c r="K13" s="55">
        <v>6.8400000000000002E-2</v>
      </c>
      <c r="L13" s="55">
        <v>0.52290000000000003</v>
      </c>
      <c r="M13" s="56">
        <v>0.68259999999999998</v>
      </c>
      <c r="N13" s="58">
        <v>1.2739</v>
      </c>
      <c r="O13" s="59">
        <v>15.1214</v>
      </c>
    </row>
    <row r="14" spans="1:16" ht="14.25" customHeight="1" x14ac:dyDescent="0.2">
      <c r="A14" s="33" t="s">
        <v>11</v>
      </c>
      <c r="B14" s="54">
        <v>5.5605000000000002</v>
      </c>
      <c r="C14" s="55"/>
      <c r="D14" s="55"/>
      <c r="E14" s="55">
        <v>6.4189999999999996</v>
      </c>
      <c r="F14" s="55"/>
      <c r="G14" s="56">
        <v>0.19739999999999999</v>
      </c>
      <c r="H14" s="57">
        <v>12.1769</v>
      </c>
      <c r="I14" s="54"/>
      <c r="J14" s="55"/>
      <c r="K14" s="55"/>
      <c r="L14" s="55">
        <v>2.7831000000000001</v>
      </c>
      <c r="M14" s="56">
        <v>0.51100000000000001</v>
      </c>
      <c r="N14" s="58">
        <v>3.2940999999999998</v>
      </c>
      <c r="O14" s="59">
        <v>15.471</v>
      </c>
    </row>
    <row r="15" spans="1:16" ht="14.25" customHeight="1" x14ac:dyDescent="0.2">
      <c r="A15" s="33" t="s">
        <v>12</v>
      </c>
      <c r="B15" s="54">
        <v>3.8144999999999998</v>
      </c>
      <c r="C15" s="55"/>
      <c r="D15" s="55">
        <v>2.93E-2</v>
      </c>
      <c r="E15" s="55">
        <v>4.4589999999999996</v>
      </c>
      <c r="F15" s="55"/>
      <c r="G15" s="56">
        <v>0.19259999999999999</v>
      </c>
      <c r="H15" s="57">
        <v>8.4954000000000001</v>
      </c>
      <c r="I15" s="54"/>
      <c r="J15" s="55"/>
      <c r="K15" s="55">
        <v>1.0076000000000001</v>
      </c>
      <c r="L15" s="55">
        <v>0.5958</v>
      </c>
      <c r="M15" s="56">
        <v>0.4803</v>
      </c>
      <c r="N15" s="58">
        <v>2.0836999999999999</v>
      </c>
      <c r="O15" s="59">
        <v>10.5791</v>
      </c>
    </row>
    <row r="16" spans="1:16" ht="14.25" customHeight="1" x14ac:dyDescent="0.2">
      <c r="A16" s="33" t="s">
        <v>13</v>
      </c>
      <c r="B16" s="54">
        <v>7.8150000000000004</v>
      </c>
      <c r="C16" s="55"/>
      <c r="D16" s="55"/>
      <c r="E16" s="55">
        <v>5.5469999999999997</v>
      </c>
      <c r="F16" s="55"/>
      <c r="G16" s="56">
        <v>0.33689999999999998</v>
      </c>
      <c r="H16" s="57">
        <v>13.6989</v>
      </c>
      <c r="I16" s="54"/>
      <c r="J16" s="55"/>
      <c r="K16" s="55"/>
      <c r="L16" s="55"/>
      <c r="M16" s="56">
        <v>1.3051999999999999</v>
      </c>
      <c r="N16" s="58">
        <v>1.3051999999999999</v>
      </c>
      <c r="O16" s="59">
        <v>15.004099999999999</v>
      </c>
    </row>
    <row r="17" spans="1:15" ht="14.25" customHeight="1" x14ac:dyDescent="0.2">
      <c r="A17" s="33" t="s">
        <v>106</v>
      </c>
      <c r="B17" s="54">
        <v>4.6201999999999996</v>
      </c>
      <c r="C17" s="55">
        <v>0.48530000000000001</v>
      </c>
      <c r="D17" s="55"/>
      <c r="E17" s="55">
        <v>6.4240000000000004</v>
      </c>
      <c r="F17" s="55">
        <v>0.16500000000000001</v>
      </c>
      <c r="G17" s="56">
        <v>0.7621</v>
      </c>
      <c r="H17" s="57">
        <v>12.4566</v>
      </c>
      <c r="I17" s="54">
        <v>0.51419999999999999</v>
      </c>
      <c r="J17" s="55">
        <v>1.6026</v>
      </c>
      <c r="K17" s="55"/>
      <c r="L17" s="55"/>
      <c r="M17" s="56">
        <v>4.0518999999999998</v>
      </c>
      <c r="N17" s="58">
        <v>6.1687000000000003</v>
      </c>
      <c r="O17" s="59">
        <v>18.625299999999999</v>
      </c>
    </row>
    <row r="18" spans="1:15" ht="14.25" customHeight="1" x14ac:dyDescent="0.2">
      <c r="A18" s="33" t="s">
        <v>14</v>
      </c>
      <c r="B18" s="54">
        <v>7.9047999999999998</v>
      </c>
      <c r="C18" s="55"/>
      <c r="D18" s="55"/>
      <c r="E18" s="55">
        <v>5.4630000000000001</v>
      </c>
      <c r="F18" s="55"/>
      <c r="G18" s="56">
        <v>0.22600000000000001</v>
      </c>
      <c r="H18" s="57">
        <v>13.5938</v>
      </c>
      <c r="I18" s="54"/>
      <c r="J18" s="55"/>
      <c r="K18" s="55"/>
      <c r="L18" s="55">
        <v>2.1781000000000001</v>
      </c>
      <c r="M18" s="56">
        <v>0.91279999999999994</v>
      </c>
      <c r="N18" s="58">
        <v>3.0909</v>
      </c>
      <c r="O18" s="59">
        <v>16.684699999999999</v>
      </c>
    </row>
    <row r="19" spans="1:15" ht="14.25" customHeight="1" x14ac:dyDescent="0.2">
      <c r="A19" s="33" t="s">
        <v>15</v>
      </c>
      <c r="B19" s="54">
        <v>9.8000000000000007</v>
      </c>
      <c r="C19" s="55"/>
      <c r="D19" s="55"/>
      <c r="E19" s="55">
        <v>5.484</v>
      </c>
      <c r="F19" s="55"/>
      <c r="G19" s="56">
        <v>0.33679999999999999</v>
      </c>
      <c r="H19" s="57">
        <v>15.620799999999999</v>
      </c>
      <c r="I19" s="54"/>
      <c r="J19" s="55"/>
      <c r="K19" s="55"/>
      <c r="L19" s="55">
        <v>3.7</v>
      </c>
      <c r="M19" s="56">
        <v>0.47610000000000002</v>
      </c>
      <c r="N19" s="58">
        <v>4.1760999999999999</v>
      </c>
      <c r="O19" s="59">
        <v>19.796900000000001</v>
      </c>
    </row>
    <row r="20" spans="1:15" s="17" customFormat="1" ht="14.25" customHeight="1" x14ac:dyDescent="0.2">
      <c r="A20" s="75" t="s">
        <v>16</v>
      </c>
      <c r="B20" s="76"/>
      <c r="C20" s="77"/>
      <c r="D20" s="77"/>
      <c r="E20" s="77">
        <v>5.4880000000000004</v>
      </c>
      <c r="F20" s="77"/>
      <c r="G20" s="78">
        <v>0.22939999999999999</v>
      </c>
      <c r="H20" s="79">
        <v>5.7173999999999996</v>
      </c>
      <c r="I20" s="76">
        <v>11.0131</v>
      </c>
      <c r="J20" s="77"/>
      <c r="K20" s="77"/>
      <c r="L20" s="77"/>
      <c r="M20" s="78">
        <v>0.33739999999999998</v>
      </c>
      <c r="N20" s="80">
        <f>I20+M20</f>
        <v>11.3505</v>
      </c>
      <c r="O20" s="81">
        <v>17.067900000000002</v>
      </c>
    </row>
    <row r="21" spans="1:15" ht="14.25" customHeight="1" x14ac:dyDescent="0.2">
      <c r="A21" s="33" t="s">
        <v>17</v>
      </c>
      <c r="B21" s="54">
        <v>6.6165000000000003</v>
      </c>
      <c r="C21" s="55"/>
      <c r="D21" s="55"/>
      <c r="E21" s="55">
        <v>5.274</v>
      </c>
      <c r="F21" s="55"/>
      <c r="G21" s="56">
        <v>0.46260000000000001</v>
      </c>
      <c r="H21" s="57">
        <v>12.3531</v>
      </c>
      <c r="I21" s="54"/>
      <c r="J21" s="55"/>
      <c r="K21" s="55"/>
      <c r="L21" s="55">
        <v>0.85150000000000003</v>
      </c>
      <c r="M21" s="56">
        <v>0.9577</v>
      </c>
      <c r="N21" s="58">
        <v>1.8091999999999999</v>
      </c>
      <c r="O21" s="59">
        <v>14.1623</v>
      </c>
    </row>
    <row r="22" spans="1:15" ht="14.25" customHeight="1" x14ac:dyDescent="0.2">
      <c r="A22" s="33" t="s">
        <v>18</v>
      </c>
      <c r="B22" s="54">
        <v>8.0547000000000004</v>
      </c>
      <c r="C22" s="55">
        <v>0.29149999999999998</v>
      </c>
      <c r="D22" s="55"/>
      <c r="E22" s="55">
        <v>5.5460000000000003</v>
      </c>
      <c r="F22" s="55"/>
      <c r="G22" s="56">
        <v>0.22939999999999999</v>
      </c>
      <c r="H22" s="57">
        <v>14.121600000000001</v>
      </c>
      <c r="I22" s="54"/>
      <c r="J22" s="55"/>
      <c r="K22" s="55">
        <v>0.27729999999999999</v>
      </c>
      <c r="L22" s="55"/>
      <c r="M22" s="56">
        <v>3.3921999999999999</v>
      </c>
      <c r="N22" s="58">
        <v>3.6695000000000002</v>
      </c>
      <c r="O22" s="59">
        <v>17.7911</v>
      </c>
    </row>
    <row r="23" spans="1:15" ht="14.25" customHeight="1" x14ac:dyDescent="0.2">
      <c r="A23" s="33" t="s">
        <v>19</v>
      </c>
      <c r="B23" s="54">
        <v>5.4706999999999999</v>
      </c>
      <c r="C23" s="55"/>
      <c r="D23" s="55"/>
      <c r="E23" s="55">
        <v>4.5069999999999997</v>
      </c>
      <c r="F23" s="55"/>
      <c r="G23" s="56">
        <v>2.6100000000000002E-2</v>
      </c>
      <c r="H23" s="57">
        <v>10.0038</v>
      </c>
      <c r="I23" s="54"/>
      <c r="J23" s="55"/>
      <c r="K23" s="55">
        <v>0.2636</v>
      </c>
      <c r="L23" s="55"/>
      <c r="M23" s="56">
        <v>1.0749</v>
      </c>
      <c r="N23" s="58">
        <v>1.3385</v>
      </c>
      <c r="O23" s="59">
        <v>11.3423</v>
      </c>
    </row>
    <row r="24" spans="1:15" ht="14.25" customHeight="1" x14ac:dyDescent="0.2">
      <c r="A24" s="33" t="s">
        <v>20</v>
      </c>
      <c r="B24" s="54">
        <v>9</v>
      </c>
      <c r="C24" s="55"/>
      <c r="D24" s="55"/>
      <c r="E24" s="55">
        <v>5.5110000000000001</v>
      </c>
      <c r="F24" s="55"/>
      <c r="G24" s="56">
        <v>2.6100000000000002E-2</v>
      </c>
      <c r="H24" s="57">
        <v>14.537100000000001</v>
      </c>
      <c r="I24" s="54"/>
      <c r="J24" s="55"/>
      <c r="K24" s="55"/>
      <c r="L24" s="55"/>
      <c r="M24" s="56">
        <v>1.8219000000000001</v>
      </c>
      <c r="N24" s="58">
        <v>1.8219000000000001</v>
      </c>
      <c r="O24" s="59">
        <v>16.359000000000002</v>
      </c>
    </row>
    <row r="25" spans="1:15" ht="14.25" customHeight="1" x14ac:dyDescent="0.2">
      <c r="A25" s="33" t="s">
        <v>21</v>
      </c>
      <c r="B25" s="54">
        <v>9</v>
      </c>
      <c r="C25" s="55"/>
      <c r="D25" s="55">
        <v>0.73099999999999998</v>
      </c>
      <c r="E25" s="55">
        <v>5.4930000000000003</v>
      </c>
      <c r="F25" s="55"/>
      <c r="G25" s="56">
        <v>0.33679999999999999</v>
      </c>
      <c r="H25" s="57">
        <v>15.5608</v>
      </c>
      <c r="I25" s="54"/>
      <c r="J25" s="55"/>
      <c r="K25" s="55"/>
      <c r="L25" s="55"/>
      <c r="M25" s="56">
        <v>0.38879999999999998</v>
      </c>
      <c r="N25" s="58">
        <v>0.38879999999999998</v>
      </c>
      <c r="O25" s="59">
        <v>15.9496</v>
      </c>
    </row>
    <row r="26" spans="1:15" ht="14.25" customHeight="1" x14ac:dyDescent="0.2">
      <c r="A26" s="33" t="s">
        <v>22</v>
      </c>
      <c r="B26" s="54">
        <v>8.9967000000000006</v>
      </c>
      <c r="C26" s="55"/>
      <c r="D26" s="55"/>
      <c r="E26" s="55">
        <v>5.5060000000000002</v>
      </c>
      <c r="F26" s="55"/>
      <c r="G26" s="56">
        <v>0.19739999999999999</v>
      </c>
      <c r="H26" s="57">
        <v>14.700100000000001</v>
      </c>
      <c r="I26" s="54"/>
      <c r="J26" s="55"/>
      <c r="K26" s="55">
        <v>0.42359999999999998</v>
      </c>
      <c r="L26" s="55">
        <v>3</v>
      </c>
      <c r="M26" s="56">
        <v>0.24679999999999999</v>
      </c>
      <c r="N26" s="58">
        <v>3.6703999999999999</v>
      </c>
      <c r="O26" s="59">
        <v>18.3705</v>
      </c>
    </row>
    <row r="27" spans="1:15" ht="14.25" customHeight="1" x14ac:dyDescent="0.2">
      <c r="A27" s="33" t="s">
        <v>23</v>
      </c>
      <c r="B27" s="54">
        <v>6.5</v>
      </c>
      <c r="C27" s="55"/>
      <c r="D27" s="55"/>
      <c r="E27" s="55">
        <v>5.883</v>
      </c>
      <c r="F27" s="55"/>
      <c r="G27" s="56">
        <v>2.6100000000000002E-2</v>
      </c>
      <c r="H27" s="57">
        <v>12.4091</v>
      </c>
      <c r="I27" s="54"/>
      <c r="J27" s="55">
        <v>0.39329999999999998</v>
      </c>
      <c r="K27" s="55"/>
      <c r="L27" s="55">
        <v>0.2157</v>
      </c>
      <c r="M27" s="56">
        <v>0.83650000000000002</v>
      </c>
      <c r="N27" s="58">
        <v>1.4455</v>
      </c>
      <c r="O27" s="59">
        <v>13.8546</v>
      </c>
    </row>
    <row r="28" spans="1:15" ht="14.25" customHeight="1" x14ac:dyDescent="0.2">
      <c r="A28" s="33" t="s">
        <v>24</v>
      </c>
      <c r="B28" s="54">
        <v>10</v>
      </c>
      <c r="C28" s="55"/>
      <c r="D28" s="55"/>
      <c r="E28" s="55">
        <v>5.6609999999999996</v>
      </c>
      <c r="F28" s="55"/>
      <c r="G28" s="56">
        <v>0.33679999999999999</v>
      </c>
      <c r="H28" s="57">
        <v>15.9978</v>
      </c>
      <c r="I28" s="54"/>
      <c r="J28" s="55"/>
      <c r="K28" s="55"/>
      <c r="L28" s="55"/>
      <c r="M28" s="56">
        <v>0.74809999999999999</v>
      </c>
      <c r="N28" s="58">
        <v>0.74809999999999999</v>
      </c>
      <c r="O28" s="59">
        <v>16.745899999999999</v>
      </c>
    </row>
    <row r="29" spans="1:15" ht="14.25" customHeight="1" x14ac:dyDescent="0.2">
      <c r="A29" s="33" t="s">
        <v>25</v>
      </c>
      <c r="B29" s="54">
        <v>8.8000000000000007</v>
      </c>
      <c r="C29" s="55"/>
      <c r="D29" s="55"/>
      <c r="E29" s="55">
        <v>5.5119999999999996</v>
      </c>
      <c r="F29" s="55"/>
      <c r="G29" s="56">
        <v>0.22600000000000001</v>
      </c>
      <c r="H29" s="57">
        <v>14.538</v>
      </c>
      <c r="I29" s="54"/>
      <c r="J29" s="55"/>
      <c r="K29" s="55"/>
      <c r="L29" s="55"/>
      <c r="M29" s="56">
        <v>0.77110000000000001</v>
      </c>
      <c r="N29" s="58">
        <v>0.77110000000000001</v>
      </c>
      <c r="O29" s="59">
        <v>15.309100000000001</v>
      </c>
    </row>
    <row r="30" spans="1:15" ht="14.25" customHeight="1" x14ac:dyDescent="0.2">
      <c r="A30" s="33" t="s">
        <v>26</v>
      </c>
      <c r="B30" s="54">
        <v>7.1</v>
      </c>
      <c r="C30" s="55"/>
      <c r="D30" s="55"/>
      <c r="E30" s="55">
        <v>5.4130000000000003</v>
      </c>
      <c r="F30" s="55"/>
      <c r="G30" s="56">
        <v>3.8900999999999999</v>
      </c>
      <c r="H30" s="57">
        <v>16.403099999999998</v>
      </c>
      <c r="I30" s="54"/>
      <c r="J30" s="55"/>
      <c r="K30" s="55">
        <v>0.27500000000000002</v>
      </c>
      <c r="L30" s="55"/>
      <c r="M30" s="56">
        <v>1.0222</v>
      </c>
      <c r="N30" s="58">
        <v>1.2971999999999999</v>
      </c>
      <c r="O30" s="59">
        <v>17.700299999999999</v>
      </c>
    </row>
    <row r="31" spans="1:15" ht="14.25" customHeight="1" x14ac:dyDescent="0.2">
      <c r="A31" s="33" t="s">
        <v>27</v>
      </c>
      <c r="B31" s="54">
        <v>7.9104999999999999</v>
      </c>
      <c r="C31" s="55"/>
      <c r="D31" s="55"/>
      <c r="E31" s="55">
        <v>5.5250000000000004</v>
      </c>
      <c r="F31" s="55">
        <v>1</v>
      </c>
      <c r="G31" s="56">
        <v>0.22600000000000001</v>
      </c>
      <c r="H31" s="57">
        <v>14.6615</v>
      </c>
      <c r="I31" s="54"/>
      <c r="J31" s="55"/>
      <c r="K31" s="55"/>
      <c r="L31" s="55">
        <v>1.0239</v>
      </c>
      <c r="M31" s="56">
        <v>0.27660000000000001</v>
      </c>
      <c r="N31" s="58">
        <v>1.3005</v>
      </c>
      <c r="O31" s="59">
        <v>15.962</v>
      </c>
    </row>
    <row r="32" spans="1:15" ht="14.25" customHeight="1" x14ac:dyDescent="0.2">
      <c r="A32" s="33" t="s">
        <v>28</v>
      </c>
      <c r="B32" s="54">
        <v>8.1</v>
      </c>
      <c r="C32" s="55"/>
      <c r="D32" s="55"/>
      <c r="E32" s="55">
        <v>5.5510000000000002</v>
      </c>
      <c r="F32" s="55"/>
      <c r="G32" s="56"/>
      <c r="H32" s="57">
        <v>13.651</v>
      </c>
      <c r="I32" s="54"/>
      <c r="J32" s="55"/>
      <c r="K32" s="55">
        <v>0.22750000000000001</v>
      </c>
      <c r="L32" s="55"/>
      <c r="M32" s="56">
        <v>1.1675</v>
      </c>
      <c r="N32" s="58">
        <v>1.395</v>
      </c>
      <c r="O32" s="59">
        <v>15.045999999999999</v>
      </c>
    </row>
    <row r="33" spans="1:15" ht="14.25" customHeight="1" x14ac:dyDescent="0.2">
      <c r="A33" s="33" t="s">
        <v>29</v>
      </c>
      <c r="B33" s="54">
        <v>5.7309000000000001</v>
      </c>
      <c r="C33" s="55">
        <v>6.0400000000000002E-2</v>
      </c>
      <c r="D33" s="55"/>
      <c r="E33" s="55">
        <v>5.4870000000000001</v>
      </c>
      <c r="F33" s="55"/>
      <c r="G33" s="56">
        <v>0.76890000000000003</v>
      </c>
      <c r="H33" s="57">
        <v>12.0472</v>
      </c>
      <c r="I33" s="54"/>
      <c r="J33" s="55">
        <v>0.53520000000000001</v>
      </c>
      <c r="K33" s="55">
        <v>0.48880000000000001</v>
      </c>
      <c r="L33" s="55">
        <v>2.6286</v>
      </c>
      <c r="M33" s="56">
        <v>2.5045999999999999</v>
      </c>
      <c r="N33" s="58">
        <v>6.1571999999999996</v>
      </c>
      <c r="O33" s="59">
        <v>18.2044</v>
      </c>
    </row>
    <row r="34" spans="1:15" ht="14.25" customHeight="1" x14ac:dyDescent="0.2">
      <c r="A34" s="33" t="s">
        <v>30</v>
      </c>
      <c r="B34" s="54">
        <v>9.4916</v>
      </c>
      <c r="C34" s="55"/>
      <c r="D34" s="55"/>
      <c r="E34" s="55">
        <v>5.4829999999999997</v>
      </c>
      <c r="F34" s="55"/>
      <c r="G34" s="56">
        <v>2.6100000000000002E-2</v>
      </c>
      <c r="H34" s="57">
        <v>15.0007</v>
      </c>
      <c r="I34" s="54"/>
      <c r="J34" s="55"/>
      <c r="K34" s="55"/>
      <c r="L34" s="55"/>
      <c r="M34" s="56">
        <v>7.1400000000000005E-2</v>
      </c>
      <c r="N34" s="58">
        <v>7.1400000000000005E-2</v>
      </c>
      <c r="O34" s="59">
        <v>15.072100000000001</v>
      </c>
    </row>
    <row r="35" spans="1:15" ht="14.25" customHeight="1" x14ac:dyDescent="0.2">
      <c r="A35" s="33" t="s">
        <v>31</v>
      </c>
      <c r="B35" s="54">
        <v>3.5474999999999999</v>
      </c>
      <c r="C35" s="55"/>
      <c r="D35" s="55"/>
      <c r="E35" s="55">
        <v>5.9850000000000003</v>
      </c>
      <c r="F35" s="55"/>
      <c r="G35" s="56"/>
      <c r="H35" s="57">
        <v>9.5325000000000006</v>
      </c>
      <c r="I35" s="54"/>
      <c r="J35" s="55">
        <v>1.9402999999999999</v>
      </c>
      <c r="K35" s="55">
        <v>1.0127999999999999</v>
      </c>
      <c r="L35" s="55">
        <v>0.64090000000000003</v>
      </c>
      <c r="M35" s="56">
        <v>0.95099999999999996</v>
      </c>
      <c r="N35" s="58">
        <v>4.5449999999999999</v>
      </c>
      <c r="O35" s="59">
        <v>14.077500000000001</v>
      </c>
    </row>
    <row r="36" spans="1:15" ht="14.25" customHeight="1" x14ac:dyDescent="0.2">
      <c r="A36" s="33" t="s">
        <v>32</v>
      </c>
      <c r="B36" s="54">
        <v>7.4450000000000003</v>
      </c>
      <c r="C36" s="55"/>
      <c r="D36" s="55"/>
      <c r="E36" s="55">
        <v>4.9069000000000003</v>
      </c>
      <c r="F36" s="55"/>
      <c r="G36" s="56">
        <v>2.6100000000000002E-2</v>
      </c>
      <c r="H36" s="57">
        <v>12.378</v>
      </c>
      <c r="I36" s="54"/>
      <c r="J36" s="55"/>
      <c r="K36" s="55"/>
      <c r="L36" s="55"/>
      <c r="M36" s="56">
        <v>0.79120000000000001</v>
      </c>
      <c r="N36" s="58">
        <v>0.79120000000000001</v>
      </c>
      <c r="O36" s="59">
        <v>13.1692</v>
      </c>
    </row>
    <row r="37" spans="1:15" ht="14.25" customHeight="1" x14ac:dyDescent="0.2">
      <c r="A37" s="33" t="s">
        <v>33</v>
      </c>
      <c r="B37" s="54">
        <v>7.95</v>
      </c>
      <c r="C37" s="55"/>
      <c r="D37" s="55"/>
      <c r="E37" s="55">
        <v>5.4290000000000003</v>
      </c>
      <c r="F37" s="55"/>
      <c r="G37" s="56"/>
      <c r="H37" s="57">
        <v>13.379</v>
      </c>
      <c r="I37" s="54"/>
      <c r="J37" s="55"/>
      <c r="K37" s="55">
        <v>0.128</v>
      </c>
      <c r="L37" s="55"/>
      <c r="M37" s="56">
        <v>1.0221</v>
      </c>
      <c r="N37" s="58">
        <v>1.1500999999999999</v>
      </c>
      <c r="O37" s="59">
        <v>14.5291</v>
      </c>
    </row>
    <row r="38" spans="1:15" ht="14.25" customHeight="1" x14ac:dyDescent="0.2">
      <c r="A38" s="33" t="s">
        <v>34</v>
      </c>
      <c r="B38" s="54">
        <v>10</v>
      </c>
      <c r="C38" s="55"/>
      <c r="D38" s="55"/>
      <c r="E38" s="55">
        <v>5.43</v>
      </c>
      <c r="F38" s="55"/>
      <c r="G38" s="56">
        <v>0.33679999999999999</v>
      </c>
      <c r="H38" s="57">
        <v>15.7668</v>
      </c>
      <c r="I38" s="54"/>
      <c r="J38" s="55"/>
      <c r="K38" s="55"/>
      <c r="L38" s="55"/>
      <c r="M38" s="56">
        <v>0.5847</v>
      </c>
      <c r="N38" s="58">
        <v>0.5847</v>
      </c>
      <c r="O38" s="59">
        <v>16.351500000000001</v>
      </c>
    </row>
    <row r="39" spans="1:15" ht="14.25" customHeight="1" x14ac:dyDescent="0.2">
      <c r="A39" s="33" t="s">
        <v>35</v>
      </c>
      <c r="B39" s="54">
        <v>5.0364000000000004</v>
      </c>
      <c r="C39" s="55">
        <v>9.1800000000000007E-2</v>
      </c>
      <c r="D39" s="55"/>
      <c r="E39" s="55">
        <v>6.2480000000000002</v>
      </c>
      <c r="F39" s="55"/>
      <c r="G39" s="56">
        <v>0.30830000000000002</v>
      </c>
      <c r="H39" s="57">
        <v>11.6845</v>
      </c>
      <c r="I39" s="54"/>
      <c r="J39" s="55"/>
      <c r="K39" s="55">
        <v>0.46889999999999998</v>
      </c>
      <c r="L39" s="55">
        <v>0.95189999999999997</v>
      </c>
      <c r="M39" s="56">
        <v>2.8666999999999998</v>
      </c>
      <c r="N39" s="58">
        <v>4.2874999999999996</v>
      </c>
      <c r="O39" s="59">
        <v>15.972</v>
      </c>
    </row>
    <row r="40" spans="1:15" ht="14.25" customHeight="1" x14ac:dyDescent="0.2">
      <c r="A40" s="33" t="s">
        <v>36</v>
      </c>
      <c r="B40" s="54">
        <v>3.7623000000000002</v>
      </c>
      <c r="C40" s="55"/>
      <c r="D40" s="55"/>
      <c r="E40" s="55">
        <v>5.5570000000000004</v>
      </c>
      <c r="F40" s="55"/>
      <c r="G40" s="56">
        <v>0.29199999999999998</v>
      </c>
      <c r="H40" s="57">
        <v>9.6113</v>
      </c>
      <c r="I40" s="54">
        <v>0.81420000000000003</v>
      </c>
      <c r="J40" s="55"/>
      <c r="K40" s="55">
        <v>1.9166000000000001</v>
      </c>
      <c r="L40" s="55">
        <v>6.93E-2</v>
      </c>
      <c r="M40" s="56">
        <v>2.0409000000000002</v>
      </c>
      <c r="N40" s="58">
        <v>4.8410000000000002</v>
      </c>
      <c r="O40" s="59">
        <v>14.452299999999999</v>
      </c>
    </row>
    <row r="41" spans="1:15" ht="14.25" customHeight="1" x14ac:dyDescent="0.2">
      <c r="A41" s="33" t="s">
        <v>37</v>
      </c>
      <c r="B41" s="54">
        <v>8.3143999999999991</v>
      </c>
      <c r="C41" s="55"/>
      <c r="D41" s="55"/>
      <c r="E41" s="55">
        <v>5.468</v>
      </c>
      <c r="F41" s="55"/>
      <c r="G41" s="56">
        <v>0.40110000000000001</v>
      </c>
      <c r="H41" s="57">
        <v>14.1835</v>
      </c>
      <c r="I41" s="54"/>
      <c r="J41" s="55"/>
      <c r="K41" s="55"/>
      <c r="L41" s="55">
        <v>0.5</v>
      </c>
      <c r="M41" s="56">
        <v>2.7896999999999998</v>
      </c>
      <c r="N41" s="58">
        <v>3.2896999999999998</v>
      </c>
      <c r="O41" s="59">
        <v>17.473199999999999</v>
      </c>
    </row>
    <row r="42" spans="1:15" ht="14.25" customHeight="1" x14ac:dyDescent="0.2">
      <c r="A42" s="33" t="s">
        <v>38</v>
      </c>
      <c r="B42" s="54">
        <v>9</v>
      </c>
      <c r="C42" s="55"/>
      <c r="D42" s="55"/>
      <c r="E42" s="55">
        <v>5.4749999999999996</v>
      </c>
      <c r="F42" s="55"/>
      <c r="G42" s="56"/>
      <c r="H42" s="57">
        <v>14.475</v>
      </c>
      <c r="I42" s="54"/>
      <c r="J42" s="55"/>
      <c r="K42" s="55">
        <v>0.39789999999999998</v>
      </c>
      <c r="L42" s="55"/>
      <c r="M42" s="56">
        <v>1.6779999999999999</v>
      </c>
      <c r="N42" s="58">
        <v>2.0758999999999999</v>
      </c>
      <c r="O42" s="59">
        <v>16.550899999999999</v>
      </c>
    </row>
    <row r="43" spans="1:15" ht="14.25" customHeight="1" x14ac:dyDescent="0.2">
      <c r="A43" s="33" t="s">
        <v>39</v>
      </c>
      <c r="B43" s="54">
        <v>9.3247</v>
      </c>
      <c r="C43" s="55"/>
      <c r="D43" s="55"/>
      <c r="E43" s="55">
        <v>5.3179999999999996</v>
      </c>
      <c r="F43" s="55"/>
      <c r="G43" s="56">
        <v>2.6100000000000002E-2</v>
      </c>
      <c r="H43" s="57">
        <v>14.668799999999999</v>
      </c>
      <c r="I43" s="54"/>
      <c r="J43" s="55"/>
      <c r="K43" s="55"/>
      <c r="L43" s="55"/>
      <c r="M43" s="56">
        <v>0.53459999999999996</v>
      </c>
      <c r="N43" s="58">
        <v>0.53459999999999996</v>
      </c>
      <c r="O43" s="59">
        <v>15.2034</v>
      </c>
    </row>
    <row r="44" spans="1:15" ht="14.25" customHeight="1" x14ac:dyDescent="0.2">
      <c r="A44" s="33" t="s">
        <v>40</v>
      </c>
      <c r="B44" s="54">
        <v>9.8000000000000007</v>
      </c>
      <c r="C44" s="55"/>
      <c r="D44" s="55"/>
      <c r="E44" s="55">
        <v>5.4539999999999997</v>
      </c>
      <c r="F44" s="55"/>
      <c r="G44" s="56">
        <v>0.33679999999999999</v>
      </c>
      <c r="H44" s="57">
        <v>15.5908</v>
      </c>
      <c r="I44" s="54"/>
      <c r="J44" s="55"/>
      <c r="K44" s="55"/>
      <c r="L44" s="55"/>
      <c r="M44" s="56">
        <v>1.0165999999999999</v>
      </c>
      <c r="N44" s="58">
        <v>1.0165999999999999</v>
      </c>
      <c r="O44" s="59">
        <v>16.607399999999998</v>
      </c>
    </row>
    <row r="45" spans="1:15" ht="14.25" customHeight="1" x14ac:dyDescent="0.2">
      <c r="A45" s="33" t="s">
        <v>41</v>
      </c>
      <c r="B45" s="54">
        <v>6.2325999999999997</v>
      </c>
      <c r="C45" s="55"/>
      <c r="D45" s="55"/>
      <c r="E45" s="55">
        <v>6.5220000000000002</v>
      </c>
      <c r="F45" s="55"/>
      <c r="G45" s="56">
        <v>0.46510000000000001</v>
      </c>
      <c r="H45" s="57">
        <v>13.2197</v>
      </c>
      <c r="I45" s="54"/>
      <c r="J45" s="55"/>
      <c r="K45" s="55">
        <v>0.47649999999999998</v>
      </c>
      <c r="L45" s="55">
        <v>0.45179999999999998</v>
      </c>
      <c r="M45" s="56">
        <v>1.0266999999999999</v>
      </c>
      <c r="N45" s="58">
        <v>1.9550000000000001</v>
      </c>
      <c r="O45" s="59">
        <v>15.1747</v>
      </c>
    </row>
    <row r="46" spans="1:15" ht="14.25" customHeight="1" x14ac:dyDescent="0.2">
      <c r="A46" s="33" t="s">
        <v>42</v>
      </c>
      <c r="B46" s="54">
        <v>4.29</v>
      </c>
      <c r="C46" s="55"/>
      <c r="D46" s="55"/>
      <c r="E46" s="55">
        <v>10.51</v>
      </c>
      <c r="F46" s="55">
        <v>1</v>
      </c>
      <c r="G46" s="56"/>
      <c r="H46" s="57">
        <v>15.8</v>
      </c>
      <c r="I46" s="54"/>
      <c r="J46" s="55">
        <v>3.8699999999999998E-2</v>
      </c>
      <c r="K46" s="55">
        <v>0.22969999999999999</v>
      </c>
      <c r="L46" s="55">
        <v>3.5994999999999999</v>
      </c>
      <c r="M46" s="56">
        <v>1.7415</v>
      </c>
      <c r="N46" s="58">
        <v>5.6093999999999999</v>
      </c>
      <c r="O46" s="59">
        <v>21.409400000000002</v>
      </c>
    </row>
    <row r="47" spans="1:15" ht="14.25" customHeight="1" x14ac:dyDescent="0.2">
      <c r="A47" s="33" t="s">
        <v>43</v>
      </c>
      <c r="B47" s="54">
        <v>6.5559000000000003</v>
      </c>
      <c r="C47" s="55"/>
      <c r="D47" s="55"/>
      <c r="E47" s="55">
        <v>5.9880000000000004</v>
      </c>
      <c r="F47" s="55"/>
      <c r="G47" s="56">
        <v>0.62390000000000001</v>
      </c>
      <c r="H47" s="57">
        <v>13.1678</v>
      </c>
      <c r="I47" s="54"/>
      <c r="J47" s="55"/>
      <c r="K47" s="55"/>
      <c r="L47" s="55">
        <v>2.6088</v>
      </c>
      <c r="M47" s="56">
        <v>1.1581999999999999</v>
      </c>
      <c r="N47" s="58">
        <v>3.7669999999999999</v>
      </c>
      <c r="O47" s="59">
        <v>16.934799999999999</v>
      </c>
    </row>
    <row r="48" spans="1:15" ht="14.25" customHeight="1" x14ac:dyDescent="0.2">
      <c r="A48" s="33" t="s">
        <v>44</v>
      </c>
      <c r="B48" s="54">
        <v>2.5217999999999998</v>
      </c>
      <c r="C48" s="55"/>
      <c r="D48" s="55"/>
      <c r="E48" s="55">
        <v>2.9620000000000002</v>
      </c>
      <c r="F48" s="55"/>
      <c r="G48" s="56">
        <v>0.45650000000000002</v>
      </c>
      <c r="H48" s="57">
        <v>5.9402999999999997</v>
      </c>
      <c r="I48" s="54"/>
      <c r="J48" s="55"/>
      <c r="K48" s="55">
        <v>0.3589</v>
      </c>
      <c r="L48" s="55">
        <v>0.7097</v>
      </c>
      <c r="M48" s="56">
        <v>1.2929999999999999</v>
      </c>
      <c r="N48" s="58">
        <v>2.3616000000000001</v>
      </c>
      <c r="O48" s="59">
        <v>8.3018999999999998</v>
      </c>
    </row>
    <row r="49" spans="1:15" ht="14.25" customHeight="1" x14ac:dyDescent="0.2">
      <c r="A49" s="33" t="s">
        <v>45</v>
      </c>
      <c r="B49" s="54">
        <v>7.1040999999999999</v>
      </c>
      <c r="C49" s="55"/>
      <c r="D49" s="55"/>
      <c r="E49" s="55">
        <v>5.5030000000000001</v>
      </c>
      <c r="F49" s="55"/>
      <c r="G49" s="56">
        <v>0.22939999999999999</v>
      </c>
      <c r="H49" s="57">
        <v>12.836499999999999</v>
      </c>
      <c r="I49" s="54">
        <v>1.5610999999999999</v>
      </c>
      <c r="J49" s="55"/>
      <c r="K49" s="55">
        <v>6.7199999999999996E-2</v>
      </c>
      <c r="L49" s="55"/>
      <c r="M49" s="56">
        <v>1.5402</v>
      </c>
      <c r="N49" s="58">
        <v>3.1684999999999999</v>
      </c>
      <c r="O49" s="59">
        <v>16.004999999999999</v>
      </c>
    </row>
    <row r="50" spans="1:15" ht="14.25" customHeight="1" x14ac:dyDescent="0.2">
      <c r="A50" s="33" t="s">
        <v>46</v>
      </c>
      <c r="B50" s="54">
        <v>3.8308</v>
      </c>
      <c r="C50" s="55"/>
      <c r="D50" s="55"/>
      <c r="E50" s="55">
        <v>5.5789999999999997</v>
      </c>
      <c r="F50" s="55"/>
      <c r="G50" s="56">
        <v>2.6100000000000002E-2</v>
      </c>
      <c r="H50" s="57">
        <v>9.4359000000000002</v>
      </c>
      <c r="I50" s="54"/>
      <c r="J50" s="55"/>
      <c r="K50" s="55">
        <v>1.1993</v>
      </c>
      <c r="L50" s="55">
        <v>0.1384</v>
      </c>
      <c r="M50" s="56">
        <v>1.7343</v>
      </c>
      <c r="N50" s="58">
        <v>3.0720000000000001</v>
      </c>
      <c r="O50" s="59">
        <v>12.507899999999999</v>
      </c>
    </row>
    <row r="51" spans="1:15" ht="14.25" customHeight="1" x14ac:dyDescent="0.2">
      <c r="A51" s="33" t="s">
        <v>47</v>
      </c>
      <c r="B51" s="54">
        <v>8</v>
      </c>
      <c r="C51" s="55"/>
      <c r="D51" s="55"/>
      <c r="E51" s="55">
        <v>5.4710000000000001</v>
      </c>
      <c r="F51" s="55"/>
      <c r="G51" s="56">
        <v>0.3</v>
      </c>
      <c r="H51" s="57">
        <v>13.771000000000001</v>
      </c>
      <c r="I51" s="54"/>
      <c r="J51" s="55"/>
      <c r="K51" s="55">
        <v>0.25540000000000002</v>
      </c>
      <c r="L51" s="55"/>
      <c r="M51" s="56">
        <v>0.82669999999999999</v>
      </c>
      <c r="N51" s="58">
        <v>1.0821000000000001</v>
      </c>
      <c r="O51" s="59">
        <v>14.8531</v>
      </c>
    </row>
    <row r="52" spans="1:15" ht="14.25" customHeight="1" x14ac:dyDescent="0.2">
      <c r="A52" s="33" t="s">
        <v>112</v>
      </c>
      <c r="B52" s="54">
        <v>4.4347000000000003</v>
      </c>
      <c r="C52" s="55"/>
      <c r="D52" s="55"/>
      <c r="E52" s="55">
        <v>6.4619999999999997</v>
      </c>
      <c r="F52" s="55"/>
      <c r="G52" s="56"/>
      <c r="H52" s="57">
        <v>10.896699999999999</v>
      </c>
      <c r="I52" s="54"/>
      <c r="J52" s="55">
        <v>1.26E-2</v>
      </c>
      <c r="K52" s="55">
        <v>0.56679999999999997</v>
      </c>
      <c r="L52" s="55">
        <v>2.2086000000000001</v>
      </c>
      <c r="M52" s="56">
        <v>2.4998999999999998</v>
      </c>
      <c r="N52" s="58">
        <v>5.2878999999999996</v>
      </c>
      <c r="O52" s="59">
        <v>16.1846</v>
      </c>
    </row>
    <row r="53" spans="1:15" ht="14.25" customHeight="1" x14ac:dyDescent="0.2">
      <c r="A53" s="33" t="s">
        <v>113</v>
      </c>
      <c r="B53" s="54">
        <v>6.7773000000000003</v>
      </c>
      <c r="C53" s="55">
        <v>8.5300000000000001E-2</v>
      </c>
      <c r="D53" s="55">
        <v>0.3</v>
      </c>
      <c r="E53" s="55">
        <v>5.516</v>
      </c>
      <c r="F53" s="55"/>
      <c r="G53" s="56"/>
      <c r="H53" s="57">
        <v>12.678599999999999</v>
      </c>
      <c r="I53" s="54"/>
      <c r="J53" s="55"/>
      <c r="K53" s="55">
        <v>0.4884</v>
      </c>
      <c r="L53" s="55">
        <v>0.86140000000000005</v>
      </c>
      <c r="M53" s="56">
        <v>1.0462</v>
      </c>
      <c r="N53" s="58">
        <v>2.3959999999999999</v>
      </c>
      <c r="O53" s="59">
        <v>15.0746</v>
      </c>
    </row>
    <row r="54" spans="1:15" ht="14.25" customHeight="1" x14ac:dyDescent="0.2">
      <c r="A54" s="33" t="s">
        <v>48</v>
      </c>
      <c r="B54" s="54">
        <v>4.7149999999999999</v>
      </c>
      <c r="C54" s="55">
        <v>2.8899999999999999E-2</v>
      </c>
      <c r="D54" s="55"/>
      <c r="E54" s="55">
        <v>6.5190000000000001</v>
      </c>
      <c r="F54" s="55"/>
      <c r="G54" s="56">
        <v>1.5389999999999999</v>
      </c>
      <c r="H54" s="57">
        <v>12.8019</v>
      </c>
      <c r="I54" s="54"/>
      <c r="J54" s="55">
        <v>1.8082</v>
      </c>
      <c r="K54" s="55">
        <v>0.1726</v>
      </c>
      <c r="L54" s="55"/>
      <c r="M54" s="56">
        <v>3.3481999999999998</v>
      </c>
      <c r="N54" s="58">
        <v>5.3289999999999997</v>
      </c>
      <c r="O54" s="59">
        <v>18.1309</v>
      </c>
    </row>
    <row r="55" spans="1:15" ht="14.25" customHeight="1" x14ac:dyDescent="0.2">
      <c r="A55" s="33" t="s">
        <v>49</v>
      </c>
      <c r="B55" s="54">
        <v>7.6075999999999997</v>
      </c>
      <c r="C55" s="55">
        <v>0.28070000000000001</v>
      </c>
      <c r="D55" s="55"/>
      <c r="E55" s="55">
        <v>5.516</v>
      </c>
      <c r="F55" s="55"/>
      <c r="G55" s="56">
        <v>0.22600000000000001</v>
      </c>
      <c r="H55" s="57">
        <v>13.6303</v>
      </c>
      <c r="I55" s="54"/>
      <c r="J55" s="55">
        <v>1.7412000000000001</v>
      </c>
      <c r="K55" s="55">
        <v>0.2545</v>
      </c>
      <c r="L55" s="55"/>
      <c r="M55" s="56">
        <v>0.4884</v>
      </c>
      <c r="N55" s="58">
        <v>2.4841000000000002</v>
      </c>
      <c r="O55" s="59">
        <v>16.1144</v>
      </c>
    </row>
    <row r="56" spans="1:15" ht="14.25" customHeight="1" x14ac:dyDescent="0.2">
      <c r="A56" s="33" t="s">
        <v>50</v>
      </c>
      <c r="B56" s="54">
        <v>4.7397999999999998</v>
      </c>
      <c r="C56" s="55"/>
      <c r="D56" s="55">
        <v>0.1</v>
      </c>
      <c r="E56" s="55">
        <v>5.9630000000000001</v>
      </c>
      <c r="F56" s="55"/>
      <c r="G56" s="56">
        <v>1.0768</v>
      </c>
      <c r="H56" s="57">
        <v>11.8796</v>
      </c>
      <c r="I56" s="54">
        <v>0.83589999999999998</v>
      </c>
      <c r="J56" s="55"/>
      <c r="K56" s="55">
        <v>0.97629999999999995</v>
      </c>
      <c r="L56" s="55">
        <v>0.77829999999999999</v>
      </c>
      <c r="M56" s="56">
        <v>4.0244</v>
      </c>
      <c r="N56" s="58">
        <v>6.6148999999999996</v>
      </c>
      <c r="O56" s="59">
        <v>18.494499999999999</v>
      </c>
    </row>
    <row r="57" spans="1:15" ht="14.25" customHeight="1" x14ac:dyDescent="0.2">
      <c r="A57" s="33" t="s">
        <v>51</v>
      </c>
      <c r="B57" s="54">
        <v>6.6920000000000002</v>
      </c>
      <c r="C57" s="55"/>
      <c r="D57" s="55"/>
      <c r="E57" s="55">
        <v>5.5190000000000001</v>
      </c>
      <c r="F57" s="55"/>
      <c r="G57" s="56"/>
      <c r="H57" s="57">
        <v>12.211</v>
      </c>
      <c r="I57" s="54"/>
      <c r="J57" s="55"/>
      <c r="K57" s="55">
        <v>0.40610000000000002</v>
      </c>
      <c r="L57" s="55">
        <v>0.49659999999999999</v>
      </c>
      <c r="M57" s="56">
        <v>2.5432999999999999</v>
      </c>
      <c r="N57" s="58">
        <v>3.4460000000000002</v>
      </c>
      <c r="O57" s="59">
        <v>15.657</v>
      </c>
    </row>
    <row r="58" spans="1:15" ht="14.25" customHeight="1" x14ac:dyDescent="0.2">
      <c r="A58" s="33" t="s">
        <v>52</v>
      </c>
      <c r="B58" s="54">
        <v>9.3099000000000007</v>
      </c>
      <c r="C58" s="55"/>
      <c r="D58" s="55"/>
      <c r="E58" s="55">
        <v>5.4630000000000001</v>
      </c>
      <c r="F58" s="55"/>
      <c r="G58" s="56"/>
      <c r="H58" s="57">
        <v>14.7729</v>
      </c>
      <c r="I58" s="54">
        <v>0.96450000000000002</v>
      </c>
      <c r="J58" s="55"/>
      <c r="K58" s="55">
        <v>0.19950000000000001</v>
      </c>
      <c r="L58" s="55"/>
      <c r="M58" s="56">
        <v>1.0077</v>
      </c>
      <c r="N58" s="58">
        <v>2.1717</v>
      </c>
      <c r="O58" s="59">
        <v>16.944600000000001</v>
      </c>
    </row>
    <row r="59" spans="1:15" ht="14.25" customHeight="1" x14ac:dyDescent="0.2">
      <c r="A59" s="33" t="s">
        <v>53</v>
      </c>
      <c r="B59" s="54">
        <v>5.5141</v>
      </c>
      <c r="C59" s="55"/>
      <c r="D59" s="55"/>
      <c r="E59" s="55">
        <v>5.4829999999999997</v>
      </c>
      <c r="F59" s="55"/>
      <c r="G59" s="56">
        <v>0.22939999999999999</v>
      </c>
      <c r="H59" s="57">
        <v>11.2265</v>
      </c>
      <c r="I59" s="54"/>
      <c r="J59" s="55">
        <v>1.2981</v>
      </c>
      <c r="K59" s="55">
        <v>0.22589999999999999</v>
      </c>
      <c r="L59" s="55">
        <v>1.43E-2</v>
      </c>
      <c r="M59" s="56">
        <v>0.58379999999999999</v>
      </c>
      <c r="N59" s="58">
        <v>2.1221000000000001</v>
      </c>
      <c r="O59" s="59">
        <v>13.348599999999999</v>
      </c>
    </row>
    <row r="60" spans="1:15" ht="14.25" customHeight="1" x14ac:dyDescent="0.2">
      <c r="A60" s="33" t="s">
        <v>54</v>
      </c>
      <c r="B60" s="54">
        <v>7.1134000000000004</v>
      </c>
      <c r="C60" s="55"/>
      <c r="D60" s="55"/>
      <c r="E60" s="55">
        <v>6.4790000000000001</v>
      </c>
      <c r="F60" s="55"/>
      <c r="G60" s="56">
        <v>3.6646000000000001</v>
      </c>
      <c r="H60" s="57">
        <v>17.257000000000001</v>
      </c>
      <c r="I60" s="54"/>
      <c r="J60" s="55">
        <v>0.13139999999999999</v>
      </c>
      <c r="K60" s="55"/>
      <c r="L60" s="55">
        <v>0.96689999999999998</v>
      </c>
      <c r="M60" s="56">
        <v>3.6456</v>
      </c>
      <c r="N60" s="58">
        <v>4.7439</v>
      </c>
      <c r="O60" s="59">
        <v>22.000900000000001</v>
      </c>
    </row>
    <row r="61" spans="1:15" ht="14.25" customHeight="1" x14ac:dyDescent="0.2">
      <c r="A61" s="33" t="s">
        <v>55</v>
      </c>
      <c r="B61" s="54">
        <v>6.0952999999999999</v>
      </c>
      <c r="C61" s="55"/>
      <c r="D61" s="55"/>
      <c r="E61" s="55">
        <v>5.56</v>
      </c>
      <c r="F61" s="55"/>
      <c r="G61" s="56">
        <v>2.6100000000000002E-2</v>
      </c>
      <c r="H61" s="57">
        <v>11.6814</v>
      </c>
      <c r="I61" s="54"/>
      <c r="J61" s="55"/>
      <c r="K61" s="55">
        <v>0.53490000000000004</v>
      </c>
      <c r="L61" s="55"/>
      <c r="M61" s="56">
        <v>0.26350000000000001</v>
      </c>
      <c r="N61" s="58">
        <v>0.7984</v>
      </c>
      <c r="O61" s="59">
        <v>12.479799999999999</v>
      </c>
    </row>
    <row r="62" spans="1:15" ht="14.25" customHeight="1" x14ac:dyDescent="0.2">
      <c r="A62" s="33" t="s">
        <v>56</v>
      </c>
      <c r="B62" s="54">
        <v>3.2496999999999998</v>
      </c>
      <c r="C62" s="55">
        <v>9.1499999999999998E-2</v>
      </c>
      <c r="D62" s="55">
        <v>0.1051</v>
      </c>
      <c r="E62" s="55">
        <v>6.2720000000000002</v>
      </c>
      <c r="F62" s="55"/>
      <c r="G62" s="56">
        <v>1.3073999999999999</v>
      </c>
      <c r="H62" s="57">
        <v>11.025700000000001</v>
      </c>
      <c r="I62" s="54"/>
      <c r="J62" s="55"/>
      <c r="K62" s="55"/>
      <c r="L62" s="55">
        <v>0.53239999999999998</v>
      </c>
      <c r="M62" s="56">
        <v>1.413</v>
      </c>
      <c r="N62" s="58">
        <v>1.9454</v>
      </c>
      <c r="O62" s="59">
        <v>12.9711</v>
      </c>
    </row>
    <row r="63" spans="1:15" ht="14.25" customHeight="1" x14ac:dyDescent="0.2">
      <c r="A63" s="33" t="s">
        <v>57</v>
      </c>
      <c r="B63" s="54">
        <v>4.8750999999999998</v>
      </c>
      <c r="C63" s="55"/>
      <c r="D63" s="55"/>
      <c r="E63" s="55">
        <v>5.46</v>
      </c>
      <c r="F63" s="55"/>
      <c r="G63" s="56">
        <v>0.19739999999999999</v>
      </c>
      <c r="H63" s="57">
        <v>10.532500000000001</v>
      </c>
      <c r="I63" s="54"/>
      <c r="J63" s="55"/>
      <c r="K63" s="55"/>
      <c r="L63" s="55">
        <v>2.0177999999999998</v>
      </c>
      <c r="M63" s="56">
        <v>2.2938000000000001</v>
      </c>
      <c r="N63" s="58">
        <v>4.3116000000000003</v>
      </c>
      <c r="O63" s="59">
        <v>14.844099999999999</v>
      </c>
    </row>
    <row r="64" spans="1:15" ht="14.25" customHeight="1" x14ac:dyDescent="0.2">
      <c r="A64" s="33" t="s">
        <v>58</v>
      </c>
      <c r="B64" s="54">
        <v>5.59</v>
      </c>
      <c r="C64" s="55"/>
      <c r="D64" s="55"/>
      <c r="E64" s="55">
        <v>4.5839999999999996</v>
      </c>
      <c r="F64" s="55"/>
      <c r="G64" s="56"/>
      <c r="H64" s="57">
        <v>10.173999999999999</v>
      </c>
      <c r="I64" s="54"/>
      <c r="J64" s="55"/>
      <c r="K64" s="55">
        <v>0.22639999999999999</v>
      </c>
      <c r="L64" s="55"/>
      <c r="M64" s="56">
        <v>0.81730000000000003</v>
      </c>
      <c r="N64" s="58">
        <v>1.0437000000000001</v>
      </c>
      <c r="O64" s="59">
        <v>11.217700000000001</v>
      </c>
    </row>
    <row r="65" spans="1:15" ht="14.25" customHeight="1" x14ac:dyDescent="0.2">
      <c r="A65" s="33" t="s">
        <v>59</v>
      </c>
      <c r="B65" s="54">
        <v>9</v>
      </c>
      <c r="C65" s="55"/>
      <c r="D65" s="55"/>
      <c r="E65" s="55">
        <v>5.5860000000000003</v>
      </c>
      <c r="F65" s="55"/>
      <c r="G65" s="56">
        <v>0.33679999999999999</v>
      </c>
      <c r="H65" s="57">
        <v>14.922800000000001</v>
      </c>
      <c r="I65" s="54"/>
      <c r="J65" s="55"/>
      <c r="K65" s="55"/>
      <c r="L65" s="55"/>
      <c r="M65" s="56">
        <v>1.1877</v>
      </c>
      <c r="N65" s="58">
        <v>1.1877</v>
      </c>
      <c r="O65" s="59">
        <v>16.110499999999998</v>
      </c>
    </row>
    <row r="66" spans="1:15" ht="14.25" customHeight="1" x14ac:dyDescent="0.2">
      <c r="A66" s="33" t="s">
        <v>60</v>
      </c>
      <c r="B66" s="54">
        <v>7.2426000000000004</v>
      </c>
      <c r="C66" s="55"/>
      <c r="D66" s="55"/>
      <c r="E66" s="55">
        <v>5.6849999999999996</v>
      </c>
      <c r="F66" s="55"/>
      <c r="G66" s="56">
        <v>0.33679999999999999</v>
      </c>
      <c r="H66" s="57">
        <v>13.2644</v>
      </c>
      <c r="I66" s="54"/>
      <c r="J66" s="55">
        <v>1.0273000000000001</v>
      </c>
      <c r="K66" s="55"/>
      <c r="L66" s="55"/>
      <c r="M66" s="56">
        <v>1.1133</v>
      </c>
      <c r="N66" s="58">
        <v>2.1406000000000001</v>
      </c>
      <c r="O66" s="59">
        <v>15.404999999999999</v>
      </c>
    </row>
    <row r="67" spans="1:15" ht="14.25" customHeight="1" x14ac:dyDescent="0.2">
      <c r="A67" s="33" t="s">
        <v>61</v>
      </c>
      <c r="B67" s="54">
        <v>10</v>
      </c>
      <c r="C67" s="55"/>
      <c r="D67" s="55"/>
      <c r="E67" s="55">
        <v>5.5620000000000003</v>
      </c>
      <c r="F67" s="55"/>
      <c r="G67" s="56">
        <v>0.83679999999999999</v>
      </c>
      <c r="H67" s="57">
        <v>16.398800000000001</v>
      </c>
      <c r="I67" s="54"/>
      <c r="J67" s="55"/>
      <c r="K67" s="55"/>
      <c r="L67" s="55"/>
      <c r="M67" s="56">
        <v>0.437</v>
      </c>
      <c r="N67" s="58">
        <v>0.437</v>
      </c>
      <c r="O67" s="59">
        <v>16.835799999999999</v>
      </c>
    </row>
    <row r="68" spans="1:15" ht="14.25" customHeight="1" x14ac:dyDescent="0.2">
      <c r="A68" s="33" t="s">
        <v>62</v>
      </c>
      <c r="B68" s="54">
        <v>4.8498999999999999</v>
      </c>
      <c r="C68" s="55"/>
      <c r="D68" s="55">
        <v>0.86350000000000005</v>
      </c>
      <c r="E68" s="55">
        <v>5.4820000000000002</v>
      </c>
      <c r="F68" s="55"/>
      <c r="G68" s="56">
        <v>0.22939999999999999</v>
      </c>
      <c r="H68" s="57">
        <v>11.424799999999999</v>
      </c>
      <c r="I68" s="54"/>
      <c r="J68" s="55">
        <v>0.97270000000000001</v>
      </c>
      <c r="K68" s="55">
        <v>0.94569999999999999</v>
      </c>
      <c r="L68" s="55">
        <v>0.37959999999999999</v>
      </c>
      <c r="M68" s="56">
        <v>4.2664999999999997</v>
      </c>
      <c r="N68" s="58">
        <v>6.5644999999999998</v>
      </c>
      <c r="O68" s="59">
        <v>17.9893</v>
      </c>
    </row>
    <row r="69" spans="1:15" ht="14.25" customHeight="1" x14ac:dyDescent="0.2">
      <c r="A69" s="33" t="s">
        <v>63</v>
      </c>
      <c r="B69" s="54">
        <v>8.1999999999999993</v>
      </c>
      <c r="C69" s="55"/>
      <c r="D69" s="55"/>
      <c r="E69" s="55">
        <v>5.5510000000000002</v>
      </c>
      <c r="F69" s="55"/>
      <c r="G69" s="56">
        <v>2.6100000000000002E-2</v>
      </c>
      <c r="H69" s="57">
        <v>13.777100000000001</v>
      </c>
      <c r="I69" s="54"/>
      <c r="J69" s="55"/>
      <c r="K69" s="55"/>
      <c r="L69" s="55"/>
      <c r="M69" s="56">
        <v>0.11550000000000001</v>
      </c>
      <c r="N69" s="58">
        <v>0.11550000000000001</v>
      </c>
      <c r="O69" s="59">
        <v>13.8926</v>
      </c>
    </row>
    <row r="70" spans="1:15" ht="14.25" customHeight="1" x14ac:dyDescent="0.2">
      <c r="A70" s="33" t="s">
        <v>64</v>
      </c>
      <c r="B70" s="54">
        <v>3.6362999999999999</v>
      </c>
      <c r="C70" s="55"/>
      <c r="D70" s="55"/>
      <c r="E70" s="55">
        <v>4.3849999999999998</v>
      </c>
      <c r="F70" s="55"/>
      <c r="G70" s="56">
        <v>2.6100000000000002E-2</v>
      </c>
      <c r="H70" s="57">
        <v>8.0473999999999997</v>
      </c>
      <c r="I70" s="54"/>
      <c r="J70" s="55">
        <v>2.69E-2</v>
      </c>
      <c r="K70" s="55">
        <v>1.1032999999999999</v>
      </c>
      <c r="L70" s="55"/>
      <c r="M70" s="56">
        <v>0.1741</v>
      </c>
      <c r="N70" s="58">
        <v>1.3043</v>
      </c>
      <c r="O70" s="59">
        <v>9.3516999999999992</v>
      </c>
    </row>
    <row r="71" spans="1:15" ht="14.25" customHeight="1" thickBot="1" x14ac:dyDescent="0.25">
      <c r="A71" s="48" t="s">
        <v>65</v>
      </c>
      <c r="B71" s="60">
        <v>8.5</v>
      </c>
      <c r="C71" s="61"/>
      <c r="D71" s="61"/>
      <c r="E71" s="61">
        <v>5.2279999999999998</v>
      </c>
      <c r="F71" s="61"/>
      <c r="G71" s="62">
        <v>2.6100000000000002E-2</v>
      </c>
      <c r="H71" s="63">
        <v>13.754099999999999</v>
      </c>
      <c r="I71" s="60"/>
      <c r="J71" s="61"/>
      <c r="K71" s="61"/>
      <c r="L71" s="61"/>
      <c r="M71" s="62">
        <v>1.1922999999999999</v>
      </c>
      <c r="N71" s="64">
        <v>1.1922999999999999</v>
      </c>
      <c r="O71" s="65">
        <v>14.946400000000001</v>
      </c>
    </row>
    <row r="73" spans="1:15" x14ac:dyDescent="0.2">
      <c r="A73" s="3" t="s">
        <v>68</v>
      </c>
    </row>
    <row r="74" spans="1:15" x14ac:dyDescent="0.2">
      <c r="A74" s="3" t="s">
        <v>69</v>
      </c>
    </row>
    <row r="75" spans="1:15" x14ac:dyDescent="0.2">
      <c r="A75" s="3" t="s">
        <v>103</v>
      </c>
    </row>
    <row r="77" spans="1:15" ht="16.5" x14ac:dyDescent="0.2">
      <c r="A77" s="3" t="s">
        <v>114</v>
      </c>
    </row>
    <row r="79" spans="1:15" x14ac:dyDescent="0.2">
      <c r="A79" s="3" t="s">
        <v>116</v>
      </c>
    </row>
  </sheetData>
  <mergeCells count="2">
    <mergeCell ref="B3:G3"/>
    <mergeCell ref="I3:M3"/>
  </mergeCells>
  <phoneticPr fontId="0" type="noConversion"/>
  <conditionalFormatting sqref="A4:O71">
    <cfRule type="expression" dxfId="3" priority="1" stopIfTrue="1">
      <formula>MOD(ROW(),3)=1</formula>
    </cfRule>
  </conditionalFormatting>
  <pageMargins left="0.7" right="0.7" top="0.75" bottom="0.75" header="0.3" footer="0.3"/>
  <pageSetup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7"/>
  <sheetViews>
    <sheetView workbookViewId="0">
      <pane ySplit="4" topLeftCell="A8" activePane="bottomLeft" state="frozen"/>
      <selection activeCell="A3" sqref="A3"/>
      <selection pane="bottomLeft" activeCell="A20" sqref="A20:XFD20"/>
    </sheetView>
  </sheetViews>
  <sheetFormatPr defaultRowHeight="14.25" x14ac:dyDescent="0.2"/>
  <cols>
    <col min="1" max="1" width="38.140625" style="3" customWidth="1"/>
    <col min="2" max="2" width="15.42578125" style="3" bestFit="1" customWidth="1"/>
    <col min="3" max="3" width="12.5703125" style="3" bestFit="1" customWidth="1"/>
    <col min="4" max="4" width="12.140625" style="3" bestFit="1" customWidth="1"/>
    <col min="5" max="5" width="15.42578125" style="3" bestFit="1" customWidth="1"/>
    <col min="6" max="6" width="12.42578125" style="3" bestFit="1" customWidth="1"/>
    <col min="7" max="7" width="14.28515625" style="3" bestFit="1" customWidth="1"/>
    <col min="8" max="8" width="15.42578125" style="3" bestFit="1" customWidth="1"/>
    <col min="9" max="13" width="14.28515625" style="3" bestFit="1" customWidth="1"/>
    <col min="14" max="15" width="15.42578125" style="3" bestFit="1" customWidth="1"/>
    <col min="16" max="16" width="13.85546875" style="3" bestFit="1" customWidth="1"/>
    <col min="17" max="17" width="10" style="10" bestFit="1" customWidth="1"/>
    <col min="18" max="16384" width="9.140625" style="10"/>
  </cols>
  <sheetData>
    <row r="1" spans="1:17" ht="23.25" x14ac:dyDescent="0.2">
      <c r="A1" s="1" t="s">
        <v>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  <c r="Q1" s="16"/>
    </row>
    <row r="2" spans="1:17" ht="15.75" thickBot="1" x14ac:dyDescent="0.25">
      <c r="A2" s="18">
        <v>2022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2"/>
      <c r="Q2" s="16"/>
    </row>
    <row r="3" spans="1:17" ht="15.75" thickBot="1" x14ac:dyDescent="0.3">
      <c r="A3" s="18"/>
      <c r="B3" s="72" t="s">
        <v>0</v>
      </c>
      <c r="C3" s="73"/>
      <c r="D3" s="73"/>
      <c r="E3" s="73"/>
      <c r="F3" s="73"/>
      <c r="G3" s="74"/>
      <c r="H3" s="31"/>
      <c r="I3" s="72" t="s">
        <v>71</v>
      </c>
      <c r="J3" s="73"/>
      <c r="K3" s="73"/>
      <c r="L3" s="73"/>
      <c r="M3" s="74"/>
      <c r="N3" s="31"/>
      <c r="O3" s="31"/>
      <c r="P3" s="32"/>
      <c r="Q3" s="16"/>
    </row>
    <row r="4" spans="1:17" s="11" customFormat="1" ht="63.75" x14ac:dyDescent="0.2">
      <c r="A4" s="6" t="s">
        <v>1</v>
      </c>
      <c r="B4" s="49" t="s">
        <v>73</v>
      </c>
      <c r="C4" s="50" t="s">
        <v>74</v>
      </c>
      <c r="D4" s="50" t="s">
        <v>75</v>
      </c>
      <c r="E4" s="50" t="s">
        <v>76</v>
      </c>
      <c r="F4" s="50" t="s">
        <v>77</v>
      </c>
      <c r="G4" s="51" t="s">
        <v>78</v>
      </c>
      <c r="H4" s="6" t="s">
        <v>79</v>
      </c>
      <c r="I4" s="49" t="s">
        <v>73</v>
      </c>
      <c r="J4" s="50" t="s">
        <v>75</v>
      </c>
      <c r="K4" s="50" t="s">
        <v>78</v>
      </c>
      <c r="L4" s="50" t="s">
        <v>66</v>
      </c>
      <c r="M4" s="51" t="s">
        <v>67</v>
      </c>
      <c r="N4" s="7" t="s">
        <v>80</v>
      </c>
      <c r="O4" s="8" t="s">
        <v>72</v>
      </c>
      <c r="P4" s="9" t="s">
        <v>117</v>
      </c>
    </row>
    <row r="5" spans="1:17" ht="14.25" customHeight="1" x14ac:dyDescent="0.2">
      <c r="A5" s="52" t="s">
        <v>2</v>
      </c>
      <c r="B5" s="34">
        <v>148140920</v>
      </c>
      <c r="C5" s="35"/>
      <c r="D5" s="35"/>
      <c r="E5" s="35">
        <v>145250107</v>
      </c>
      <c r="F5" s="35"/>
      <c r="G5" s="36">
        <v>29028784</v>
      </c>
      <c r="H5" s="37">
        <v>322419811</v>
      </c>
      <c r="I5" s="34"/>
      <c r="J5" s="35"/>
      <c r="K5" s="35">
        <v>4562269</v>
      </c>
      <c r="L5" s="35">
        <v>28433087</v>
      </c>
      <c r="M5" s="36">
        <v>62277934</v>
      </c>
      <c r="N5" s="38">
        <v>95273290</v>
      </c>
      <c r="O5" s="35">
        <v>417693101</v>
      </c>
      <c r="P5" s="70">
        <v>9.9100000000000008E-2</v>
      </c>
    </row>
    <row r="6" spans="1:17" ht="14.25" customHeight="1" x14ac:dyDescent="0.2">
      <c r="A6" s="52" t="s">
        <v>3</v>
      </c>
      <c r="B6" s="34">
        <v>9452517</v>
      </c>
      <c r="C6" s="35"/>
      <c r="D6" s="35"/>
      <c r="E6" s="35">
        <v>8176635</v>
      </c>
      <c r="F6" s="35"/>
      <c r="G6" s="36">
        <v>1277860</v>
      </c>
      <c r="H6" s="37">
        <v>18907012</v>
      </c>
      <c r="I6" s="34"/>
      <c r="J6" s="35"/>
      <c r="K6" s="35">
        <v>262480</v>
      </c>
      <c r="L6" s="35"/>
      <c r="M6" s="36">
        <v>1307857</v>
      </c>
      <c r="N6" s="38">
        <v>1570337</v>
      </c>
      <c r="O6" s="35">
        <v>20477349</v>
      </c>
      <c r="P6" s="70">
        <v>0.1255</v>
      </c>
    </row>
    <row r="7" spans="1:17" ht="14.25" customHeight="1" x14ac:dyDescent="0.2">
      <c r="A7" s="52" t="s">
        <v>4</v>
      </c>
      <c r="B7" s="34">
        <v>99901872</v>
      </c>
      <c r="C7" s="35"/>
      <c r="D7" s="35"/>
      <c r="E7" s="35">
        <v>140644889</v>
      </c>
      <c r="F7" s="35"/>
      <c r="G7" s="36">
        <v>590247</v>
      </c>
      <c r="H7" s="37">
        <v>241137008</v>
      </c>
      <c r="I7" s="34">
        <v>1859010</v>
      </c>
      <c r="J7" s="35">
        <v>12562220</v>
      </c>
      <c r="K7" s="35">
        <v>2778582</v>
      </c>
      <c r="L7" s="35"/>
      <c r="M7" s="36">
        <v>25914441</v>
      </c>
      <c r="N7" s="38">
        <v>43114253</v>
      </c>
      <c r="O7" s="35">
        <v>284251261</v>
      </c>
      <c r="P7" s="70">
        <v>0.14599999999999999</v>
      </c>
    </row>
    <row r="8" spans="1:17" ht="14.25" customHeight="1" x14ac:dyDescent="0.2">
      <c r="A8" s="52" t="s">
        <v>5</v>
      </c>
      <c r="B8" s="34">
        <v>12361820</v>
      </c>
      <c r="C8" s="35"/>
      <c r="D8" s="35"/>
      <c r="E8" s="35">
        <v>7682251</v>
      </c>
      <c r="F8" s="35"/>
      <c r="G8" s="36"/>
      <c r="H8" s="37">
        <v>20044071</v>
      </c>
      <c r="I8" s="34"/>
      <c r="J8" s="35"/>
      <c r="K8" s="35">
        <v>407460</v>
      </c>
      <c r="L8" s="35"/>
      <c r="M8" s="36">
        <v>1208971</v>
      </c>
      <c r="N8" s="38">
        <v>1616431</v>
      </c>
      <c r="O8" s="35">
        <v>21660502</v>
      </c>
      <c r="P8" s="70">
        <v>0.1085</v>
      </c>
    </row>
    <row r="9" spans="1:17" ht="14.25" customHeight="1" x14ac:dyDescent="0.2">
      <c r="A9" s="52" t="s">
        <v>6</v>
      </c>
      <c r="B9" s="34">
        <v>176249255</v>
      </c>
      <c r="C9" s="35"/>
      <c r="D9" s="35">
        <v>33921345</v>
      </c>
      <c r="E9" s="35">
        <v>344292852</v>
      </c>
      <c r="F9" s="35"/>
      <c r="G9" s="36">
        <v>12532658</v>
      </c>
      <c r="H9" s="37">
        <v>566996110</v>
      </c>
      <c r="I9" s="34"/>
      <c r="J9" s="35">
        <v>15857170</v>
      </c>
      <c r="K9" s="35">
        <v>2756942</v>
      </c>
      <c r="L9" s="35">
        <v>48028660</v>
      </c>
      <c r="M9" s="36">
        <v>202566001</v>
      </c>
      <c r="N9" s="38">
        <v>269208773</v>
      </c>
      <c r="O9" s="35">
        <v>836204883</v>
      </c>
      <c r="P9" s="70">
        <v>9.69E-2</v>
      </c>
    </row>
    <row r="10" spans="1:17" ht="14.25" customHeight="1" x14ac:dyDescent="0.2">
      <c r="A10" s="52" t="s">
        <v>7</v>
      </c>
      <c r="B10" s="34">
        <v>1357435429</v>
      </c>
      <c r="C10" s="35">
        <v>33973236</v>
      </c>
      <c r="D10" s="35"/>
      <c r="E10" s="35">
        <v>1590857322</v>
      </c>
      <c r="F10" s="35">
        <v>50070159</v>
      </c>
      <c r="G10" s="36">
        <v>175578322</v>
      </c>
      <c r="H10" s="37">
        <v>3207914468</v>
      </c>
      <c r="I10" s="34"/>
      <c r="J10" s="35">
        <v>2337261</v>
      </c>
      <c r="K10" s="35">
        <v>292497439</v>
      </c>
      <c r="L10" s="35">
        <v>5663123</v>
      </c>
      <c r="M10" s="36">
        <v>1468204305</v>
      </c>
      <c r="N10" s="38">
        <v>1768702128</v>
      </c>
      <c r="O10" s="35">
        <v>4976616596</v>
      </c>
      <c r="P10" s="70">
        <v>0.11460000000000001</v>
      </c>
    </row>
    <row r="11" spans="1:17" ht="14.25" customHeight="1" x14ac:dyDescent="0.2">
      <c r="A11" s="52" t="s">
        <v>8</v>
      </c>
      <c r="B11" s="34">
        <v>4820218</v>
      </c>
      <c r="C11" s="35"/>
      <c r="D11" s="35"/>
      <c r="E11" s="35">
        <v>3025827</v>
      </c>
      <c r="F11" s="35"/>
      <c r="G11" s="36">
        <v>12938</v>
      </c>
      <c r="H11" s="37">
        <v>7858983</v>
      </c>
      <c r="I11" s="34"/>
      <c r="J11" s="35"/>
      <c r="K11" s="35"/>
      <c r="L11" s="35"/>
      <c r="M11" s="36">
        <v>113053</v>
      </c>
      <c r="N11" s="38">
        <v>113053</v>
      </c>
      <c r="O11" s="35">
        <v>7972036</v>
      </c>
      <c r="P11" s="70">
        <v>6.8699999999999997E-2</v>
      </c>
    </row>
    <row r="12" spans="1:17" ht="14.25" customHeight="1" x14ac:dyDescent="0.2">
      <c r="A12" s="52" t="s">
        <v>9</v>
      </c>
      <c r="B12" s="34">
        <v>146617197</v>
      </c>
      <c r="C12" s="35">
        <v>4801710</v>
      </c>
      <c r="D12" s="35"/>
      <c r="E12" s="35">
        <v>186904686</v>
      </c>
      <c r="F12" s="35"/>
      <c r="G12" s="36">
        <v>945937</v>
      </c>
      <c r="H12" s="37">
        <v>339269530</v>
      </c>
      <c r="I12" s="34"/>
      <c r="J12" s="35"/>
      <c r="K12" s="35">
        <v>6567863</v>
      </c>
      <c r="L12" s="35">
        <v>56191304</v>
      </c>
      <c r="M12" s="36">
        <v>16303568</v>
      </c>
      <c r="N12" s="38">
        <v>79062735</v>
      </c>
      <c r="O12" s="35">
        <v>418332265</v>
      </c>
      <c r="P12" s="70">
        <v>0.17559999999999998</v>
      </c>
    </row>
    <row r="13" spans="1:17" ht="14.25" customHeight="1" x14ac:dyDescent="0.2">
      <c r="A13" s="52" t="s">
        <v>10</v>
      </c>
      <c r="B13" s="34">
        <v>89477099</v>
      </c>
      <c r="C13" s="35"/>
      <c r="D13" s="35">
        <v>3829503</v>
      </c>
      <c r="E13" s="35">
        <v>76989818</v>
      </c>
      <c r="F13" s="35"/>
      <c r="G13" s="36">
        <v>7991158</v>
      </c>
      <c r="H13" s="37">
        <v>178287578</v>
      </c>
      <c r="I13" s="34"/>
      <c r="J13" s="35"/>
      <c r="K13" s="35">
        <v>832837</v>
      </c>
      <c r="L13" s="35">
        <v>6362979</v>
      </c>
      <c r="M13" s="36">
        <v>8305803</v>
      </c>
      <c r="N13" s="38">
        <v>15501619</v>
      </c>
      <c r="O13" s="35">
        <v>193789197</v>
      </c>
      <c r="P13" s="70">
        <v>0.1168</v>
      </c>
    </row>
    <row r="14" spans="1:17" ht="14.25" customHeight="1" x14ac:dyDescent="0.2">
      <c r="A14" s="52" t="s">
        <v>11</v>
      </c>
      <c r="B14" s="34">
        <v>81491012</v>
      </c>
      <c r="C14" s="35"/>
      <c r="D14" s="35"/>
      <c r="E14" s="35">
        <v>106239022</v>
      </c>
      <c r="F14" s="35"/>
      <c r="G14" s="36">
        <v>2907900</v>
      </c>
      <c r="H14" s="37">
        <v>190637934</v>
      </c>
      <c r="I14" s="34"/>
      <c r="J14" s="35"/>
      <c r="K14" s="35"/>
      <c r="L14" s="35">
        <v>40787079</v>
      </c>
      <c r="M14" s="36">
        <v>7488207</v>
      </c>
      <c r="N14" s="38">
        <v>48275286</v>
      </c>
      <c r="O14" s="35">
        <v>238913220</v>
      </c>
      <c r="P14" s="70">
        <v>0.1118</v>
      </c>
    </row>
    <row r="15" spans="1:17" ht="14.25" customHeight="1" x14ac:dyDescent="0.2">
      <c r="A15" s="52" t="s">
        <v>12</v>
      </c>
      <c r="B15" s="34">
        <v>465942078</v>
      </c>
      <c r="C15" s="35"/>
      <c r="D15" s="35">
        <v>3578986</v>
      </c>
      <c r="E15" s="35">
        <v>631601039</v>
      </c>
      <c r="F15" s="35"/>
      <c r="G15" s="36">
        <v>23546691</v>
      </c>
      <c r="H15" s="37">
        <v>1124668794</v>
      </c>
      <c r="I15" s="34"/>
      <c r="J15" s="35"/>
      <c r="K15" s="35">
        <v>123077363</v>
      </c>
      <c r="L15" s="35">
        <v>72772966</v>
      </c>
      <c r="M15" s="36">
        <v>58666886</v>
      </c>
      <c r="N15" s="38">
        <v>254517215</v>
      </c>
      <c r="O15" s="35">
        <v>1379186009</v>
      </c>
      <c r="P15" s="70">
        <v>0.1699</v>
      </c>
    </row>
    <row r="16" spans="1:17" ht="14.25" customHeight="1" x14ac:dyDescent="0.2">
      <c r="A16" s="52" t="s">
        <v>13</v>
      </c>
      <c r="B16" s="34">
        <v>28011373</v>
      </c>
      <c r="C16" s="35"/>
      <c r="D16" s="35"/>
      <c r="E16" s="35">
        <v>22177835</v>
      </c>
      <c r="F16" s="35"/>
      <c r="G16" s="36">
        <v>1226306</v>
      </c>
      <c r="H16" s="37">
        <v>51415514</v>
      </c>
      <c r="I16" s="34"/>
      <c r="J16" s="35"/>
      <c r="K16" s="35"/>
      <c r="L16" s="35"/>
      <c r="M16" s="36">
        <v>4678322</v>
      </c>
      <c r="N16" s="38">
        <v>4678322</v>
      </c>
      <c r="O16" s="35">
        <v>56093836</v>
      </c>
      <c r="P16" s="70">
        <v>8.6899999999999991E-2</v>
      </c>
    </row>
    <row r="17" spans="1:16" ht="14.25" customHeight="1" x14ac:dyDescent="0.2">
      <c r="A17" s="52" t="s">
        <v>106</v>
      </c>
      <c r="B17" s="34">
        <v>1748169009</v>
      </c>
      <c r="C17" s="35">
        <v>183693758</v>
      </c>
      <c r="D17" s="35"/>
      <c r="E17" s="35">
        <v>2756917024</v>
      </c>
      <c r="F17" s="35">
        <v>70811225</v>
      </c>
      <c r="G17" s="36">
        <v>289926244</v>
      </c>
      <c r="H17" s="37">
        <v>5049517260</v>
      </c>
      <c r="I17" s="34">
        <v>194542433</v>
      </c>
      <c r="J17" s="35">
        <v>606387396</v>
      </c>
      <c r="K17" s="35"/>
      <c r="L17" s="35"/>
      <c r="M17" s="36">
        <v>1533131788</v>
      </c>
      <c r="N17" s="38">
        <v>2334061617</v>
      </c>
      <c r="O17" s="35">
        <v>7383578877</v>
      </c>
      <c r="P17" s="70">
        <v>0.12590000000000001</v>
      </c>
    </row>
    <row r="18" spans="1:16" ht="14.25" customHeight="1" x14ac:dyDescent="0.2">
      <c r="A18" s="52" t="s">
        <v>14</v>
      </c>
      <c r="B18" s="34">
        <v>17739784</v>
      </c>
      <c r="C18" s="35"/>
      <c r="D18" s="35"/>
      <c r="E18" s="35">
        <v>14256133</v>
      </c>
      <c r="F18" s="35"/>
      <c r="G18" s="36">
        <v>511369</v>
      </c>
      <c r="H18" s="37">
        <v>32507286</v>
      </c>
      <c r="I18" s="34"/>
      <c r="J18" s="35"/>
      <c r="K18" s="35"/>
      <c r="L18" s="35">
        <v>4888082</v>
      </c>
      <c r="M18" s="36">
        <v>2048433</v>
      </c>
      <c r="N18" s="38">
        <v>6936515</v>
      </c>
      <c r="O18" s="35">
        <v>39443801</v>
      </c>
      <c r="P18" s="70">
        <v>7.3399999999999993E-2</v>
      </c>
    </row>
    <row r="19" spans="1:16" ht="14.25" customHeight="1" x14ac:dyDescent="0.2">
      <c r="A19" s="52" t="s">
        <v>15</v>
      </c>
      <c r="B19" s="34">
        <v>6511427</v>
      </c>
      <c r="C19" s="35"/>
      <c r="D19" s="35"/>
      <c r="E19" s="35">
        <v>4029405</v>
      </c>
      <c r="F19" s="35"/>
      <c r="G19" s="36">
        <v>223781</v>
      </c>
      <c r="H19" s="37">
        <v>10764613</v>
      </c>
      <c r="I19" s="34"/>
      <c r="J19" s="35"/>
      <c r="K19" s="35"/>
      <c r="L19" s="35">
        <v>2458410</v>
      </c>
      <c r="M19" s="36">
        <v>316322</v>
      </c>
      <c r="N19" s="38">
        <v>2774732</v>
      </c>
      <c r="O19" s="35">
        <v>13539345</v>
      </c>
      <c r="P19" s="70">
        <v>0.1293</v>
      </c>
    </row>
    <row r="20" spans="1:16" ht="14.25" customHeight="1" x14ac:dyDescent="0.2">
      <c r="A20" s="52" t="s">
        <v>16</v>
      </c>
      <c r="B20" s="34"/>
      <c r="C20" s="35"/>
      <c r="D20" s="35"/>
      <c r="E20" s="35">
        <v>552153945</v>
      </c>
      <c r="F20" s="35"/>
      <c r="G20" s="36">
        <v>20814035</v>
      </c>
      <c r="H20" s="37">
        <v>572967980</v>
      </c>
      <c r="I20" s="34">
        <v>996081736</v>
      </c>
      <c r="J20" s="35"/>
      <c r="K20" s="35"/>
      <c r="L20" s="35"/>
      <c r="M20" s="36">
        <v>30513750</v>
      </c>
      <c r="N20" s="38">
        <v>1026595486</v>
      </c>
      <c r="O20" s="35">
        <v>1599563466</v>
      </c>
      <c r="P20" s="70">
        <v>0.1231</v>
      </c>
    </row>
    <row r="21" spans="1:16" ht="14.25" customHeight="1" x14ac:dyDescent="0.2">
      <c r="A21" s="52" t="s">
        <v>17</v>
      </c>
      <c r="B21" s="34">
        <v>161218540</v>
      </c>
      <c r="C21" s="35"/>
      <c r="D21" s="35"/>
      <c r="E21" s="35">
        <v>145050487</v>
      </c>
      <c r="F21" s="35"/>
      <c r="G21" s="36">
        <v>11287532</v>
      </c>
      <c r="H21" s="37">
        <v>317556559</v>
      </c>
      <c r="I21" s="34"/>
      <c r="J21" s="35"/>
      <c r="K21" s="35"/>
      <c r="L21" s="35">
        <v>20747667</v>
      </c>
      <c r="M21" s="36">
        <v>23335973</v>
      </c>
      <c r="N21" s="38">
        <v>44083640</v>
      </c>
      <c r="O21" s="35">
        <v>361640199</v>
      </c>
      <c r="P21" s="70">
        <v>0.13239999999999999</v>
      </c>
    </row>
    <row r="22" spans="1:16" ht="14.25" customHeight="1" x14ac:dyDescent="0.2">
      <c r="A22" s="52" t="s">
        <v>18</v>
      </c>
      <c r="B22" s="34">
        <v>102116097</v>
      </c>
      <c r="C22" s="35">
        <v>3695586</v>
      </c>
      <c r="D22" s="35"/>
      <c r="E22" s="35">
        <v>83954819</v>
      </c>
      <c r="F22" s="35"/>
      <c r="G22" s="36">
        <v>2955639</v>
      </c>
      <c r="H22" s="37">
        <v>192722141</v>
      </c>
      <c r="I22" s="34"/>
      <c r="J22" s="35"/>
      <c r="K22" s="35">
        <v>3519567</v>
      </c>
      <c r="L22" s="35"/>
      <c r="M22" s="36">
        <v>43052524</v>
      </c>
      <c r="N22" s="38">
        <v>46572091</v>
      </c>
      <c r="O22" s="35">
        <v>239294232</v>
      </c>
      <c r="P22" s="70">
        <v>0.35780000000000001</v>
      </c>
    </row>
    <row r="23" spans="1:16" ht="14.25" customHeight="1" x14ac:dyDescent="0.2">
      <c r="A23" s="52" t="s">
        <v>19</v>
      </c>
      <c r="B23" s="34">
        <v>14537512</v>
      </c>
      <c r="C23" s="35"/>
      <c r="D23" s="35"/>
      <c r="E23" s="35">
        <v>14220207</v>
      </c>
      <c r="F23" s="35"/>
      <c r="G23" s="36">
        <v>69867</v>
      </c>
      <c r="H23" s="37">
        <v>28827586</v>
      </c>
      <c r="I23" s="34"/>
      <c r="J23" s="35"/>
      <c r="K23" s="35">
        <v>700518</v>
      </c>
      <c r="L23" s="35"/>
      <c r="M23" s="36">
        <v>2856308</v>
      </c>
      <c r="N23" s="38">
        <v>3556826</v>
      </c>
      <c r="O23" s="35">
        <v>32384412</v>
      </c>
      <c r="P23" s="70">
        <v>0.11220000000000001</v>
      </c>
    </row>
    <row r="24" spans="1:16" ht="14.25" customHeight="1" x14ac:dyDescent="0.2">
      <c r="A24" s="52" t="s">
        <v>20</v>
      </c>
      <c r="B24" s="34">
        <v>16138836</v>
      </c>
      <c r="C24" s="35"/>
      <c r="D24" s="35"/>
      <c r="E24" s="35">
        <v>11439662</v>
      </c>
      <c r="F24" s="35"/>
      <c r="G24" s="36">
        <v>47456</v>
      </c>
      <c r="H24" s="37">
        <v>27625954</v>
      </c>
      <c r="I24" s="34"/>
      <c r="J24" s="35"/>
      <c r="K24" s="35"/>
      <c r="L24" s="35"/>
      <c r="M24" s="36">
        <v>3267007</v>
      </c>
      <c r="N24" s="38">
        <v>3267007</v>
      </c>
      <c r="O24" s="35">
        <v>30892961</v>
      </c>
      <c r="P24" s="70">
        <v>0.10300000000000001</v>
      </c>
    </row>
    <row r="25" spans="1:16" ht="14.25" customHeight="1" x14ac:dyDescent="0.2">
      <c r="A25" s="52" t="s">
        <v>21</v>
      </c>
      <c r="B25" s="34">
        <v>9365464</v>
      </c>
      <c r="C25" s="35"/>
      <c r="D25" s="35">
        <v>767478</v>
      </c>
      <c r="E25" s="35">
        <v>6468223</v>
      </c>
      <c r="F25" s="35"/>
      <c r="G25" s="36">
        <v>353602</v>
      </c>
      <c r="H25" s="37">
        <v>16954767</v>
      </c>
      <c r="I25" s="34"/>
      <c r="J25" s="35"/>
      <c r="K25" s="35"/>
      <c r="L25" s="35"/>
      <c r="M25" s="36">
        <v>404627</v>
      </c>
      <c r="N25" s="38">
        <v>404627</v>
      </c>
      <c r="O25" s="35">
        <v>17359394</v>
      </c>
      <c r="P25" s="70">
        <v>4.58E-2</v>
      </c>
    </row>
    <row r="26" spans="1:16" ht="14.25" customHeight="1" x14ac:dyDescent="0.2">
      <c r="A26" s="52" t="s">
        <v>22</v>
      </c>
      <c r="B26" s="34">
        <v>8052635</v>
      </c>
      <c r="C26" s="35"/>
      <c r="D26" s="35"/>
      <c r="E26" s="35">
        <v>5719320</v>
      </c>
      <c r="F26" s="35"/>
      <c r="G26" s="36">
        <v>177678</v>
      </c>
      <c r="H26" s="37">
        <v>13949633</v>
      </c>
      <c r="I26" s="34"/>
      <c r="J26" s="35"/>
      <c r="K26" s="35">
        <v>379154</v>
      </c>
      <c r="L26" s="35">
        <v>2685202</v>
      </c>
      <c r="M26" s="36">
        <v>220877</v>
      </c>
      <c r="N26" s="38">
        <v>3285233</v>
      </c>
      <c r="O26" s="35">
        <v>17234866</v>
      </c>
      <c r="P26" s="70">
        <v>0.1618</v>
      </c>
    </row>
    <row r="27" spans="1:16" ht="14.25" customHeight="1" x14ac:dyDescent="0.2">
      <c r="A27" s="52" t="s">
        <v>23</v>
      </c>
      <c r="B27" s="34">
        <v>16259496</v>
      </c>
      <c r="C27" s="35"/>
      <c r="D27" s="35"/>
      <c r="E27" s="35">
        <v>18640145</v>
      </c>
      <c r="F27" s="35"/>
      <c r="G27" s="36">
        <v>65404</v>
      </c>
      <c r="H27" s="37">
        <v>34965045</v>
      </c>
      <c r="I27" s="34"/>
      <c r="J27" s="35">
        <v>983816</v>
      </c>
      <c r="K27" s="35"/>
      <c r="L27" s="35">
        <v>539550</v>
      </c>
      <c r="M27" s="36">
        <v>2092447</v>
      </c>
      <c r="N27" s="38">
        <v>3615813</v>
      </c>
      <c r="O27" s="35">
        <v>38580858</v>
      </c>
      <c r="P27" s="70">
        <v>0.23749999999999999</v>
      </c>
    </row>
    <row r="28" spans="1:16" ht="14.25" customHeight="1" x14ac:dyDescent="0.2">
      <c r="A28" s="52" t="s">
        <v>24</v>
      </c>
      <c r="B28" s="34">
        <v>11335904</v>
      </c>
      <c r="C28" s="35"/>
      <c r="D28" s="35"/>
      <c r="E28" s="35">
        <v>6836412</v>
      </c>
      <c r="F28" s="35"/>
      <c r="G28" s="36">
        <v>383635</v>
      </c>
      <c r="H28" s="37">
        <v>18555951</v>
      </c>
      <c r="I28" s="34"/>
      <c r="J28" s="35"/>
      <c r="K28" s="35"/>
      <c r="L28" s="35"/>
      <c r="M28" s="36">
        <v>848076</v>
      </c>
      <c r="N28" s="38">
        <v>848076</v>
      </c>
      <c r="O28" s="35">
        <v>19404027</v>
      </c>
      <c r="P28" s="70">
        <v>0.10099999999999999</v>
      </c>
    </row>
    <row r="29" spans="1:16" ht="14.25" customHeight="1" x14ac:dyDescent="0.2">
      <c r="A29" s="52" t="s">
        <v>25</v>
      </c>
      <c r="B29" s="34">
        <v>18285621</v>
      </c>
      <c r="C29" s="35"/>
      <c r="D29" s="35"/>
      <c r="E29" s="35">
        <v>12562672</v>
      </c>
      <c r="F29" s="35"/>
      <c r="G29" s="36">
        <v>471197</v>
      </c>
      <c r="H29" s="37">
        <v>31319490</v>
      </c>
      <c r="I29" s="34"/>
      <c r="J29" s="35"/>
      <c r="K29" s="35"/>
      <c r="L29" s="35"/>
      <c r="M29" s="36">
        <v>1602348</v>
      </c>
      <c r="N29" s="38">
        <v>1602348</v>
      </c>
      <c r="O29" s="35">
        <v>32921838</v>
      </c>
      <c r="P29" s="70">
        <v>0.11220000000000001</v>
      </c>
    </row>
    <row r="30" spans="1:16" ht="14.25" customHeight="1" x14ac:dyDescent="0.2">
      <c r="A30" s="52" t="s">
        <v>26</v>
      </c>
      <c r="B30" s="34">
        <v>23397249</v>
      </c>
      <c r="C30" s="35"/>
      <c r="D30" s="35"/>
      <c r="E30" s="35">
        <v>21194646</v>
      </c>
      <c r="F30" s="35"/>
      <c r="G30" s="36">
        <v>12866784</v>
      </c>
      <c r="H30" s="37">
        <v>57458679</v>
      </c>
      <c r="I30" s="34"/>
      <c r="J30" s="35"/>
      <c r="K30" s="35">
        <v>906231</v>
      </c>
      <c r="L30" s="35"/>
      <c r="M30" s="36">
        <v>3368508</v>
      </c>
      <c r="N30" s="38">
        <v>4274739</v>
      </c>
      <c r="O30" s="35">
        <v>61733418</v>
      </c>
      <c r="P30" s="70">
        <v>0.20230000000000001</v>
      </c>
    </row>
    <row r="31" spans="1:16" ht="14.25" customHeight="1" x14ac:dyDescent="0.2">
      <c r="A31" s="52" t="s">
        <v>27</v>
      </c>
      <c r="B31" s="34">
        <v>101810953</v>
      </c>
      <c r="C31" s="35"/>
      <c r="D31" s="35"/>
      <c r="E31" s="35">
        <v>86626600</v>
      </c>
      <c r="F31" s="35">
        <v>15679023</v>
      </c>
      <c r="G31" s="36">
        <v>2953669</v>
      </c>
      <c r="H31" s="37">
        <v>207070245</v>
      </c>
      <c r="I31" s="34"/>
      <c r="J31" s="35"/>
      <c r="K31" s="35"/>
      <c r="L31" s="35">
        <v>13177958</v>
      </c>
      <c r="M31" s="36">
        <v>3559557</v>
      </c>
      <c r="N31" s="38">
        <v>16737515</v>
      </c>
      <c r="O31" s="35">
        <v>223807760</v>
      </c>
      <c r="P31" s="70">
        <v>0.1668</v>
      </c>
    </row>
    <row r="32" spans="1:16" ht="14.25" customHeight="1" x14ac:dyDescent="0.2">
      <c r="A32" s="52" t="s">
        <v>28</v>
      </c>
      <c r="B32" s="34">
        <v>52486884</v>
      </c>
      <c r="C32" s="35"/>
      <c r="D32" s="35"/>
      <c r="E32" s="35">
        <v>41912694</v>
      </c>
      <c r="F32" s="35"/>
      <c r="G32" s="36"/>
      <c r="H32" s="37">
        <v>94399578</v>
      </c>
      <c r="I32" s="34"/>
      <c r="J32" s="35"/>
      <c r="K32" s="35">
        <v>1474454</v>
      </c>
      <c r="L32" s="35"/>
      <c r="M32" s="36">
        <v>7565328</v>
      </c>
      <c r="N32" s="38">
        <v>9039782</v>
      </c>
      <c r="O32" s="35">
        <v>103439360</v>
      </c>
      <c r="P32" s="70">
        <v>0.1104</v>
      </c>
    </row>
    <row r="33" spans="1:16" ht="14.25" customHeight="1" x14ac:dyDescent="0.2">
      <c r="A33" s="52" t="s">
        <v>29</v>
      </c>
      <c r="B33" s="34">
        <v>805759844</v>
      </c>
      <c r="C33" s="35">
        <v>8520725</v>
      </c>
      <c r="D33" s="35"/>
      <c r="E33" s="35">
        <v>866508687</v>
      </c>
      <c r="F33" s="35"/>
      <c r="G33" s="36">
        <v>108477735</v>
      </c>
      <c r="H33" s="37">
        <v>1789266991</v>
      </c>
      <c r="I33" s="34"/>
      <c r="J33" s="35">
        <v>75245690</v>
      </c>
      <c r="K33" s="35">
        <v>68734729</v>
      </c>
      <c r="L33" s="35">
        <v>369596887</v>
      </c>
      <c r="M33" s="36">
        <v>352157183</v>
      </c>
      <c r="N33" s="38">
        <v>865734489</v>
      </c>
      <c r="O33" s="35">
        <v>2655001480</v>
      </c>
      <c r="P33" s="70">
        <v>0.1399</v>
      </c>
    </row>
    <row r="34" spans="1:16" ht="14.25" customHeight="1" x14ac:dyDescent="0.2">
      <c r="A34" s="52" t="s">
        <v>30</v>
      </c>
      <c r="B34" s="34">
        <v>5076927</v>
      </c>
      <c r="C34" s="35"/>
      <c r="D34" s="35"/>
      <c r="E34" s="35">
        <v>3376381</v>
      </c>
      <c r="F34" s="35"/>
      <c r="G34" s="36">
        <v>14419</v>
      </c>
      <c r="H34" s="37">
        <v>8467727</v>
      </c>
      <c r="I34" s="34"/>
      <c r="J34" s="35"/>
      <c r="K34" s="35"/>
      <c r="L34" s="35"/>
      <c r="M34" s="36">
        <v>38185</v>
      </c>
      <c r="N34" s="38">
        <v>38185</v>
      </c>
      <c r="O34" s="35">
        <v>8505912</v>
      </c>
      <c r="P34" s="70">
        <v>6.1200000000000004E-2</v>
      </c>
    </row>
    <row r="35" spans="1:16" ht="14.25" customHeight="1" x14ac:dyDescent="0.2">
      <c r="A35" s="52" t="s">
        <v>31</v>
      </c>
      <c r="B35" s="34">
        <v>82888757</v>
      </c>
      <c r="C35" s="35"/>
      <c r="D35" s="35"/>
      <c r="E35" s="35">
        <v>154502679</v>
      </c>
      <c r="F35" s="35"/>
      <c r="G35" s="36"/>
      <c r="H35" s="37">
        <v>237391436</v>
      </c>
      <c r="I35" s="34"/>
      <c r="J35" s="35">
        <v>45336109</v>
      </c>
      <c r="K35" s="35">
        <v>23663475</v>
      </c>
      <c r="L35" s="35">
        <v>14974729</v>
      </c>
      <c r="M35" s="36">
        <v>22221164</v>
      </c>
      <c r="N35" s="38">
        <v>106195477</v>
      </c>
      <c r="O35" s="35">
        <v>343586913</v>
      </c>
      <c r="P35" s="70">
        <v>0.1142</v>
      </c>
    </row>
    <row r="36" spans="1:16" ht="14.25" customHeight="1" x14ac:dyDescent="0.2">
      <c r="A36" s="52" t="s">
        <v>32</v>
      </c>
      <c r="B36" s="34">
        <v>14422506</v>
      </c>
      <c r="C36" s="35"/>
      <c r="D36" s="35"/>
      <c r="E36" s="35">
        <v>10553701</v>
      </c>
      <c r="F36" s="35"/>
      <c r="G36" s="36">
        <v>50800</v>
      </c>
      <c r="H36" s="37">
        <v>25027007</v>
      </c>
      <c r="I36" s="34"/>
      <c r="J36" s="35"/>
      <c r="K36" s="35"/>
      <c r="L36" s="35"/>
      <c r="M36" s="36">
        <v>1532621</v>
      </c>
      <c r="N36" s="38">
        <v>1532621</v>
      </c>
      <c r="O36" s="35">
        <v>26559628</v>
      </c>
      <c r="P36" s="70">
        <v>6.9800000000000001E-2</v>
      </c>
    </row>
    <row r="37" spans="1:16" ht="14.25" customHeight="1" x14ac:dyDescent="0.2">
      <c r="A37" s="52" t="s">
        <v>33</v>
      </c>
      <c r="B37" s="34">
        <v>6420162</v>
      </c>
      <c r="C37" s="35"/>
      <c r="D37" s="35"/>
      <c r="E37" s="35">
        <v>4935811</v>
      </c>
      <c r="F37" s="35"/>
      <c r="G37" s="36"/>
      <c r="H37" s="37">
        <v>11355973</v>
      </c>
      <c r="I37" s="34"/>
      <c r="J37" s="35"/>
      <c r="K37" s="35">
        <v>103374</v>
      </c>
      <c r="L37" s="35"/>
      <c r="M37" s="36">
        <v>825433</v>
      </c>
      <c r="N37" s="38">
        <v>928807</v>
      </c>
      <c r="O37" s="35">
        <v>12284780</v>
      </c>
      <c r="P37" s="70">
        <v>0.105</v>
      </c>
    </row>
    <row r="38" spans="1:16" ht="14.25" customHeight="1" x14ac:dyDescent="0.2">
      <c r="A38" s="52" t="s">
        <v>34</v>
      </c>
      <c r="B38" s="34">
        <v>3217787</v>
      </c>
      <c r="C38" s="35"/>
      <c r="D38" s="35"/>
      <c r="E38" s="35">
        <v>1922756</v>
      </c>
      <c r="F38" s="35"/>
      <c r="G38" s="36">
        <v>108566</v>
      </c>
      <c r="H38" s="37">
        <v>5249109</v>
      </c>
      <c r="I38" s="34"/>
      <c r="J38" s="35"/>
      <c r="K38" s="35"/>
      <c r="L38" s="35"/>
      <c r="M38" s="36">
        <v>188130</v>
      </c>
      <c r="N38" s="38">
        <v>188130</v>
      </c>
      <c r="O38" s="35">
        <v>5437239</v>
      </c>
      <c r="P38" s="70">
        <v>7.9600000000000004E-2</v>
      </c>
    </row>
    <row r="39" spans="1:16" ht="14.25" customHeight="1" x14ac:dyDescent="0.2">
      <c r="A39" s="52" t="s">
        <v>35</v>
      </c>
      <c r="B39" s="34">
        <v>153223165</v>
      </c>
      <c r="C39" s="35">
        <v>2792876</v>
      </c>
      <c r="D39" s="35"/>
      <c r="E39" s="35">
        <v>215402666</v>
      </c>
      <c r="F39" s="35"/>
      <c r="G39" s="36">
        <v>9468249</v>
      </c>
      <c r="H39" s="37">
        <v>380886956</v>
      </c>
      <c r="I39" s="34"/>
      <c r="J39" s="35"/>
      <c r="K39" s="35">
        <v>14264044</v>
      </c>
      <c r="L39" s="35">
        <v>28959257</v>
      </c>
      <c r="M39" s="36">
        <v>87213619</v>
      </c>
      <c r="N39" s="38">
        <v>130436920</v>
      </c>
      <c r="O39" s="35">
        <v>511323876</v>
      </c>
      <c r="P39" s="70">
        <v>0.1585</v>
      </c>
    </row>
    <row r="40" spans="1:16" ht="14.25" customHeight="1" x14ac:dyDescent="0.2">
      <c r="A40" s="52" t="s">
        <v>36</v>
      </c>
      <c r="B40" s="34">
        <v>423652053</v>
      </c>
      <c r="C40" s="35"/>
      <c r="D40" s="35"/>
      <c r="E40" s="35">
        <v>739845911</v>
      </c>
      <c r="F40" s="35"/>
      <c r="G40" s="36">
        <v>33182107</v>
      </c>
      <c r="H40" s="37">
        <v>1196680071</v>
      </c>
      <c r="I40" s="34">
        <v>91682100</v>
      </c>
      <c r="J40" s="35"/>
      <c r="K40" s="35">
        <v>215820998</v>
      </c>
      <c r="L40" s="35">
        <v>7804827</v>
      </c>
      <c r="M40" s="36">
        <v>229813077</v>
      </c>
      <c r="N40" s="38">
        <v>545121002</v>
      </c>
      <c r="O40" s="35">
        <v>1741801073</v>
      </c>
      <c r="P40" s="70">
        <v>0.15130000000000002</v>
      </c>
    </row>
    <row r="41" spans="1:16" ht="14.25" customHeight="1" x14ac:dyDescent="0.2">
      <c r="A41" s="52" t="s">
        <v>37</v>
      </c>
      <c r="B41" s="34">
        <v>177515802</v>
      </c>
      <c r="C41" s="35"/>
      <c r="D41" s="35"/>
      <c r="E41" s="35">
        <v>125921400</v>
      </c>
      <c r="F41" s="35"/>
      <c r="G41" s="36">
        <v>8590436</v>
      </c>
      <c r="H41" s="37">
        <v>312027638</v>
      </c>
      <c r="I41" s="34"/>
      <c r="J41" s="35"/>
      <c r="K41" s="35"/>
      <c r="L41" s="35">
        <v>10675229</v>
      </c>
      <c r="M41" s="36">
        <v>59561416</v>
      </c>
      <c r="N41" s="38">
        <v>70236645</v>
      </c>
      <c r="O41" s="35">
        <v>382264283</v>
      </c>
      <c r="P41" s="70">
        <v>7.0099999999999996E-2</v>
      </c>
    </row>
    <row r="42" spans="1:16" ht="14.25" customHeight="1" x14ac:dyDescent="0.2">
      <c r="A42" s="52" t="s">
        <v>38</v>
      </c>
      <c r="B42" s="34">
        <v>22538472</v>
      </c>
      <c r="C42" s="35"/>
      <c r="D42" s="35"/>
      <c r="E42" s="35">
        <v>16211799</v>
      </c>
      <c r="F42" s="35"/>
      <c r="G42" s="36"/>
      <c r="H42" s="37">
        <v>38750271</v>
      </c>
      <c r="I42" s="34"/>
      <c r="J42" s="35"/>
      <c r="K42" s="35">
        <v>996429</v>
      </c>
      <c r="L42" s="35"/>
      <c r="M42" s="36">
        <v>4202050</v>
      </c>
      <c r="N42" s="38">
        <v>5198479</v>
      </c>
      <c r="O42" s="35">
        <v>43948750</v>
      </c>
      <c r="P42" s="70">
        <v>0.1033</v>
      </c>
    </row>
    <row r="43" spans="1:16" ht="14.25" customHeight="1" x14ac:dyDescent="0.2">
      <c r="A43" s="52" t="s">
        <v>39</v>
      </c>
      <c r="B43" s="34">
        <v>3203780</v>
      </c>
      <c r="C43" s="35"/>
      <c r="D43" s="35"/>
      <c r="E43" s="35">
        <v>1950302</v>
      </c>
      <c r="F43" s="35"/>
      <c r="G43" s="36">
        <v>9019</v>
      </c>
      <c r="H43" s="37">
        <v>5163101</v>
      </c>
      <c r="I43" s="34"/>
      <c r="J43" s="35"/>
      <c r="K43" s="35"/>
      <c r="L43" s="35"/>
      <c r="M43" s="36">
        <v>183694</v>
      </c>
      <c r="N43" s="38">
        <v>183694</v>
      </c>
      <c r="O43" s="35">
        <v>5346795</v>
      </c>
      <c r="P43" s="70">
        <v>4.8099999999999997E-2</v>
      </c>
    </row>
    <row r="44" spans="1:16" ht="14.25" customHeight="1" x14ac:dyDescent="0.2">
      <c r="A44" s="52" t="s">
        <v>40</v>
      </c>
      <c r="B44" s="34">
        <v>8954464</v>
      </c>
      <c r="C44" s="35"/>
      <c r="D44" s="35"/>
      <c r="E44" s="35">
        <v>5684710</v>
      </c>
      <c r="F44" s="35"/>
      <c r="G44" s="36">
        <v>310667</v>
      </c>
      <c r="H44" s="37">
        <v>14949841</v>
      </c>
      <c r="I44" s="34"/>
      <c r="J44" s="35"/>
      <c r="K44" s="35"/>
      <c r="L44" s="35"/>
      <c r="M44" s="36">
        <v>928844</v>
      </c>
      <c r="N44" s="38">
        <v>928844</v>
      </c>
      <c r="O44" s="35">
        <v>15878685</v>
      </c>
      <c r="P44" s="70">
        <v>0.1108</v>
      </c>
    </row>
    <row r="45" spans="1:16" ht="14.25" customHeight="1" x14ac:dyDescent="0.2">
      <c r="A45" s="52" t="s">
        <v>41</v>
      </c>
      <c r="B45" s="34">
        <v>329602640</v>
      </c>
      <c r="C45" s="35"/>
      <c r="D45" s="35"/>
      <c r="E45" s="35">
        <v>392246838</v>
      </c>
      <c r="F45" s="35"/>
      <c r="G45" s="36">
        <v>24634018</v>
      </c>
      <c r="H45" s="37">
        <v>746483496</v>
      </c>
      <c r="I45" s="34"/>
      <c r="J45" s="35"/>
      <c r="K45" s="35">
        <v>25196645</v>
      </c>
      <c r="L45" s="35">
        <v>23894578</v>
      </c>
      <c r="M45" s="36">
        <v>54293967</v>
      </c>
      <c r="N45" s="38">
        <v>103385190</v>
      </c>
      <c r="O45" s="35">
        <v>849868686</v>
      </c>
      <c r="P45" s="70">
        <v>0.17100000000000001</v>
      </c>
    </row>
    <row r="46" spans="1:16" ht="14.25" customHeight="1" x14ac:dyDescent="0.2">
      <c r="A46" s="52" t="s">
        <v>42</v>
      </c>
      <c r="B46" s="34">
        <v>110099159</v>
      </c>
      <c r="C46" s="35"/>
      <c r="D46" s="35"/>
      <c r="E46" s="35">
        <v>311428820</v>
      </c>
      <c r="F46" s="35">
        <v>29631752</v>
      </c>
      <c r="G46" s="36"/>
      <c r="H46" s="37">
        <v>451159731</v>
      </c>
      <c r="I46" s="34"/>
      <c r="J46" s="35">
        <v>994455</v>
      </c>
      <c r="K46" s="35">
        <v>5894402</v>
      </c>
      <c r="L46" s="35">
        <v>92378303</v>
      </c>
      <c r="M46" s="36">
        <v>44693402</v>
      </c>
      <c r="N46" s="38">
        <v>143960562</v>
      </c>
      <c r="O46" s="35">
        <v>595120293</v>
      </c>
      <c r="P46" s="70">
        <v>0.52090000000000003</v>
      </c>
    </row>
    <row r="47" spans="1:16" ht="14.25" customHeight="1" x14ac:dyDescent="0.2">
      <c r="A47" s="52" t="s">
        <v>43</v>
      </c>
      <c r="B47" s="34">
        <v>184670680</v>
      </c>
      <c r="C47" s="35"/>
      <c r="D47" s="35"/>
      <c r="E47" s="35">
        <v>185739679</v>
      </c>
      <c r="F47" s="35"/>
      <c r="G47" s="36">
        <v>17622638</v>
      </c>
      <c r="H47" s="37">
        <v>388032997</v>
      </c>
      <c r="I47" s="34"/>
      <c r="J47" s="35"/>
      <c r="K47" s="35"/>
      <c r="L47" s="35">
        <v>73485927</v>
      </c>
      <c r="M47" s="36">
        <v>32626150</v>
      </c>
      <c r="N47" s="38">
        <v>106112077</v>
      </c>
      <c r="O47" s="35">
        <v>494145074</v>
      </c>
      <c r="P47" s="70">
        <v>9.4700000000000006E-2</v>
      </c>
    </row>
    <row r="48" spans="1:16" ht="14.25" customHeight="1" x14ac:dyDescent="0.2">
      <c r="A48" s="52" t="s">
        <v>44</v>
      </c>
      <c r="B48" s="34">
        <v>92823772</v>
      </c>
      <c r="C48" s="35"/>
      <c r="D48" s="35"/>
      <c r="E48" s="35">
        <v>130928995</v>
      </c>
      <c r="F48" s="35"/>
      <c r="G48" s="36">
        <v>16821222</v>
      </c>
      <c r="H48" s="37">
        <v>240573989</v>
      </c>
      <c r="I48" s="34"/>
      <c r="J48" s="35"/>
      <c r="K48" s="35">
        <v>13208805</v>
      </c>
      <c r="L48" s="35">
        <v>26123933</v>
      </c>
      <c r="M48" s="36">
        <v>47592251</v>
      </c>
      <c r="N48" s="38">
        <v>86924989</v>
      </c>
      <c r="O48" s="35">
        <v>327498978</v>
      </c>
      <c r="P48" s="70">
        <v>0.1469</v>
      </c>
    </row>
    <row r="49" spans="1:16" ht="14.25" customHeight="1" x14ac:dyDescent="0.2">
      <c r="A49" s="52" t="s">
        <v>45</v>
      </c>
      <c r="B49" s="34">
        <v>90888098</v>
      </c>
      <c r="C49" s="35"/>
      <c r="D49" s="35"/>
      <c r="E49" s="35">
        <v>79340394</v>
      </c>
      <c r="F49" s="35"/>
      <c r="G49" s="36">
        <v>2943372</v>
      </c>
      <c r="H49" s="37">
        <v>173171864</v>
      </c>
      <c r="I49" s="34">
        <v>19971816</v>
      </c>
      <c r="J49" s="35"/>
      <c r="K49" s="35">
        <v>859958</v>
      </c>
      <c r="L49" s="35"/>
      <c r="M49" s="36">
        <v>19705506</v>
      </c>
      <c r="N49" s="38">
        <v>40537280</v>
      </c>
      <c r="O49" s="35">
        <v>213709144</v>
      </c>
      <c r="P49" s="70">
        <v>0.12130000000000001</v>
      </c>
    </row>
    <row r="50" spans="1:16" ht="14.25" customHeight="1" x14ac:dyDescent="0.2">
      <c r="A50" s="52" t="s">
        <v>46</v>
      </c>
      <c r="B50" s="34">
        <v>92311796</v>
      </c>
      <c r="C50" s="35"/>
      <c r="D50" s="35"/>
      <c r="E50" s="35">
        <v>150590891</v>
      </c>
      <c r="F50" s="35"/>
      <c r="G50" s="36">
        <v>630550</v>
      </c>
      <c r="H50" s="37">
        <v>243533237</v>
      </c>
      <c r="I50" s="34"/>
      <c r="J50" s="35"/>
      <c r="K50" s="35">
        <v>28899367</v>
      </c>
      <c r="L50" s="35">
        <v>3334533</v>
      </c>
      <c r="M50" s="36">
        <v>41792113</v>
      </c>
      <c r="N50" s="38">
        <v>74026013</v>
      </c>
      <c r="O50" s="35">
        <v>317559250</v>
      </c>
      <c r="P50" s="70">
        <v>0.1308</v>
      </c>
    </row>
    <row r="51" spans="1:16" ht="14.25" customHeight="1" x14ac:dyDescent="0.2">
      <c r="A51" s="52" t="s">
        <v>47</v>
      </c>
      <c r="B51" s="34">
        <v>26462637</v>
      </c>
      <c r="C51" s="35"/>
      <c r="D51" s="35"/>
      <c r="E51" s="35">
        <v>23167334</v>
      </c>
      <c r="F51" s="35"/>
      <c r="G51" s="36">
        <v>1152868</v>
      </c>
      <c r="H51" s="37">
        <v>50782839</v>
      </c>
      <c r="I51" s="34"/>
      <c r="J51" s="35"/>
      <c r="K51" s="35">
        <v>844729</v>
      </c>
      <c r="L51" s="35"/>
      <c r="M51" s="36">
        <v>2734515</v>
      </c>
      <c r="N51" s="38">
        <v>3579244</v>
      </c>
      <c r="O51" s="35">
        <v>54362083</v>
      </c>
      <c r="P51" s="70">
        <v>9.8900000000000002E-2</v>
      </c>
    </row>
    <row r="52" spans="1:16" ht="14.25" customHeight="1" x14ac:dyDescent="0.2">
      <c r="A52" s="52" t="s">
        <v>112</v>
      </c>
      <c r="B52" s="34">
        <v>805423618</v>
      </c>
      <c r="C52" s="35"/>
      <c r="D52" s="35"/>
      <c r="E52" s="35">
        <v>1306159669</v>
      </c>
      <c r="F52" s="35"/>
      <c r="G52" s="36"/>
      <c r="H52" s="37">
        <v>2111583287</v>
      </c>
      <c r="I52" s="34"/>
      <c r="J52" s="35">
        <v>2294087</v>
      </c>
      <c r="K52" s="35">
        <v>102934641</v>
      </c>
      <c r="L52" s="35">
        <v>401132861</v>
      </c>
      <c r="M52" s="36">
        <v>454038410</v>
      </c>
      <c r="N52" s="38">
        <v>960399999</v>
      </c>
      <c r="O52" s="35">
        <v>3071983286</v>
      </c>
      <c r="P52" s="70">
        <v>0.12859999999999999</v>
      </c>
    </row>
    <row r="53" spans="1:16" ht="14.25" customHeight="1" x14ac:dyDescent="0.2">
      <c r="A53" s="52" t="s">
        <v>113</v>
      </c>
      <c r="B53" s="34">
        <v>269342354</v>
      </c>
      <c r="C53" s="35">
        <v>3401646</v>
      </c>
      <c r="D53" s="35">
        <v>11963584</v>
      </c>
      <c r="E53" s="35">
        <v>243720283</v>
      </c>
      <c r="F53" s="35"/>
      <c r="G53" s="36"/>
      <c r="H53" s="37">
        <v>528427867</v>
      </c>
      <c r="I53" s="34"/>
      <c r="J53" s="35"/>
      <c r="K53" s="35">
        <v>19411015</v>
      </c>
      <c r="L53" s="35">
        <v>34230825</v>
      </c>
      <c r="M53" s="36">
        <v>41575315</v>
      </c>
      <c r="N53" s="38">
        <v>95217155</v>
      </c>
      <c r="O53" s="35">
        <v>623645022</v>
      </c>
      <c r="P53" s="70">
        <v>0.17050000000000001</v>
      </c>
    </row>
    <row r="54" spans="1:16" ht="14.25" customHeight="1" x14ac:dyDescent="0.2">
      <c r="A54" s="52" t="s">
        <v>48</v>
      </c>
      <c r="B54" s="34">
        <v>1202866389</v>
      </c>
      <c r="C54" s="35">
        <v>7378671</v>
      </c>
      <c r="D54" s="35"/>
      <c r="E54" s="35">
        <v>1871409263</v>
      </c>
      <c r="F54" s="35"/>
      <c r="G54" s="36">
        <v>393466767</v>
      </c>
      <c r="H54" s="37">
        <v>3475121090</v>
      </c>
      <c r="I54" s="34"/>
      <c r="J54" s="35">
        <v>461308312</v>
      </c>
      <c r="K54" s="35">
        <v>44045038</v>
      </c>
      <c r="L54" s="35"/>
      <c r="M54" s="36">
        <v>854184580</v>
      </c>
      <c r="N54" s="38">
        <v>1359537930</v>
      </c>
      <c r="O54" s="35">
        <v>4834659020</v>
      </c>
      <c r="P54" s="70">
        <v>0.14080000000000001</v>
      </c>
    </row>
    <row r="55" spans="1:16" ht="14.25" customHeight="1" x14ac:dyDescent="0.2">
      <c r="A55" s="52" t="s">
        <v>49</v>
      </c>
      <c r="B55" s="34">
        <v>311154217</v>
      </c>
      <c r="C55" s="35">
        <v>11480930</v>
      </c>
      <c r="D55" s="35"/>
      <c r="E55" s="35">
        <v>257558912</v>
      </c>
      <c r="F55" s="35"/>
      <c r="G55" s="36">
        <v>9243491</v>
      </c>
      <c r="H55" s="37">
        <v>589437550</v>
      </c>
      <c r="I55" s="34"/>
      <c r="J55" s="35">
        <v>71215544</v>
      </c>
      <c r="K55" s="35">
        <v>10409129</v>
      </c>
      <c r="L55" s="35"/>
      <c r="M55" s="36">
        <v>19975969</v>
      </c>
      <c r="N55" s="38">
        <v>101600642</v>
      </c>
      <c r="O55" s="35">
        <v>691038192</v>
      </c>
      <c r="P55" s="70">
        <v>0.15640000000000001</v>
      </c>
    </row>
    <row r="56" spans="1:16" ht="14.25" customHeight="1" x14ac:dyDescent="0.2">
      <c r="A56" s="52" t="s">
        <v>50</v>
      </c>
      <c r="B56" s="34">
        <v>525334032</v>
      </c>
      <c r="C56" s="35"/>
      <c r="D56" s="35">
        <v>11084120</v>
      </c>
      <c r="E56" s="35">
        <v>745788787</v>
      </c>
      <c r="F56" s="35"/>
      <c r="G56" s="36">
        <v>119355961</v>
      </c>
      <c r="H56" s="37">
        <v>1401562900</v>
      </c>
      <c r="I56" s="34">
        <v>92641513</v>
      </c>
      <c r="J56" s="35"/>
      <c r="K56" s="35">
        <v>108204606</v>
      </c>
      <c r="L56" s="35">
        <v>86259431</v>
      </c>
      <c r="M56" s="36">
        <v>446042491</v>
      </c>
      <c r="N56" s="38">
        <v>733148041</v>
      </c>
      <c r="O56" s="35">
        <v>2134710941</v>
      </c>
      <c r="P56" s="70">
        <v>9.3900000000000011E-2</v>
      </c>
    </row>
    <row r="57" spans="1:16" ht="14.25" customHeight="1" x14ac:dyDescent="0.2">
      <c r="A57" s="52" t="s">
        <v>51</v>
      </c>
      <c r="B57" s="34">
        <v>345438547</v>
      </c>
      <c r="C57" s="35"/>
      <c r="D57" s="35"/>
      <c r="E57" s="35">
        <v>332164622</v>
      </c>
      <c r="F57" s="35"/>
      <c r="G57" s="36"/>
      <c r="H57" s="37">
        <v>677603169</v>
      </c>
      <c r="I57" s="34"/>
      <c r="J57" s="35"/>
      <c r="K57" s="35">
        <v>20963116</v>
      </c>
      <c r="L57" s="35">
        <v>25636153</v>
      </c>
      <c r="M57" s="36">
        <v>131282633</v>
      </c>
      <c r="N57" s="38">
        <v>177881902</v>
      </c>
      <c r="O57" s="35">
        <v>855485071</v>
      </c>
      <c r="P57" s="70">
        <v>0.1575</v>
      </c>
    </row>
    <row r="58" spans="1:16" ht="14.25" customHeight="1" x14ac:dyDescent="0.2">
      <c r="A58" s="52" t="s">
        <v>52</v>
      </c>
      <c r="B58" s="34">
        <v>51336331</v>
      </c>
      <c r="C58" s="35"/>
      <c r="D58" s="35"/>
      <c r="E58" s="35">
        <v>34039832</v>
      </c>
      <c r="F58" s="35"/>
      <c r="G58" s="36"/>
      <c r="H58" s="37">
        <v>85376163</v>
      </c>
      <c r="I58" s="34">
        <v>5318736</v>
      </c>
      <c r="J58" s="35"/>
      <c r="K58" s="35">
        <v>1100308</v>
      </c>
      <c r="L58" s="35"/>
      <c r="M58" s="36">
        <v>5556689</v>
      </c>
      <c r="N58" s="38">
        <v>11975733</v>
      </c>
      <c r="O58" s="35">
        <v>97351896</v>
      </c>
      <c r="P58" s="70">
        <v>0.1197</v>
      </c>
    </row>
    <row r="59" spans="1:16" ht="14.25" customHeight="1" x14ac:dyDescent="0.2">
      <c r="A59" s="52" t="s">
        <v>53</v>
      </c>
      <c r="B59" s="34">
        <v>225287458</v>
      </c>
      <c r="C59" s="35"/>
      <c r="D59" s="35"/>
      <c r="E59" s="35">
        <v>250294621</v>
      </c>
      <c r="F59" s="35"/>
      <c r="G59" s="36">
        <v>9402424</v>
      </c>
      <c r="H59" s="37">
        <v>484984503</v>
      </c>
      <c r="I59" s="34"/>
      <c r="J59" s="35">
        <v>53037539</v>
      </c>
      <c r="K59" s="35">
        <v>9231373</v>
      </c>
      <c r="L59" s="35">
        <v>584945</v>
      </c>
      <c r="M59" s="36">
        <v>23852157</v>
      </c>
      <c r="N59" s="38">
        <v>86706014</v>
      </c>
      <c r="O59" s="35">
        <v>571690517</v>
      </c>
      <c r="P59" s="70">
        <v>0.16649999999999998</v>
      </c>
    </row>
    <row r="60" spans="1:16" ht="14.25" customHeight="1" x14ac:dyDescent="0.2">
      <c r="A60" s="52" t="s">
        <v>54</v>
      </c>
      <c r="B60" s="34">
        <v>214232841</v>
      </c>
      <c r="C60" s="35"/>
      <c r="D60" s="35"/>
      <c r="E60" s="35">
        <v>234868425</v>
      </c>
      <c r="F60" s="35"/>
      <c r="G60" s="36">
        <v>111476325</v>
      </c>
      <c r="H60" s="37">
        <v>560577591</v>
      </c>
      <c r="I60" s="34"/>
      <c r="J60" s="35">
        <v>3958793</v>
      </c>
      <c r="K60" s="35"/>
      <c r="L60" s="35">
        <v>29120939</v>
      </c>
      <c r="M60" s="36">
        <v>109794974</v>
      </c>
      <c r="N60" s="38">
        <v>142874706</v>
      </c>
      <c r="O60" s="35">
        <v>703452297</v>
      </c>
      <c r="P60" s="70">
        <v>0.15509999999999999</v>
      </c>
    </row>
    <row r="61" spans="1:16" ht="14.25" customHeight="1" x14ac:dyDescent="0.2">
      <c r="A61" s="52" t="s">
        <v>55</v>
      </c>
      <c r="B61" s="34">
        <v>86742740</v>
      </c>
      <c r="C61" s="35"/>
      <c r="D61" s="35"/>
      <c r="E61" s="35">
        <v>91328893</v>
      </c>
      <c r="F61" s="35"/>
      <c r="G61" s="36">
        <v>374112</v>
      </c>
      <c r="H61" s="37">
        <v>178445745</v>
      </c>
      <c r="I61" s="34"/>
      <c r="J61" s="35"/>
      <c r="K61" s="35">
        <v>7611916</v>
      </c>
      <c r="L61" s="35"/>
      <c r="M61" s="36">
        <v>3749685</v>
      </c>
      <c r="N61" s="38">
        <v>11361601</v>
      </c>
      <c r="O61" s="35">
        <v>189807346</v>
      </c>
      <c r="P61" s="70">
        <v>0.14829999999999999</v>
      </c>
    </row>
    <row r="62" spans="1:16" ht="14.25" customHeight="1" x14ac:dyDescent="0.2">
      <c r="A62" s="52" t="s">
        <v>56</v>
      </c>
      <c r="B62" s="34">
        <v>267770407</v>
      </c>
      <c r="C62" s="35">
        <v>7540951</v>
      </c>
      <c r="D62" s="35">
        <v>8661172</v>
      </c>
      <c r="E62" s="35">
        <v>593670982</v>
      </c>
      <c r="F62" s="35"/>
      <c r="G62" s="36">
        <v>107766256</v>
      </c>
      <c r="H62" s="37">
        <v>985409768</v>
      </c>
      <c r="I62" s="34"/>
      <c r="J62" s="35"/>
      <c r="K62" s="35"/>
      <c r="L62" s="35">
        <v>43868330</v>
      </c>
      <c r="M62" s="36">
        <v>116427762</v>
      </c>
      <c r="N62" s="38">
        <v>160296092</v>
      </c>
      <c r="O62" s="35">
        <v>1145705860</v>
      </c>
      <c r="P62" s="70">
        <v>0.1772</v>
      </c>
    </row>
    <row r="63" spans="1:16" ht="14.25" customHeight="1" x14ac:dyDescent="0.2">
      <c r="A63" s="52" t="s">
        <v>57</v>
      </c>
      <c r="B63" s="34">
        <v>219040453</v>
      </c>
      <c r="C63" s="35"/>
      <c r="D63" s="35"/>
      <c r="E63" s="35">
        <v>272125690</v>
      </c>
      <c r="F63" s="35"/>
      <c r="G63" s="36">
        <v>8917163</v>
      </c>
      <c r="H63" s="37">
        <v>500083306</v>
      </c>
      <c r="I63" s="34"/>
      <c r="J63" s="35"/>
      <c r="K63" s="35"/>
      <c r="L63" s="35">
        <v>90661222</v>
      </c>
      <c r="M63" s="36">
        <v>103060049</v>
      </c>
      <c r="N63" s="38">
        <v>193721271</v>
      </c>
      <c r="O63" s="35">
        <v>693804577</v>
      </c>
      <c r="P63" s="70">
        <v>0.109</v>
      </c>
    </row>
    <row r="64" spans="1:16" ht="14.25" customHeight="1" x14ac:dyDescent="0.2">
      <c r="A64" s="52" t="s">
        <v>58</v>
      </c>
      <c r="B64" s="34">
        <v>100204837</v>
      </c>
      <c r="C64" s="35"/>
      <c r="D64" s="35"/>
      <c r="E64" s="35">
        <v>91088985</v>
      </c>
      <c r="F64" s="35"/>
      <c r="G64" s="36"/>
      <c r="H64" s="37">
        <v>191293822</v>
      </c>
      <c r="I64" s="34"/>
      <c r="J64" s="35"/>
      <c r="K64" s="35">
        <v>4057791</v>
      </c>
      <c r="L64" s="35"/>
      <c r="M64" s="36">
        <v>14649943</v>
      </c>
      <c r="N64" s="38">
        <v>18707734</v>
      </c>
      <c r="O64" s="35">
        <v>210001556</v>
      </c>
      <c r="P64" s="70">
        <v>7.9500000000000001E-2</v>
      </c>
    </row>
    <row r="65" spans="1:17" ht="14.25" customHeight="1" x14ac:dyDescent="0.2">
      <c r="A65" s="52" t="s">
        <v>59</v>
      </c>
      <c r="B65" s="34">
        <v>20637087</v>
      </c>
      <c r="C65" s="35"/>
      <c r="D65" s="35"/>
      <c r="E65" s="35">
        <v>14254282</v>
      </c>
      <c r="F65" s="35"/>
      <c r="G65" s="36">
        <v>776808</v>
      </c>
      <c r="H65" s="37">
        <v>35668177</v>
      </c>
      <c r="I65" s="34"/>
      <c r="J65" s="35"/>
      <c r="K65" s="35"/>
      <c r="L65" s="35"/>
      <c r="M65" s="36">
        <v>2723349</v>
      </c>
      <c r="N65" s="38">
        <v>2723349</v>
      </c>
      <c r="O65" s="35">
        <v>38391526</v>
      </c>
      <c r="P65" s="70">
        <v>7.0300000000000001E-2</v>
      </c>
    </row>
    <row r="66" spans="1:17" ht="14.25" customHeight="1" x14ac:dyDescent="0.2">
      <c r="A66" s="52" t="s">
        <v>60</v>
      </c>
      <c r="B66" s="34">
        <v>12676332</v>
      </c>
      <c r="C66" s="35"/>
      <c r="D66" s="35"/>
      <c r="E66" s="35">
        <v>11194960</v>
      </c>
      <c r="F66" s="35"/>
      <c r="G66" s="36">
        <v>597705</v>
      </c>
      <c r="H66" s="37">
        <v>24468997</v>
      </c>
      <c r="I66" s="34"/>
      <c r="J66" s="35">
        <v>1798088</v>
      </c>
      <c r="K66" s="35"/>
      <c r="L66" s="35"/>
      <c r="M66" s="36">
        <v>1948512</v>
      </c>
      <c r="N66" s="38">
        <v>3746600</v>
      </c>
      <c r="O66" s="35">
        <v>28215597</v>
      </c>
      <c r="P66" s="70">
        <v>5.5999999999999994E-2</v>
      </c>
    </row>
    <row r="67" spans="1:17" ht="14.25" customHeight="1" x14ac:dyDescent="0.2">
      <c r="A67" s="52" t="s">
        <v>61</v>
      </c>
      <c r="B67" s="34">
        <v>3123287</v>
      </c>
      <c r="C67" s="35"/>
      <c r="D67" s="35"/>
      <c r="E67" s="35">
        <v>2005436</v>
      </c>
      <c r="F67" s="35"/>
      <c r="G67" s="36">
        <v>263269</v>
      </c>
      <c r="H67" s="37">
        <v>5391992</v>
      </c>
      <c r="I67" s="34"/>
      <c r="J67" s="35"/>
      <c r="K67" s="35"/>
      <c r="L67" s="35"/>
      <c r="M67" s="36">
        <v>136491</v>
      </c>
      <c r="N67" s="38">
        <v>136491</v>
      </c>
      <c r="O67" s="35">
        <v>5528483</v>
      </c>
      <c r="P67" s="70">
        <v>4.5100000000000001E-2</v>
      </c>
    </row>
    <row r="68" spans="1:17" ht="14.25" customHeight="1" x14ac:dyDescent="0.2">
      <c r="A68" s="52" t="s">
        <v>62</v>
      </c>
      <c r="B68" s="34">
        <v>236615969</v>
      </c>
      <c r="C68" s="35"/>
      <c r="D68" s="35">
        <v>42128337</v>
      </c>
      <c r="E68" s="35">
        <v>306975659</v>
      </c>
      <c r="F68" s="35"/>
      <c r="G68" s="36">
        <v>11316454</v>
      </c>
      <c r="H68" s="37">
        <v>597036419</v>
      </c>
      <c r="I68" s="34"/>
      <c r="J68" s="35">
        <v>47457522</v>
      </c>
      <c r="K68" s="35">
        <v>46139376</v>
      </c>
      <c r="L68" s="35">
        <v>18521147</v>
      </c>
      <c r="M68" s="36">
        <v>208151117</v>
      </c>
      <c r="N68" s="38">
        <v>320269162</v>
      </c>
      <c r="O68" s="35">
        <v>917305581</v>
      </c>
      <c r="P68" s="70">
        <v>8.1000000000000003E-2</v>
      </c>
    </row>
    <row r="69" spans="1:17" ht="14.25" customHeight="1" x14ac:dyDescent="0.2">
      <c r="A69" s="52" t="s">
        <v>63</v>
      </c>
      <c r="B69" s="34">
        <v>14437939</v>
      </c>
      <c r="C69" s="35"/>
      <c r="D69" s="35"/>
      <c r="E69" s="35">
        <v>11407007</v>
      </c>
      <c r="F69" s="35"/>
      <c r="G69" s="36">
        <v>46401</v>
      </c>
      <c r="H69" s="37">
        <v>25891347</v>
      </c>
      <c r="I69" s="34"/>
      <c r="J69" s="35"/>
      <c r="K69" s="35"/>
      <c r="L69" s="35"/>
      <c r="M69" s="36">
        <v>203428</v>
      </c>
      <c r="N69" s="38">
        <v>203428</v>
      </c>
      <c r="O69" s="35">
        <v>26094775</v>
      </c>
      <c r="P69" s="70">
        <v>0.14150000000000001</v>
      </c>
    </row>
    <row r="70" spans="1:17" ht="14.25" customHeight="1" x14ac:dyDescent="0.2">
      <c r="A70" s="52" t="s">
        <v>64</v>
      </c>
      <c r="B70" s="34">
        <v>114366084</v>
      </c>
      <c r="C70" s="35"/>
      <c r="D70" s="35"/>
      <c r="E70" s="35">
        <v>169606847</v>
      </c>
      <c r="F70" s="35"/>
      <c r="G70" s="36">
        <v>821796</v>
      </c>
      <c r="H70" s="37">
        <v>284794727</v>
      </c>
      <c r="I70" s="34"/>
      <c r="J70" s="35">
        <v>845791</v>
      </c>
      <c r="K70" s="35">
        <v>34700379</v>
      </c>
      <c r="L70" s="35"/>
      <c r="M70" s="36">
        <v>5475969</v>
      </c>
      <c r="N70" s="38">
        <v>41022139</v>
      </c>
      <c r="O70" s="35">
        <v>325816866</v>
      </c>
      <c r="P70" s="70">
        <v>0.27110000000000001</v>
      </c>
    </row>
    <row r="71" spans="1:17" ht="14.25" customHeight="1" x14ac:dyDescent="0.2">
      <c r="A71" s="52" t="s">
        <v>65</v>
      </c>
      <c r="B71" s="34">
        <v>9351897</v>
      </c>
      <c r="C71" s="35"/>
      <c r="D71" s="35"/>
      <c r="E71" s="35">
        <v>6620389</v>
      </c>
      <c r="F71" s="35"/>
      <c r="G71" s="36">
        <v>29161</v>
      </c>
      <c r="H71" s="37">
        <v>16001447</v>
      </c>
      <c r="I71" s="34"/>
      <c r="J71" s="35"/>
      <c r="K71" s="35"/>
      <c r="L71" s="35"/>
      <c r="M71" s="36">
        <v>1311821</v>
      </c>
      <c r="N71" s="38">
        <v>1311821</v>
      </c>
      <c r="O71" s="35">
        <v>17313268</v>
      </c>
      <c r="P71" s="70">
        <v>8.77E-2</v>
      </c>
    </row>
    <row r="72" spans="1:17" ht="14.25" customHeight="1" x14ac:dyDescent="0.2">
      <c r="A72" s="52"/>
      <c r="B72" s="39"/>
      <c r="C72" s="40"/>
      <c r="D72" s="40"/>
      <c r="E72" s="40"/>
      <c r="F72" s="40"/>
      <c r="G72" s="41"/>
      <c r="H72" s="37"/>
      <c r="I72" s="39"/>
      <c r="J72" s="40"/>
      <c r="K72" s="40"/>
      <c r="L72" s="40"/>
      <c r="M72" s="41"/>
      <c r="N72" s="38"/>
      <c r="O72" s="35"/>
      <c r="P72" s="68"/>
    </row>
    <row r="73" spans="1:17" s="17" customFormat="1" ht="14.25" customHeight="1" thickBot="1" x14ac:dyDescent="0.25">
      <c r="A73" s="53" t="s">
        <v>70</v>
      </c>
      <c r="B73" s="42">
        <f>SUM(B5:B71)</f>
        <v>12596441521</v>
      </c>
      <c r="C73" s="43">
        <f t="shared" ref="C73:M73" si="0">SUM(C5:C71)</f>
        <v>267280089</v>
      </c>
      <c r="D73" s="43">
        <f t="shared" si="0"/>
        <v>115934525</v>
      </c>
      <c r="E73" s="43">
        <f t="shared" si="0"/>
        <v>17312367975</v>
      </c>
      <c r="F73" s="43">
        <f t="shared" si="0"/>
        <v>166192159</v>
      </c>
      <c r="G73" s="44">
        <f t="shared" si="0"/>
        <v>1596617452</v>
      </c>
      <c r="H73" s="45">
        <f>SUM(B73:G73)</f>
        <v>32054833721</v>
      </c>
      <c r="I73" s="42">
        <f t="shared" si="0"/>
        <v>1402097344</v>
      </c>
      <c r="J73" s="43">
        <f t="shared" si="0"/>
        <v>1401619793</v>
      </c>
      <c r="K73" s="43">
        <f t="shared" si="0"/>
        <v>1248018802</v>
      </c>
      <c r="L73" s="43">
        <f t="shared" si="0"/>
        <v>1683980123</v>
      </c>
      <c r="M73" s="44">
        <f t="shared" si="0"/>
        <v>7061663885</v>
      </c>
      <c r="N73" s="46">
        <f>SUM(I73:M73)</f>
        <v>12797379947</v>
      </c>
      <c r="O73" s="47">
        <f>SUM(H73,N73)</f>
        <v>44852213668</v>
      </c>
      <c r="P73" s="69">
        <v>0.13619999999999999</v>
      </c>
      <c r="Q73" s="10"/>
    </row>
    <row r="75" spans="1:17" ht="16.5" x14ac:dyDescent="0.2">
      <c r="A75" s="3" t="s">
        <v>114</v>
      </c>
    </row>
    <row r="77" spans="1:17" x14ac:dyDescent="0.2">
      <c r="A77" s="30" t="s">
        <v>116</v>
      </c>
    </row>
  </sheetData>
  <mergeCells count="2">
    <mergeCell ref="I3:M3"/>
    <mergeCell ref="B3:G3"/>
  </mergeCells>
  <phoneticPr fontId="0" type="noConversion"/>
  <conditionalFormatting sqref="A4:P10 A12:P73 A11:L11">
    <cfRule type="expression" dxfId="2" priority="3" stopIfTrue="1">
      <formula>MOD(ROW(),3)=1</formula>
    </cfRule>
  </conditionalFormatting>
  <conditionalFormatting sqref="M11:P11">
    <cfRule type="expression" dxfId="1" priority="1" stopIfTrue="1">
      <formula>MOD(ROW(),3)=1</formula>
    </cfRule>
  </conditionalFormatting>
  <pageMargins left="0.7" right="0.7" top="0.75" bottom="0.75" header="0.3" footer="0.3"/>
  <pageSetup scale="58" fitToHeight="2" orientation="landscape" r:id="rId1"/>
  <ignoredErrors>
    <ignoredError sqref="H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78"/>
  <sheetViews>
    <sheetView workbookViewId="0">
      <pane ySplit="4" topLeftCell="A56" activePane="bottomLeft" state="frozen"/>
      <selection activeCell="A3" sqref="A3"/>
      <selection pane="bottomLeft" activeCell="I5" sqref="I5:O71"/>
    </sheetView>
  </sheetViews>
  <sheetFormatPr defaultRowHeight="14.25" x14ac:dyDescent="0.2"/>
  <cols>
    <col min="1" max="1" width="25.7109375" style="10" customWidth="1"/>
    <col min="2" max="2" width="18.42578125" style="10" bestFit="1" customWidth="1"/>
    <col min="3" max="3" width="13.85546875" style="10" bestFit="1" customWidth="1"/>
    <col min="4" max="4" width="14.28515625" style="10" bestFit="1" customWidth="1"/>
    <col min="5" max="6" width="18.42578125" style="10" bestFit="1" customWidth="1"/>
    <col min="7" max="7" width="15.42578125" style="10" bestFit="1" customWidth="1"/>
    <col min="8" max="8" width="18.42578125" style="10" bestFit="1" customWidth="1"/>
    <col min="9" max="10" width="14.28515625" style="10" bestFit="1" customWidth="1"/>
    <col min="11" max="11" width="15.42578125" style="10" bestFit="1" customWidth="1"/>
    <col min="12" max="12" width="14.28515625" style="10" bestFit="1" customWidth="1"/>
    <col min="13" max="13" width="13.140625" style="10" bestFit="1" customWidth="1"/>
    <col min="14" max="14" width="14.28515625" style="10" bestFit="1" customWidth="1"/>
    <col min="15" max="15" width="18.42578125" style="10" bestFit="1" customWidth="1"/>
    <col min="16" max="16384" width="9.140625" style="10"/>
  </cols>
  <sheetData>
    <row r="1" spans="1:15" ht="26.25" x14ac:dyDescent="0.2">
      <c r="A1" s="1" t="s">
        <v>107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5" x14ac:dyDescent="0.2">
      <c r="A2" s="18" t="s">
        <v>118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5.75" thickBot="1" x14ac:dyDescent="0.25">
      <c r="A3" s="20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s="11" customFormat="1" ht="51" x14ac:dyDescent="0.2">
      <c r="A4" s="12" t="s">
        <v>1</v>
      </c>
      <c r="B4" s="13" t="s">
        <v>85</v>
      </c>
      <c r="C4" s="13" t="s">
        <v>86</v>
      </c>
      <c r="D4" s="13" t="s">
        <v>87</v>
      </c>
      <c r="E4" s="13" t="s">
        <v>88</v>
      </c>
      <c r="F4" s="13" t="s">
        <v>89</v>
      </c>
      <c r="G4" s="13" t="s">
        <v>90</v>
      </c>
      <c r="H4" s="13" t="s">
        <v>91</v>
      </c>
      <c r="I4" s="13" t="s">
        <v>92</v>
      </c>
      <c r="J4" s="13" t="s">
        <v>93</v>
      </c>
      <c r="K4" s="13" t="s">
        <v>94</v>
      </c>
      <c r="L4" s="13" t="s">
        <v>95</v>
      </c>
      <c r="M4" s="13" t="s">
        <v>96</v>
      </c>
      <c r="N4" s="13" t="s">
        <v>97</v>
      </c>
      <c r="O4" s="14" t="s">
        <v>98</v>
      </c>
    </row>
    <row r="5" spans="1:15" x14ac:dyDescent="0.2">
      <c r="A5" s="21" t="s">
        <v>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6"/>
      <c r="N5" s="22"/>
      <c r="O5" s="23"/>
    </row>
    <row r="6" spans="1:15" x14ac:dyDescent="0.2">
      <c r="A6" s="21" t="s">
        <v>3</v>
      </c>
      <c r="B6" s="22">
        <v>21627.32</v>
      </c>
      <c r="C6" s="22">
        <v>4040.89</v>
      </c>
      <c r="D6" s="22"/>
      <c r="E6" s="22">
        <v>45730.85</v>
      </c>
      <c r="F6" s="22"/>
      <c r="G6" s="22">
        <v>41105.64</v>
      </c>
      <c r="H6" s="22">
        <v>19513117.829999998</v>
      </c>
      <c r="I6" s="22">
        <v>21627.32</v>
      </c>
      <c r="J6" s="22">
        <v>4040.89</v>
      </c>
      <c r="K6" s="22"/>
      <c r="L6" s="22">
        <v>45730.85</v>
      </c>
      <c r="M6" s="26"/>
      <c r="N6" s="22">
        <v>41105.64</v>
      </c>
      <c r="O6" s="23">
        <v>19513117.829999998</v>
      </c>
    </row>
    <row r="7" spans="1:15" x14ac:dyDescent="0.2">
      <c r="A7" s="21" t="s">
        <v>4</v>
      </c>
      <c r="B7" s="22">
        <v>122636.06</v>
      </c>
      <c r="C7" s="22">
        <v>55887.99</v>
      </c>
      <c r="D7" s="22">
        <v>44610.41</v>
      </c>
      <c r="E7" s="22">
        <v>515940.87</v>
      </c>
      <c r="F7" s="22"/>
      <c r="G7" s="22">
        <v>2777.1</v>
      </c>
      <c r="H7" s="22">
        <v>268898381.72000003</v>
      </c>
      <c r="I7" s="22">
        <v>122636.06</v>
      </c>
      <c r="J7" s="22">
        <v>55887.99</v>
      </c>
      <c r="K7" s="22">
        <v>44610.41</v>
      </c>
      <c r="L7" s="22">
        <v>515940.87</v>
      </c>
      <c r="M7" s="26"/>
      <c r="N7" s="22">
        <v>2777.1</v>
      </c>
      <c r="O7" s="23">
        <v>268898381.72000003</v>
      </c>
    </row>
    <row r="8" spans="1:15" x14ac:dyDescent="0.2">
      <c r="A8" s="21" t="s">
        <v>5</v>
      </c>
      <c r="B8" s="22">
        <v>21072.880000000001</v>
      </c>
      <c r="C8" s="22">
        <v>6045.43</v>
      </c>
      <c r="D8" s="22">
        <v>-28790.86</v>
      </c>
      <c r="E8" s="22">
        <v>76.11</v>
      </c>
      <c r="F8" s="22"/>
      <c r="G8" s="22">
        <v>36215.9</v>
      </c>
      <c r="H8" s="22">
        <v>20290037.960000001</v>
      </c>
      <c r="I8" s="22">
        <v>21072.880000000001</v>
      </c>
      <c r="J8" s="22">
        <v>6045.43</v>
      </c>
      <c r="K8" s="22">
        <v>-28790.86</v>
      </c>
      <c r="L8" s="22">
        <v>76.11</v>
      </c>
      <c r="M8" s="26"/>
      <c r="N8" s="22">
        <v>36215.9</v>
      </c>
      <c r="O8" s="23">
        <v>20290037.960000001</v>
      </c>
    </row>
    <row r="9" spans="1:15" x14ac:dyDescent="0.2">
      <c r="A9" s="21" t="s">
        <v>6</v>
      </c>
      <c r="B9" s="22">
        <v>124098.95</v>
      </c>
      <c r="C9" s="22">
        <v>35624.6</v>
      </c>
      <c r="D9" s="22">
        <v>493610.92</v>
      </c>
      <c r="E9" s="22">
        <v>19028.2</v>
      </c>
      <c r="F9" s="22"/>
      <c r="G9" s="22">
        <v>37091.72</v>
      </c>
      <c r="H9" s="22">
        <v>883917813.88999999</v>
      </c>
      <c r="I9" s="22">
        <v>124098.95</v>
      </c>
      <c r="J9" s="22">
        <v>35624.6</v>
      </c>
      <c r="K9" s="22">
        <v>493610.92</v>
      </c>
      <c r="L9" s="22">
        <v>19028.2</v>
      </c>
      <c r="M9" s="26"/>
      <c r="N9" s="22">
        <v>37091.72</v>
      </c>
      <c r="O9" s="23">
        <v>883917813.88999999</v>
      </c>
    </row>
    <row r="10" spans="1:15" x14ac:dyDescent="0.2">
      <c r="A10" s="21" t="s">
        <v>7</v>
      </c>
      <c r="B10" s="22">
        <v>1424343.26</v>
      </c>
      <c r="C10" s="22">
        <v>126214.34</v>
      </c>
      <c r="D10" s="22">
        <v>36089435.450000003</v>
      </c>
      <c r="E10" s="22">
        <v>170246.92</v>
      </c>
      <c r="F10" s="22">
        <v>412007.97</v>
      </c>
      <c r="G10" s="22"/>
      <c r="H10" s="22">
        <v>5075177655.5</v>
      </c>
      <c r="I10" s="22">
        <v>1424343.26</v>
      </c>
      <c r="J10" s="22">
        <v>126214.34</v>
      </c>
      <c r="K10" s="22">
        <v>36089435.450000003</v>
      </c>
      <c r="L10" s="22">
        <v>170246.92</v>
      </c>
      <c r="M10" s="26">
        <v>412007.97</v>
      </c>
      <c r="N10" s="22"/>
      <c r="O10" s="23">
        <v>5075177655.5</v>
      </c>
    </row>
    <row r="11" spans="1:15" x14ac:dyDescent="0.2">
      <c r="A11" s="21" t="s">
        <v>8</v>
      </c>
      <c r="B11" s="22"/>
      <c r="C11" s="22">
        <v>16640.53</v>
      </c>
      <c r="D11" s="22"/>
      <c r="E11" s="22"/>
      <c r="F11" s="22">
        <v>17310.23</v>
      </c>
      <c r="G11" s="22"/>
      <c r="H11" s="22">
        <v>7470886.7599999998</v>
      </c>
      <c r="I11" s="22"/>
      <c r="J11" s="22">
        <v>16640.53</v>
      </c>
      <c r="K11" s="22"/>
      <c r="L11" s="22"/>
      <c r="M11" s="26">
        <v>17310.23</v>
      </c>
      <c r="N11" s="22"/>
      <c r="O11" s="23">
        <v>7470886.7599999998</v>
      </c>
    </row>
    <row r="12" spans="1:15" x14ac:dyDescent="0.2">
      <c r="A12" s="21" t="s">
        <v>9</v>
      </c>
      <c r="B12" s="22"/>
      <c r="C12" s="22">
        <v>14697.78</v>
      </c>
      <c r="D12" s="22">
        <v>323664.39</v>
      </c>
      <c r="E12" s="22">
        <v>12840.33</v>
      </c>
      <c r="F12" s="22"/>
      <c r="G12" s="22">
        <v>167873.55</v>
      </c>
      <c r="H12" s="22">
        <v>481409794.89999998</v>
      </c>
      <c r="I12" s="22"/>
      <c r="J12" s="22">
        <v>14697.78</v>
      </c>
      <c r="K12" s="22">
        <v>323664.39</v>
      </c>
      <c r="L12" s="22">
        <v>12840.33</v>
      </c>
      <c r="M12" s="26"/>
      <c r="N12" s="22">
        <v>167873.55</v>
      </c>
      <c r="O12" s="23">
        <v>481409794.89999998</v>
      </c>
    </row>
    <row r="13" spans="1:15" x14ac:dyDescent="0.2">
      <c r="A13" s="21" t="s">
        <v>10</v>
      </c>
      <c r="B13" s="22"/>
      <c r="C13" s="22">
        <v>24000.79</v>
      </c>
      <c r="D13" s="22">
        <v>668303.81999999995</v>
      </c>
      <c r="E13" s="22">
        <v>23756.37</v>
      </c>
      <c r="F13" s="22"/>
      <c r="G13" s="22">
        <v>59648.46</v>
      </c>
      <c r="H13" s="22">
        <v>192353121.06</v>
      </c>
      <c r="I13" s="22"/>
      <c r="J13" s="22">
        <v>24000.79</v>
      </c>
      <c r="K13" s="22">
        <v>668303.81999999995</v>
      </c>
      <c r="L13" s="22">
        <v>23756.37</v>
      </c>
      <c r="M13" s="26"/>
      <c r="N13" s="22">
        <v>59648.46</v>
      </c>
      <c r="O13" s="23">
        <v>192353121.06</v>
      </c>
    </row>
    <row r="14" spans="1:15" x14ac:dyDescent="0.2">
      <c r="A14" s="21" t="s">
        <v>11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6"/>
      <c r="N14" s="22"/>
      <c r="O14" s="23"/>
    </row>
    <row r="15" spans="1:15" x14ac:dyDescent="0.2">
      <c r="A15" s="21" t="s">
        <v>12</v>
      </c>
      <c r="B15" s="22">
        <v>346057.77</v>
      </c>
      <c r="C15" s="22">
        <v>1754.08</v>
      </c>
      <c r="D15" s="22">
        <v>1349121.08</v>
      </c>
      <c r="E15" s="22">
        <v>9025.27</v>
      </c>
      <c r="F15" s="22"/>
      <c r="G15" s="22">
        <v>23038.55</v>
      </c>
      <c r="H15" s="22">
        <v>1266483813.6700001</v>
      </c>
      <c r="I15" s="22">
        <v>346057.77</v>
      </c>
      <c r="J15" s="22">
        <v>1754.08</v>
      </c>
      <c r="K15" s="22">
        <v>1349121.08</v>
      </c>
      <c r="L15" s="22">
        <v>9025.27</v>
      </c>
      <c r="M15" s="26"/>
      <c r="N15" s="22">
        <v>23038.55</v>
      </c>
      <c r="O15" s="23">
        <v>1266483813.6700001</v>
      </c>
    </row>
    <row r="16" spans="1:15" x14ac:dyDescent="0.2">
      <c r="A16" s="21" t="s">
        <v>13</v>
      </c>
      <c r="B16" s="22">
        <v>10161</v>
      </c>
      <c r="C16" s="22">
        <v>33948</v>
      </c>
      <c r="D16" s="22"/>
      <c r="E16" s="22">
        <v>5856</v>
      </c>
      <c r="F16" s="22"/>
      <c r="G16" s="22"/>
      <c r="H16" s="22">
        <v>63991146</v>
      </c>
      <c r="I16" s="22">
        <v>10161</v>
      </c>
      <c r="J16" s="22">
        <v>33948</v>
      </c>
      <c r="K16" s="22"/>
      <c r="L16" s="22">
        <v>5856</v>
      </c>
      <c r="M16" s="26"/>
      <c r="N16" s="22"/>
      <c r="O16" s="23">
        <v>63991146</v>
      </c>
    </row>
    <row r="17" spans="1:15" x14ac:dyDescent="0.2">
      <c r="A17" s="21" t="s">
        <v>106</v>
      </c>
      <c r="B17" s="24"/>
      <c r="C17" s="25"/>
      <c r="D17" s="66"/>
      <c r="E17" s="22"/>
      <c r="F17" s="22"/>
      <c r="G17" s="22"/>
      <c r="H17" s="22"/>
      <c r="I17" s="22"/>
      <c r="J17" s="22"/>
      <c r="K17" s="22"/>
      <c r="L17" s="22"/>
      <c r="M17" s="26"/>
      <c r="N17" s="22"/>
      <c r="O17" s="23"/>
    </row>
    <row r="18" spans="1:15" x14ac:dyDescent="0.2">
      <c r="A18" s="21" t="s">
        <v>14</v>
      </c>
      <c r="B18" s="22">
        <v>22792.880000000001</v>
      </c>
      <c r="C18" s="22">
        <v>13122.35</v>
      </c>
      <c r="D18" s="22">
        <v>1663.62</v>
      </c>
      <c r="E18" s="22">
        <v>40.69</v>
      </c>
      <c r="F18" s="22"/>
      <c r="G18" s="22">
        <v>79401.509999999995</v>
      </c>
      <c r="H18" s="22">
        <v>43873208.409999996</v>
      </c>
      <c r="I18" s="22">
        <v>22792.880000000001</v>
      </c>
      <c r="J18" s="22">
        <v>13122.35</v>
      </c>
      <c r="K18" s="22">
        <v>1663.62</v>
      </c>
      <c r="L18" s="22">
        <v>40.69</v>
      </c>
      <c r="M18" s="26"/>
      <c r="N18" s="22">
        <v>79401.509999999995</v>
      </c>
      <c r="O18" s="23">
        <v>43873208.409999996</v>
      </c>
    </row>
    <row r="19" spans="1:15" x14ac:dyDescent="0.2">
      <c r="A19" s="21" t="s">
        <v>15</v>
      </c>
      <c r="B19" s="22">
        <v>25782.86</v>
      </c>
      <c r="C19" s="22">
        <v>13843.57</v>
      </c>
      <c r="D19" s="22">
        <v>157906.29999999999</v>
      </c>
      <c r="E19" s="22">
        <v>2334.1999999999998</v>
      </c>
      <c r="F19" s="22"/>
      <c r="G19" s="22"/>
      <c r="H19" s="22">
        <v>15316348.93</v>
      </c>
      <c r="I19" s="22">
        <v>25782.86</v>
      </c>
      <c r="J19" s="22">
        <v>13843.57</v>
      </c>
      <c r="K19" s="22">
        <v>157906.29999999999</v>
      </c>
      <c r="L19" s="22">
        <v>2334.1999999999998</v>
      </c>
      <c r="M19" s="26"/>
      <c r="N19" s="22"/>
      <c r="O19" s="23">
        <v>15316348.93</v>
      </c>
    </row>
    <row r="20" spans="1:15" x14ac:dyDescent="0.2">
      <c r="A20" s="21" t="s">
        <v>16</v>
      </c>
      <c r="B20" s="22">
        <v>4196994.87</v>
      </c>
      <c r="C20" s="22">
        <v>71022.570000000007</v>
      </c>
      <c r="D20" s="22">
        <v>6515999.1100000003</v>
      </c>
      <c r="E20" s="22">
        <v>279267.61</v>
      </c>
      <c r="F20" s="22"/>
      <c r="G20" s="22">
        <v>473222.44</v>
      </c>
      <c r="H20" s="22">
        <v>1530403921.22</v>
      </c>
      <c r="I20" s="22">
        <v>4196994.87</v>
      </c>
      <c r="J20" s="22">
        <v>71022.570000000007</v>
      </c>
      <c r="K20" s="22">
        <v>6515999.1100000003</v>
      </c>
      <c r="L20" s="22">
        <v>279267.61</v>
      </c>
      <c r="M20" s="26"/>
      <c r="N20" s="22">
        <v>473222.44</v>
      </c>
      <c r="O20" s="23">
        <v>1530403921.22</v>
      </c>
    </row>
    <row r="21" spans="1:15" x14ac:dyDescent="0.2">
      <c r="A21" s="21" t="s">
        <v>17</v>
      </c>
      <c r="B21" s="22">
        <v>124559.01</v>
      </c>
      <c r="C21" s="22">
        <v>46588.160000000003</v>
      </c>
      <c r="D21" s="22">
        <v>420100.93</v>
      </c>
      <c r="E21" s="22">
        <v>69560.5</v>
      </c>
      <c r="F21" s="22"/>
      <c r="G21" s="22">
        <v>94122.42</v>
      </c>
      <c r="H21" s="22">
        <v>345147877.00999999</v>
      </c>
      <c r="I21" s="22">
        <v>124559.01</v>
      </c>
      <c r="J21" s="22">
        <v>46588.160000000003</v>
      </c>
      <c r="K21" s="22">
        <v>420100.93</v>
      </c>
      <c r="L21" s="22">
        <v>69560.5</v>
      </c>
      <c r="M21" s="26"/>
      <c r="N21" s="22">
        <v>94122.42</v>
      </c>
      <c r="O21" s="23">
        <v>345147877.00999999</v>
      </c>
    </row>
    <row r="22" spans="1:15" x14ac:dyDescent="0.2">
      <c r="A22" s="21" t="s">
        <v>18</v>
      </c>
      <c r="B22" s="22"/>
      <c r="C22" s="22">
        <v>637.58000000000004</v>
      </c>
      <c r="D22" s="22">
        <v>165817.69</v>
      </c>
      <c r="E22" s="22">
        <v>10861.62</v>
      </c>
      <c r="F22" s="22">
        <v>33299.35</v>
      </c>
      <c r="G22" s="22">
        <v>9313.16</v>
      </c>
      <c r="H22" s="22">
        <v>203588371.08000001</v>
      </c>
      <c r="I22" s="22"/>
      <c r="J22" s="22">
        <v>637.58000000000004</v>
      </c>
      <c r="K22" s="22">
        <v>165817.69</v>
      </c>
      <c r="L22" s="22">
        <v>10861.62</v>
      </c>
      <c r="M22" s="26">
        <v>33299.35</v>
      </c>
      <c r="N22" s="22">
        <v>9313.16</v>
      </c>
      <c r="O22" s="23">
        <v>203588371.08000001</v>
      </c>
    </row>
    <row r="23" spans="1:15" x14ac:dyDescent="0.2">
      <c r="A23" s="21" t="s">
        <v>19</v>
      </c>
      <c r="B23" s="22">
        <v>4461.42</v>
      </c>
      <c r="C23" s="22">
        <v>46795.32</v>
      </c>
      <c r="D23" s="22">
        <v>9.99</v>
      </c>
      <c r="E23" s="22"/>
      <c r="F23" s="22">
        <v>50913.67</v>
      </c>
      <c r="G23" s="22"/>
      <c r="H23" s="22">
        <v>29649438.34</v>
      </c>
      <c r="I23" s="22">
        <v>4461.42</v>
      </c>
      <c r="J23" s="22">
        <v>46795.32</v>
      </c>
      <c r="K23" s="22">
        <v>9.99</v>
      </c>
      <c r="L23" s="22"/>
      <c r="M23" s="26">
        <v>50913.67</v>
      </c>
      <c r="N23" s="22"/>
      <c r="O23" s="23">
        <v>29649438.34</v>
      </c>
    </row>
    <row r="24" spans="1:15" x14ac:dyDescent="0.2">
      <c r="A24" s="21" t="s">
        <v>20</v>
      </c>
      <c r="B24" s="22">
        <v>104488.38</v>
      </c>
      <c r="C24" s="22">
        <v>18498.93</v>
      </c>
      <c r="D24" s="22">
        <v>110494.57</v>
      </c>
      <c r="E24" s="22">
        <v>8371.89</v>
      </c>
      <c r="F24" s="22"/>
      <c r="G24" s="22">
        <v>52268.86</v>
      </c>
      <c r="H24" s="22">
        <v>28149656.850000001</v>
      </c>
      <c r="I24" s="22">
        <v>104488.38</v>
      </c>
      <c r="J24" s="22">
        <v>18498.93</v>
      </c>
      <c r="K24" s="22">
        <v>110494.57</v>
      </c>
      <c r="L24" s="22">
        <v>8371.89</v>
      </c>
      <c r="M24" s="26"/>
      <c r="N24" s="22">
        <v>52268.86</v>
      </c>
      <c r="O24" s="23">
        <v>28149656.850000001</v>
      </c>
    </row>
    <row r="25" spans="1:15" x14ac:dyDescent="0.2">
      <c r="A25" s="21" t="s">
        <v>21</v>
      </c>
      <c r="B25" s="22">
        <v>79094</v>
      </c>
      <c r="C25" s="22">
        <v>8876</v>
      </c>
      <c r="D25" s="22"/>
      <c r="E25" s="22">
        <v>1509</v>
      </c>
      <c r="F25" s="22"/>
      <c r="G25" s="22"/>
      <c r="H25" s="22">
        <v>17993085</v>
      </c>
      <c r="I25" s="22">
        <v>79094</v>
      </c>
      <c r="J25" s="22">
        <v>8876</v>
      </c>
      <c r="K25" s="22"/>
      <c r="L25" s="22">
        <v>1509</v>
      </c>
      <c r="M25" s="26"/>
      <c r="N25" s="22"/>
      <c r="O25" s="23">
        <v>17993085</v>
      </c>
    </row>
    <row r="26" spans="1:15" x14ac:dyDescent="0.2">
      <c r="A26" s="21" t="s">
        <v>22</v>
      </c>
      <c r="B26" s="22">
        <v>29583.41</v>
      </c>
      <c r="C26" s="22">
        <v>59670.46</v>
      </c>
      <c r="D26" s="22">
        <v>14076.83</v>
      </c>
      <c r="E26" s="22">
        <v>5577.04</v>
      </c>
      <c r="F26" s="22">
        <v>22577.040000000001</v>
      </c>
      <c r="G26" s="22"/>
      <c r="H26" s="22">
        <v>15621703.4</v>
      </c>
      <c r="I26" s="22">
        <v>29583.41</v>
      </c>
      <c r="J26" s="22">
        <v>59670.46</v>
      </c>
      <c r="K26" s="22">
        <v>14076.83</v>
      </c>
      <c r="L26" s="22">
        <v>5577.04</v>
      </c>
      <c r="M26" s="26">
        <v>22577.040000000001</v>
      </c>
      <c r="N26" s="22"/>
      <c r="O26" s="23">
        <v>15621703.4</v>
      </c>
    </row>
    <row r="27" spans="1:15" x14ac:dyDescent="0.2">
      <c r="A27" s="21" t="s">
        <v>23</v>
      </c>
      <c r="B27" s="22">
        <v>1628.46</v>
      </c>
      <c r="C27" s="22">
        <v>5910.8</v>
      </c>
      <c r="D27" s="22">
        <v>13725.9</v>
      </c>
      <c r="E27" s="22">
        <v>90182.94</v>
      </c>
      <c r="F27" s="22"/>
      <c r="G27" s="22">
        <v>58498.22</v>
      </c>
      <c r="H27" s="22">
        <v>31234689.190000001</v>
      </c>
      <c r="I27" s="22">
        <v>1628.46</v>
      </c>
      <c r="J27" s="22">
        <v>5910.8</v>
      </c>
      <c r="K27" s="22">
        <v>13725.9</v>
      </c>
      <c r="L27" s="22">
        <v>90182.94</v>
      </c>
      <c r="M27" s="26"/>
      <c r="N27" s="22">
        <v>58498.22</v>
      </c>
      <c r="O27" s="23">
        <v>31234689.190000001</v>
      </c>
    </row>
    <row r="28" spans="1:15" x14ac:dyDescent="0.2">
      <c r="A28" s="21" t="s">
        <v>24</v>
      </c>
      <c r="B28" s="22"/>
      <c r="C28" s="22">
        <v>7054</v>
      </c>
      <c r="D28" s="22">
        <v>136</v>
      </c>
      <c r="E28" s="22">
        <v>652</v>
      </c>
      <c r="F28" s="22">
        <v>25116</v>
      </c>
      <c r="G28" s="22"/>
      <c r="H28" s="22">
        <v>17648449</v>
      </c>
      <c r="I28" s="22"/>
      <c r="J28" s="22">
        <v>7054</v>
      </c>
      <c r="K28" s="22">
        <v>136</v>
      </c>
      <c r="L28" s="22">
        <v>652</v>
      </c>
      <c r="M28" s="26">
        <v>25116</v>
      </c>
      <c r="N28" s="22"/>
      <c r="O28" s="23">
        <v>17648449</v>
      </c>
    </row>
    <row r="29" spans="1:15" x14ac:dyDescent="0.2">
      <c r="A29" s="21" t="s">
        <v>25</v>
      </c>
      <c r="B29" s="22">
        <v>17446</v>
      </c>
      <c r="C29" s="22">
        <v>4716</v>
      </c>
      <c r="D29" s="22">
        <v>37915</v>
      </c>
      <c r="E29" s="22">
        <v>77</v>
      </c>
      <c r="F29" s="22">
        <v>54616</v>
      </c>
      <c r="G29" s="22">
        <v>25</v>
      </c>
      <c r="H29" s="22">
        <v>33088180</v>
      </c>
      <c r="I29" s="22">
        <v>17446</v>
      </c>
      <c r="J29" s="22">
        <v>4716</v>
      </c>
      <c r="K29" s="22">
        <v>37915</v>
      </c>
      <c r="L29" s="22">
        <v>77</v>
      </c>
      <c r="M29" s="26">
        <v>54616</v>
      </c>
      <c r="N29" s="22">
        <v>25</v>
      </c>
      <c r="O29" s="23">
        <v>33088180</v>
      </c>
    </row>
    <row r="30" spans="1:15" x14ac:dyDescent="0.2">
      <c r="A30" s="21" t="s">
        <v>26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6"/>
      <c r="N30" s="22"/>
      <c r="O30" s="23"/>
    </row>
    <row r="31" spans="1:15" x14ac:dyDescent="0.2">
      <c r="A31" s="21" t="s">
        <v>27</v>
      </c>
      <c r="B31" s="22">
        <v>37199.51</v>
      </c>
      <c r="C31" s="22">
        <v>8562.58</v>
      </c>
      <c r="D31" s="22">
        <v>148230.72</v>
      </c>
      <c r="E31" s="22">
        <v>10090.219999999999</v>
      </c>
      <c r="F31" s="22"/>
      <c r="G31" s="22">
        <v>0.84</v>
      </c>
      <c r="H31" s="22">
        <v>80882792.879999995</v>
      </c>
      <c r="I31" s="22">
        <v>37199.51</v>
      </c>
      <c r="J31" s="22">
        <v>8562.58</v>
      </c>
      <c r="K31" s="22">
        <v>148230.72</v>
      </c>
      <c r="L31" s="22">
        <v>10090.219999999999</v>
      </c>
      <c r="M31" s="26"/>
      <c r="N31" s="22">
        <v>0.84</v>
      </c>
      <c r="O31" s="23">
        <v>80882792.879999995</v>
      </c>
    </row>
    <row r="32" spans="1:15" x14ac:dyDescent="0.2">
      <c r="A32" s="21" t="s">
        <v>28</v>
      </c>
      <c r="B32" s="22"/>
      <c r="C32" s="22">
        <v>2992181.72</v>
      </c>
      <c r="D32" s="22"/>
      <c r="E32" s="22"/>
      <c r="F32" s="22"/>
      <c r="G32" s="22">
        <v>488592.14</v>
      </c>
      <c r="H32" s="22">
        <v>112673776.89</v>
      </c>
      <c r="I32" s="22"/>
      <c r="J32" s="22">
        <v>2992181.72</v>
      </c>
      <c r="K32" s="22"/>
      <c r="L32" s="22"/>
      <c r="M32" s="26"/>
      <c r="N32" s="22">
        <v>488592.14</v>
      </c>
      <c r="O32" s="23">
        <v>112673776.89</v>
      </c>
    </row>
    <row r="33" spans="1:15" x14ac:dyDescent="0.2">
      <c r="A33" s="21" t="s">
        <v>29</v>
      </c>
      <c r="B33" s="22"/>
      <c r="C33" s="22">
        <v>48436.27</v>
      </c>
      <c r="D33" s="22">
        <v>6196785.6100000003</v>
      </c>
      <c r="E33" s="22">
        <v>286147.65000000002</v>
      </c>
      <c r="F33" s="22"/>
      <c r="G33" s="22">
        <v>1709199.18</v>
      </c>
      <c r="H33" s="22">
        <v>2684477394.5300002</v>
      </c>
      <c r="I33" s="22"/>
      <c r="J33" s="22">
        <v>48436.27</v>
      </c>
      <c r="K33" s="22">
        <v>6196785.6100000003</v>
      </c>
      <c r="L33" s="22">
        <v>286147.65000000002</v>
      </c>
      <c r="M33" s="26"/>
      <c r="N33" s="22">
        <v>1709199.18</v>
      </c>
      <c r="O33" s="23">
        <v>2684477394.5300002</v>
      </c>
    </row>
    <row r="34" spans="1:15" x14ac:dyDescent="0.2">
      <c r="A34" s="21" t="s">
        <v>30</v>
      </c>
      <c r="B34" s="22">
        <v>8412.9699999999993</v>
      </c>
      <c r="C34" s="22">
        <v>13038.27</v>
      </c>
      <c r="D34" s="22">
        <v>9157.7099999999991</v>
      </c>
      <c r="E34" s="22"/>
      <c r="F34" s="22"/>
      <c r="G34" s="22">
        <v>23985.360000000001</v>
      </c>
      <c r="H34" s="22">
        <v>8031222.46</v>
      </c>
      <c r="I34" s="22">
        <v>8412.9699999999993</v>
      </c>
      <c r="J34" s="22">
        <v>13038.27</v>
      </c>
      <c r="K34" s="22">
        <v>9157.7099999999991</v>
      </c>
      <c r="L34" s="22"/>
      <c r="M34" s="26"/>
      <c r="N34" s="22">
        <v>23985.360000000001</v>
      </c>
      <c r="O34" s="23">
        <v>8031222.46</v>
      </c>
    </row>
    <row r="35" spans="1:15" x14ac:dyDescent="0.2">
      <c r="A35" s="21" t="s">
        <v>31</v>
      </c>
      <c r="B35" s="22"/>
      <c r="C35" s="22">
        <v>5259.19</v>
      </c>
      <c r="D35" s="22">
        <v>225673.17</v>
      </c>
      <c r="E35" s="22"/>
      <c r="F35" s="22"/>
      <c r="G35" s="22">
        <v>24171.39</v>
      </c>
      <c r="H35" s="22">
        <v>332726597.81</v>
      </c>
      <c r="I35" s="22"/>
      <c r="J35" s="22">
        <v>5259.19</v>
      </c>
      <c r="K35" s="22">
        <v>225673.17</v>
      </c>
      <c r="L35" s="22"/>
      <c r="M35" s="26"/>
      <c r="N35" s="22">
        <v>24171.39</v>
      </c>
      <c r="O35" s="23">
        <v>332726597.81</v>
      </c>
    </row>
    <row r="36" spans="1:15" x14ac:dyDescent="0.2">
      <c r="A36" s="21" t="s">
        <v>32</v>
      </c>
      <c r="B36" s="22">
        <v>3080.57</v>
      </c>
      <c r="C36" s="22">
        <v>44712.42</v>
      </c>
      <c r="D36" s="22">
        <v>41427.96</v>
      </c>
      <c r="E36" s="22">
        <v>8613.93</v>
      </c>
      <c r="F36" s="22">
        <v>50534.05</v>
      </c>
      <c r="G36" s="22"/>
      <c r="H36" s="22">
        <v>24877106.510000002</v>
      </c>
      <c r="I36" s="22">
        <v>3080.57</v>
      </c>
      <c r="J36" s="22">
        <v>44712.42</v>
      </c>
      <c r="K36" s="22">
        <v>41427.96</v>
      </c>
      <c r="L36" s="22">
        <v>8613.93</v>
      </c>
      <c r="M36" s="26">
        <v>50534.05</v>
      </c>
      <c r="N36" s="22"/>
      <c r="O36" s="23">
        <v>24877106.510000002</v>
      </c>
    </row>
    <row r="37" spans="1:15" x14ac:dyDescent="0.2">
      <c r="A37" s="21" t="s">
        <v>33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6"/>
      <c r="N37" s="22"/>
      <c r="O37" s="23"/>
    </row>
    <row r="38" spans="1:15" x14ac:dyDescent="0.2">
      <c r="A38" s="21" t="s">
        <v>34</v>
      </c>
      <c r="B38" s="24"/>
      <c r="C38" s="25"/>
      <c r="D38" s="66"/>
      <c r="E38" s="22"/>
      <c r="F38" s="22"/>
      <c r="G38" s="22"/>
      <c r="H38" s="22"/>
      <c r="I38" s="22"/>
      <c r="J38" s="22"/>
      <c r="K38" s="22"/>
      <c r="L38" s="22"/>
      <c r="M38" s="26"/>
      <c r="N38" s="22"/>
      <c r="O38" s="23"/>
    </row>
    <row r="39" spans="1:15" x14ac:dyDescent="0.2">
      <c r="A39" s="21" t="s">
        <v>35</v>
      </c>
      <c r="B39" s="22"/>
      <c r="C39" s="22">
        <v>16370.05</v>
      </c>
      <c r="D39" s="22">
        <v>393530.32</v>
      </c>
      <c r="E39" s="22">
        <v>21210.17</v>
      </c>
      <c r="F39" s="22"/>
      <c r="G39" s="22">
        <v>194866.47</v>
      </c>
      <c r="H39" s="22">
        <v>502089885.70999998</v>
      </c>
      <c r="I39" s="22"/>
      <c r="J39" s="22">
        <v>16370.05</v>
      </c>
      <c r="K39" s="22">
        <v>393530.32</v>
      </c>
      <c r="L39" s="22">
        <v>21210.17</v>
      </c>
      <c r="M39" s="26"/>
      <c r="N39" s="22">
        <v>194866.47</v>
      </c>
      <c r="O39" s="23">
        <v>502089885.70999998</v>
      </c>
    </row>
    <row r="40" spans="1:15" x14ac:dyDescent="0.2">
      <c r="A40" s="21" t="s">
        <v>36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6"/>
      <c r="N40" s="22"/>
      <c r="O40" s="23"/>
    </row>
    <row r="41" spans="1:15" x14ac:dyDescent="0.2">
      <c r="A41" s="21" t="s">
        <v>37</v>
      </c>
      <c r="B41" s="22">
        <v>380811.91</v>
      </c>
      <c r="C41" s="22">
        <v>95750.66</v>
      </c>
      <c r="D41" s="22">
        <v>1304671.8600000001</v>
      </c>
      <c r="E41" s="22">
        <v>171978.88</v>
      </c>
      <c r="F41" s="22">
        <v>391410.84</v>
      </c>
      <c r="G41" s="22"/>
      <c r="H41" s="22">
        <v>371725960.44</v>
      </c>
      <c r="I41" s="22">
        <v>380811.91</v>
      </c>
      <c r="J41" s="22">
        <v>95750.66</v>
      </c>
      <c r="K41" s="22">
        <v>1304671.8600000001</v>
      </c>
      <c r="L41" s="22">
        <v>171978.88</v>
      </c>
      <c r="M41" s="26">
        <v>391410.84</v>
      </c>
      <c r="N41" s="22"/>
      <c r="O41" s="23">
        <v>371725960.44</v>
      </c>
    </row>
    <row r="42" spans="1:15" x14ac:dyDescent="0.2">
      <c r="A42" s="21" t="s">
        <v>38</v>
      </c>
      <c r="B42" s="22">
        <v>16791.849999999999</v>
      </c>
      <c r="C42" s="22">
        <v>29606.15</v>
      </c>
      <c r="D42" s="22">
        <v>42383.56</v>
      </c>
      <c r="E42" s="22">
        <v>66253.05</v>
      </c>
      <c r="F42" s="22">
        <v>86410.98</v>
      </c>
      <c r="G42" s="22"/>
      <c r="H42" s="22">
        <v>39842937.740000002</v>
      </c>
      <c r="I42" s="22">
        <v>16791.849999999999</v>
      </c>
      <c r="J42" s="22">
        <v>29606.15</v>
      </c>
      <c r="K42" s="22">
        <v>42383.56</v>
      </c>
      <c r="L42" s="22">
        <v>66253.05</v>
      </c>
      <c r="M42" s="26">
        <v>86410.98</v>
      </c>
      <c r="N42" s="22"/>
      <c r="O42" s="23">
        <v>39842937.740000002</v>
      </c>
    </row>
    <row r="43" spans="1:15" x14ac:dyDescent="0.2">
      <c r="A43" s="21" t="s">
        <v>39</v>
      </c>
      <c r="B43" s="22">
        <v>560.9</v>
      </c>
      <c r="C43" s="22">
        <v>562.84</v>
      </c>
      <c r="D43" s="22"/>
      <c r="E43" s="22"/>
      <c r="F43" s="22"/>
      <c r="G43" s="22">
        <v>10060.18</v>
      </c>
      <c r="H43" s="22">
        <v>5056137.47</v>
      </c>
      <c r="I43" s="22">
        <v>560.9</v>
      </c>
      <c r="J43" s="22">
        <v>562.84</v>
      </c>
      <c r="K43" s="22"/>
      <c r="L43" s="22"/>
      <c r="M43" s="26"/>
      <c r="N43" s="22">
        <v>10060.18</v>
      </c>
      <c r="O43" s="23">
        <v>5056137.47</v>
      </c>
    </row>
    <row r="44" spans="1:15" x14ac:dyDescent="0.2">
      <c r="A44" s="21" t="s">
        <v>40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6"/>
      <c r="N44" s="22"/>
      <c r="O44" s="23"/>
    </row>
    <row r="45" spans="1:15" x14ac:dyDescent="0.2">
      <c r="A45" s="21" t="s">
        <v>41</v>
      </c>
      <c r="B45" s="22">
        <v>237827.24</v>
      </c>
      <c r="C45" s="22">
        <v>5392.2</v>
      </c>
      <c r="D45" s="22">
        <v>47043.27</v>
      </c>
      <c r="E45" s="22">
        <v>4926.67</v>
      </c>
      <c r="F45" s="22">
        <v>649.51</v>
      </c>
      <c r="G45" s="22">
        <v>23661.94</v>
      </c>
      <c r="H45" s="22">
        <v>855345223.94000006</v>
      </c>
      <c r="I45" s="22">
        <v>237827.24</v>
      </c>
      <c r="J45" s="22">
        <v>5392.2</v>
      </c>
      <c r="K45" s="22">
        <v>47043.27</v>
      </c>
      <c r="L45" s="22">
        <v>4926.67</v>
      </c>
      <c r="M45" s="26">
        <v>649.51</v>
      </c>
      <c r="N45" s="22">
        <v>23661.94</v>
      </c>
      <c r="O45" s="23">
        <v>855345223.94000006</v>
      </c>
    </row>
    <row r="46" spans="1:15" x14ac:dyDescent="0.2">
      <c r="A46" s="21" t="s">
        <v>42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6"/>
      <c r="N46" s="22"/>
      <c r="O46" s="23"/>
    </row>
    <row r="47" spans="1:15" x14ac:dyDescent="0.2">
      <c r="A47" s="21" t="s">
        <v>43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6"/>
      <c r="N47" s="22"/>
      <c r="O47" s="23"/>
    </row>
    <row r="48" spans="1:15" x14ac:dyDescent="0.2">
      <c r="A48" s="21" t="s">
        <v>44</v>
      </c>
      <c r="B48" s="22">
        <v>41510.660000000003</v>
      </c>
      <c r="C48" s="22">
        <v>1270.8399999999999</v>
      </c>
      <c r="D48" s="22">
        <v>863858.4</v>
      </c>
      <c r="E48" s="22">
        <v>19978.8</v>
      </c>
      <c r="F48" s="22"/>
      <c r="G48" s="22">
        <v>13688.21</v>
      </c>
      <c r="H48" s="22">
        <v>324237929.70999998</v>
      </c>
      <c r="I48" s="22">
        <v>41510.660000000003</v>
      </c>
      <c r="J48" s="22">
        <v>1270.8399999999999</v>
      </c>
      <c r="K48" s="22">
        <v>863858.4</v>
      </c>
      <c r="L48" s="22">
        <v>19978.8</v>
      </c>
      <c r="M48" s="26"/>
      <c r="N48" s="22">
        <v>13688.21</v>
      </c>
      <c r="O48" s="23">
        <v>324237929.70999998</v>
      </c>
    </row>
    <row r="49" spans="1:15" x14ac:dyDescent="0.2">
      <c r="A49" s="21" t="s">
        <v>45</v>
      </c>
      <c r="B49" s="22"/>
      <c r="C49" s="22">
        <v>4968.09</v>
      </c>
      <c r="D49" s="22">
        <v>680392.99</v>
      </c>
      <c r="E49" s="22">
        <v>4613.33</v>
      </c>
      <c r="F49" s="22"/>
      <c r="G49" s="22">
        <v>36566.769999999997</v>
      </c>
      <c r="H49" s="22">
        <v>200813358.38999999</v>
      </c>
      <c r="I49" s="22"/>
      <c r="J49" s="22">
        <v>4968.09</v>
      </c>
      <c r="K49" s="22">
        <v>680392.99</v>
      </c>
      <c r="L49" s="22">
        <v>4613.33</v>
      </c>
      <c r="M49" s="26"/>
      <c r="N49" s="22">
        <v>36566.769999999997</v>
      </c>
      <c r="O49" s="23">
        <v>200813358.38999999</v>
      </c>
    </row>
    <row r="50" spans="1:15" x14ac:dyDescent="0.2">
      <c r="A50" s="21" t="s">
        <v>46</v>
      </c>
      <c r="B50" s="22">
        <v>90075.46</v>
      </c>
      <c r="C50" s="22">
        <v>4658.5</v>
      </c>
      <c r="D50" s="22">
        <v>94057.84</v>
      </c>
      <c r="E50" s="22">
        <v>67493.289999999994</v>
      </c>
      <c r="F50" s="22"/>
      <c r="G50" s="22">
        <v>14082.3</v>
      </c>
      <c r="H50" s="22">
        <v>284881769.57999998</v>
      </c>
      <c r="I50" s="22">
        <v>90075.46</v>
      </c>
      <c r="J50" s="22">
        <v>4658.5</v>
      </c>
      <c r="K50" s="22">
        <v>94057.84</v>
      </c>
      <c r="L50" s="22">
        <v>67493.289999999994</v>
      </c>
      <c r="M50" s="26"/>
      <c r="N50" s="22">
        <v>14082.3</v>
      </c>
      <c r="O50" s="23">
        <v>284881769.57999998</v>
      </c>
    </row>
    <row r="51" spans="1:15" x14ac:dyDescent="0.2">
      <c r="A51" s="21" t="s">
        <v>47</v>
      </c>
      <c r="B51" s="22">
        <v>44549</v>
      </c>
      <c r="C51" s="22">
        <v>32238</v>
      </c>
      <c r="D51" s="22">
        <v>156444</v>
      </c>
      <c r="E51" s="22">
        <v>6908</v>
      </c>
      <c r="F51" s="22">
        <v>121306</v>
      </c>
      <c r="G51" s="22"/>
      <c r="H51" s="22">
        <v>60024750</v>
      </c>
      <c r="I51" s="22">
        <v>44549</v>
      </c>
      <c r="J51" s="22">
        <v>32238</v>
      </c>
      <c r="K51" s="22">
        <v>156444</v>
      </c>
      <c r="L51" s="22">
        <v>6908</v>
      </c>
      <c r="M51" s="26">
        <v>121306</v>
      </c>
      <c r="N51" s="22"/>
      <c r="O51" s="23">
        <v>60024750</v>
      </c>
    </row>
    <row r="52" spans="1:15" ht="16.5" x14ac:dyDescent="0.2">
      <c r="A52" s="21" t="s">
        <v>108</v>
      </c>
      <c r="B52" s="22">
        <v>2441703</v>
      </c>
      <c r="C52" s="22">
        <v>46986</v>
      </c>
      <c r="D52" s="22">
        <v>5716760</v>
      </c>
      <c r="E52" s="22">
        <v>62731248</v>
      </c>
      <c r="F52" s="22"/>
      <c r="G52" s="22"/>
      <c r="H52" s="22">
        <v>2892028664</v>
      </c>
      <c r="I52" s="22">
        <v>2441703</v>
      </c>
      <c r="J52" s="22">
        <v>46986</v>
      </c>
      <c r="K52" s="22">
        <v>5716760</v>
      </c>
      <c r="L52" s="22">
        <v>62731248</v>
      </c>
      <c r="M52" s="26"/>
      <c r="N52" s="22"/>
      <c r="O52" s="23">
        <v>2892028664</v>
      </c>
    </row>
    <row r="53" spans="1:15" ht="16.5" x14ac:dyDescent="0.2">
      <c r="A53" s="21" t="s">
        <v>109</v>
      </c>
      <c r="B53" s="22">
        <v>464089.72</v>
      </c>
      <c r="C53" s="22">
        <v>56276.6</v>
      </c>
      <c r="D53" s="22">
        <v>-32482073</v>
      </c>
      <c r="E53" s="22">
        <v>31227.26</v>
      </c>
      <c r="F53" s="22"/>
      <c r="G53" s="22">
        <v>48795.23</v>
      </c>
      <c r="H53" s="22">
        <v>631208214.88</v>
      </c>
      <c r="I53" s="22">
        <v>464089.72</v>
      </c>
      <c r="J53" s="22">
        <v>56276.6</v>
      </c>
      <c r="K53" s="22">
        <v>-32482073</v>
      </c>
      <c r="L53" s="22">
        <v>31227.26</v>
      </c>
      <c r="M53" s="26"/>
      <c r="N53" s="22">
        <v>48795.23</v>
      </c>
      <c r="O53" s="23">
        <v>631208214.88</v>
      </c>
    </row>
    <row r="54" spans="1:15" x14ac:dyDescent="0.2">
      <c r="A54" s="21" t="s">
        <v>48</v>
      </c>
      <c r="B54" s="22">
        <v>1703088.43</v>
      </c>
      <c r="C54" s="22">
        <v>1665059.66</v>
      </c>
      <c r="D54" s="22">
        <v>43165.43</v>
      </c>
      <c r="E54" s="22">
        <v>473395.94</v>
      </c>
      <c r="F54" s="22"/>
      <c r="G54" s="22"/>
      <c r="H54" s="22">
        <v>4241099220.7199998</v>
      </c>
      <c r="I54" s="22">
        <v>1703088.43</v>
      </c>
      <c r="J54" s="22">
        <v>1665059.66</v>
      </c>
      <c r="K54" s="22">
        <v>43165.43</v>
      </c>
      <c r="L54" s="22">
        <v>473395.94</v>
      </c>
      <c r="M54" s="26"/>
      <c r="N54" s="22"/>
      <c r="O54" s="23">
        <v>4241099220.7199998</v>
      </c>
    </row>
    <row r="55" spans="1:15" x14ac:dyDescent="0.2">
      <c r="A55" s="21" t="s">
        <v>49</v>
      </c>
      <c r="B55" s="22">
        <v>410124.63</v>
      </c>
      <c r="C55" s="22">
        <v>272293.45</v>
      </c>
      <c r="D55" s="22">
        <v>659404.64</v>
      </c>
      <c r="E55" s="22">
        <v>8013.76</v>
      </c>
      <c r="F55" s="22"/>
      <c r="G55" s="22">
        <v>96549.75</v>
      </c>
      <c r="H55" s="22">
        <v>754141106.97000003</v>
      </c>
      <c r="I55" s="22">
        <v>410124.63</v>
      </c>
      <c r="J55" s="22">
        <v>272293.45</v>
      </c>
      <c r="K55" s="22">
        <v>659404.64</v>
      </c>
      <c r="L55" s="22">
        <v>8013.76</v>
      </c>
      <c r="M55" s="26"/>
      <c r="N55" s="22">
        <v>96549.75</v>
      </c>
      <c r="O55" s="23">
        <v>754141106.97000003</v>
      </c>
    </row>
    <row r="56" spans="1:15" x14ac:dyDescent="0.2">
      <c r="A56" s="21" t="s">
        <v>50</v>
      </c>
      <c r="B56" s="22">
        <v>834495.41</v>
      </c>
      <c r="C56" s="22">
        <v>20441.009999999998</v>
      </c>
      <c r="D56" s="22">
        <v>2458021.5</v>
      </c>
      <c r="E56" s="22">
        <v>176290.23</v>
      </c>
      <c r="F56" s="22"/>
      <c r="G56" s="22">
        <v>90754.26</v>
      </c>
      <c r="H56" s="22">
        <v>1954739799.79</v>
      </c>
      <c r="I56" s="22">
        <v>834495.41</v>
      </c>
      <c r="J56" s="22">
        <v>20441.009999999998</v>
      </c>
      <c r="K56" s="22">
        <v>2458021.5</v>
      </c>
      <c r="L56" s="22">
        <v>176290.23</v>
      </c>
      <c r="M56" s="26"/>
      <c r="N56" s="22">
        <v>90754.26</v>
      </c>
      <c r="O56" s="23">
        <v>1954739799.79</v>
      </c>
    </row>
    <row r="57" spans="1:15" x14ac:dyDescent="0.2">
      <c r="A57" s="21" t="s">
        <v>51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6"/>
      <c r="N57" s="22"/>
      <c r="O57" s="23"/>
    </row>
    <row r="58" spans="1:15" x14ac:dyDescent="0.2">
      <c r="A58" s="21" t="s">
        <v>52</v>
      </c>
      <c r="B58" s="22">
        <v>34248.339999999997</v>
      </c>
      <c r="C58" s="22">
        <v>362770.48</v>
      </c>
      <c r="D58" s="22"/>
      <c r="E58" s="22">
        <v>83733.11</v>
      </c>
      <c r="F58" s="22"/>
      <c r="G58" s="22">
        <v>1240.25</v>
      </c>
      <c r="H58" s="22">
        <v>87145706.709999993</v>
      </c>
      <c r="I58" s="22">
        <v>34248.339999999997</v>
      </c>
      <c r="J58" s="22">
        <v>362770.48</v>
      </c>
      <c r="K58" s="22"/>
      <c r="L58" s="22">
        <v>83733.11</v>
      </c>
      <c r="M58" s="26"/>
      <c r="N58" s="22">
        <v>1240.25</v>
      </c>
      <c r="O58" s="23">
        <v>87145706.709999993</v>
      </c>
    </row>
    <row r="59" spans="1:15" x14ac:dyDescent="0.2">
      <c r="A59" s="21" t="s">
        <v>53</v>
      </c>
      <c r="B59" s="22">
        <v>351934.01</v>
      </c>
      <c r="C59" s="22">
        <v>193466.5</v>
      </c>
      <c r="D59" s="22">
        <v>780.99</v>
      </c>
      <c r="E59" s="22">
        <v>159807.03</v>
      </c>
      <c r="F59" s="22">
        <v>1154.9000000000001</v>
      </c>
      <c r="G59" s="22">
        <v>891</v>
      </c>
      <c r="H59" s="22">
        <v>590403224.16999996</v>
      </c>
      <c r="I59" s="22">
        <v>351934.01</v>
      </c>
      <c r="J59" s="22">
        <v>193466.5</v>
      </c>
      <c r="K59" s="22">
        <v>780.99</v>
      </c>
      <c r="L59" s="22">
        <v>159807.03</v>
      </c>
      <c r="M59" s="26">
        <v>1154.9000000000001</v>
      </c>
      <c r="N59" s="22">
        <v>891</v>
      </c>
      <c r="O59" s="23">
        <v>590403224.16999996</v>
      </c>
    </row>
    <row r="60" spans="1:15" x14ac:dyDescent="0.2">
      <c r="A60" s="21" t="s">
        <v>54</v>
      </c>
      <c r="B60" s="22">
        <v>225359.79</v>
      </c>
      <c r="C60" s="22">
        <v>15062.82</v>
      </c>
      <c r="D60" s="22">
        <v>3857474.61</v>
      </c>
      <c r="E60" s="22">
        <v>650.79</v>
      </c>
      <c r="F60" s="22"/>
      <c r="G60" s="22">
        <v>543556.42000000004</v>
      </c>
      <c r="H60" s="22">
        <v>703738159.04999995</v>
      </c>
      <c r="I60" s="22">
        <v>225359.79</v>
      </c>
      <c r="J60" s="22">
        <v>15062.82</v>
      </c>
      <c r="K60" s="22">
        <v>3857474.61</v>
      </c>
      <c r="L60" s="22">
        <v>650.79</v>
      </c>
      <c r="M60" s="26"/>
      <c r="N60" s="22">
        <v>543556.42000000004</v>
      </c>
      <c r="O60" s="23">
        <v>703738159.04999995</v>
      </c>
    </row>
    <row r="61" spans="1:15" x14ac:dyDescent="0.2">
      <c r="A61" s="21" t="s">
        <v>55</v>
      </c>
      <c r="B61" s="22">
        <v>39507.370000000003</v>
      </c>
      <c r="C61" s="22">
        <v>34149.1</v>
      </c>
      <c r="D61" s="22">
        <v>259558.72</v>
      </c>
      <c r="E61" s="22">
        <v>335734.41</v>
      </c>
      <c r="F61" s="22"/>
      <c r="G61" s="22">
        <v>8946.1</v>
      </c>
      <c r="H61" s="22">
        <v>177115061.63999999</v>
      </c>
      <c r="I61" s="22">
        <v>39507.370000000003</v>
      </c>
      <c r="J61" s="22">
        <v>34149.1</v>
      </c>
      <c r="K61" s="22">
        <v>259558.72</v>
      </c>
      <c r="L61" s="22">
        <v>335734.41</v>
      </c>
      <c r="M61" s="26"/>
      <c r="N61" s="22">
        <v>8946.1</v>
      </c>
      <c r="O61" s="23">
        <v>177115061.63999999</v>
      </c>
    </row>
    <row r="62" spans="1:15" x14ac:dyDescent="0.2">
      <c r="A62" s="21" t="s">
        <v>56</v>
      </c>
      <c r="B62" s="22"/>
      <c r="C62" s="22">
        <v>68864.509999999995</v>
      </c>
      <c r="D62" s="22"/>
      <c r="E62" s="22">
        <v>1378206.78</v>
      </c>
      <c r="F62" s="22"/>
      <c r="G62" s="22">
        <v>258438.64</v>
      </c>
      <c r="H62" s="22">
        <v>1150639126.3</v>
      </c>
      <c r="I62" s="22"/>
      <c r="J62" s="22">
        <v>68864.509999999995</v>
      </c>
      <c r="K62" s="22"/>
      <c r="L62" s="22">
        <v>1378206.78</v>
      </c>
      <c r="M62" s="26"/>
      <c r="N62" s="22">
        <v>258438.64</v>
      </c>
      <c r="O62" s="23">
        <v>1150639126.3</v>
      </c>
    </row>
    <row r="63" spans="1:15" x14ac:dyDescent="0.2">
      <c r="A63" s="21" t="s">
        <v>57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6"/>
      <c r="N63" s="22"/>
      <c r="O63" s="23"/>
    </row>
    <row r="64" spans="1:15" x14ac:dyDescent="0.2">
      <c r="A64" s="21" t="s">
        <v>58</v>
      </c>
      <c r="B64" s="22"/>
      <c r="C64" s="22">
        <v>20307.61</v>
      </c>
      <c r="D64" s="22">
        <v>89956.25</v>
      </c>
      <c r="E64" s="22">
        <v>1217.7</v>
      </c>
      <c r="F64" s="22"/>
      <c r="G64" s="22">
        <v>21563.79</v>
      </c>
      <c r="H64" s="22">
        <v>194778407.13</v>
      </c>
      <c r="I64" s="22"/>
      <c r="J64" s="22">
        <v>20307.61</v>
      </c>
      <c r="K64" s="22">
        <v>89956.25</v>
      </c>
      <c r="L64" s="22">
        <v>1217.7</v>
      </c>
      <c r="M64" s="26"/>
      <c r="N64" s="22">
        <v>21563.79</v>
      </c>
      <c r="O64" s="23">
        <v>194778407.13</v>
      </c>
    </row>
    <row r="65" spans="1:15" x14ac:dyDescent="0.2">
      <c r="A65" s="21" t="s">
        <v>59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6"/>
      <c r="N65" s="22"/>
      <c r="O65" s="23"/>
    </row>
    <row r="66" spans="1:15" x14ac:dyDescent="0.2">
      <c r="A66" s="21" t="s">
        <v>60</v>
      </c>
      <c r="B66" s="22">
        <v>3959</v>
      </c>
      <c r="C66" s="22">
        <v>24158</v>
      </c>
      <c r="D66" s="22">
        <v>68313</v>
      </c>
      <c r="E66" s="22"/>
      <c r="F66" s="22">
        <v>155</v>
      </c>
      <c r="G66" s="22"/>
      <c r="H66" s="22">
        <v>26761623</v>
      </c>
      <c r="I66" s="22">
        <v>3959</v>
      </c>
      <c r="J66" s="22">
        <v>24158</v>
      </c>
      <c r="K66" s="22">
        <v>68313</v>
      </c>
      <c r="L66" s="22"/>
      <c r="M66" s="26">
        <v>155</v>
      </c>
      <c r="N66" s="22"/>
      <c r="O66" s="23">
        <v>26761623</v>
      </c>
    </row>
    <row r="67" spans="1:15" x14ac:dyDescent="0.2">
      <c r="A67" s="21" t="s">
        <v>61</v>
      </c>
      <c r="B67" s="22"/>
      <c r="C67" s="22">
        <v>2379.66</v>
      </c>
      <c r="D67" s="22">
        <v>4662.38</v>
      </c>
      <c r="E67" s="22"/>
      <c r="F67" s="22"/>
      <c r="G67" s="22">
        <v>13582</v>
      </c>
      <c r="H67" s="22">
        <v>5830902.2400000002</v>
      </c>
      <c r="I67" s="22"/>
      <c r="J67" s="22">
        <v>2379.66</v>
      </c>
      <c r="K67" s="22">
        <v>4662.38</v>
      </c>
      <c r="L67" s="22"/>
      <c r="M67" s="26"/>
      <c r="N67" s="22">
        <v>13582</v>
      </c>
      <c r="O67" s="23">
        <v>5830902.2400000002</v>
      </c>
    </row>
    <row r="68" spans="1:15" x14ac:dyDescent="0.2">
      <c r="A68" s="21" t="s">
        <v>62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6"/>
      <c r="N68" s="22"/>
      <c r="O68" s="23"/>
    </row>
    <row r="69" spans="1:15" x14ac:dyDescent="0.2">
      <c r="A69" s="21" t="s">
        <v>63</v>
      </c>
      <c r="B69" s="22">
        <v>2297.39</v>
      </c>
      <c r="C69" s="22">
        <v>11650.53</v>
      </c>
      <c r="D69" s="22">
        <v>39469.199999999997</v>
      </c>
      <c r="E69" s="22">
        <v>2573.2199999999998</v>
      </c>
      <c r="F69" s="22">
        <v>910.4</v>
      </c>
      <c r="G69" s="22">
        <v>43588.53</v>
      </c>
      <c r="H69" s="22">
        <v>27948273.960000001</v>
      </c>
      <c r="I69" s="22">
        <v>2297.39</v>
      </c>
      <c r="J69" s="22">
        <v>11650.53</v>
      </c>
      <c r="K69" s="22">
        <v>39469.199999999997</v>
      </c>
      <c r="L69" s="22">
        <v>2573.2199999999998</v>
      </c>
      <c r="M69" s="26">
        <v>910.4</v>
      </c>
      <c r="N69" s="22">
        <v>43588.53</v>
      </c>
      <c r="O69" s="23">
        <v>27948273.960000001</v>
      </c>
    </row>
    <row r="70" spans="1:15" x14ac:dyDescent="0.2">
      <c r="A70" s="21" t="s">
        <v>64</v>
      </c>
      <c r="B70" s="22">
        <v>90462.82</v>
      </c>
      <c r="C70" s="22">
        <v>76484.740000000005</v>
      </c>
      <c r="D70" s="22">
        <v>26627.1</v>
      </c>
      <c r="E70" s="22">
        <v>15167.6</v>
      </c>
      <c r="F70" s="22"/>
      <c r="G70" s="22">
        <v>280.67</v>
      </c>
      <c r="H70" s="22">
        <v>261065635.03</v>
      </c>
      <c r="I70" s="22">
        <v>90462.82</v>
      </c>
      <c r="J70" s="22">
        <v>76484.740000000005</v>
      </c>
      <c r="K70" s="22">
        <v>26627.1</v>
      </c>
      <c r="L70" s="22">
        <v>15167.6</v>
      </c>
      <c r="M70" s="26"/>
      <c r="N70" s="22">
        <v>280.67</v>
      </c>
      <c r="O70" s="23">
        <v>261065635.03</v>
      </c>
    </row>
    <row r="71" spans="1:15" x14ac:dyDescent="0.2">
      <c r="A71" s="21" t="s">
        <v>65</v>
      </c>
      <c r="B71" s="22">
        <v>10281</v>
      </c>
      <c r="C71" s="22">
        <v>112200</v>
      </c>
      <c r="D71" s="22">
        <v>3010</v>
      </c>
      <c r="E71" s="22">
        <v>958</v>
      </c>
      <c r="F71" s="22">
        <v>39553</v>
      </c>
      <c r="G71" s="22"/>
      <c r="H71" s="22">
        <v>16491014</v>
      </c>
      <c r="I71" s="22">
        <v>10281</v>
      </c>
      <c r="J71" s="22">
        <v>112200</v>
      </c>
      <c r="K71" s="22">
        <v>3010</v>
      </c>
      <c r="L71" s="22">
        <v>958</v>
      </c>
      <c r="M71" s="26">
        <v>39553</v>
      </c>
      <c r="N71" s="22"/>
      <c r="O71" s="23">
        <v>16491014</v>
      </c>
    </row>
    <row r="72" spans="1:15" x14ac:dyDescent="0.2">
      <c r="A72" s="21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/>
    </row>
    <row r="73" spans="1:15" ht="15.75" thickBot="1" x14ac:dyDescent="0.3">
      <c r="A73" s="27" t="s">
        <v>84</v>
      </c>
      <c r="B73" s="28">
        <f>SUM(B5:B71)</f>
        <v>14149199.51</v>
      </c>
      <c r="C73" s="28">
        <f t="shared" ref="C73:O73" si="0">SUM(C5:C71)</f>
        <v>6901148.620000001</v>
      </c>
      <c r="D73" s="28">
        <f t="shared" si="0"/>
        <v>37326589.38000001</v>
      </c>
      <c r="E73" s="28">
        <f t="shared" si="0"/>
        <v>67337373.229999974</v>
      </c>
      <c r="F73" s="28">
        <f t="shared" si="0"/>
        <v>1307924.9399999997</v>
      </c>
      <c r="G73" s="28">
        <f t="shared" si="0"/>
        <v>4801663.95</v>
      </c>
      <c r="H73" s="28">
        <f t="shared" si="0"/>
        <v>30194041681.369999</v>
      </c>
      <c r="I73" s="28">
        <f t="shared" si="0"/>
        <v>14149199.51</v>
      </c>
      <c r="J73" s="28">
        <f t="shared" si="0"/>
        <v>6901148.620000001</v>
      </c>
      <c r="K73" s="28">
        <f t="shared" si="0"/>
        <v>37326589.38000001</v>
      </c>
      <c r="L73" s="28">
        <f t="shared" si="0"/>
        <v>67337373.229999974</v>
      </c>
      <c r="M73" s="28">
        <f t="shared" si="0"/>
        <v>1307924.9399999997</v>
      </c>
      <c r="N73" s="28">
        <f t="shared" si="0"/>
        <v>4801663.95</v>
      </c>
      <c r="O73" s="29">
        <f t="shared" si="0"/>
        <v>30194041681.369999</v>
      </c>
    </row>
    <row r="75" spans="1:15" ht="16.5" x14ac:dyDescent="0.2">
      <c r="A75" s="10" t="s">
        <v>110</v>
      </c>
    </row>
    <row r="76" spans="1:15" ht="16.5" x14ac:dyDescent="0.2">
      <c r="A76" s="3" t="s">
        <v>111</v>
      </c>
    </row>
    <row r="78" spans="1:15" x14ac:dyDescent="0.2">
      <c r="A78" s="30" t="s">
        <v>116</v>
      </c>
    </row>
  </sheetData>
  <phoneticPr fontId="0" type="noConversion"/>
  <conditionalFormatting sqref="A4:O73">
    <cfRule type="expression" dxfId="0" priority="1" stopIfTrue="1">
      <formula>MOD(ROW(),3)=1</formula>
    </cfRule>
  </conditionalFormatting>
  <pageMargins left="0.25" right="0.25" top="0.75" bottom="0.75" header="0.3" footer="0.3"/>
  <pageSetup scale="88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http://schemas.microsoft.com/sharepoint/v3" xsi:nil="true"/>
    <PublishingExpiration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C75FA9-F810-4BAA-92A0-FBF6055EAEF4}"/>
</file>

<file path=customXml/itemProps2.xml><?xml version="1.0" encoding="utf-8"?>
<ds:datastoreItem xmlns:ds="http://schemas.openxmlformats.org/officeDocument/2006/customXml" ds:itemID="{D410C0D0-1E4C-4C42-A320-2D5D3D1479C6}"/>
</file>

<file path=customXml/itemProps3.xml><?xml version="1.0" encoding="utf-8"?>
<ds:datastoreItem xmlns:ds="http://schemas.openxmlformats.org/officeDocument/2006/customXml" ds:itemID="{041D7BEE-9B8D-4727-B5B3-CF9807EB29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Index</vt:lpstr>
      <vt:lpstr>Millage Rates</vt:lpstr>
      <vt:lpstr>Taxes Levied</vt:lpstr>
      <vt:lpstr>Tax Roll Reconciliation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2013-01-18T16:21:21Z</cp:lastPrinted>
  <dcterms:created xsi:type="dcterms:W3CDTF">2011-01-19T20:48:20Z</dcterms:created>
  <dcterms:modified xsi:type="dcterms:W3CDTF">2022-12-08T20:21:17Z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