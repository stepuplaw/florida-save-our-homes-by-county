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2 Data Book\Final Drafts\"/>
    </mc:Choice>
  </mc:AlternateContent>
  <xr:revisionPtr revIDLastSave="0" documentId="8_{772F8CC2-6548-4320-8035-A2C62B30203D}" xr6:coauthVersionLast="47" xr6:coauthVersionMax="47" xr10:uidLastSave="{00000000-0000-0000-0000-000000000000}"/>
  <bookViews>
    <workbookView xWindow="28680" yWindow="-120" windowWidth="29040" windowHeight="15840" tabRatio="708" xr2:uid="{00000000-000D-0000-FFFF-FFFF00000000}"/>
  </bookViews>
  <sheets>
    <sheet name="Report Index" sheetId="10" r:id="rId1"/>
    <sheet name="Assessed Value All Property" sheetId="9" r:id="rId2"/>
    <sheet name="All Property Assessed Value" sheetId="4" r:id="rId3"/>
    <sheet name="Real Property Assessed Value" sheetId="6" r:id="rId4"/>
    <sheet name="Personal Prop Assessed Value" sheetId="7" r:id="rId5"/>
    <sheet name="Centrally Prop Assessed Value " sheetId="8" r:id="rId6"/>
  </sheets>
  <definedNames>
    <definedName name="_xlnm.Print_Area" localSheetId="2">'All Property Assessed Value'!$A$1:$G$75</definedName>
    <definedName name="_xlnm.Print_Area" localSheetId="1">'Assessed Value All Property'!$A$1:$F$75</definedName>
    <definedName name="_xlnm.Print_Area" localSheetId="5">'Centrally Prop Assessed Value '!$A$1:$G$73</definedName>
    <definedName name="_xlnm.Print_Area" localSheetId="4">'Personal Prop Assessed Value'!$A$1:$G$73</definedName>
    <definedName name="_xlnm.Print_Area" localSheetId="3">'Real Property Assessed Value'!$A$1:$G$73</definedName>
    <definedName name="_xlnm.Print_Area" localSheetId="0">'Report Index'!$A$1:$H$20</definedName>
    <definedName name="_xlnm.Print_Titles" localSheetId="2">'All Property Assessed Value'!$1:$4</definedName>
    <definedName name="_xlnm.Print_Titles" localSheetId="1">'Assessed Value All Property'!$1:$4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7" l="1"/>
  <c r="C21" i="6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5" i="8"/>
  <c r="C73" i="9"/>
  <c r="B5" i="4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71" i="8"/>
  <c r="F70" i="8"/>
  <c r="F68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7" i="8"/>
  <c r="F46" i="8"/>
  <c r="F45" i="8"/>
  <c r="F44" i="8"/>
  <c r="F43" i="8"/>
  <c r="F42" i="8"/>
  <c r="F41" i="8"/>
  <c r="F40" i="8"/>
  <c r="F39" i="8"/>
  <c r="F37" i="8"/>
  <c r="F36" i="8"/>
  <c r="F35" i="8"/>
  <c r="F34" i="8"/>
  <c r="F33" i="8"/>
  <c r="F32" i="8"/>
  <c r="F31" i="8"/>
  <c r="F30" i="8"/>
  <c r="F29" i="8"/>
  <c r="F28" i="8"/>
  <c r="F27" i="8"/>
  <c r="F26" i="8"/>
  <c r="F24" i="8"/>
  <c r="F23" i="8"/>
  <c r="F22" i="8"/>
  <c r="F21" i="8"/>
  <c r="F20" i="8"/>
  <c r="F18" i="8"/>
  <c r="F17" i="8"/>
  <c r="F16" i="8"/>
  <c r="F15" i="8"/>
  <c r="F14" i="8"/>
  <c r="F13" i="8"/>
  <c r="F12" i="8"/>
  <c r="F10" i="8"/>
  <c r="F9" i="8"/>
  <c r="F8" i="8"/>
  <c r="F7" i="8"/>
  <c r="F6" i="8"/>
  <c r="F5" i="8"/>
  <c r="F67" i="4"/>
  <c r="F48" i="4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C71" i="4"/>
  <c r="D71" i="4"/>
  <c r="C70" i="4"/>
  <c r="D70" i="4" s="1"/>
  <c r="C69" i="4"/>
  <c r="D69" i="4" s="1"/>
  <c r="C68" i="4"/>
  <c r="D68" i="4" s="1"/>
  <c r="C67" i="4"/>
  <c r="D67" i="4" s="1"/>
  <c r="C66" i="4"/>
  <c r="D66" i="4" s="1"/>
  <c r="C65" i="4"/>
  <c r="D65" i="4" s="1"/>
  <c r="C64" i="4"/>
  <c r="D64" i="4"/>
  <c r="C63" i="4"/>
  <c r="D63" i="4" s="1"/>
  <c r="C62" i="4"/>
  <c r="D62" i="4"/>
  <c r="C61" i="4"/>
  <c r="D61" i="4" s="1"/>
  <c r="C60" i="4"/>
  <c r="D60" i="4" s="1"/>
  <c r="C59" i="4"/>
  <c r="D59" i="4"/>
  <c r="C58" i="4"/>
  <c r="D58" i="4" s="1"/>
  <c r="C57" i="4"/>
  <c r="D57" i="4" s="1"/>
  <c r="C56" i="4"/>
  <c r="D56" i="4" s="1"/>
  <c r="C55" i="4"/>
  <c r="D55" i="4"/>
  <c r="C54" i="4"/>
  <c r="D54" i="4"/>
  <c r="C53" i="4"/>
  <c r="D53" i="4" s="1"/>
  <c r="C52" i="4"/>
  <c r="D52" i="4" s="1"/>
  <c r="C51" i="4"/>
  <c r="D51" i="4" s="1"/>
  <c r="C50" i="4"/>
  <c r="D50" i="4" s="1"/>
  <c r="C49" i="4"/>
  <c r="D49" i="4" s="1"/>
  <c r="C48" i="4"/>
  <c r="D48" i="4" s="1"/>
  <c r="C47" i="4"/>
  <c r="D47" i="4"/>
  <c r="C46" i="4"/>
  <c r="D46" i="4"/>
  <c r="C45" i="4"/>
  <c r="D45" i="4" s="1"/>
  <c r="C44" i="4"/>
  <c r="D44" i="4"/>
  <c r="C43" i="4"/>
  <c r="D43" i="4" s="1"/>
  <c r="C42" i="4"/>
  <c r="D42" i="4" s="1"/>
  <c r="C41" i="4"/>
  <c r="D41" i="4" s="1"/>
  <c r="C40" i="4"/>
  <c r="D40" i="4" s="1"/>
  <c r="C39" i="4"/>
  <c r="D39" i="4"/>
  <c r="C38" i="4"/>
  <c r="D38" i="4"/>
  <c r="C37" i="4"/>
  <c r="D37" i="4" s="1"/>
  <c r="C36" i="4"/>
  <c r="D36" i="4"/>
  <c r="C35" i="4"/>
  <c r="D35" i="4" s="1"/>
  <c r="C34" i="4"/>
  <c r="D34" i="4"/>
  <c r="C33" i="4"/>
  <c r="D33" i="4" s="1"/>
  <c r="C32" i="4"/>
  <c r="D32" i="4"/>
  <c r="C31" i="4"/>
  <c r="D31" i="4" s="1"/>
  <c r="C30" i="4"/>
  <c r="D30" i="4"/>
  <c r="C29" i="4"/>
  <c r="D29" i="4" s="1"/>
  <c r="C28" i="4"/>
  <c r="D28" i="4" s="1"/>
  <c r="C27" i="4"/>
  <c r="D27" i="4" s="1"/>
  <c r="C26" i="4"/>
  <c r="D26" i="4"/>
  <c r="C25" i="4"/>
  <c r="D25" i="4" s="1"/>
  <c r="C24" i="4"/>
  <c r="D24" i="4"/>
  <c r="C23" i="4"/>
  <c r="D23" i="4" s="1"/>
  <c r="C22" i="4"/>
  <c r="D22" i="4"/>
  <c r="C21" i="4"/>
  <c r="D21" i="4" s="1"/>
  <c r="C20" i="4"/>
  <c r="D20" i="4" s="1"/>
  <c r="C19" i="4"/>
  <c r="D19" i="4" s="1"/>
  <c r="C18" i="4"/>
  <c r="D18" i="4"/>
  <c r="C17" i="4"/>
  <c r="D17" i="4" s="1"/>
  <c r="C16" i="4"/>
  <c r="D16" i="4"/>
  <c r="C15" i="4"/>
  <c r="D15" i="4" s="1"/>
  <c r="C14" i="4"/>
  <c r="D14" i="4"/>
  <c r="C13" i="4"/>
  <c r="D13" i="4" s="1"/>
  <c r="C12" i="4"/>
  <c r="D12" i="4"/>
  <c r="C11" i="4"/>
  <c r="D11" i="4" s="1"/>
  <c r="C10" i="4"/>
  <c r="D10" i="4" s="1"/>
  <c r="C9" i="4"/>
  <c r="D9" i="4" s="1"/>
  <c r="C7" i="4"/>
  <c r="D7" i="4" s="1"/>
  <c r="C6" i="4"/>
  <c r="D6" i="4"/>
  <c r="C5" i="4"/>
  <c r="D5" i="4" s="1"/>
  <c r="C8" i="8"/>
  <c r="D8" i="8" s="1"/>
  <c r="C7" i="8"/>
  <c r="D7" i="8" s="1"/>
  <c r="C6" i="8"/>
  <c r="D6" i="8"/>
  <c r="C5" i="8"/>
  <c r="C71" i="8"/>
  <c r="D71" i="8" s="1"/>
  <c r="C70" i="8"/>
  <c r="D70" i="8" s="1"/>
  <c r="C68" i="8"/>
  <c r="D68" i="8"/>
  <c r="C66" i="8"/>
  <c r="D66" i="8" s="1"/>
  <c r="C65" i="8"/>
  <c r="D65" i="8" s="1"/>
  <c r="C64" i="8"/>
  <c r="D64" i="8" s="1"/>
  <c r="C63" i="8"/>
  <c r="D63" i="8"/>
  <c r="C62" i="8"/>
  <c r="D62" i="8" s="1"/>
  <c r="C61" i="8"/>
  <c r="D61" i="8" s="1"/>
  <c r="C60" i="8"/>
  <c r="D60" i="8" s="1"/>
  <c r="C59" i="8"/>
  <c r="D59" i="8" s="1"/>
  <c r="C58" i="8"/>
  <c r="D58" i="8"/>
  <c r="C57" i="8"/>
  <c r="D57" i="8" s="1"/>
  <c r="C56" i="8"/>
  <c r="D56" i="8" s="1"/>
  <c r="C55" i="8"/>
  <c r="D55" i="8" s="1"/>
  <c r="C54" i="8"/>
  <c r="D54" i="8" s="1"/>
  <c r="C53" i="8"/>
  <c r="D53" i="8" s="1"/>
  <c r="C52" i="8"/>
  <c r="D52" i="8" s="1"/>
  <c r="C51" i="8"/>
  <c r="D51" i="8"/>
  <c r="C50" i="8"/>
  <c r="D50" i="8" s="1"/>
  <c r="C49" i="8"/>
  <c r="D49" i="8" s="1"/>
  <c r="C47" i="8"/>
  <c r="D47" i="8"/>
  <c r="C46" i="8"/>
  <c r="D46" i="8" s="1"/>
  <c r="C45" i="8"/>
  <c r="D45" i="8" s="1"/>
  <c r="C44" i="8"/>
  <c r="D44" i="8" s="1"/>
  <c r="C43" i="8"/>
  <c r="D43" i="8"/>
  <c r="C42" i="8"/>
  <c r="D42" i="8"/>
  <c r="C41" i="8"/>
  <c r="D41" i="8"/>
  <c r="C40" i="8"/>
  <c r="D40" i="8" s="1"/>
  <c r="C39" i="8"/>
  <c r="D39" i="8" s="1"/>
  <c r="C37" i="8"/>
  <c r="D37" i="8" s="1"/>
  <c r="C36" i="8"/>
  <c r="D36" i="8" s="1"/>
  <c r="C35" i="8"/>
  <c r="D35" i="8" s="1"/>
  <c r="C34" i="8"/>
  <c r="D34" i="8"/>
  <c r="C33" i="8"/>
  <c r="D33" i="8" s="1"/>
  <c r="C32" i="8"/>
  <c r="D32" i="8"/>
  <c r="C31" i="8"/>
  <c r="D31" i="8" s="1"/>
  <c r="C30" i="8"/>
  <c r="D30" i="8"/>
  <c r="C29" i="8"/>
  <c r="D29" i="8" s="1"/>
  <c r="C28" i="8"/>
  <c r="D28" i="8" s="1"/>
  <c r="C27" i="8"/>
  <c r="D27" i="8" s="1"/>
  <c r="C26" i="8"/>
  <c r="D26" i="8"/>
  <c r="C24" i="8"/>
  <c r="D24" i="8" s="1"/>
  <c r="C23" i="8"/>
  <c r="D23" i="8"/>
  <c r="C22" i="8"/>
  <c r="D22" i="8" s="1"/>
  <c r="C21" i="8"/>
  <c r="D21" i="8"/>
  <c r="C20" i="8"/>
  <c r="D20" i="8" s="1"/>
  <c r="C18" i="8"/>
  <c r="D18" i="8" s="1"/>
  <c r="C17" i="8"/>
  <c r="D17" i="8" s="1"/>
  <c r="C16" i="8"/>
  <c r="D16" i="8" s="1"/>
  <c r="C15" i="8"/>
  <c r="D15" i="8" s="1"/>
  <c r="C14" i="8"/>
  <c r="D14" i="8"/>
  <c r="C13" i="8"/>
  <c r="D13" i="8" s="1"/>
  <c r="C12" i="8"/>
  <c r="D12" i="8"/>
  <c r="C10" i="8"/>
  <c r="D10" i="8"/>
  <c r="C9" i="8"/>
  <c r="D9" i="8" s="1"/>
  <c r="C71" i="7"/>
  <c r="D71" i="7" s="1"/>
  <c r="C70" i="7"/>
  <c r="D70" i="7"/>
  <c r="C69" i="7"/>
  <c r="D69" i="7" s="1"/>
  <c r="C68" i="7"/>
  <c r="D68" i="7" s="1"/>
  <c r="C67" i="7"/>
  <c r="D67" i="7" s="1"/>
  <c r="C66" i="7"/>
  <c r="D66" i="7" s="1"/>
  <c r="C65" i="7"/>
  <c r="D65" i="7"/>
  <c r="C64" i="7"/>
  <c r="D64" i="7"/>
  <c r="C63" i="7"/>
  <c r="D63" i="7" s="1"/>
  <c r="C62" i="7"/>
  <c r="D62" i="7" s="1"/>
  <c r="C61" i="7"/>
  <c r="D61" i="7"/>
  <c r="C60" i="7"/>
  <c r="D60" i="7" s="1"/>
  <c r="C59" i="7"/>
  <c r="D59" i="7" s="1"/>
  <c r="C58" i="7"/>
  <c r="D58" i="7"/>
  <c r="C57" i="7"/>
  <c r="D57" i="7"/>
  <c r="C56" i="7"/>
  <c r="D56" i="7" s="1"/>
  <c r="C55" i="7"/>
  <c r="D55" i="7" s="1"/>
  <c r="C54" i="7"/>
  <c r="D54" i="7"/>
  <c r="C53" i="7"/>
  <c r="D53" i="7"/>
  <c r="C52" i="7"/>
  <c r="D52" i="7" s="1"/>
  <c r="C51" i="7"/>
  <c r="D51" i="7"/>
  <c r="C50" i="7"/>
  <c r="D50" i="7" s="1"/>
  <c r="C49" i="7"/>
  <c r="D49" i="7" s="1"/>
  <c r="C48" i="7"/>
  <c r="D48" i="7"/>
  <c r="C47" i="7"/>
  <c r="D47" i="7" s="1"/>
  <c r="C46" i="7"/>
  <c r="D46" i="7" s="1"/>
  <c r="C45" i="7"/>
  <c r="D45" i="7" s="1"/>
  <c r="C44" i="7"/>
  <c r="D44" i="7"/>
  <c r="C43" i="7"/>
  <c r="D43" i="7" s="1"/>
  <c r="C42" i="7"/>
  <c r="D42" i="7" s="1"/>
  <c r="C41" i="7"/>
  <c r="D41" i="7"/>
  <c r="C40" i="7"/>
  <c r="D40" i="7"/>
  <c r="C39" i="7"/>
  <c r="D39" i="7" s="1"/>
  <c r="C38" i="7"/>
  <c r="D38" i="7"/>
  <c r="C37" i="7"/>
  <c r="D37" i="7"/>
  <c r="C36" i="7"/>
  <c r="D36" i="7"/>
  <c r="C35" i="7"/>
  <c r="D35" i="7" s="1"/>
  <c r="C34" i="7"/>
  <c r="D34" i="7"/>
  <c r="C33" i="7"/>
  <c r="D33" i="7" s="1"/>
  <c r="C32" i="7"/>
  <c r="D32" i="7" s="1"/>
  <c r="C31" i="7"/>
  <c r="D31" i="7" s="1"/>
  <c r="C30" i="7"/>
  <c r="D30" i="7" s="1"/>
  <c r="C29" i="7"/>
  <c r="D29" i="7" s="1"/>
  <c r="C28" i="7"/>
  <c r="D28" i="7" s="1"/>
  <c r="C27" i="7"/>
  <c r="D27" i="7"/>
  <c r="C26" i="7"/>
  <c r="D26" i="7" s="1"/>
  <c r="C25" i="7"/>
  <c r="D25" i="7"/>
  <c r="C24" i="7"/>
  <c r="D24" i="7" s="1"/>
  <c r="C23" i="7"/>
  <c r="D23" i="7" s="1"/>
  <c r="C22" i="7"/>
  <c r="D22" i="7" s="1"/>
  <c r="D21" i="7"/>
  <c r="C20" i="7"/>
  <c r="D20" i="7"/>
  <c r="C19" i="7"/>
  <c r="D19" i="7"/>
  <c r="C18" i="7"/>
  <c r="D18" i="7" s="1"/>
  <c r="C17" i="7"/>
  <c r="D17" i="7"/>
  <c r="C16" i="7"/>
  <c r="D16" i="7" s="1"/>
  <c r="C15" i="7"/>
  <c r="D15" i="7" s="1"/>
  <c r="C14" i="7"/>
  <c r="D14" i="7" s="1"/>
  <c r="C13" i="7"/>
  <c r="D13" i="7"/>
  <c r="C12" i="7"/>
  <c r="D12" i="7"/>
  <c r="C11" i="7"/>
  <c r="D11" i="7" s="1"/>
  <c r="C10" i="7"/>
  <c r="D10" i="7" s="1"/>
  <c r="C9" i="7"/>
  <c r="D9" i="7"/>
  <c r="C8" i="7"/>
  <c r="D8" i="7"/>
  <c r="C7" i="7"/>
  <c r="D7" i="7" s="1"/>
  <c r="C6" i="7"/>
  <c r="D6" i="7" s="1"/>
  <c r="C5" i="7"/>
  <c r="D5" i="7"/>
  <c r="C8" i="6"/>
  <c r="D8" i="6"/>
  <c r="C7" i="6"/>
  <c r="D7" i="6"/>
  <c r="C6" i="6"/>
  <c r="D6" i="6" s="1"/>
  <c r="C71" i="6"/>
  <c r="D71" i="6"/>
  <c r="C70" i="6"/>
  <c r="D70" i="6"/>
  <c r="C69" i="6"/>
  <c r="D69" i="6" s="1"/>
  <c r="C68" i="6"/>
  <c r="D68" i="6" s="1"/>
  <c r="C67" i="6"/>
  <c r="D67" i="6"/>
  <c r="C66" i="6"/>
  <c r="D66" i="6"/>
  <c r="C65" i="6"/>
  <c r="D65" i="6"/>
  <c r="C64" i="6"/>
  <c r="D64" i="6" s="1"/>
  <c r="C63" i="6"/>
  <c r="D63" i="6"/>
  <c r="C62" i="6"/>
  <c r="D62" i="6"/>
  <c r="C61" i="6"/>
  <c r="D61" i="6" s="1"/>
  <c r="C60" i="6"/>
  <c r="D60" i="6" s="1"/>
  <c r="C59" i="6"/>
  <c r="D59" i="6" s="1"/>
  <c r="C58" i="6"/>
  <c r="D58" i="6"/>
  <c r="C57" i="6"/>
  <c r="D57" i="6" s="1"/>
  <c r="C56" i="6"/>
  <c r="D56" i="6" s="1"/>
  <c r="C55" i="6"/>
  <c r="D55" i="6"/>
  <c r="C54" i="6"/>
  <c r="D54" i="6" s="1"/>
  <c r="C53" i="6"/>
  <c r="D53" i="6" s="1"/>
  <c r="C52" i="6"/>
  <c r="D52" i="6" s="1"/>
  <c r="C51" i="6"/>
  <c r="D51" i="6"/>
  <c r="C50" i="6"/>
  <c r="D50" i="6"/>
  <c r="C49" i="6"/>
  <c r="D49" i="6" s="1"/>
  <c r="C48" i="6"/>
  <c r="D48" i="6" s="1"/>
  <c r="C47" i="6"/>
  <c r="D47" i="6" s="1"/>
  <c r="C46" i="6"/>
  <c r="D46" i="6" s="1"/>
  <c r="C45" i="6"/>
  <c r="D45" i="6" s="1"/>
  <c r="C44" i="6"/>
  <c r="D44" i="6" s="1"/>
  <c r="C43" i="6"/>
  <c r="D43" i="6"/>
  <c r="C42" i="6"/>
  <c r="D42" i="6"/>
  <c r="C41" i="6"/>
  <c r="D41" i="6" s="1"/>
  <c r="C40" i="6"/>
  <c r="D40" i="6" s="1"/>
  <c r="C39" i="6"/>
  <c r="D39" i="6" s="1"/>
  <c r="C38" i="6"/>
  <c r="D38" i="6"/>
  <c r="C37" i="6"/>
  <c r="D37" i="6" s="1"/>
  <c r="C36" i="6"/>
  <c r="D36" i="6" s="1"/>
  <c r="C35" i="6"/>
  <c r="D35" i="6" s="1"/>
  <c r="C34" i="6"/>
  <c r="D34" i="6" s="1"/>
  <c r="C33" i="6"/>
  <c r="D33" i="6" s="1"/>
  <c r="C32" i="6"/>
  <c r="D32" i="6" s="1"/>
  <c r="C31" i="6"/>
  <c r="D31" i="6" s="1"/>
  <c r="C30" i="6"/>
  <c r="D30" i="6" s="1"/>
  <c r="C29" i="6"/>
  <c r="D29" i="6" s="1"/>
  <c r="C28" i="6"/>
  <c r="D28" i="6" s="1"/>
  <c r="C27" i="6"/>
  <c r="D27" i="6" s="1"/>
  <c r="C26" i="6"/>
  <c r="D26" i="6"/>
  <c r="C25" i="6"/>
  <c r="D25" i="6"/>
  <c r="C24" i="6"/>
  <c r="D24" i="6" s="1"/>
  <c r="C23" i="6"/>
  <c r="D23" i="6" s="1"/>
  <c r="C22" i="6"/>
  <c r="D22" i="6"/>
  <c r="D21" i="6"/>
  <c r="C20" i="6"/>
  <c r="D20" i="6" s="1"/>
  <c r="C19" i="6"/>
  <c r="D19" i="6" s="1"/>
  <c r="C18" i="6"/>
  <c r="D18" i="6"/>
  <c r="C17" i="6"/>
  <c r="D17" i="6" s="1"/>
  <c r="C16" i="6"/>
  <c r="D16" i="6" s="1"/>
  <c r="C15" i="6"/>
  <c r="D15" i="6"/>
  <c r="C14" i="6"/>
  <c r="D14" i="6"/>
  <c r="C13" i="6"/>
  <c r="D13" i="6" s="1"/>
  <c r="C12" i="6"/>
  <c r="D12" i="6" s="1"/>
  <c r="C11" i="6"/>
  <c r="D11" i="6" s="1"/>
  <c r="C10" i="6"/>
  <c r="D10" i="6" s="1"/>
  <c r="C9" i="6"/>
  <c r="D9" i="6" s="1"/>
  <c r="C5" i="6"/>
  <c r="D5" i="6" s="1"/>
  <c r="E73" i="6"/>
  <c r="F73" i="6" s="1"/>
  <c r="G73" i="7"/>
  <c r="G73" i="8"/>
  <c r="D73" i="9"/>
  <c r="E73" i="9"/>
  <c r="E73" i="8"/>
  <c r="E73" i="7"/>
  <c r="F19" i="4"/>
  <c r="F22" i="4"/>
  <c r="F46" i="4"/>
  <c r="F21" i="4"/>
  <c r="F45" i="4"/>
  <c r="F69" i="4"/>
  <c r="G73" i="4"/>
  <c r="E73" i="4"/>
  <c r="F20" i="4"/>
  <c r="F44" i="4"/>
  <c r="F49" i="4"/>
  <c r="F25" i="4"/>
  <c r="F47" i="4"/>
  <c r="F71" i="4"/>
  <c r="F50" i="4"/>
  <c r="F24" i="4"/>
  <c r="F23" i="4"/>
  <c r="F26" i="4"/>
  <c r="F51" i="4"/>
  <c r="F27" i="4"/>
  <c r="F52" i="4"/>
  <c r="F28" i="4"/>
  <c r="F53" i="4"/>
  <c r="F29" i="4"/>
  <c r="F54" i="4"/>
  <c r="F5" i="4"/>
  <c r="F30" i="4"/>
  <c r="F55" i="4"/>
  <c r="F6" i="4"/>
  <c r="F31" i="4"/>
  <c r="F56" i="4"/>
  <c r="F7" i="4"/>
  <c r="F32" i="4"/>
  <c r="F57" i="4"/>
  <c r="F8" i="4"/>
  <c r="F33" i="4"/>
  <c r="F58" i="4"/>
  <c r="F9" i="4"/>
  <c r="F34" i="4"/>
  <c r="F59" i="4"/>
  <c r="F10" i="4"/>
  <c r="F35" i="4"/>
  <c r="F60" i="4"/>
  <c r="F11" i="4"/>
  <c r="F36" i="4"/>
  <c r="F61" i="4"/>
  <c r="F12" i="4"/>
  <c r="F37" i="4"/>
  <c r="F62" i="4"/>
  <c r="F13" i="4"/>
  <c r="F38" i="4"/>
  <c r="F63" i="4"/>
  <c r="F14" i="4"/>
  <c r="F39" i="4"/>
  <c r="F64" i="4"/>
  <c r="F15" i="4"/>
  <c r="F40" i="4"/>
  <c r="F65" i="4"/>
  <c r="F16" i="4"/>
  <c r="F41" i="4"/>
  <c r="F66" i="4"/>
  <c r="F17" i="4"/>
  <c r="F42" i="4"/>
  <c r="F68" i="4"/>
  <c r="F18" i="4"/>
  <c r="F43" i="4"/>
  <c r="F70" i="4"/>
  <c r="C8" i="4"/>
  <c r="D8" i="4" s="1"/>
  <c r="F73" i="9"/>
  <c r="F73" i="8" l="1"/>
  <c r="C73" i="4"/>
  <c r="D73" i="4" s="1"/>
  <c r="C73" i="8"/>
  <c r="D73" i="8" s="1"/>
  <c r="F73" i="7"/>
  <c r="F73" i="4"/>
  <c r="C73" i="6"/>
  <c r="D73" i="6" s="1"/>
  <c r="C73" i="7"/>
  <c r="D73" i="7" s="1"/>
  <c r="D5" i="8"/>
</calcChain>
</file>

<file path=xl/sharedStrings.xml><?xml version="1.0" encoding="utf-8"?>
<sst xmlns="http://schemas.openxmlformats.org/spreadsheetml/2006/main" count="479" uniqueCount="94">
  <si>
    <t>County</t>
  </si>
  <si>
    <t>Status</t>
  </si>
  <si>
    <t>Saint Johns</t>
  </si>
  <si>
    <t>Saint Lucie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</si>
  <si>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</si>
  <si>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</si>
  <si>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</si>
  <si>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</si>
  <si>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</si>
  <si>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</si>
  <si>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</si>
  <si>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</si>
  <si>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</si>
  <si>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</si>
  <si>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</si>
  <si>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</si>
  <si>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</si>
  <si>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</si>
  <si>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</si>
  <si>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</si>
  <si>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</si>
  <si>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</si>
  <si>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</si>
  <si>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</si>
  <si>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</si>
  <si>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</si>
  <si>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</si>
  <si>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</si>
  <si>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</si>
  <si>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</si>
  <si>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</si>
  <si>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</si>
  <si>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</si>
  <si>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</si>
  <si>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</si>
  <si>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</si>
  <si>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</si>
  <si>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</si>
  <si>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</si>
  <si>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</si>
  <si>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</si>
  <si>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</si>
  <si>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</si>
  <si>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</si>
  <si>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</si>
  <si>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</si>
  <si>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</si>
  <si>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</si>
  <si>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</si>
  <si>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</si>
  <si>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</si>
  <si>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</si>
  <si>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</si>
  <si>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</si>
  <si>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</si>
  <si>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</si>
  <si>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</si>
  <si>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</si>
  <si>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</si>
  <si>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</si>
  <si>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</si>
  <si>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</si>
  <si>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</si>
  <si>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</si>
  <si>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</si>
  <si>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</si>
  <si>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</si>
  <si>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</si>
  <si>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</si>
  <si>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Assessed Value All Property Types</t>
  </si>
  <si>
    <t>All Property Types Assessed Value and Growth Rate</t>
  </si>
  <si>
    <t>Real Property Assessed Value and Growth Rate</t>
  </si>
  <si>
    <t>Personal Property Assessed Value and Growth Rate</t>
  </si>
  <si>
    <t>Centrally Assessed Property Assessed Value and Growth Rate</t>
  </si>
  <si>
    <t>Statewide Assessed Value Summary Information by County</t>
  </si>
  <si>
    <t>Assessed Value is the value of the property with regard to a possible Agricultural classification and any deferred amount accumulated because of Save Our Homes, Amendment 1.</t>
  </si>
  <si>
    <t xml:space="preserve">Contact Information: </t>
  </si>
  <si>
    <t xml:space="preserve">Property Tax Oversight, Research &amp; Analysis  </t>
  </si>
  <si>
    <t>Miami-Dade</t>
  </si>
  <si>
    <t xml:space="preserve">n/a </t>
  </si>
  <si>
    <t>PTOResearchAnalysis@floridarevenue.com</t>
  </si>
  <si>
    <t>2020 Value</t>
  </si>
  <si>
    <t>2021 Value</t>
  </si>
  <si>
    <t>Percent increase 2020-2021</t>
  </si>
  <si>
    <t xml:space="preserve"> 2022 Real Property
 Assessed Value</t>
  </si>
  <si>
    <t>2022 Personal Property Assessed Value</t>
  </si>
  <si>
    <t xml:space="preserve"> 2022 Central Assessment Assessed Value</t>
  </si>
  <si>
    <t>2022 Total
 Assessed Value</t>
  </si>
  <si>
    <t xml:space="preserve">Data Extract: </t>
  </si>
  <si>
    <t>2020-2022</t>
  </si>
  <si>
    <t>2022 Value</t>
  </si>
  <si>
    <t>Percent increase 2021-2022</t>
  </si>
  <si>
    <t>R-NVAB</t>
  </si>
  <si>
    <t>R-Final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</si>
</sst>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6" fillId="0" borderId="0" xfId="0" applyFont="1"/>
    <xf numFmtId="0" fontId="7" fillId="0" borderId="0" xfId="0" applyFont="1"/>
    <xf numFmtId="3" fontId="7" fillId="0" borderId="0" xfId="0" applyNumberFormat="1" applyFont="1" applyBorder="1" applyAlignment="1">
      <alignment horizontal="left" vertical="center" wrapText="1"/>
    </xf>
    <xf numFmtId="0" fontId="8" fillId="0" borderId="0" xfId="3" applyFont="1" applyAlignment="1" applyProtection="1"/>
    <xf numFmtId="0" fontId="9" fillId="0" borderId="0" xfId="0" applyFont="1"/>
    <xf numFmtId="0" fontId="10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/>
    <xf numFmtId="10" fontId="7" fillId="0" borderId="2" xfId="5" applyNumberFormat="1" applyFont="1" applyBorder="1" applyAlignment="1">
      <alignment horizontal="right"/>
    </xf>
    <xf numFmtId="3" fontId="7" fillId="0" borderId="3" xfId="0" applyNumberFormat="1" applyFont="1" applyBorder="1"/>
    <xf numFmtId="0" fontId="7" fillId="0" borderId="4" xfId="0" applyFont="1" applyBorder="1"/>
    <xf numFmtId="0" fontId="7" fillId="0" borderId="5" xfId="0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 applyAlignment="1">
      <alignment horizontal="center"/>
    </xf>
    <xf numFmtId="3" fontId="6" fillId="2" borderId="7" xfId="0" applyNumberFormat="1" applyFont="1" applyFill="1" applyBorder="1"/>
    <xf numFmtId="10" fontId="6" fillId="2" borderId="7" xfId="5" applyNumberFormat="1" applyFont="1" applyFill="1" applyBorder="1" applyAlignment="1">
      <alignment horizontal="right"/>
    </xf>
    <xf numFmtId="3" fontId="6" fillId="2" borderId="8" xfId="0" applyNumberFormat="1" applyFont="1" applyFill="1" applyBorder="1"/>
    <xf numFmtId="0" fontId="7" fillId="0" borderId="0" xfId="0" applyFont="1" applyFill="1" applyBorder="1"/>
    <xf numFmtId="3" fontId="7" fillId="0" borderId="0" xfId="0" applyNumberFormat="1" applyFont="1"/>
    <xf numFmtId="3" fontId="7" fillId="0" borderId="2" xfId="1" applyNumberFormat="1" applyFont="1" applyBorder="1" applyAlignment="1"/>
    <xf numFmtId="3" fontId="7" fillId="0" borderId="2" xfId="1" applyNumberFormat="1" applyFont="1" applyBorder="1"/>
    <xf numFmtId="3" fontId="7" fillId="0" borderId="3" xfId="1" applyNumberFormat="1" applyFont="1" applyBorder="1"/>
    <xf numFmtId="3" fontId="7" fillId="0" borderId="5" xfId="1" applyNumberFormat="1" applyFont="1" applyBorder="1" applyAlignment="1"/>
    <xf numFmtId="3" fontId="7" fillId="0" borderId="5" xfId="1" applyNumberFormat="1" applyFont="1" applyBorder="1"/>
    <xf numFmtId="3" fontId="7" fillId="0" borderId="9" xfId="1" applyNumberFormat="1" applyFont="1" applyBorder="1"/>
    <xf numFmtId="3" fontId="6" fillId="2" borderId="7" xfId="1" applyNumberFormat="1" applyFont="1" applyFill="1" applyBorder="1"/>
    <xf numFmtId="3" fontId="6" fillId="2" borderId="8" xfId="1" applyNumberFormat="1" applyFont="1" applyFill="1" applyBorder="1"/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3" fontId="7" fillId="0" borderId="15" xfId="0" applyNumberFormat="1" applyFont="1" applyBorder="1" applyAlignment="1">
      <alignment horizontal="left" vertical="center" wrapText="1"/>
    </xf>
    <xf numFmtId="3" fontId="7" fillId="0" borderId="16" xfId="0" applyNumberFormat="1" applyFont="1" applyBorder="1" applyAlignment="1">
      <alignment horizontal="left" vertical="center" wrapText="1"/>
    </xf>
    <xf numFmtId="3" fontId="7" fillId="0" borderId="17" xfId="0" applyNumberFormat="1" applyFont="1" applyBorder="1" applyAlignment="1">
      <alignment horizontal="left" vertical="center" wrapText="1"/>
    </xf>
    <xf numFmtId="3" fontId="7" fillId="0" borderId="18" xfId="0" applyNumberFormat="1" applyFont="1" applyBorder="1" applyAlignment="1">
      <alignment horizontal="left" vertical="center" wrapText="1"/>
    </xf>
    <xf numFmtId="3" fontId="7" fillId="0" borderId="0" xfId="0" applyNumberFormat="1" applyFont="1" applyBorder="1" applyAlignment="1">
      <alignment horizontal="left" vertical="center" wrapText="1"/>
    </xf>
    <xf numFmtId="3" fontId="7" fillId="0" borderId="19" xfId="0" applyNumberFormat="1" applyFont="1" applyBorder="1" applyAlignment="1">
      <alignment horizontal="left" vertical="center" wrapText="1"/>
    </xf>
    <xf numFmtId="3" fontId="7" fillId="0" borderId="20" xfId="0" applyNumberFormat="1" applyFont="1" applyBorder="1" applyAlignment="1">
      <alignment horizontal="left" vertical="center" wrapText="1"/>
    </xf>
    <xf numFmtId="3" fontId="7" fillId="0" borderId="21" xfId="0" applyNumberFormat="1" applyFont="1" applyBorder="1" applyAlignment="1">
      <alignment horizontal="left" vertical="center" wrapText="1"/>
    </xf>
    <xf numFmtId="3" fontId="7" fillId="0" borderId="22" xfId="0" applyNumberFormat="1" applyFont="1" applyBorder="1" applyAlignment="1">
      <alignment horizontal="left" vertical="center" wrapText="1"/>
    </xf>
    <xf numFmtId="0" fontId="8" fillId="0" borderId="0" xfId="3" applyFont="1" applyAlignment="1" applyProtection="1">
      <alignment horizontal="left"/>
    </xf>
  </cellXfs>
  <cellStyles count="6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  <cellStyle name="Percent" xfId="5" builtinId="5"/>
  </cellStyles>
  <dxfs count="12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workbookViewId="0"/>
  </sheetViews>
  <sheetFormatPr defaultRowHeight="14.25" x14ac:dyDescent="0.2"/>
  <cols>
    <col min="1" max="7" width="9.140625" style="2"/>
    <col min="8" max="8" width="9.140625" style="2" customWidth="1"/>
    <col min="9" max="16384" width="9.140625" style="2"/>
  </cols>
  <sheetData>
    <row r="2" spans="1:8" ht="15" x14ac:dyDescent="0.25">
      <c r="A2" s="1" t="s">
        <v>74</v>
      </c>
    </row>
    <row r="3" spans="1:8" ht="15" thickBot="1" x14ac:dyDescent="0.25"/>
    <row r="4" spans="1:8" x14ac:dyDescent="0.2">
      <c r="B4" s="40" t="s">
        <v>75</v>
      </c>
      <c r="C4" s="41"/>
      <c r="D4" s="41"/>
      <c r="E4" s="41"/>
      <c r="F4" s="41"/>
      <c r="G4" s="41"/>
      <c r="H4" s="42"/>
    </row>
    <row r="5" spans="1:8" x14ac:dyDescent="0.2">
      <c r="B5" s="43"/>
      <c r="C5" s="44"/>
      <c r="D5" s="44"/>
      <c r="E5" s="44"/>
      <c r="F5" s="44"/>
      <c r="G5" s="44"/>
      <c r="H5" s="45"/>
    </row>
    <row r="6" spans="1:8" x14ac:dyDescent="0.2">
      <c r="B6" s="43"/>
      <c r="C6" s="44"/>
      <c r="D6" s="44"/>
      <c r="E6" s="44"/>
      <c r="F6" s="44"/>
      <c r="G6" s="44"/>
      <c r="H6" s="45"/>
    </row>
    <row r="7" spans="1:8" x14ac:dyDescent="0.2">
      <c r="B7" s="43"/>
      <c r="C7" s="44"/>
      <c r="D7" s="44"/>
      <c r="E7" s="44"/>
      <c r="F7" s="44"/>
      <c r="G7" s="44"/>
      <c r="H7" s="45"/>
    </row>
    <row r="8" spans="1:8" x14ac:dyDescent="0.2">
      <c r="B8" s="43"/>
      <c r="C8" s="44"/>
      <c r="D8" s="44"/>
      <c r="E8" s="44"/>
      <c r="F8" s="44"/>
      <c r="G8" s="44"/>
      <c r="H8" s="45"/>
    </row>
    <row r="9" spans="1:8" ht="15" thickBot="1" x14ac:dyDescent="0.25">
      <c r="B9" s="46"/>
      <c r="C9" s="47"/>
      <c r="D9" s="47"/>
      <c r="E9" s="47"/>
      <c r="F9" s="47"/>
      <c r="G9" s="47"/>
      <c r="H9" s="48"/>
    </row>
    <row r="10" spans="1:8" x14ac:dyDescent="0.2">
      <c r="B10" s="3"/>
      <c r="C10" s="3"/>
      <c r="D10" s="3"/>
      <c r="E10" s="3"/>
      <c r="F10" s="3"/>
      <c r="G10" s="3"/>
      <c r="H10" s="3"/>
    </row>
    <row r="11" spans="1:8" x14ac:dyDescent="0.2">
      <c r="B11" s="49" t="s">
        <v>69</v>
      </c>
      <c r="C11" s="49"/>
      <c r="D11" s="49"/>
      <c r="E11" s="49"/>
      <c r="F11" s="49"/>
      <c r="G11" s="49"/>
      <c r="H11" s="49"/>
    </row>
    <row r="13" spans="1:8" x14ac:dyDescent="0.2">
      <c r="B13" s="49" t="s">
        <v>70</v>
      </c>
      <c r="C13" s="49"/>
      <c r="D13" s="49"/>
      <c r="E13" s="49"/>
      <c r="F13" s="49"/>
      <c r="G13" s="49"/>
      <c r="H13" s="49"/>
    </row>
    <row r="15" spans="1:8" x14ac:dyDescent="0.2">
      <c r="B15" s="49" t="s">
        <v>71</v>
      </c>
      <c r="C15" s="49"/>
      <c r="D15" s="49"/>
      <c r="E15" s="49"/>
      <c r="F15" s="49"/>
      <c r="G15" s="49"/>
      <c r="H15" s="49"/>
    </row>
    <row r="17" spans="1:9" x14ac:dyDescent="0.2">
      <c r="B17" s="49" t="s">
        <v>72</v>
      </c>
      <c r="C17" s="49"/>
      <c r="D17" s="49"/>
      <c r="E17" s="49"/>
      <c r="F17" s="49"/>
      <c r="G17" s="49"/>
      <c r="H17" s="49"/>
    </row>
    <row r="19" spans="1:9" x14ac:dyDescent="0.2">
      <c r="B19" s="49" t="s">
        <v>73</v>
      </c>
      <c r="C19" s="49"/>
      <c r="D19" s="49"/>
      <c r="E19" s="49"/>
      <c r="F19" s="49"/>
      <c r="G19" s="49"/>
      <c r="H19" s="49"/>
      <c r="I19" s="4"/>
    </row>
    <row r="25" spans="1:9" x14ac:dyDescent="0.2">
      <c r="A25" s="5" t="s">
        <v>76</v>
      </c>
      <c r="D25" s="5" t="s">
        <v>77</v>
      </c>
    </row>
    <row r="26" spans="1:9" x14ac:dyDescent="0.2">
      <c r="D26" s="4" t="s">
        <v>80</v>
      </c>
    </row>
  </sheetData>
  <mergeCells count="6">
    <mergeCell ref="B4:H9"/>
    <mergeCell ref="B11:H11"/>
    <mergeCell ref="B19:H19"/>
    <mergeCell ref="B13:H13"/>
    <mergeCell ref="B15:H15"/>
    <mergeCell ref="B17:H17"/>
  </mergeCells>
  <phoneticPr fontId="3" type="noConversion"/>
  <hyperlinks>
    <hyperlink ref="B11" location="'Assessed Value All Property'!A1" display="Assessed Value All Property Types 2010" xr:uid="{00000000-0004-0000-0000-000000000000}"/>
    <hyperlink ref="B13" location="'All Property Assessed Value'!A1" display="All Property Types Assessed Value and Growth Rate 2008 - 2010" xr:uid="{00000000-0004-0000-0000-000001000000}"/>
    <hyperlink ref="B15" location="'Real Property Assessed Value'!A1" display="Real Property Assessed Value and Growth Rate 2008 - 2010" xr:uid="{00000000-0004-0000-0000-000002000000}"/>
    <hyperlink ref="B17" location="'Personal Prop Assessed Value'!A1" display="Personal Property Assessed Value and Growth Rate 2008 - 2010" xr:uid="{00000000-0004-0000-0000-000003000000}"/>
    <hyperlink ref="B19" location="'Centrally Prop Assessed Value '!A1" display="Centrally Assessed Property Assessed Value and Growth Rate 2008 - 2010" xr:uid="{00000000-0004-0000-0000-000004000000}"/>
    <hyperlink ref="D26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9" style="2" bestFit="1" customWidth="1"/>
    <col min="4" max="4" width="22.42578125" style="2" bestFit="1" customWidth="1"/>
    <col min="5" max="5" width="24.28515625" style="2" bestFit="1" customWidth="1"/>
    <col min="6" max="6" width="18.42578125" style="2" bestFit="1" customWidth="1"/>
    <col min="7" max="7" width="9.140625" style="2"/>
    <col min="8" max="8" width="14.140625" style="2" bestFit="1" customWidth="1"/>
    <col min="9" max="16384" width="9.140625" style="2"/>
  </cols>
  <sheetData>
    <row r="1" spans="1:6" ht="23.25" x14ac:dyDescent="0.35">
      <c r="A1" s="6" t="s">
        <v>69</v>
      </c>
      <c r="B1" s="7"/>
      <c r="C1" s="8"/>
      <c r="D1" s="8"/>
      <c r="E1" s="8"/>
      <c r="F1" s="8"/>
    </row>
    <row r="2" spans="1:6" ht="15" x14ac:dyDescent="0.25">
      <c r="A2" s="9">
        <v>2022</v>
      </c>
      <c r="B2" s="9"/>
      <c r="C2" s="9"/>
      <c r="D2" s="9"/>
      <c r="E2" s="9"/>
      <c r="F2" s="9"/>
    </row>
    <row r="3" spans="1:6" ht="15" thickBot="1" x14ac:dyDescent="0.25"/>
    <row r="4" spans="1:6" s="37" customFormat="1" ht="25.5" x14ac:dyDescent="0.2">
      <c r="A4" s="34" t="s">
        <v>0</v>
      </c>
      <c r="B4" s="35" t="s">
        <v>1</v>
      </c>
      <c r="C4" s="35" t="s">
        <v>84</v>
      </c>
      <c r="D4" s="35" t="s">
        <v>85</v>
      </c>
      <c r="E4" s="35" t="s">
        <v>86</v>
      </c>
      <c r="F4" s="36" t="s">
        <v>87</v>
      </c>
    </row>
    <row r="5" spans="1:6" x14ac:dyDescent="0.2">
      <c r="A5" s="11" t="s">
        <v>4</v>
      </c>
      <c r="B5" s="12" t="s">
        <v>92</v>
      </c>
      <c r="C5" s="26">
        <v>26685054444</v>
      </c>
      <c r="D5" s="26">
        <v>4017481347</v>
      </c>
      <c r="E5" s="27">
        <v>34378880</v>
      </c>
      <c r="F5" s="28">
        <v>30736914671</v>
      </c>
    </row>
    <row r="6" spans="1:6" x14ac:dyDescent="0.2">
      <c r="A6" s="11" t="s">
        <v>5</v>
      </c>
      <c r="B6" s="12" t="s">
        <v>93</v>
      </c>
      <c r="C6" s="26">
        <v>1724620159</v>
      </c>
      <c r="D6" s="26">
        <v>232449160</v>
      </c>
      <c r="E6" s="27">
        <v>15120905</v>
      </c>
      <c r="F6" s="28">
        <v>1972190224</v>
      </c>
    </row>
    <row r="7" spans="1:6" x14ac:dyDescent="0.2">
      <c r="A7" s="11" t="s">
        <v>6</v>
      </c>
      <c r="B7" s="12" t="s">
        <v>92</v>
      </c>
      <c r="C7" s="26">
        <v>25733447313</v>
      </c>
      <c r="D7" s="26">
        <v>2150454429</v>
      </c>
      <c r="E7" s="27">
        <v>36413543</v>
      </c>
      <c r="F7" s="28">
        <v>27920315285</v>
      </c>
    </row>
    <row r="8" spans="1:6" x14ac:dyDescent="0.2">
      <c r="A8" s="11" t="s">
        <v>7</v>
      </c>
      <c r="B8" s="12" t="s">
        <v>93</v>
      </c>
      <c r="C8" s="26">
        <v>1340206268</v>
      </c>
      <c r="D8" s="26">
        <v>339661189</v>
      </c>
      <c r="E8" s="27">
        <v>18871537</v>
      </c>
      <c r="F8" s="28">
        <v>1698738994</v>
      </c>
    </row>
    <row r="9" spans="1:6" x14ac:dyDescent="0.2">
      <c r="A9" s="11" t="s">
        <v>8</v>
      </c>
      <c r="B9" s="12" t="s">
        <v>92</v>
      </c>
      <c r="C9" s="26">
        <v>66811306480</v>
      </c>
      <c r="D9" s="26">
        <v>10577764678</v>
      </c>
      <c r="E9" s="27">
        <v>91053009</v>
      </c>
      <c r="F9" s="28">
        <v>77480124167</v>
      </c>
    </row>
    <row r="10" spans="1:6" x14ac:dyDescent="0.2">
      <c r="A10" s="11" t="s">
        <v>9</v>
      </c>
      <c r="B10" s="12" t="s">
        <v>92</v>
      </c>
      <c r="C10" s="26">
        <v>282687824110</v>
      </c>
      <c r="D10" s="26">
        <v>10480265271</v>
      </c>
      <c r="E10" s="27">
        <v>102789696</v>
      </c>
      <c r="F10" s="28">
        <v>293270879077</v>
      </c>
    </row>
    <row r="11" spans="1:6" x14ac:dyDescent="0.2">
      <c r="A11" s="11" t="s">
        <v>10</v>
      </c>
      <c r="B11" s="12" t="s">
        <v>93</v>
      </c>
      <c r="C11" s="26">
        <v>547767097</v>
      </c>
      <c r="D11" s="26">
        <v>135274404</v>
      </c>
      <c r="E11" s="27">
        <v>0</v>
      </c>
      <c r="F11" s="28">
        <v>683041501</v>
      </c>
    </row>
    <row r="12" spans="1:6" x14ac:dyDescent="0.2">
      <c r="A12" s="11" t="s">
        <v>11</v>
      </c>
      <c r="B12" s="12" t="s">
        <v>92</v>
      </c>
      <c r="C12" s="26">
        <v>27699304384</v>
      </c>
      <c r="D12" s="26">
        <v>1570192818</v>
      </c>
      <c r="E12" s="27">
        <v>3156640</v>
      </c>
      <c r="F12" s="28">
        <v>29272653842</v>
      </c>
    </row>
    <row r="13" spans="1:6" x14ac:dyDescent="0.2">
      <c r="A13" s="11" t="s">
        <v>12</v>
      </c>
      <c r="B13" s="12" t="s">
        <v>92</v>
      </c>
      <c r="C13" s="26">
        <v>14055532380</v>
      </c>
      <c r="D13" s="26">
        <v>1966400804</v>
      </c>
      <c r="E13" s="27">
        <v>1979472</v>
      </c>
      <c r="F13" s="28">
        <v>16023912656</v>
      </c>
    </row>
    <row r="14" spans="1:6" x14ac:dyDescent="0.2">
      <c r="A14" s="11" t="s">
        <v>13</v>
      </c>
      <c r="B14" s="12" t="s">
        <v>92</v>
      </c>
      <c r="C14" s="26">
        <v>18261337269</v>
      </c>
      <c r="D14" s="26">
        <v>1623346507</v>
      </c>
      <c r="E14" s="27">
        <v>17164212</v>
      </c>
      <c r="F14" s="28">
        <v>19901847988</v>
      </c>
    </row>
    <row r="15" spans="1:6" x14ac:dyDescent="0.2">
      <c r="A15" s="11" t="s">
        <v>14</v>
      </c>
      <c r="B15" s="12" t="s">
        <v>92</v>
      </c>
      <c r="C15" s="26">
        <v>131498501684</v>
      </c>
      <c r="D15" s="26">
        <v>3052292848</v>
      </c>
      <c r="E15" s="27">
        <v>200286</v>
      </c>
      <c r="F15" s="28">
        <v>134550994818</v>
      </c>
    </row>
    <row r="16" spans="1:6" x14ac:dyDescent="0.2">
      <c r="A16" s="11" t="s">
        <v>15</v>
      </c>
      <c r="B16" s="12" t="s">
        <v>92</v>
      </c>
      <c r="C16" s="26">
        <v>4309602274</v>
      </c>
      <c r="D16" s="26">
        <v>828685808</v>
      </c>
      <c r="E16" s="27">
        <v>15263179</v>
      </c>
      <c r="F16" s="28">
        <v>5153551261</v>
      </c>
    </row>
    <row r="17" spans="1:6" x14ac:dyDescent="0.2">
      <c r="A17" s="11" t="s">
        <v>78</v>
      </c>
      <c r="B17" s="12" t="s">
        <v>92</v>
      </c>
      <c r="C17" s="26">
        <v>418940611969</v>
      </c>
      <c r="D17" s="26">
        <v>20057527684</v>
      </c>
      <c r="E17" s="27">
        <v>153207013</v>
      </c>
      <c r="F17" s="28">
        <v>439151346666</v>
      </c>
    </row>
    <row r="18" spans="1:6" x14ac:dyDescent="0.2">
      <c r="A18" s="11" t="s">
        <v>16</v>
      </c>
      <c r="B18" s="12" t="s">
        <v>92</v>
      </c>
      <c r="C18" s="26">
        <v>2250860905</v>
      </c>
      <c r="D18" s="26">
        <v>756796626</v>
      </c>
      <c r="E18" s="27">
        <v>4692164</v>
      </c>
      <c r="F18" s="28">
        <v>3012349695</v>
      </c>
    </row>
    <row r="19" spans="1:6" x14ac:dyDescent="0.2">
      <c r="A19" s="11" t="s">
        <v>17</v>
      </c>
      <c r="B19" s="12" t="s">
        <v>93</v>
      </c>
      <c r="C19" s="26">
        <v>903192282</v>
      </c>
      <c r="D19" s="26">
        <v>98408399</v>
      </c>
      <c r="E19" s="27">
        <v>0</v>
      </c>
      <c r="F19" s="28">
        <v>1001600681</v>
      </c>
    </row>
    <row r="20" spans="1:6" x14ac:dyDescent="0.2">
      <c r="A20" s="11" t="s">
        <v>18</v>
      </c>
      <c r="B20" s="12" t="s">
        <v>92</v>
      </c>
      <c r="C20" s="26">
        <v>104891873380</v>
      </c>
      <c r="D20" s="26">
        <v>15115079987</v>
      </c>
      <c r="E20" s="27">
        <v>225501073</v>
      </c>
      <c r="F20" s="28">
        <v>120232454440</v>
      </c>
    </row>
    <row r="21" spans="1:6" x14ac:dyDescent="0.2">
      <c r="A21" s="11" t="s">
        <v>19</v>
      </c>
      <c r="B21" s="12" t="s">
        <v>92</v>
      </c>
      <c r="C21" s="26">
        <v>31007584013</v>
      </c>
      <c r="D21" s="26">
        <v>3422138152</v>
      </c>
      <c r="E21" s="27">
        <v>31416961</v>
      </c>
      <c r="F21" s="28">
        <v>34461139126</v>
      </c>
    </row>
    <row r="22" spans="1:6" x14ac:dyDescent="0.2">
      <c r="A22" s="11" t="s">
        <v>20</v>
      </c>
      <c r="B22" s="12" t="s">
        <v>92</v>
      </c>
      <c r="C22" s="26">
        <v>15209357667</v>
      </c>
      <c r="D22" s="26">
        <v>929516427</v>
      </c>
      <c r="E22" s="27">
        <v>27574003</v>
      </c>
      <c r="F22" s="28">
        <v>16166448097</v>
      </c>
    </row>
    <row r="23" spans="1:6" x14ac:dyDescent="0.2">
      <c r="A23" s="11" t="s">
        <v>21</v>
      </c>
      <c r="B23" s="12" t="s">
        <v>93</v>
      </c>
      <c r="C23" s="26">
        <v>3297102662</v>
      </c>
      <c r="D23" s="26">
        <v>98222209</v>
      </c>
      <c r="E23" s="27">
        <v>573997</v>
      </c>
      <c r="F23" s="28">
        <v>3395898868</v>
      </c>
    </row>
    <row r="24" spans="1:6" x14ac:dyDescent="0.2">
      <c r="A24" s="11" t="s">
        <v>22</v>
      </c>
      <c r="B24" s="12" t="s">
        <v>93</v>
      </c>
      <c r="C24" s="26">
        <v>2056196445</v>
      </c>
      <c r="D24" s="26">
        <v>692109389</v>
      </c>
      <c r="E24" s="27">
        <v>8102682</v>
      </c>
      <c r="F24" s="28">
        <v>2756408516</v>
      </c>
    </row>
    <row r="25" spans="1:6" x14ac:dyDescent="0.2">
      <c r="A25" s="11" t="s">
        <v>23</v>
      </c>
      <c r="B25" s="12" t="s">
        <v>93</v>
      </c>
      <c r="C25" s="26">
        <v>1073026148</v>
      </c>
      <c r="D25" s="26">
        <v>335194715</v>
      </c>
      <c r="E25" s="27">
        <v>0</v>
      </c>
      <c r="F25" s="28">
        <v>1408220863</v>
      </c>
    </row>
    <row r="26" spans="1:6" x14ac:dyDescent="0.2">
      <c r="A26" s="11" t="s">
        <v>24</v>
      </c>
      <c r="B26" s="12" t="s">
        <v>93</v>
      </c>
      <c r="C26" s="26">
        <v>1688963233</v>
      </c>
      <c r="D26" s="26">
        <v>170612129</v>
      </c>
      <c r="E26" s="27">
        <v>18394116</v>
      </c>
      <c r="F26" s="28">
        <v>1877969478</v>
      </c>
    </row>
    <row r="27" spans="1:6" x14ac:dyDescent="0.2">
      <c r="A27" s="11" t="s">
        <v>25</v>
      </c>
      <c r="B27" s="12" t="s">
        <v>93</v>
      </c>
      <c r="C27" s="26">
        <v>3154034902</v>
      </c>
      <c r="D27" s="26">
        <v>123725192</v>
      </c>
      <c r="E27" s="27">
        <v>431138</v>
      </c>
      <c r="F27" s="28">
        <v>3278191232</v>
      </c>
    </row>
    <row r="28" spans="1:6" x14ac:dyDescent="0.2">
      <c r="A28" s="11" t="s">
        <v>26</v>
      </c>
      <c r="B28" s="12" t="s">
        <v>93</v>
      </c>
      <c r="C28" s="26">
        <v>749352778</v>
      </c>
      <c r="D28" s="26">
        <v>633950511</v>
      </c>
      <c r="E28" s="27">
        <v>27559235</v>
      </c>
      <c r="F28" s="28">
        <v>1410862524</v>
      </c>
    </row>
    <row r="29" spans="1:6" x14ac:dyDescent="0.2">
      <c r="A29" s="11" t="s">
        <v>27</v>
      </c>
      <c r="B29" s="12" t="s">
        <v>92</v>
      </c>
      <c r="C29" s="26">
        <v>1643915908</v>
      </c>
      <c r="D29" s="26">
        <v>922453940</v>
      </c>
      <c r="E29" s="27">
        <v>9367098</v>
      </c>
      <c r="F29" s="28">
        <v>2575736946</v>
      </c>
    </row>
    <row r="30" spans="1:6" x14ac:dyDescent="0.2">
      <c r="A30" s="11" t="s">
        <v>28</v>
      </c>
      <c r="B30" s="12" t="s">
        <v>92</v>
      </c>
      <c r="C30" s="26">
        <v>3846759604</v>
      </c>
      <c r="D30" s="26">
        <v>1206735028</v>
      </c>
      <c r="E30" s="27">
        <v>5944780</v>
      </c>
      <c r="F30" s="28">
        <v>5059439412</v>
      </c>
    </row>
    <row r="31" spans="1:6" x14ac:dyDescent="0.2">
      <c r="A31" s="11" t="s">
        <v>29</v>
      </c>
      <c r="B31" s="12" t="s">
        <v>92</v>
      </c>
      <c r="C31" s="26">
        <v>16033070411</v>
      </c>
      <c r="D31" s="26">
        <v>1857269202</v>
      </c>
      <c r="E31" s="27">
        <v>11986078</v>
      </c>
      <c r="F31" s="28">
        <v>17902325691</v>
      </c>
    </row>
    <row r="32" spans="1:6" x14ac:dyDescent="0.2">
      <c r="A32" s="11" t="s">
        <v>30</v>
      </c>
      <c r="B32" s="12" t="s">
        <v>92</v>
      </c>
      <c r="C32" s="26">
        <v>8041302774</v>
      </c>
      <c r="D32" s="26">
        <v>749240212</v>
      </c>
      <c r="E32" s="27">
        <v>38593326</v>
      </c>
      <c r="F32" s="28">
        <v>8829136312</v>
      </c>
    </row>
    <row r="33" spans="1:6" x14ac:dyDescent="0.2">
      <c r="A33" s="11" t="s">
        <v>31</v>
      </c>
      <c r="B33" s="12" t="s">
        <v>92</v>
      </c>
      <c r="C33" s="26">
        <v>163726113434</v>
      </c>
      <c r="D33" s="26">
        <v>12576742750</v>
      </c>
      <c r="E33" s="27">
        <v>133838824</v>
      </c>
      <c r="F33" s="28">
        <v>176436695008</v>
      </c>
    </row>
    <row r="34" spans="1:6" x14ac:dyDescent="0.2">
      <c r="A34" s="11" t="s">
        <v>32</v>
      </c>
      <c r="B34" s="12" t="s">
        <v>93</v>
      </c>
      <c r="C34" s="26">
        <v>771694443</v>
      </c>
      <c r="D34" s="26">
        <v>109194421</v>
      </c>
      <c r="E34" s="27">
        <v>3710945</v>
      </c>
      <c r="F34" s="28">
        <v>884599809</v>
      </c>
    </row>
    <row r="35" spans="1:6" x14ac:dyDescent="0.2">
      <c r="A35" s="11" t="s">
        <v>33</v>
      </c>
      <c r="B35" s="12" t="s">
        <v>92</v>
      </c>
      <c r="C35" s="26">
        <v>26739941916</v>
      </c>
      <c r="D35" s="26">
        <v>985586805</v>
      </c>
      <c r="E35" s="27">
        <v>26551338</v>
      </c>
      <c r="F35" s="28">
        <v>27752080059</v>
      </c>
    </row>
    <row r="36" spans="1:6" x14ac:dyDescent="0.2">
      <c r="A36" s="11" t="s">
        <v>34</v>
      </c>
      <c r="B36" s="12" t="s">
        <v>93</v>
      </c>
      <c r="C36" s="26">
        <v>2401085264</v>
      </c>
      <c r="D36" s="26">
        <v>486440798</v>
      </c>
      <c r="E36" s="27">
        <v>29027063</v>
      </c>
      <c r="F36" s="28">
        <v>2916553125</v>
      </c>
    </row>
    <row r="37" spans="1:6" x14ac:dyDescent="0.2">
      <c r="A37" s="11" t="s">
        <v>35</v>
      </c>
      <c r="B37" s="12" t="s">
        <v>92</v>
      </c>
      <c r="C37" s="26">
        <v>975798105</v>
      </c>
      <c r="D37" s="26">
        <v>189245441</v>
      </c>
      <c r="E37" s="27">
        <v>3032986</v>
      </c>
      <c r="F37" s="28">
        <v>1168076532</v>
      </c>
    </row>
    <row r="38" spans="1:6" x14ac:dyDescent="0.2">
      <c r="A38" s="11" t="s">
        <v>36</v>
      </c>
      <c r="B38" s="12" t="s">
        <v>93</v>
      </c>
      <c r="C38" s="26">
        <v>426953443</v>
      </c>
      <c r="D38" s="26">
        <v>78754649</v>
      </c>
      <c r="E38" s="27">
        <v>0</v>
      </c>
      <c r="F38" s="28">
        <v>505708092</v>
      </c>
    </row>
    <row r="39" spans="1:6" x14ac:dyDescent="0.2">
      <c r="A39" s="11" t="s">
        <v>37</v>
      </c>
      <c r="B39" s="12" t="s">
        <v>92</v>
      </c>
      <c r="C39" s="26">
        <v>36332010853</v>
      </c>
      <c r="D39" s="26">
        <v>2374028227</v>
      </c>
      <c r="E39" s="27">
        <v>13139054</v>
      </c>
      <c r="F39" s="28">
        <v>38719178134</v>
      </c>
    </row>
    <row r="40" spans="1:6" x14ac:dyDescent="0.2">
      <c r="A40" s="11" t="s">
        <v>38</v>
      </c>
      <c r="B40" s="12" t="s">
        <v>92</v>
      </c>
      <c r="C40" s="26">
        <v>125682715549</v>
      </c>
      <c r="D40" s="26">
        <v>6160285826</v>
      </c>
      <c r="E40" s="27">
        <v>5393643</v>
      </c>
      <c r="F40" s="28">
        <v>131848395018</v>
      </c>
    </row>
    <row r="41" spans="1:6" x14ac:dyDescent="0.2">
      <c r="A41" s="11" t="s">
        <v>39</v>
      </c>
      <c r="B41" s="12" t="s">
        <v>92</v>
      </c>
      <c r="C41" s="26">
        <v>29747347069</v>
      </c>
      <c r="D41" s="26">
        <v>2255235854</v>
      </c>
      <c r="E41" s="27">
        <v>5757017</v>
      </c>
      <c r="F41" s="28">
        <v>32008339940</v>
      </c>
    </row>
    <row r="42" spans="1:6" x14ac:dyDescent="0.2">
      <c r="A42" s="11" t="s">
        <v>40</v>
      </c>
      <c r="B42" s="12" t="s">
        <v>93</v>
      </c>
      <c r="C42" s="26">
        <v>3065701472</v>
      </c>
      <c r="D42" s="26">
        <v>400726480</v>
      </c>
      <c r="E42" s="27">
        <v>3998198</v>
      </c>
      <c r="F42" s="28">
        <v>3470426150</v>
      </c>
    </row>
    <row r="43" spans="1:6" x14ac:dyDescent="0.2">
      <c r="A43" s="11" t="s">
        <v>41</v>
      </c>
      <c r="B43" s="12" t="s">
        <v>93</v>
      </c>
      <c r="C43" s="26">
        <v>622884443</v>
      </c>
      <c r="D43" s="26">
        <v>149058826</v>
      </c>
      <c r="E43" s="27">
        <v>743402</v>
      </c>
      <c r="F43" s="28">
        <v>772686671</v>
      </c>
    </row>
    <row r="44" spans="1:6" x14ac:dyDescent="0.2">
      <c r="A44" s="11" t="s">
        <v>42</v>
      </c>
      <c r="B44" s="12" t="s">
        <v>92</v>
      </c>
      <c r="C44" s="26">
        <v>977651361</v>
      </c>
      <c r="D44" s="26">
        <v>244518723</v>
      </c>
      <c r="E44" s="27">
        <v>8293538</v>
      </c>
      <c r="F44" s="28">
        <v>1230463622</v>
      </c>
    </row>
    <row r="45" spans="1:6" x14ac:dyDescent="0.2">
      <c r="A45" s="11" t="s">
        <v>43</v>
      </c>
      <c r="B45" s="12" t="s">
        <v>92</v>
      </c>
      <c r="C45" s="26">
        <v>57142431329</v>
      </c>
      <c r="D45" s="26">
        <v>3965157902</v>
      </c>
      <c r="E45" s="27">
        <v>8933050</v>
      </c>
      <c r="F45" s="28">
        <v>61116522281</v>
      </c>
    </row>
    <row r="46" spans="1:6" x14ac:dyDescent="0.2">
      <c r="A46" s="11" t="s">
        <v>44</v>
      </c>
      <c r="B46" s="12" t="s">
        <v>92</v>
      </c>
      <c r="C46" s="26">
        <v>31565430564</v>
      </c>
      <c r="D46" s="26">
        <v>2267076775</v>
      </c>
      <c r="E46" s="27">
        <v>30489378</v>
      </c>
      <c r="F46" s="28">
        <v>33862996717</v>
      </c>
    </row>
    <row r="47" spans="1:6" x14ac:dyDescent="0.2">
      <c r="A47" s="11" t="s">
        <v>45</v>
      </c>
      <c r="B47" s="12" t="s">
        <v>92</v>
      </c>
      <c r="C47" s="26">
        <v>29127486125</v>
      </c>
      <c r="D47" s="26">
        <v>3240030632</v>
      </c>
      <c r="E47" s="27">
        <v>72515839</v>
      </c>
      <c r="F47" s="28">
        <v>32440032596</v>
      </c>
    </row>
    <row r="48" spans="1:6" x14ac:dyDescent="0.2">
      <c r="A48" s="11" t="s">
        <v>46</v>
      </c>
      <c r="B48" s="12" t="s">
        <v>92</v>
      </c>
      <c r="C48" s="26">
        <v>42124488789</v>
      </c>
      <c r="D48" s="26">
        <v>957309313</v>
      </c>
      <c r="E48" s="27">
        <v>0</v>
      </c>
      <c r="F48" s="28">
        <v>43081798102</v>
      </c>
    </row>
    <row r="49" spans="1:6" x14ac:dyDescent="0.2">
      <c r="A49" s="11" t="s">
        <v>47</v>
      </c>
      <c r="B49" s="12" t="s">
        <v>92</v>
      </c>
      <c r="C49" s="26">
        <v>14161400016</v>
      </c>
      <c r="D49" s="26">
        <v>1411623213</v>
      </c>
      <c r="E49" s="27">
        <v>46963158</v>
      </c>
      <c r="F49" s="28">
        <v>15619986387</v>
      </c>
    </row>
    <row r="50" spans="1:6" x14ac:dyDescent="0.2">
      <c r="A50" s="11" t="s">
        <v>48</v>
      </c>
      <c r="B50" s="12" t="s">
        <v>92</v>
      </c>
      <c r="C50" s="26">
        <v>28575410336</v>
      </c>
      <c r="D50" s="26">
        <v>1080824347</v>
      </c>
      <c r="E50" s="27">
        <v>4276231</v>
      </c>
      <c r="F50" s="28">
        <v>29660510914</v>
      </c>
    </row>
    <row r="51" spans="1:6" x14ac:dyDescent="0.2">
      <c r="A51" s="11" t="s">
        <v>49</v>
      </c>
      <c r="B51" s="12" t="s">
        <v>92</v>
      </c>
      <c r="C51" s="26">
        <v>3094809233</v>
      </c>
      <c r="D51" s="26">
        <v>1831675152</v>
      </c>
      <c r="E51" s="27">
        <v>12202472</v>
      </c>
      <c r="F51" s="28">
        <v>4938686857</v>
      </c>
    </row>
    <row r="52" spans="1:6" x14ac:dyDescent="0.2">
      <c r="A52" s="11" t="s">
        <v>50</v>
      </c>
      <c r="B52" s="12" t="s">
        <v>92</v>
      </c>
      <c r="C52" s="26">
        <v>209098851096</v>
      </c>
      <c r="D52" s="26">
        <v>16614910363</v>
      </c>
      <c r="E52" s="27">
        <v>51894007</v>
      </c>
      <c r="F52" s="28">
        <v>225765655466</v>
      </c>
    </row>
    <row r="53" spans="1:6" x14ac:dyDescent="0.2">
      <c r="A53" s="11" t="s">
        <v>51</v>
      </c>
      <c r="B53" s="12" t="s">
        <v>92</v>
      </c>
      <c r="C53" s="26">
        <v>45654755729</v>
      </c>
      <c r="D53" s="26">
        <v>3516169412</v>
      </c>
      <c r="E53" s="27">
        <v>6843648</v>
      </c>
      <c r="F53" s="28">
        <v>49177768789</v>
      </c>
    </row>
    <row r="54" spans="1:6" x14ac:dyDescent="0.2">
      <c r="A54" s="11" t="s">
        <v>52</v>
      </c>
      <c r="B54" s="12" t="s">
        <v>92</v>
      </c>
      <c r="C54" s="26">
        <v>281245711418</v>
      </c>
      <c r="D54" s="26">
        <v>12900710255</v>
      </c>
      <c r="E54" s="27">
        <v>194136464</v>
      </c>
      <c r="F54" s="28">
        <v>294340558137</v>
      </c>
    </row>
    <row r="55" spans="1:6" x14ac:dyDescent="0.2">
      <c r="A55" s="11" t="s">
        <v>53</v>
      </c>
      <c r="B55" s="12" t="s">
        <v>92</v>
      </c>
      <c r="C55" s="26">
        <v>48849028643</v>
      </c>
      <c r="D55" s="26">
        <v>3377605157</v>
      </c>
      <c r="E55" s="27">
        <v>22967160</v>
      </c>
      <c r="F55" s="28">
        <v>52249600960</v>
      </c>
    </row>
    <row r="56" spans="1:6" x14ac:dyDescent="0.2">
      <c r="A56" s="11" t="s">
        <v>54</v>
      </c>
      <c r="B56" s="12" t="s">
        <v>92</v>
      </c>
      <c r="C56" s="26">
        <v>129912182436</v>
      </c>
      <c r="D56" s="26">
        <v>6715815759</v>
      </c>
      <c r="E56" s="27">
        <v>13399405</v>
      </c>
      <c r="F56" s="28">
        <v>136641397600</v>
      </c>
    </row>
    <row r="57" spans="1:6" x14ac:dyDescent="0.2">
      <c r="A57" s="11" t="s">
        <v>55</v>
      </c>
      <c r="B57" s="12" t="s">
        <v>92</v>
      </c>
      <c r="C57" s="26">
        <v>56606011959</v>
      </c>
      <c r="D57" s="26">
        <v>8680488333</v>
      </c>
      <c r="E57" s="27">
        <v>134656032</v>
      </c>
      <c r="F57" s="28">
        <v>65421156324</v>
      </c>
    </row>
    <row r="58" spans="1:6" x14ac:dyDescent="0.2">
      <c r="A58" s="11" t="s">
        <v>56</v>
      </c>
      <c r="B58" s="12" t="s">
        <v>92</v>
      </c>
      <c r="C58" s="26">
        <v>5539277361</v>
      </c>
      <c r="D58" s="26">
        <v>1793049045</v>
      </c>
      <c r="E58" s="27">
        <v>18446146</v>
      </c>
      <c r="F58" s="28">
        <v>7350772552</v>
      </c>
    </row>
    <row r="59" spans="1:6" x14ac:dyDescent="0.2">
      <c r="A59" s="11" t="s">
        <v>2</v>
      </c>
      <c r="B59" s="12" t="s">
        <v>92</v>
      </c>
      <c r="C59" s="26">
        <v>46513228839</v>
      </c>
      <c r="D59" s="26">
        <v>1790060338</v>
      </c>
      <c r="E59" s="27">
        <v>42547676</v>
      </c>
      <c r="F59" s="28">
        <v>48345836853</v>
      </c>
    </row>
    <row r="60" spans="1:6" x14ac:dyDescent="0.2">
      <c r="A60" s="11" t="s">
        <v>3</v>
      </c>
      <c r="B60" s="12" t="s">
        <v>92</v>
      </c>
      <c r="C60" s="26">
        <v>33315696704</v>
      </c>
      <c r="D60" s="26">
        <v>5099458957</v>
      </c>
      <c r="E60" s="27">
        <v>59207856</v>
      </c>
      <c r="F60" s="28">
        <v>38474363517</v>
      </c>
    </row>
    <row r="61" spans="1:6" x14ac:dyDescent="0.2">
      <c r="A61" s="11" t="s">
        <v>57</v>
      </c>
      <c r="B61" s="12" t="s">
        <v>92</v>
      </c>
      <c r="C61" s="26">
        <v>18031426502</v>
      </c>
      <c r="D61" s="26">
        <v>971950108</v>
      </c>
      <c r="E61" s="27">
        <v>3995341</v>
      </c>
      <c r="F61" s="28">
        <v>19007371951</v>
      </c>
    </row>
    <row r="62" spans="1:6" x14ac:dyDescent="0.2">
      <c r="A62" s="11" t="s">
        <v>58</v>
      </c>
      <c r="B62" s="12" t="s">
        <v>92</v>
      </c>
      <c r="C62" s="26">
        <v>93079101944</v>
      </c>
      <c r="D62" s="26">
        <v>3193004350</v>
      </c>
      <c r="E62" s="27">
        <v>937586</v>
      </c>
      <c r="F62" s="28">
        <v>96273043880</v>
      </c>
    </row>
    <row r="63" spans="1:6" x14ac:dyDescent="0.2">
      <c r="A63" s="11" t="s">
        <v>59</v>
      </c>
      <c r="B63" s="12" t="s">
        <v>92</v>
      </c>
      <c r="C63" s="26">
        <v>50623905313</v>
      </c>
      <c r="D63" s="26">
        <v>3005420631</v>
      </c>
      <c r="E63" s="27">
        <v>12303219</v>
      </c>
      <c r="F63" s="28">
        <v>53641629163</v>
      </c>
    </row>
    <row r="64" spans="1:6" x14ac:dyDescent="0.2">
      <c r="A64" s="11" t="s">
        <v>60</v>
      </c>
      <c r="B64" s="12" t="s">
        <v>92</v>
      </c>
      <c r="C64" s="26">
        <v>20226915835</v>
      </c>
      <c r="D64" s="26">
        <v>1182512751</v>
      </c>
      <c r="E64" s="27">
        <v>17280208</v>
      </c>
      <c r="F64" s="28">
        <v>21426708794</v>
      </c>
    </row>
    <row r="65" spans="1:6" x14ac:dyDescent="0.2">
      <c r="A65" s="11" t="s">
        <v>61</v>
      </c>
      <c r="B65" s="12" t="s">
        <v>92</v>
      </c>
      <c r="C65" s="26">
        <v>2214469423</v>
      </c>
      <c r="D65" s="26">
        <v>763497620</v>
      </c>
      <c r="E65" s="27">
        <v>4047580</v>
      </c>
      <c r="F65" s="28">
        <v>2982014623</v>
      </c>
    </row>
    <row r="66" spans="1:6" x14ac:dyDescent="0.2">
      <c r="A66" s="11" t="s">
        <v>62</v>
      </c>
      <c r="B66" s="12" t="s">
        <v>93</v>
      </c>
      <c r="C66" s="26">
        <v>1412464038</v>
      </c>
      <c r="D66" s="26">
        <v>816176146</v>
      </c>
      <c r="E66" s="27">
        <v>2354497</v>
      </c>
      <c r="F66" s="28">
        <v>2230994681</v>
      </c>
    </row>
    <row r="67" spans="1:6" x14ac:dyDescent="0.2">
      <c r="A67" s="11" t="s">
        <v>63</v>
      </c>
      <c r="B67" s="12" t="s">
        <v>93</v>
      </c>
      <c r="C67" s="26">
        <v>481017468</v>
      </c>
      <c r="D67" s="26">
        <v>87527779</v>
      </c>
      <c r="E67" s="27">
        <v>0</v>
      </c>
      <c r="F67" s="28">
        <v>568545247</v>
      </c>
    </row>
    <row r="68" spans="1:6" x14ac:dyDescent="0.2">
      <c r="A68" s="11" t="s">
        <v>64</v>
      </c>
      <c r="B68" s="12" t="s">
        <v>92</v>
      </c>
      <c r="C68" s="26">
        <v>58690461940</v>
      </c>
      <c r="D68" s="26">
        <v>4544146115</v>
      </c>
      <c r="E68" s="27">
        <v>74368765</v>
      </c>
      <c r="F68" s="28">
        <v>63308976820</v>
      </c>
    </row>
    <row r="69" spans="1:6" x14ac:dyDescent="0.2">
      <c r="A69" s="11" t="s">
        <v>65</v>
      </c>
      <c r="B69" s="12" t="s">
        <v>93</v>
      </c>
      <c r="C69" s="26">
        <v>2513287172</v>
      </c>
      <c r="D69" s="26">
        <v>212578431</v>
      </c>
      <c r="E69" s="27">
        <v>0</v>
      </c>
      <c r="F69" s="28">
        <v>2725865603</v>
      </c>
    </row>
    <row r="70" spans="1:6" x14ac:dyDescent="0.2">
      <c r="A70" s="11" t="s">
        <v>66</v>
      </c>
      <c r="B70" s="12" t="s">
        <v>92</v>
      </c>
      <c r="C70" s="26">
        <v>33525507948</v>
      </c>
      <c r="D70" s="26">
        <v>753027345</v>
      </c>
      <c r="E70" s="27">
        <v>3457052</v>
      </c>
      <c r="F70" s="28">
        <v>34281992345</v>
      </c>
    </row>
    <row r="71" spans="1:6" x14ac:dyDescent="0.2">
      <c r="A71" s="11" t="s">
        <v>67</v>
      </c>
      <c r="B71" s="12" t="s">
        <v>93</v>
      </c>
      <c r="C71" s="26">
        <v>1297713936</v>
      </c>
      <c r="D71" s="26">
        <v>277904053</v>
      </c>
      <c r="E71" s="27">
        <v>2026994</v>
      </c>
      <c r="F71" s="28">
        <v>1577644983</v>
      </c>
    </row>
    <row r="72" spans="1:6" x14ac:dyDescent="0.2">
      <c r="A72" s="16"/>
      <c r="B72" s="17"/>
      <c r="C72" s="29"/>
      <c r="D72" s="29"/>
      <c r="E72" s="30"/>
      <c r="F72" s="31"/>
    </row>
    <row r="73" spans="1:6" ht="15.75" thickBot="1" x14ac:dyDescent="0.3">
      <c r="A73" s="19" t="s">
        <v>68</v>
      </c>
      <c r="B73" s="20"/>
      <c r="C73" s="32">
        <f>SUM(C5:C71)</f>
        <v>2952234078391</v>
      </c>
      <c r="D73" s="32">
        <f>SUM(D5:D71)</f>
        <v>201202778147</v>
      </c>
      <c r="E73" s="32">
        <f>SUM(E5:E71)</f>
        <v>1973470795</v>
      </c>
      <c r="F73" s="33">
        <f>SUM(F5:F71)</f>
        <v>3155410327333</v>
      </c>
    </row>
    <row r="75" spans="1:6" x14ac:dyDescent="0.2">
      <c r="A75" s="24" t="s">
        <v>88</v>
      </c>
    </row>
  </sheetData>
  <phoneticPr fontId="3" type="noConversion"/>
  <conditionalFormatting sqref="A75">
    <cfRule type="expression" dxfId="11" priority="1" stopIfTrue="1">
      <formula>MOD(ROW(),5)=1</formula>
    </cfRule>
  </conditionalFormatting>
  <conditionalFormatting sqref="A4:F73">
    <cfRule type="expression" dxfId="10" priority="2" stopIfTrue="1">
      <formula>MOD(ROW(),3)=1</formula>
    </cfRule>
  </conditionalFormatting>
  <pageMargins left="0.75" right="0.75" top="1" bottom="1" header="0.5" footer="0.5"/>
  <pageSetup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zoomScaleNormal="100" zoomScaleSheetLayoutView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70</v>
      </c>
      <c r="B1" s="7"/>
      <c r="C1" s="8"/>
      <c r="D1" s="7"/>
      <c r="E1" s="8"/>
      <c r="F1" s="7"/>
      <c r="G1" s="8"/>
    </row>
    <row r="2" spans="1:7" ht="15" x14ac:dyDescent="0.25">
      <c r="A2" s="9" t="s">
        <v>89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90</v>
      </c>
      <c r="D4" s="38" t="s">
        <v>91</v>
      </c>
      <c r="E4" s="38" t="s">
        <v>82</v>
      </c>
      <c r="F4" s="38" t="s">
        <v>83</v>
      </c>
      <c r="G4" s="39" t="s">
        <v>81</v>
      </c>
    </row>
    <row r="5" spans="1:7" x14ac:dyDescent="0.2">
      <c r="A5" s="11" t="s">
        <v>4</v>
      </c>
      <c r="B5" s="12" t="str">
        <f>'Assessed Value All Property'!B5</f>
        <v>R-NVAB</v>
      </c>
      <c r="C5" s="13">
        <f>'Assessed Value All Property'!F5</f>
        <v>30736914671</v>
      </c>
      <c r="D5" s="14">
        <f>((C5-E5)/E5)</f>
        <v>7.1677717587374984E-2</v>
      </c>
      <c r="E5" s="13">
        <v>28681117622</v>
      </c>
      <c r="F5" s="14">
        <f>((E5-G5)/G5)</f>
        <v>3.8362955807664578E-2</v>
      </c>
      <c r="G5" s="15">
        <v>27621476153</v>
      </c>
    </row>
    <row r="6" spans="1:7" x14ac:dyDescent="0.2">
      <c r="A6" s="11" t="s">
        <v>5</v>
      </c>
      <c r="B6" s="12" t="str">
        <f>'Assessed Value All Property'!B6</f>
        <v>R-Final</v>
      </c>
      <c r="C6" s="13">
        <f>'Assessed Value All Property'!F6</f>
        <v>1972190224</v>
      </c>
      <c r="D6" s="14">
        <f t="shared" ref="D6:D69" si="0">((C6-E6)/E6)</f>
        <v>0.11618749446671728</v>
      </c>
      <c r="E6" s="13">
        <v>1766898692</v>
      </c>
      <c r="F6" s="14">
        <f t="shared" ref="F6:F69" si="1">((E6-G6)/G6)</f>
        <v>6.7385958917263275E-2</v>
      </c>
      <c r="G6" s="15">
        <v>1655351260</v>
      </c>
    </row>
    <row r="7" spans="1:7" x14ac:dyDescent="0.2">
      <c r="A7" s="11" t="s">
        <v>6</v>
      </c>
      <c r="B7" s="12" t="str">
        <f>'Assessed Value All Property'!B7</f>
        <v>R-NVAB</v>
      </c>
      <c r="C7" s="13">
        <f>'Assessed Value All Property'!F7</f>
        <v>27920315285</v>
      </c>
      <c r="D7" s="14">
        <f t="shared" si="0"/>
        <v>0.13580825067010233</v>
      </c>
      <c r="E7" s="13">
        <v>24581891590</v>
      </c>
      <c r="F7" s="14">
        <f t="shared" si="1"/>
        <v>9.6191153474099803E-2</v>
      </c>
      <c r="G7" s="15">
        <v>22424822087</v>
      </c>
    </row>
    <row r="8" spans="1:7" x14ac:dyDescent="0.2">
      <c r="A8" s="11" t="s">
        <v>7</v>
      </c>
      <c r="B8" s="12" t="str">
        <f>'Assessed Value All Property'!B8</f>
        <v>R-Final</v>
      </c>
      <c r="C8" s="13">
        <f>'Assessed Value All Property'!F8</f>
        <v>1698738994</v>
      </c>
      <c r="D8" s="14">
        <f t="shared" si="0"/>
        <v>0.10911693702370509</v>
      </c>
      <c r="E8" s="13">
        <v>1531613969</v>
      </c>
      <c r="F8" s="14">
        <f t="shared" si="1"/>
        <v>4.544800833042726E-2</v>
      </c>
      <c r="G8" s="15">
        <v>1465031218</v>
      </c>
    </row>
    <row r="9" spans="1:7" x14ac:dyDescent="0.2">
      <c r="A9" s="11" t="s">
        <v>8</v>
      </c>
      <c r="B9" s="12" t="str">
        <f>'Assessed Value All Property'!B9</f>
        <v>R-NVAB</v>
      </c>
      <c r="C9" s="13">
        <f>'Assessed Value All Property'!F9</f>
        <v>77480124167</v>
      </c>
      <c r="D9" s="14">
        <f t="shared" si="0"/>
        <v>0.11924852584948981</v>
      </c>
      <c r="E9" s="13">
        <v>69225129520</v>
      </c>
      <c r="F9" s="14">
        <f t="shared" si="1"/>
        <v>5.8888634750721328E-2</v>
      </c>
      <c r="G9" s="15">
        <v>65375269172</v>
      </c>
    </row>
    <row r="10" spans="1:7" x14ac:dyDescent="0.2">
      <c r="A10" s="11" t="s">
        <v>9</v>
      </c>
      <c r="B10" s="12" t="str">
        <f>'Assessed Value All Property'!B10</f>
        <v>R-NVAB</v>
      </c>
      <c r="C10" s="13">
        <f>'Assessed Value All Property'!F10</f>
        <v>293270879077</v>
      </c>
      <c r="D10" s="14">
        <f t="shared" si="0"/>
        <v>0.1000723289664122</v>
      </c>
      <c r="E10" s="13">
        <v>266592360661</v>
      </c>
      <c r="F10" s="14">
        <f t="shared" si="1"/>
        <v>4.5409771422399298E-2</v>
      </c>
      <c r="G10" s="15">
        <v>255012309956</v>
      </c>
    </row>
    <row r="11" spans="1:7" x14ac:dyDescent="0.2">
      <c r="A11" s="11" t="s">
        <v>10</v>
      </c>
      <c r="B11" s="12" t="str">
        <f>'Assessed Value All Property'!B11</f>
        <v>R-Final</v>
      </c>
      <c r="C11" s="13">
        <f>'Assessed Value All Property'!F11</f>
        <v>683041501</v>
      </c>
      <c r="D11" s="14">
        <f t="shared" si="0"/>
        <v>6.3022502370824129E-2</v>
      </c>
      <c r="E11" s="13">
        <v>642546606</v>
      </c>
      <c r="F11" s="14">
        <f t="shared" si="1"/>
        <v>4.3603877865065296E-2</v>
      </c>
      <c r="G11" s="15">
        <v>615699711</v>
      </c>
    </row>
    <row r="12" spans="1:7" x14ac:dyDescent="0.2">
      <c r="A12" s="11" t="s">
        <v>11</v>
      </c>
      <c r="B12" s="12" t="str">
        <f>'Assessed Value All Property'!B12</f>
        <v>R-NVAB</v>
      </c>
      <c r="C12" s="13">
        <f>'Assessed Value All Property'!F12</f>
        <v>29272653842</v>
      </c>
      <c r="D12" s="14">
        <f t="shared" si="0"/>
        <v>0.15807977635713547</v>
      </c>
      <c r="E12" s="13">
        <v>25276888898</v>
      </c>
      <c r="F12" s="14">
        <f t="shared" si="1"/>
        <v>6.3525231119129971E-2</v>
      </c>
      <c r="G12" s="15">
        <v>23767079669</v>
      </c>
    </row>
    <row r="13" spans="1:7" x14ac:dyDescent="0.2">
      <c r="A13" s="11" t="s">
        <v>12</v>
      </c>
      <c r="B13" s="12" t="str">
        <f>'Assessed Value All Property'!B13</f>
        <v>R-NVAB</v>
      </c>
      <c r="C13" s="13">
        <f>'Assessed Value All Property'!F13</f>
        <v>16023912656</v>
      </c>
      <c r="D13" s="14">
        <f t="shared" si="0"/>
        <v>7.9021032165067132E-2</v>
      </c>
      <c r="E13" s="13">
        <v>14850417349</v>
      </c>
      <c r="F13" s="14">
        <f t="shared" si="1"/>
        <v>4.474780995646941E-2</v>
      </c>
      <c r="G13" s="15">
        <v>14214356046</v>
      </c>
    </row>
    <row r="14" spans="1:7" x14ac:dyDescent="0.2">
      <c r="A14" s="11" t="s">
        <v>13</v>
      </c>
      <c r="B14" s="12" t="str">
        <f>'Assessed Value All Property'!B14</f>
        <v>R-NVAB</v>
      </c>
      <c r="C14" s="13">
        <f>'Assessed Value All Property'!F14</f>
        <v>19901847988</v>
      </c>
      <c r="D14" s="14">
        <f t="shared" si="0"/>
        <v>0.11028737112769146</v>
      </c>
      <c r="E14" s="13">
        <v>17924952139</v>
      </c>
      <c r="F14" s="14">
        <f t="shared" si="1"/>
        <v>6.0740808621407884E-2</v>
      </c>
      <c r="G14" s="15">
        <v>16898522234</v>
      </c>
    </row>
    <row r="15" spans="1:7" x14ac:dyDescent="0.2">
      <c r="A15" s="11" t="s">
        <v>14</v>
      </c>
      <c r="B15" s="12" t="str">
        <f>'Assessed Value All Property'!B15</f>
        <v>R-NVAB</v>
      </c>
      <c r="C15" s="13">
        <f>'Assessed Value All Property'!F15</f>
        <v>134550994818</v>
      </c>
      <c r="D15" s="14">
        <f t="shared" si="0"/>
        <v>0.15693562838112804</v>
      </c>
      <c r="E15" s="13">
        <v>116299465171</v>
      </c>
      <c r="F15" s="14">
        <f t="shared" si="1"/>
        <v>5.4575883214474513E-2</v>
      </c>
      <c r="G15" s="15">
        <v>110280793466</v>
      </c>
    </row>
    <row r="16" spans="1:7" x14ac:dyDescent="0.2">
      <c r="A16" s="11" t="s">
        <v>15</v>
      </c>
      <c r="B16" s="12" t="str">
        <f>'Assessed Value All Property'!B16</f>
        <v>R-NVAB</v>
      </c>
      <c r="C16" s="13">
        <f>'Assessed Value All Property'!F16</f>
        <v>5153551261</v>
      </c>
      <c r="D16" s="14">
        <f t="shared" si="0"/>
        <v>0.10145602643106372</v>
      </c>
      <c r="E16" s="13">
        <v>4678853388</v>
      </c>
      <c r="F16" s="14">
        <f t="shared" si="1"/>
        <v>7.3345105700488425E-2</v>
      </c>
      <c r="G16" s="15">
        <v>4359132364</v>
      </c>
    </row>
    <row r="17" spans="1:7" x14ac:dyDescent="0.2">
      <c r="A17" s="11" t="s">
        <v>78</v>
      </c>
      <c r="B17" s="12" t="str">
        <f>'Assessed Value All Property'!B17</f>
        <v>R-NVAB</v>
      </c>
      <c r="C17" s="13">
        <f>'Assessed Value All Property'!F17</f>
        <v>439151346666</v>
      </c>
      <c r="D17" s="14">
        <f t="shared" si="0"/>
        <v>0.12261573895585874</v>
      </c>
      <c r="E17" s="13">
        <v>391185809558</v>
      </c>
      <c r="F17" s="14">
        <f t="shared" si="1"/>
        <v>4.3565544443541285E-2</v>
      </c>
      <c r="G17" s="15">
        <v>374855045417</v>
      </c>
    </row>
    <row r="18" spans="1:7" x14ac:dyDescent="0.2">
      <c r="A18" s="11" t="s">
        <v>16</v>
      </c>
      <c r="B18" s="12" t="str">
        <f>'Assessed Value All Property'!B18</f>
        <v>R-NVAB</v>
      </c>
      <c r="C18" s="13">
        <f>'Assessed Value All Property'!F18</f>
        <v>3012349695</v>
      </c>
      <c r="D18" s="14">
        <f t="shared" si="0"/>
        <v>0.10602974510328371</v>
      </c>
      <c r="E18" s="13">
        <v>2723570237</v>
      </c>
      <c r="F18" s="14">
        <f t="shared" si="1"/>
        <v>3.4700977516317885E-2</v>
      </c>
      <c r="G18" s="15">
        <v>2632229307</v>
      </c>
    </row>
    <row r="19" spans="1:7" x14ac:dyDescent="0.2">
      <c r="A19" s="11" t="s">
        <v>17</v>
      </c>
      <c r="B19" s="12" t="str">
        <f>'Assessed Value All Property'!B19</f>
        <v>R-Final</v>
      </c>
      <c r="C19" s="13">
        <f>'Assessed Value All Property'!F19</f>
        <v>1001600681</v>
      </c>
      <c r="D19" s="14">
        <f t="shared" si="0"/>
        <v>9.2553788924768399E-2</v>
      </c>
      <c r="E19" s="13">
        <v>916751826</v>
      </c>
      <c r="F19" s="14">
        <f t="shared" si="1"/>
        <v>2.9262282121369165E-2</v>
      </c>
      <c r="G19" s="15">
        <v>890688255</v>
      </c>
    </row>
    <row r="20" spans="1:7" x14ac:dyDescent="0.2">
      <c r="A20" s="11" t="s">
        <v>18</v>
      </c>
      <c r="B20" s="12" t="str">
        <f>'Assessed Value All Property'!B20</f>
        <v>R-NVAB</v>
      </c>
      <c r="C20" s="13">
        <f>'Assessed Value All Property'!F20</f>
        <v>120232454440</v>
      </c>
      <c r="D20" s="14">
        <f t="shared" si="0"/>
        <v>0.1164780857798489</v>
      </c>
      <c r="E20" s="13">
        <v>107689041076</v>
      </c>
      <c r="F20" s="14">
        <f t="shared" si="1"/>
        <v>5.9851477185048192E-2</v>
      </c>
      <c r="G20" s="15">
        <v>101607671824</v>
      </c>
    </row>
    <row r="21" spans="1:7" x14ac:dyDescent="0.2">
      <c r="A21" s="11" t="s">
        <v>19</v>
      </c>
      <c r="B21" s="12" t="str">
        <f>'Assessed Value All Property'!B21</f>
        <v>R-NVAB</v>
      </c>
      <c r="C21" s="13">
        <f>'Assessed Value All Property'!F21</f>
        <v>34461139126</v>
      </c>
      <c r="D21" s="14">
        <f t="shared" si="0"/>
        <v>0.12570362048414735</v>
      </c>
      <c r="E21" s="13">
        <v>30612977074</v>
      </c>
      <c r="F21" s="14">
        <f t="shared" si="1"/>
        <v>5.2650403748791888E-2</v>
      </c>
      <c r="G21" s="15">
        <v>29081808134</v>
      </c>
    </row>
    <row r="22" spans="1:7" x14ac:dyDescent="0.2">
      <c r="A22" s="11" t="s">
        <v>20</v>
      </c>
      <c r="B22" s="12" t="str">
        <f>'Assessed Value All Property'!B22</f>
        <v>R-NVAB</v>
      </c>
      <c r="C22" s="13">
        <f>'Assessed Value All Property'!F22</f>
        <v>16166448097</v>
      </c>
      <c r="D22" s="14">
        <f t="shared" si="0"/>
        <v>0.16667434186388103</v>
      </c>
      <c r="E22" s="13">
        <v>13856864351</v>
      </c>
      <c r="F22" s="14">
        <f t="shared" si="1"/>
        <v>7.9963838806149379E-2</v>
      </c>
      <c r="G22" s="15">
        <v>12830859565</v>
      </c>
    </row>
    <row r="23" spans="1:7" x14ac:dyDescent="0.2">
      <c r="A23" s="11" t="s">
        <v>21</v>
      </c>
      <c r="B23" s="12" t="str">
        <f>'Assessed Value All Property'!B23</f>
        <v>R-Final</v>
      </c>
      <c r="C23" s="13">
        <f>'Assessed Value All Property'!F23</f>
        <v>3395898868</v>
      </c>
      <c r="D23" s="14">
        <f t="shared" si="0"/>
        <v>0.10319525458864837</v>
      </c>
      <c r="E23" s="13">
        <v>3078239191</v>
      </c>
      <c r="F23" s="14">
        <f t="shared" si="1"/>
        <v>6.6870955978645674E-2</v>
      </c>
      <c r="G23" s="15">
        <v>2885296646</v>
      </c>
    </row>
    <row r="24" spans="1:7" x14ac:dyDescent="0.2">
      <c r="A24" s="11" t="s">
        <v>22</v>
      </c>
      <c r="B24" s="12" t="str">
        <f>'Assessed Value All Property'!B24</f>
        <v>R-Final</v>
      </c>
      <c r="C24" s="13">
        <f>'Assessed Value All Property'!F24</f>
        <v>2756408516</v>
      </c>
      <c r="D24" s="14">
        <f t="shared" si="0"/>
        <v>6.2308977913643281E-2</v>
      </c>
      <c r="E24" s="13">
        <v>2594733334</v>
      </c>
      <c r="F24" s="14">
        <f t="shared" si="1"/>
        <v>5.4565974839482945E-2</v>
      </c>
      <c r="G24" s="15">
        <v>2460475111</v>
      </c>
    </row>
    <row r="25" spans="1:7" x14ac:dyDescent="0.2">
      <c r="A25" s="11" t="s">
        <v>23</v>
      </c>
      <c r="B25" s="12" t="str">
        <f>'Assessed Value All Property'!B25</f>
        <v>R-Final</v>
      </c>
      <c r="C25" s="13">
        <f>'Assessed Value All Property'!F25</f>
        <v>1408220863</v>
      </c>
      <c r="D25" s="14">
        <f t="shared" si="0"/>
        <v>8.8157918796847312E-2</v>
      </c>
      <c r="E25" s="13">
        <v>1294132808</v>
      </c>
      <c r="F25" s="14">
        <f t="shared" si="1"/>
        <v>8.8479822376304348E-2</v>
      </c>
      <c r="G25" s="15">
        <v>1188935965</v>
      </c>
    </row>
    <row r="26" spans="1:7" x14ac:dyDescent="0.2">
      <c r="A26" s="11" t="s">
        <v>24</v>
      </c>
      <c r="B26" s="12" t="str">
        <f>'Assessed Value All Property'!B26</f>
        <v>R-Final</v>
      </c>
      <c r="C26" s="13">
        <f>'Assessed Value All Property'!F26</f>
        <v>1877969478</v>
      </c>
      <c r="D26" s="14">
        <f t="shared" si="0"/>
        <v>9.9945020949238531E-2</v>
      </c>
      <c r="E26" s="13">
        <v>1707330314</v>
      </c>
      <c r="F26" s="14">
        <f t="shared" si="1"/>
        <v>4.3772332845884068E-2</v>
      </c>
      <c r="G26" s="15">
        <v>1635730571</v>
      </c>
    </row>
    <row r="27" spans="1:7" x14ac:dyDescent="0.2">
      <c r="A27" s="11" t="s">
        <v>25</v>
      </c>
      <c r="B27" s="12" t="str">
        <f>'Assessed Value All Property'!B27</f>
        <v>R-Final</v>
      </c>
      <c r="C27" s="13">
        <f>'Assessed Value All Property'!F27</f>
        <v>3278191232</v>
      </c>
      <c r="D27" s="14">
        <f t="shared" si="0"/>
        <v>0.17739283458626842</v>
      </c>
      <c r="E27" s="13">
        <v>2784279924</v>
      </c>
      <c r="F27" s="14">
        <f t="shared" si="1"/>
        <v>9.7875160807162603E-2</v>
      </c>
      <c r="G27" s="15">
        <v>2536062408</v>
      </c>
    </row>
    <row r="28" spans="1:7" x14ac:dyDescent="0.2">
      <c r="A28" s="11" t="s">
        <v>26</v>
      </c>
      <c r="B28" s="12" t="str">
        <f>'Assessed Value All Property'!B28</f>
        <v>R-Final</v>
      </c>
      <c r="C28" s="13">
        <f>'Assessed Value All Property'!F28</f>
        <v>1410862524</v>
      </c>
      <c r="D28" s="14">
        <f t="shared" si="0"/>
        <v>9.6357382232365174E-2</v>
      </c>
      <c r="E28" s="13">
        <v>1286863706</v>
      </c>
      <c r="F28" s="14">
        <f t="shared" si="1"/>
        <v>6.3213889387888789E-3</v>
      </c>
      <c r="G28" s="15">
        <v>1278780040</v>
      </c>
    </row>
    <row r="29" spans="1:7" x14ac:dyDescent="0.2">
      <c r="A29" s="11" t="s">
        <v>27</v>
      </c>
      <c r="B29" s="12" t="str">
        <f>'Assessed Value All Property'!B29</f>
        <v>R-NVAB</v>
      </c>
      <c r="C29" s="13">
        <f>'Assessed Value All Property'!F29</f>
        <v>2575736946</v>
      </c>
      <c r="D29" s="14">
        <f t="shared" si="0"/>
        <v>0.11488850307700593</v>
      </c>
      <c r="E29" s="13">
        <v>2310309003</v>
      </c>
      <c r="F29" s="14">
        <f t="shared" si="1"/>
        <v>3.1143008492492054E-2</v>
      </c>
      <c r="G29" s="15">
        <v>2240532093</v>
      </c>
    </row>
    <row r="30" spans="1:7" x14ac:dyDescent="0.2">
      <c r="A30" s="11" t="s">
        <v>28</v>
      </c>
      <c r="B30" s="12" t="str">
        <f>'Assessed Value All Property'!B30</f>
        <v>R-NVAB</v>
      </c>
      <c r="C30" s="13">
        <f>'Assessed Value All Property'!F30</f>
        <v>5059439412</v>
      </c>
      <c r="D30" s="14">
        <f t="shared" si="0"/>
        <v>0.16888249600733132</v>
      </c>
      <c r="E30" s="13">
        <v>4328441421</v>
      </c>
      <c r="F30" s="14">
        <f t="shared" si="1"/>
        <v>7.4108639279655705E-2</v>
      </c>
      <c r="G30" s="15">
        <v>4029798535</v>
      </c>
    </row>
    <row r="31" spans="1:7" x14ac:dyDescent="0.2">
      <c r="A31" s="11" t="s">
        <v>29</v>
      </c>
      <c r="B31" s="12" t="str">
        <f>'Assessed Value All Property'!B31</f>
        <v>R-NVAB</v>
      </c>
      <c r="C31" s="13">
        <f>'Assessed Value All Property'!F31</f>
        <v>17902325691</v>
      </c>
      <c r="D31" s="14">
        <f t="shared" si="0"/>
        <v>0.14866609139005205</v>
      </c>
      <c r="E31" s="13">
        <v>15585317461</v>
      </c>
      <c r="F31" s="14">
        <f t="shared" si="1"/>
        <v>7.1052212697246805E-2</v>
      </c>
      <c r="G31" s="15">
        <v>14551407743</v>
      </c>
    </row>
    <row r="32" spans="1:7" x14ac:dyDescent="0.2">
      <c r="A32" s="11" t="s">
        <v>30</v>
      </c>
      <c r="B32" s="12" t="str">
        <f>'Assessed Value All Property'!B32</f>
        <v>R-NVAB</v>
      </c>
      <c r="C32" s="13">
        <f>'Assessed Value All Property'!F32</f>
        <v>8829136312</v>
      </c>
      <c r="D32" s="14">
        <f t="shared" si="0"/>
        <v>0.1154603256734987</v>
      </c>
      <c r="E32" s="13">
        <v>7915240111</v>
      </c>
      <c r="F32" s="14">
        <f t="shared" si="1"/>
        <v>5.201691715227072E-2</v>
      </c>
      <c r="G32" s="15">
        <v>7523871510</v>
      </c>
    </row>
    <row r="33" spans="1:7" x14ac:dyDescent="0.2">
      <c r="A33" s="11" t="s">
        <v>31</v>
      </c>
      <c r="B33" s="12" t="str">
        <f>'Assessed Value All Property'!B33</f>
        <v>R-NVAB</v>
      </c>
      <c r="C33" s="13">
        <f>'Assessed Value All Property'!F33</f>
        <v>176436695008</v>
      </c>
      <c r="D33" s="14">
        <f t="shared" si="0"/>
        <v>0.13695154226677961</v>
      </c>
      <c r="E33" s="13">
        <v>155184006045</v>
      </c>
      <c r="F33" s="14">
        <f t="shared" si="1"/>
        <v>7.9281362033661859E-2</v>
      </c>
      <c r="G33" s="15">
        <v>143784569533</v>
      </c>
    </row>
    <row r="34" spans="1:7" x14ac:dyDescent="0.2">
      <c r="A34" s="11" t="s">
        <v>32</v>
      </c>
      <c r="B34" s="12" t="str">
        <f>'Assessed Value All Property'!B34</f>
        <v>R-Final</v>
      </c>
      <c r="C34" s="13">
        <f>'Assessed Value All Property'!F34</f>
        <v>884599809</v>
      </c>
      <c r="D34" s="14">
        <f t="shared" si="0"/>
        <v>6.3408201710754161E-2</v>
      </c>
      <c r="E34" s="13">
        <v>831853476</v>
      </c>
      <c r="F34" s="14">
        <f t="shared" si="1"/>
        <v>3.8298299991567586E-2</v>
      </c>
      <c r="G34" s="15">
        <v>801170026</v>
      </c>
    </row>
    <row r="35" spans="1:7" x14ac:dyDescent="0.2">
      <c r="A35" s="11" t="s">
        <v>33</v>
      </c>
      <c r="B35" s="12" t="str">
        <f>'Assessed Value All Property'!B35</f>
        <v>R-NVAB</v>
      </c>
      <c r="C35" s="13">
        <f>'Assessed Value All Property'!F35</f>
        <v>27752080059</v>
      </c>
      <c r="D35" s="14">
        <f t="shared" si="0"/>
        <v>0.11993114499649454</v>
      </c>
      <c r="E35" s="13">
        <v>24780166337</v>
      </c>
      <c r="F35" s="14">
        <f t="shared" si="1"/>
        <v>4.8955230943790291E-2</v>
      </c>
      <c r="G35" s="15">
        <v>23623664391</v>
      </c>
    </row>
    <row r="36" spans="1:7" x14ac:dyDescent="0.2">
      <c r="A36" s="11" t="s">
        <v>34</v>
      </c>
      <c r="B36" s="12" t="str">
        <f>'Assessed Value All Property'!B36</f>
        <v>R-Final</v>
      </c>
      <c r="C36" s="13">
        <f>'Assessed Value All Property'!F36</f>
        <v>2916553125</v>
      </c>
      <c r="D36" s="14">
        <f t="shared" si="0"/>
        <v>7.637661406565513E-2</v>
      </c>
      <c r="E36" s="13">
        <v>2709602835</v>
      </c>
      <c r="F36" s="14">
        <f t="shared" si="1"/>
        <v>6.2134684271070183E-2</v>
      </c>
      <c r="G36" s="15">
        <v>2551091566</v>
      </c>
    </row>
    <row r="37" spans="1:7" x14ac:dyDescent="0.2">
      <c r="A37" s="11" t="s">
        <v>35</v>
      </c>
      <c r="B37" s="12" t="str">
        <f>'Assessed Value All Property'!B37</f>
        <v>R-NVAB</v>
      </c>
      <c r="C37" s="13">
        <f>'Assessed Value All Property'!F37</f>
        <v>1168076532</v>
      </c>
      <c r="D37" s="14">
        <f t="shared" si="0"/>
        <v>0.10566569601857952</v>
      </c>
      <c r="E37" s="13">
        <v>1056446389</v>
      </c>
      <c r="F37" s="14">
        <f t="shared" si="1"/>
        <v>5.4189764036359667E-2</v>
      </c>
      <c r="G37" s="15">
        <v>1002140625</v>
      </c>
    </row>
    <row r="38" spans="1:7" x14ac:dyDescent="0.2">
      <c r="A38" s="11" t="s">
        <v>36</v>
      </c>
      <c r="B38" s="12" t="str">
        <f>'Assessed Value All Property'!B38</f>
        <v>R-Final</v>
      </c>
      <c r="C38" s="13">
        <f>'Assessed Value All Property'!F38</f>
        <v>505708092</v>
      </c>
      <c r="D38" s="14">
        <f t="shared" si="0"/>
        <v>6.4383334556958188E-2</v>
      </c>
      <c r="E38" s="13">
        <v>475118386</v>
      </c>
      <c r="F38" s="14">
        <f t="shared" si="1"/>
        <v>3.3066161437209515E-2</v>
      </c>
      <c r="G38" s="15">
        <v>459910898</v>
      </c>
    </row>
    <row r="39" spans="1:7" x14ac:dyDescent="0.2">
      <c r="A39" s="11" t="s">
        <v>37</v>
      </c>
      <c r="B39" s="12" t="str">
        <f>'Assessed Value All Property'!B39</f>
        <v>R-NVAB</v>
      </c>
      <c r="C39" s="13">
        <f>'Assessed Value All Property'!F39</f>
        <v>38719178134</v>
      </c>
      <c r="D39" s="14">
        <f t="shared" si="0"/>
        <v>0.12647202696856155</v>
      </c>
      <c r="E39" s="13">
        <v>34372072459</v>
      </c>
      <c r="F39" s="14">
        <f t="shared" si="1"/>
        <v>6.825041152609275E-2</v>
      </c>
      <c r="G39" s="15">
        <v>32176044201</v>
      </c>
    </row>
    <row r="40" spans="1:7" x14ac:dyDescent="0.2">
      <c r="A40" s="11" t="s">
        <v>38</v>
      </c>
      <c r="B40" s="12" t="str">
        <f>'Assessed Value All Property'!B40</f>
        <v>R-NVAB</v>
      </c>
      <c r="C40" s="13">
        <f>'Assessed Value All Property'!F40</f>
        <v>131848395018</v>
      </c>
      <c r="D40" s="14">
        <f t="shared" si="0"/>
        <v>0.15899781085855061</v>
      </c>
      <c r="E40" s="13">
        <v>113760693750</v>
      </c>
      <c r="F40" s="14">
        <f t="shared" si="1"/>
        <v>7.3056969837033622E-2</v>
      </c>
      <c r="G40" s="15">
        <v>106015521028</v>
      </c>
    </row>
    <row r="41" spans="1:7" x14ac:dyDescent="0.2">
      <c r="A41" s="11" t="s">
        <v>39</v>
      </c>
      <c r="B41" s="12" t="str">
        <f>'Assessed Value All Property'!B41</f>
        <v>R-NVAB</v>
      </c>
      <c r="C41" s="13">
        <f>'Assessed Value All Property'!F41</f>
        <v>32008339940</v>
      </c>
      <c r="D41" s="14">
        <f t="shared" si="0"/>
        <v>7.8483744717686529E-2</v>
      </c>
      <c r="E41" s="13">
        <v>29679019361</v>
      </c>
      <c r="F41" s="14">
        <f t="shared" si="1"/>
        <v>3.7746929096956712E-2</v>
      </c>
      <c r="G41" s="15">
        <v>28599476933</v>
      </c>
    </row>
    <row r="42" spans="1:7" x14ac:dyDescent="0.2">
      <c r="A42" s="11" t="s">
        <v>40</v>
      </c>
      <c r="B42" s="12" t="str">
        <f>'Assessed Value All Property'!B42</f>
        <v>R-Final</v>
      </c>
      <c r="C42" s="13">
        <f>'Assessed Value All Property'!F42</f>
        <v>3470426150</v>
      </c>
      <c r="D42" s="14">
        <f t="shared" si="0"/>
        <v>9.6780077407255888E-2</v>
      </c>
      <c r="E42" s="13">
        <v>3164195103</v>
      </c>
      <c r="F42" s="14">
        <f t="shared" si="1"/>
        <v>6.3832276550226719E-2</v>
      </c>
      <c r="G42" s="15">
        <v>2974336437</v>
      </c>
    </row>
    <row r="43" spans="1:7" x14ac:dyDescent="0.2">
      <c r="A43" s="11" t="s">
        <v>41</v>
      </c>
      <c r="B43" s="12" t="str">
        <f>'Assessed Value All Property'!B43</f>
        <v>R-Final</v>
      </c>
      <c r="C43" s="13">
        <f>'Assessed Value All Property'!F43</f>
        <v>772686671</v>
      </c>
      <c r="D43" s="14">
        <f t="shared" si="0"/>
        <v>4.1809062222498694E-2</v>
      </c>
      <c r="E43" s="13">
        <v>741677817</v>
      </c>
      <c r="F43" s="14">
        <f t="shared" si="1"/>
        <v>5.0771590049285026E-2</v>
      </c>
      <c r="G43" s="15">
        <v>705841140</v>
      </c>
    </row>
    <row r="44" spans="1:7" x14ac:dyDescent="0.2">
      <c r="A44" s="11" t="s">
        <v>42</v>
      </c>
      <c r="B44" s="12" t="str">
        <f>'Assessed Value All Property'!B44</f>
        <v>R-NVAB</v>
      </c>
      <c r="C44" s="13">
        <f>'Assessed Value All Property'!F44</f>
        <v>1230463622</v>
      </c>
      <c r="D44" s="14">
        <f t="shared" si="0"/>
        <v>0.11686995725907758</v>
      </c>
      <c r="E44" s="13">
        <v>1101707154</v>
      </c>
      <c r="F44" s="14">
        <f t="shared" si="1"/>
        <v>5.5985373839686457E-2</v>
      </c>
      <c r="G44" s="15">
        <v>1043297740</v>
      </c>
    </row>
    <row r="45" spans="1:7" x14ac:dyDescent="0.2">
      <c r="A45" s="11" t="s">
        <v>43</v>
      </c>
      <c r="B45" s="12" t="str">
        <f>'Assessed Value All Property'!B45</f>
        <v>R-NVAB</v>
      </c>
      <c r="C45" s="13">
        <f>'Assessed Value All Property'!F45</f>
        <v>61116522281</v>
      </c>
      <c r="D45" s="14">
        <f t="shared" si="0"/>
        <v>0.16455911505668852</v>
      </c>
      <c r="E45" s="13">
        <v>52480394933</v>
      </c>
      <c r="F45" s="14">
        <f t="shared" si="1"/>
        <v>7.3357471328135859E-2</v>
      </c>
      <c r="G45" s="15">
        <v>48893678327</v>
      </c>
    </row>
    <row r="46" spans="1:7" x14ac:dyDescent="0.2">
      <c r="A46" s="11" t="s">
        <v>44</v>
      </c>
      <c r="B46" s="12" t="str">
        <f>'Assessed Value All Property'!B46</f>
        <v>R-NVAB</v>
      </c>
      <c r="C46" s="13">
        <f>'Assessed Value All Property'!F46</f>
        <v>33862996717</v>
      </c>
      <c r="D46" s="14">
        <f t="shared" si="0"/>
        <v>0.13801812470255179</v>
      </c>
      <c r="E46" s="13">
        <v>29756113705</v>
      </c>
      <c r="F46" s="14">
        <f t="shared" si="1"/>
        <v>7.1677683071079898E-2</v>
      </c>
      <c r="G46" s="15">
        <v>27765917099</v>
      </c>
    </row>
    <row r="47" spans="1:7" x14ac:dyDescent="0.2">
      <c r="A47" s="11" t="s">
        <v>45</v>
      </c>
      <c r="B47" s="12" t="str">
        <f>'Assessed Value All Property'!B47</f>
        <v>R-NVAB</v>
      </c>
      <c r="C47" s="13">
        <f>'Assessed Value All Property'!F47</f>
        <v>32440032596</v>
      </c>
      <c r="D47" s="14">
        <f t="shared" si="0"/>
        <v>9.5010685065554101E-2</v>
      </c>
      <c r="E47" s="13">
        <v>29625311459</v>
      </c>
      <c r="F47" s="14">
        <f t="shared" si="1"/>
        <v>5.0215837081097094E-2</v>
      </c>
      <c r="G47" s="15">
        <v>28208783769</v>
      </c>
    </row>
    <row r="48" spans="1:7" x14ac:dyDescent="0.2">
      <c r="A48" s="11" t="s">
        <v>46</v>
      </c>
      <c r="B48" s="12" t="str">
        <f>'Assessed Value All Property'!B48</f>
        <v>R-NVAB</v>
      </c>
      <c r="C48" s="13">
        <f>'Assessed Value All Property'!F48</f>
        <v>43081798102</v>
      </c>
      <c r="D48" s="14">
        <f t="shared" si="0"/>
        <v>0.13812871309388894</v>
      </c>
      <c r="E48" s="13">
        <v>37853186205</v>
      </c>
      <c r="F48" s="14">
        <f t="shared" si="1"/>
        <v>4.7608831860536424E-2</v>
      </c>
      <c r="G48" s="15">
        <v>36132939179</v>
      </c>
    </row>
    <row r="49" spans="1:7" x14ac:dyDescent="0.2">
      <c r="A49" s="11" t="s">
        <v>47</v>
      </c>
      <c r="B49" s="12" t="str">
        <f>'Assessed Value All Property'!B49</f>
        <v>R-NVAB</v>
      </c>
      <c r="C49" s="13">
        <f>'Assessed Value All Property'!F49</f>
        <v>15619986387</v>
      </c>
      <c r="D49" s="14">
        <f t="shared" si="0"/>
        <v>0.13682669958549934</v>
      </c>
      <c r="E49" s="13">
        <v>13739989035</v>
      </c>
      <c r="F49" s="14">
        <f t="shared" si="1"/>
        <v>8.4911388175342772E-2</v>
      </c>
      <c r="G49" s="15">
        <v>12664618682</v>
      </c>
    </row>
    <row r="50" spans="1:7" x14ac:dyDescent="0.2">
      <c r="A50" s="11" t="s">
        <v>48</v>
      </c>
      <c r="B50" s="12" t="str">
        <f>'Assessed Value All Property'!B50</f>
        <v>R-NVAB</v>
      </c>
      <c r="C50" s="13">
        <f>'Assessed Value All Property'!F50</f>
        <v>29660510914</v>
      </c>
      <c r="D50" s="14">
        <f t="shared" si="0"/>
        <v>0.12683916849683119</v>
      </c>
      <c r="E50" s="13">
        <v>26321867169</v>
      </c>
      <c r="F50" s="14">
        <f t="shared" si="1"/>
        <v>5.9776100614311135E-2</v>
      </c>
      <c r="G50" s="15">
        <v>24837196417</v>
      </c>
    </row>
    <row r="51" spans="1:7" x14ac:dyDescent="0.2">
      <c r="A51" s="11" t="s">
        <v>49</v>
      </c>
      <c r="B51" s="12" t="str">
        <f>'Assessed Value All Property'!B51</f>
        <v>R-NVAB</v>
      </c>
      <c r="C51" s="13">
        <f>'Assessed Value All Property'!F51</f>
        <v>4938686857</v>
      </c>
      <c r="D51" s="14">
        <f t="shared" si="0"/>
        <v>0.11100388905103972</v>
      </c>
      <c r="E51" s="13">
        <v>4445247137</v>
      </c>
      <c r="F51" s="14">
        <f t="shared" si="1"/>
        <v>7.9194491325136784E-2</v>
      </c>
      <c r="G51" s="15">
        <v>4119041723</v>
      </c>
    </row>
    <row r="52" spans="1:7" x14ac:dyDescent="0.2">
      <c r="A52" s="11" t="s">
        <v>50</v>
      </c>
      <c r="B52" s="12" t="str">
        <f>'Assessed Value All Property'!B52</f>
        <v>R-NVAB</v>
      </c>
      <c r="C52" s="13">
        <f>'Assessed Value All Property'!F52</f>
        <v>225765655466</v>
      </c>
      <c r="D52" s="14">
        <f t="shared" si="0"/>
        <v>0.12047292499751622</v>
      </c>
      <c r="E52" s="13">
        <v>201491397453</v>
      </c>
      <c r="F52" s="14">
        <f t="shared" si="1"/>
        <v>3.4162114448809171E-2</v>
      </c>
      <c r="G52" s="15">
        <v>194835407948</v>
      </c>
    </row>
    <row r="53" spans="1:7" x14ac:dyDescent="0.2">
      <c r="A53" s="11" t="s">
        <v>51</v>
      </c>
      <c r="B53" s="12" t="str">
        <f>'Assessed Value All Property'!B53</f>
        <v>R-NVAB</v>
      </c>
      <c r="C53" s="13">
        <f>'Assessed Value All Property'!F53</f>
        <v>49177768789</v>
      </c>
      <c r="D53" s="14">
        <f t="shared" si="0"/>
        <v>0.1475228045602342</v>
      </c>
      <c r="E53" s="13">
        <v>42855591709</v>
      </c>
      <c r="F53" s="14">
        <f t="shared" si="1"/>
        <v>8.6537905994228989E-2</v>
      </c>
      <c r="G53" s="15">
        <v>39442334660</v>
      </c>
    </row>
    <row r="54" spans="1:7" x14ac:dyDescent="0.2">
      <c r="A54" s="11" t="s">
        <v>52</v>
      </c>
      <c r="B54" s="12" t="str">
        <f>'Assessed Value All Property'!B54</f>
        <v>R-NVAB</v>
      </c>
      <c r="C54" s="13">
        <f>'Assessed Value All Property'!F54</f>
        <v>294340558137</v>
      </c>
      <c r="D54" s="14">
        <f t="shared" si="0"/>
        <v>0.13932651797799009</v>
      </c>
      <c r="E54" s="13">
        <v>258346096130</v>
      </c>
      <c r="F54" s="14">
        <f t="shared" si="1"/>
        <v>5.0548112362606042E-2</v>
      </c>
      <c r="G54" s="15">
        <v>245915530274</v>
      </c>
    </row>
    <row r="55" spans="1:7" x14ac:dyDescent="0.2">
      <c r="A55" s="11" t="s">
        <v>53</v>
      </c>
      <c r="B55" s="12" t="str">
        <f>'Assessed Value All Property'!B55</f>
        <v>R-NVAB</v>
      </c>
      <c r="C55" s="13">
        <f>'Assessed Value All Property'!F55</f>
        <v>52249600960</v>
      </c>
      <c r="D55" s="14">
        <f t="shared" si="0"/>
        <v>0.14106279633495286</v>
      </c>
      <c r="E55" s="13">
        <v>45790294038</v>
      </c>
      <c r="F55" s="14">
        <f t="shared" si="1"/>
        <v>8.9526522842417716E-2</v>
      </c>
      <c r="G55" s="15">
        <v>42027700178</v>
      </c>
    </row>
    <row r="56" spans="1:7" x14ac:dyDescent="0.2">
      <c r="A56" s="11" t="s">
        <v>54</v>
      </c>
      <c r="B56" s="12" t="str">
        <f>'Assessed Value All Property'!B56</f>
        <v>R-NVAB</v>
      </c>
      <c r="C56" s="13">
        <f>'Assessed Value All Property'!F56</f>
        <v>136641397600</v>
      </c>
      <c r="D56" s="14">
        <f t="shared" si="0"/>
        <v>0.11628726250623858</v>
      </c>
      <c r="E56" s="13">
        <v>122407020298</v>
      </c>
      <c r="F56" s="14">
        <f t="shared" si="1"/>
        <v>6.3063397767682869E-2</v>
      </c>
      <c r="G56" s="15">
        <v>115145550637</v>
      </c>
    </row>
    <row r="57" spans="1:7" x14ac:dyDescent="0.2">
      <c r="A57" s="11" t="s">
        <v>55</v>
      </c>
      <c r="B57" s="12" t="str">
        <f>'Assessed Value All Property'!B57</f>
        <v>R-NVAB</v>
      </c>
      <c r="C57" s="13">
        <f>'Assessed Value All Property'!F57</f>
        <v>65421156324</v>
      </c>
      <c r="D57" s="14">
        <f t="shared" si="0"/>
        <v>0.15677989298119174</v>
      </c>
      <c r="E57" s="13">
        <v>56554541379</v>
      </c>
      <c r="F57" s="14">
        <f t="shared" si="1"/>
        <v>8.4805360398566523E-2</v>
      </c>
      <c r="G57" s="15">
        <v>52133353543</v>
      </c>
    </row>
    <row r="58" spans="1:7" x14ac:dyDescent="0.2">
      <c r="A58" s="11" t="s">
        <v>56</v>
      </c>
      <c r="B58" s="12" t="str">
        <f>'Assessed Value All Property'!B58</f>
        <v>R-NVAB</v>
      </c>
      <c r="C58" s="13">
        <f>'Assessed Value All Property'!F58</f>
        <v>7350772552</v>
      </c>
      <c r="D58" s="14">
        <f t="shared" si="0"/>
        <v>0.10074582731006439</v>
      </c>
      <c r="E58" s="13">
        <v>6677992657</v>
      </c>
      <c r="F58" s="14">
        <f t="shared" si="1"/>
        <v>5.511679329883825E-2</v>
      </c>
      <c r="G58" s="15">
        <v>6329150194</v>
      </c>
    </row>
    <row r="59" spans="1:7" x14ac:dyDescent="0.2">
      <c r="A59" s="11" t="s">
        <v>2</v>
      </c>
      <c r="B59" s="12" t="str">
        <f>'Assessed Value All Property'!B59</f>
        <v>R-NVAB</v>
      </c>
      <c r="C59" s="13">
        <f>'Assessed Value All Property'!F59</f>
        <v>48345836853</v>
      </c>
      <c r="D59" s="14">
        <f t="shared" si="0"/>
        <v>0.16424710899477105</v>
      </c>
      <c r="E59" s="13">
        <v>41525408549</v>
      </c>
      <c r="F59" s="14">
        <f t="shared" si="1"/>
        <v>9.0085011603845244E-2</v>
      </c>
      <c r="G59" s="15">
        <v>38093734073</v>
      </c>
    </row>
    <row r="60" spans="1:7" x14ac:dyDescent="0.2">
      <c r="A60" s="11" t="s">
        <v>3</v>
      </c>
      <c r="B60" s="12" t="str">
        <f>'Assessed Value All Property'!B60</f>
        <v>R-NVAB</v>
      </c>
      <c r="C60" s="13">
        <f>'Assessed Value All Property'!F60</f>
        <v>38474363517</v>
      </c>
      <c r="D60" s="14">
        <f t="shared" si="0"/>
        <v>0.15260136579030725</v>
      </c>
      <c r="E60" s="13">
        <v>33380459766</v>
      </c>
      <c r="F60" s="14">
        <f t="shared" si="1"/>
        <v>7.871999728849334E-2</v>
      </c>
      <c r="G60" s="15">
        <v>30944508167</v>
      </c>
    </row>
    <row r="61" spans="1:7" x14ac:dyDescent="0.2">
      <c r="A61" s="11" t="s">
        <v>57</v>
      </c>
      <c r="B61" s="12" t="str">
        <f>'Assessed Value All Property'!B61</f>
        <v>R-NVAB</v>
      </c>
      <c r="C61" s="13">
        <f>'Assessed Value All Property'!F61</f>
        <v>19007371951</v>
      </c>
      <c r="D61" s="14">
        <f t="shared" si="0"/>
        <v>0.1369561146859567</v>
      </c>
      <c r="E61" s="13">
        <v>16717770990</v>
      </c>
      <c r="F61" s="14">
        <f t="shared" si="1"/>
        <v>8.0447436073485243E-2</v>
      </c>
      <c r="G61" s="15">
        <v>15473007230</v>
      </c>
    </row>
    <row r="62" spans="1:7" x14ac:dyDescent="0.2">
      <c r="A62" s="11" t="s">
        <v>58</v>
      </c>
      <c r="B62" s="12" t="str">
        <f>'Assessed Value All Property'!B62</f>
        <v>R-NVAB</v>
      </c>
      <c r="C62" s="13">
        <f>'Assessed Value All Property'!F62</f>
        <v>96273043880</v>
      </c>
      <c r="D62" s="14">
        <f t="shared" si="0"/>
        <v>0.16171325748836654</v>
      </c>
      <c r="E62" s="13">
        <v>82871606448</v>
      </c>
      <c r="F62" s="14">
        <f t="shared" si="1"/>
        <v>6.7880646215280352E-2</v>
      </c>
      <c r="G62" s="15">
        <v>77603809697</v>
      </c>
    </row>
    <row r="63" spans="1:7" x14ac:dyDescent="0.2">
      <c r="A63" s="11" t="s">
        <v>59</v>
      </c>
      <c r="B63" s="12" t="str">
        <f>'Assessed Value All Property'!B63</f>
        <v>R-NVAB</v>
      </c>
      <c r="C63" s="13">
        <f>'Assessed Value All Property'!F63</f>
        <v>53641629163</v>
      </c>
      <c r="D63" s="14">
        <f t="shared" si="0"/>
        <v>0.1126783928981144</v>
      </c>
      <c r="E63" s="13">
        <v>48209464213</v>
      </c>
      <c r="F63" s="14">
        <f t="shared" si="1"/>
        <v>4.9633261752466955E-2</v>
      </c>
      <c r="G63" s="15">
        <v>45929817556</v>
      </c>
    </row>
    <row r="64" spans="1:7" x14ac:dyDescent="0.2">
      <c r="A64" s="11" t="s">
        <v>60</v>
      </c>
      <c r="B64" s="12" t="str">
        <f>'Assessed Value All Property'!B64</f>
        <v>R-NVAB</v>
      </c>
      <c r="C64" s="13">
        <f>'Assessed Value All Property'!F64</f>
        <v>21426708794</v>
      </c>
      <c r="D64" s="14">
        <f t="shared" si="0"/>
        <v>0.15416042549628675</v>
      </c>
      <c r="E64" s="13">
        <v>18564757828</v>
      </c>
      <c r="F64" s="14">
        <f t="shared" si="1"/>
        <v>8.0863900669918928E-2</v>
      </c>
      <c r="G64" s="15">
        <v>17175851480</v>
      </c>
    </row>
    <row r="65" spans="1:7" x14ac:dyDescent="0.2">
      <c r="A65" s="11" t="s">
        <v>61</v>
      </c>
      <c r="B65" s="12" t="str">
        <f>'Assessed Value All Property'!B65</f>
        <v>R-NVAB</v>
      </c>
      <c r="C65" s="13">
        <f>'Assessed Value All Property'!F65</f>
        <v>2982014623</v>
      </c>
      <c r="D65" s="14">
        <f t="shared" si="0"/>
        <v>7.4739407534231431E-2</v>
      </c>
      <c r="E65" s="13">
        <v>2774639696</v>
      </c>
      <c r="F65" s="14">
        <f t="shared" si="1"/>
        <v>5.2926812706201698E-2</v>
      </c>
      <c r="G65" s="15">
        <v>2635168620</v>
      </c>
    </row>
    <row r="66" spans="1:7" x14ac:dyDescent="0.2">
      <c r="A66" s="11" t="s">
        <v>62</v>
      </c>
      <c r="B66" s="12" t="str">
        <f>'Assessed Value All Property'!B66</f>
        <v>R-Final</v>
      </c>
      <c r="C66" s="13">
        <f>'Assessed Value All Property'!F66</f>
        <v>2230994681</v>
      </c>
      <c r="D66" s="14">
        <f t="shared" si="0"/>
        <v>6.370772240130726E-2</v>
      </c>
      <c r="E66" s="13">
        <v>2097375655</v>
      </c>
      <c r="F66" s="14">
        <f t="shared" si="1"/>
        <v>4.5241936597940104E-2</v>
      </c>
      <c r="G66" s="15">
        <v>2006593480</v>
      </c>
    </row>
    <row r="67" spans="1:7" x14ac:dyDescent="0.2">
      <c r="A67" s="11" t="s">
        <v>63</v>
      </c>
      <c r="B67" s="12" t="str">
        <f>'Assessed Value All Property'!B67</f>
        <v>R-Final</v>
      </c>
      <c r="C67" s="13">
        <f>'Assessed Value All Property'!F67</f>
        <v>568545247</v>
      </c>
      <c r="D67" s="14">
        <f t="shared" si="0"/>
        <v>5.0583739547043267E-2</v>
      </c>
      <c r="E67" s="13">
        <v>541170804</v>
      </c>
      <c r="F67" s="14">
        <f t="shared" si="1"/>
        <v>6.9665525987628346E-2</v>
      </c>
      <c r="G67" s="15">
        <v>505925255</v>
      </c>
    </row>
    <row r="68" spans="1:7" x14ac:dyDescent="0.2">
      <c r="A68" s="11" t="s">
        <v>64</v>
      </c>
      <c r="B68" s="12" t="str">
        <f>'Assessed Value All Property'!B68</f>
        <v>R-NVAB</v>
      </c>
      <c r="C68" s="13">
        <f>'Assessed Value All Property'!F68</f>
        <v>63308976820</v>
      </c>
      <c r="D68" s="14">
        <f t="shared" si="0"/>
        <v>0.12304985229198533</v>
      </c>
      <c r="E68" s="13">
        <v>56372365564</v>
      </c>
      <c r="F68" s="14">
        <f t="shared" si="1"/>
        <v>6.7343272034212684E-2</v>
      </c>
      <c r="G68" s="15">
        <v>52815590861</v>
      </c>
    </row>
    <row r="69" spans="1:7" x14ac:dyDescent="0.2">
      <c r="A69" s="11" t="s">
        <v>65</v>
      </c>
      <c r="B69" s="12" t="str">
        <f>'Assessed Value All Property'!B69</f>
        <v>R-Final</v>
      </c>
      <c r="C69" s="13">
        <f>'Assessed Value All Property'!F69</f>
        <v>2725865603</v>
      </c>
      <c r="D69" s="14">
        <f t="shared" si="0"/>
        <v>0.14025642335058106</v>
      </c>
      <c r="E69" s="13">
        <v>2390572460</v>
      </c>
      <c r="F69" s="14">
        <f t="shared" si="1"/>
        <v>8.1334574061972933E-2</v>
      </c>
      <c r="G69" s="15">
        <v>2210761144</v>
      </c>
    </row>
    <row r="70" spans="1:7" x14ac:dyDescent="0.2">
      <c r="A70" s="11" t="s">
        <v>66</v>
      </c>
      <c r="B70" s="12" t="str">
        <f>'Assessed Value All Property'!B70</f>
        <v>R-NVAB</v>
      </c>
      <c r="C70" s="13">
        <f>'Assessed Value All Property'!F70</f>
        <v>34281992345</v>
      </c>
      <c r="D70" s="14">
        <f>((C70-E70)/E70)</f>
        <v>0.22300005149890192</v>
      </c>
      <c r="E70" s="13">
        <v>28031063697</v>
      </c>
      <c r="F70" s="14">
        <f>((E70-G70)/G70)</f>
        <v>0.12678805077650013</v>
      </c>
      <c r="G70" s="15">
        <v>24876962156</v>
      </c>
    </row>
    <row r="71" spans="1:7" x14ac:dyDescent="0.2">
      <c r="A71" s="11" t="s">
        <v>67</v>
      </c>
      <c r="B71" s="12" t="str">
        <f>'Assessed Value All Property'!B71</f>
        <v>R-Final</v>
      </c>
      <c r="C71" s="13">
        <f>'Assessed Value All Property'!F71</f>
        <v>1577644983</v>
      </c>
      <c r="D71" s="14">
        <f>((C71-E71)/E71)</f>
        <v>8.6480623899879344E-2</v>
      </c>
      <c r="E71" s="13">
        <v>1452069138</v>
      </c>
      <c r="F71" s="14">
        <f>((E71-G71)/G71)</f>
        <v>5.1260485577902561E-2</v>
      </c>
      <c r="G71" s="15">
        <v>1381264832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SUM(C5:C72)</f>
        <v>3155410327333</v>
      </c>
      <c r="D73" s="22">
        <f>((C73-E73)/E73)</f>
        <v>0.12973547067968613</v>
      </c>
      <c r="E73" s="21">
        <f>SUM(E5:E72)</f>
        <v>2793052364227</v>
      </c>
      <c r="F73" s="22">
        <f>((E73-G73)/G73)</f>
        <v>5.8070449114227415E-2</v>
      </c>
      <c r="G73" s="23">
        <f>SUM(G5:G71)</f>
        <v>2639760298159</v>
      </c>
    </row>
    <row r="75" spans="1:7" x14ac:dyDescent="0.2">
      <c r="A75" s="24" t="s">
        <v>88</v>
      </c>
    </row>
    <row r="76" spans="1:7" x14ac:dyDescent="0.2">
      <c r="G76" s="25"/>
    </row>
  </sheetData>
  <phoneticPr fontId="3" type="noConversion"/>
  <conditionalFormatting sqref="A75">
    <cfRule type="expression" dxfId="9" priority="7" stopIfTrue="1">
      <formula>MOD(ROW(),5)=1</formula>
    </cfRule>
  </conditionalFormatting>
  <conditionalFormatting sqref="A4:G73">
    <cfRule type="expression" dxfId="8" priority="1" stopIfTrue="1">
      <formula>MOD(ROW(),3)=1</formula>
    </cfRule>
  </conditionalFormatting>
  <pageMargins left="0.7" right="0.7" top="0.5" bottom="0.5" header="0.05" footer="0.05"/>
  <pageSetup scale="90" fitToHeight="2" orientation="landscape" r:id="rId1"/>
  <rowBreaks count="1" manualBreakCount="1">
    <brk id="37" max="6" man="1"/>
  </rowBreaks>
  <ignoredErrors>
    <ignoredError sqref="E73 G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5"/>
  <sheetViews>
    <sheetView zoomScaleNormal="100" zoomScaleSheetLayoutView="100" workbookViewId="0">
      <pane ySplit="4" topLeftCell="A5" activePane="bottomLeft" state="frozen"/>
      <selection pane="bottomLeft" activeCell="H39" sqref="H39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71</v>
      </c>
      <c r="B1" s="7"/>
      <c r="C1" s="8"/>
      <c r="D1" s="7"/>
      <c r="E1" s="8"/>
      <c r="F1" s="7"/>
      <c r="G1" s="8"/>
    </row>
    <row r="2" spans="1:7" ht="15" x14ac:dyDescent="0.25">
      <c r="A2" s="9" t="s">
        <v>89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90</v>
      </c>
      <c r="D4" s="38" t="s">
        <v>91</v>
      </c>
      <c r="E4" s="38" t="s">
        <v>82</v>
      </c>
      <c r="F4" s="38" t="s">
        <v>83</v>
      </c>
      <c r="G4" s="39" t="s">
        <v>81</v>
      </c>
    </row>
    <row r="5" spans="1:7" x14ac:dyDescent="0.2">
      <c r="A5" s="11" t="s">
        <v>4</v>
      </c>
      <c r="B5" s="12" t="str">
        <f>'Assessed Value All Property'!B5</f>
        <v>R-NVAB</v>
      </c>
      <c r="C5" s="13">
        <f>'Assessed Value All Property'!C5</f>
        <v>26685054444</v>
      </c>
      <c r="D5" s="14">
        <f>((C5-E5)/E5)</f>
        <v>7.9317363706279453E-2</v>
      </c>
      <c r="E5" s="13">
        <v>24724011066</v>
      </c>
      <c r="F5" s="14">
        <f>((E5-G5)/G5)</f>
        <v>4.5564371469437634E-2</v>
      </c>
      <c r="G5" s="15">
        <v>23646569968</v>
      </c>
    </row>
    <row r="6" spans="1:7" x14ac:dyDescent="0.2">
      <c r="A6" s="11" t="s">
        <v>5</v>
      </c>
      <c r="B6" s="12" t="str">
        <f>'Assessed Value All Property'!B6</f>
        <v>R-Final</v>
      </c>
      <c r="C6" s="13">
        <f>'Assessed Value All Property'!C6</f>
        <v>1724620159</v>
      </c>
      <c r="D6" s="14">
        <f t="shared" ref="D6:D69" si="0">((C6-E6)/E6)</f>
        <v>0.11981577886101168</v>
      </c>
      <c r="E6" s="13">
        <v>1540092747</v>
      </c>
      <c r="F6" s="14">
        <f t="shared" ref="F6:F69" si="1">((E6-G6)/G6)</f>
        <v>5.8836825425621582E-2</v>
      </c>
      <c r="G6" s="15">
        <v>1454513774</v>
      </c>
    </row>
    <row r="7" spans="1:7" x14ac:dyDescent="0.2">
      <c r="A7" s="11" t="s">
        <v>6</v>
      </c>
      <c r="B7" s="12" t="str">
        <f>'Assessed Value All Property'!B7</f>
        <v>R-NVAB</v>
      </c>
      <c r="C7" s="13">
        <f>'Assessed Value All Property'!C7</f>
        <v>25733447313</v>
      </c>
      <c r="D7" s="14">
        <f t="shared" si="0"/>
        <v>0.14617984840251372</v>
      </c>
      <c r="E7" s="13">
        <v>22451491665</v>
      </c>
      <c r="F7" s="14">
        <f t="shared" si="1"/>
        <v>0.10263150201061895</v>
      </c>
      <c r="G7" s="15">
        <v>20361736105</v>
      </c>
    </row>
    <row r="8" spans="1:7" x14ac:dyDescent="0.2">
      <c r="A8" s="11" t="s">
        <v>7</v>
      </c>
      <c r="B8" s="12" t="str">
        <f>'Assessed Value All Property'!B8</f>
        <v>R-Final</v>
      </c>
      <c r="C8" s="13">
        <f>'Assessed Value All Property'!C8</f>
        <v>1340206268</v>
      </c>
      <c r="D8" s="14">
        <f t="shared" si="0"/>
        <v>8.6363081121524549E-2</v>
      </c>
      <c r="E8" s="13">
        <v>1233663304</v>
      </c>
      <c r="F8" s="14">
        <f t="shared" si="1"/>
        <v>4.2319456596926867E-2</v>
      </c>
      <c r="G8" s="15">
        <v>1183575051</v>
      </c>
    </row>
    <row r="9" spans="1:7" x14ac:dyDescent="0.2">
      <c r="A9" s="11" t="s">
        <v>8</v>
      </c>
      <c r="B9" s="12" t="str">
        <f>'Assessed Value All Property'!B9</f>
        <v>R-NVAB</v>
      </c>
      <c r="C9" s="13">
        <f>'Assessed Value All Property'!C9</f>
        <v>66811306480</v>
      </c>
      <c r="D9" s="14">
        <f t="shared" si="0"/>
        <v>0.13390029386852143</v>
      </c>
      <c r="E9" s="13">
        <v>58921676660</v>
      </c>
      <c r="F9" s="14">
        <f t="shared" si="1"/>
        <v>6.4354268046472526E-2</v>
      </c>
      <c r="G9" s="15">
        <v>55359083370</v>
      </c>
    </row>
    <row r="10" spans="1:7" x14ac:dyDescent="0.2">
      <c r="A10" s="11" t="s">
        <v>9</v>
      </c>
      <c r="B10" s="12" t="str">
        <f>'Assessed Value All Property'!B10</f>
        <v>R-NVAB</v>
      </c>
      <c r="C10" s="13">
        <f>'Assessed Value All Property'!C10</f>
        <v>282687824110</v>
      </c>
      <c r="D10" s="14">
        <f t="shared" si="0"/>
        <v>0.10232061867003645</v>
      </c>
      <c r="E10" s="13">
        <v>256447914810</v>
      </c>
      <c r="F10" s="14">
        <f t="shared" si="1"/>
        <v>4.7625597053376857E-2</v>
      </c>
      <c r="G10" s="15">
        <v>244789661050</v>
      </c>
    </row>
    <row r="11" spans="1:7" x14ac:dyDescent="0.2">
      <c r="A11" s="11" t="s">
        <v>10</v>
      </c>
      <c r="B11" s="12" t="str">
        <f>'Assessed Value All Property'!B11</f>
        <v>R-Final</v>
      </c>
      <c r="C11" s="13">
        <f>'Assessed Value All Property'!C11</f>
        <v>547767097</v>
      </c>
      <c r="D11" s="14">
        <f t="shared" si="0"/>
        <v>7.5817903060729844E-2</v>
      </c>
      <c r="E11" s="13">
        <v>509163396</v>
      </c>
      <c r="F11" s="14">
        <f t="shared" si="1"/>
        <v>3.8778385507273458E-2</v>
      </c>
      <c r="G11" s="15">
        <v>490155940</v>
      </c>
    </row>
    <row r="12" spans="1:7" x14ac:dyDescent="0.2">
      <c r="A12" s="11" t="s">
        <v>11</v>
      </c>
      <c r="B12" s="12" t="str">
        <f>'Assessed Value All Property'!B12</f>
        <v>R-NVAB</v>
      </c>
      <c r="C12" s="13">
        <f>'Assessed Value All Property'!C12</f>
        <v>27699304384</v>
      </c>
      <c r="D12" s="14">
        <f t="shared" si="0"/>
        <v>0.16135256836770062</v>
      </c>
      <c r="E12" s="13">
        <v>23850900354</v>
      </c>
      <c r="F12" s="14">
        <f t="shared" si="1"/>
        <v>7.0651030293099382E-2</v>
      </c>
      <c r="G12" s="15">
        <v>22277006867</v>
      </c>
    </row>
    <row r="13" spans="1:7" x14ac:dyDescent="0.2">
      <c r="A13" s="11" t="s">
        <v>12</v>
      </c>
      <c r="B13" s="12" t="str">
        <f>'Assessed Value All Property'!B13</f>
        <v>R-NVAB</v>
      </c>
      <c r="C13" s="13">
        <f>'Assessed Value All Property'!C13</f>
        <v>14055532380</v>
      </c>
      <c r="D13" s="14">
        <f t="shared" si="0"/>
        <v>0.10914007073600004</v>
      </c>
      <c r="E13" s="13">
        <v>12672459278</v>
      </c>
      <c r="F13" s="14">
        <f t="shared" si="1"/>
        <v>5.5508392912430031E-2</v>
      </c>
      <c r="G13" s="15">
        <v>12006024171</v>
      </c>
    </row>
    <row r="14" spans="1:7" x14ac:dyDescent="0.2">
      <c r="A14" s="11" t="s">
        <v>13</v>
      </c>
      <c r="B14" s="12" t="str">
        <f>'Assessed Value All Property'!B14</f>
        <v>R-NVAB</v>
      </c>
      <c r="C14" s="13">
        <f>'Assessed Value All Property'!C14</f>
        <v>18261337269</v>
      </c>
      <c r="D14" s="14">
        <f t="shared" si="0"/>
        <v>0.11548868040904053</v>
      </c>
      <c r="E14" s="13">
        <v>16370706032</v>
      </c>
      <c r="F14" s="14">
        <f t="shared" si="1"/>
        <v>6.2045204214290404E-2</v>
      </c>
      <c r="G14" s="15">
        <v>15414321318</v>
      </c>
    </row>
    <row r="15" spans="1:7" x14ac:dyDescent="0.2">
      <c r="A15" s="11" t="s">
        <v>14</v>
      </c>
      <c r="B15" s="12" t="str">
        <f>'Assessed Value All Property'!B15</f>
        <v>R-NVAB</v>
      </c>
      <c r="C15" s="13">
        <f>'Assessed Value All Property'!C15</f>
        <v>131498501684</v>
      </c>
      <c r="D15" s="14">
        <f t="shared" si="0"/>
        <v>0.15894427125727911</v>
      </c>
      <c r="E15" s="13">
        <v>113464042185</v>
      </c>
      <c r="F15" s="14">
        <f t="shared" si="1"/>
        <v>5.5228536732139455E-2</v>
      </c>
      <c r="G15" s="15">
        <v>107525562696</v>
      </c>
    </row>
    <row r="16" spans="1:7" x14ac:dyDescent="0.2">
      <c r="A16" s="11" t="s">
        <v>15</v>
      </c>
      <c r="B16" s="12" t="str">
        <f>'Assessed Value All Property'!B16</f>
        <v>R-NVAB</v>
      </c>
      <c r="C16" s="13">
        <f>'Assessed Value All Property'!C16</f>
        <v>4309602274</v>
      </c>
      <c r="D16" s="14">
        <f t="shared" si="0"/>
        <v>8.4415229050306143E-2</v>
      </c>
      <c r="E16" s="13">
        <v>3974125555</v>
      </c>
      <c r="F16" s="14">
        <f t="shared" si="1"/>
        <v>4.9187861018173025E-2</v>
      </c>
      <c r="G16" s="15">
        <v>3787811223</v>
      </c>
    </row>
    <row r="17" spans="1:7" x14ac:dyDescent="0.2">
      <c r="A17" s="11" t="s">
        <v>78</v>
      </c>
      <c r="B17" s="12" t="str">
        <f>'Assessed Value All Property'!B17</f>
        <v>R-NVAB</v>
      </c>
      <c r="C17" s="13">
        <f>'Assessed Value All Property'!C17</f>
        <v>418940611969</v>
      </c>
      <c r="D17" s="14">
        <f t="shared" si="0"/>
        <v>0.12450559378787059</v>
      </c>
      <c r="E17" s="13">
        <v>372555382813</v>
      </c>
      <c r="F17" s="14">
        <f t="shared" si="1"/>
        <v>4.3092782917864593E-2</v>
      </c>
      <c r="G17" s="15">
        <v>357164184159</v>
      </c>
    </row>
    <row r="18" spans="1:7" x14ac:dyDescent="0.2">
      <c r="A18" s="11" t="s">
        <v>16</v>
      </c>
      <c r="B18" s="12" t="str">
        <f>'Assessed Value All Property'!B18</f>
        <v>R-NVAB</v>
      </c>
      <c r="C18" s="13">
        <f>'Assessed Value All Property'!C18</f>
        <v>2250860905</v>
      </c>
      <c r="D18" s="14">
        <f t="shared" si="0"/>
        <v>0.11574157580403294</v>
      </c>
      <c r="E18" s="13">
        <v>2017367600</v>
      </c>
      <c r="F18" s="14">
        <f t="shared" si="1"/>
        <v>5.7124051863211067E-2</v>
      </c>
      <c r="G18" s="15">
        <v>1908354650</v>
      </c>
    </row>
    <row r="19" spans="1:7" x14ac:dyDescent="0.2">
      <c r="A19" s="11" t="s">
        <v>17</v>
      </c>
      <c r="B19" s="12" t="str">
        <f>'Assessed Value All Property'!B19</f>
        <v>R-Final</v>
      </c>
      <c r="C19" s="13">
        <f>'Assessed Value All Property'!C19</f>
        <v>903192282</v>
      </c>
      <c r="D19" s="14">
        <f t="shared" si="0"/>
        <v>9.7584547090802443E-2</v>
      </c>
      <c r="E19" s="13">
        <v>822890851</v>
      </c>
      <c r="F19" s="14">
        <f t="shared" si="1"/>
        <v>3.1809577148311265E-2</v>
      </c>
      <c r="G19" s="15">
        <v>797522013</v>
      </c>
    </row>
    <row r="20" spans="1:7" x14ac:dyDescent="0.2">
      <c r="A20" s="11" t="s">
        <v>18</v>
      </c>
      <c r="B20" s="12" t="str">
        <f>'Assessed Value All Property'!B20</f>
        <v>R-NVAB</v>
      </c>
      <c r="C20" s="13">
        <f>'Assessed Value All Property'!C20</f>
        <v>104891873380</v>
      </c>
      <c r="D20" s="14">
        <f t="shared" si="0"/>
        <v>0.129298909035131</v>
      </c>
      <c r="E20" s="13">
        <v>92882294086</v>
      </c>
      <c r="F20" s="14">
        <f t="shared" si="1"/>
        <v>6.8956159734670341E-2</v>
      </c>
      <c r="G20" s="15">
        <v>86890648639</v>
      </c>
    </row>
    <row r="21" spans="1:7" x14ac:dyDescent="0.2">
      <c r="A21" s="11" t="s">
        <v>19</v>
      </c>
      <c r="B21" s="12" t="str">
        <f>'Assessed Value All Property'!B21</f>
        <v>R-NVAB</v>
      </c>
      <c r="C21" s="13">
        <f>'Assessed Value All Property'!C21</f>
        <v>31007584013</v>
      </c>
      <c r="D21" s="14">
        <f t="shared" si="0"/>
        <v>0.11780765421291151</v>
      </c>
      <c r="E21" s="13">
        <v>27739641875</v>
      </c>
      <c r="F21" s="14">
        <f t="shared" si="1"/>
        <v>4.758987111996462E-2</v>
      </c>
      <c r="G21" s="15">
        <v>26479486524</v>
      </c>
    </row>
    <row r="22" spans="1:7" x14ac:dyDescent="0.2">
      <c r="A22" s="11" t="s">
        <v>20</v>
      </c>
      <c r="B22" s="12" t="str">
        <f>'Assessed Value All Property'!B22</f>
        <v>R-NVAB</v>
      </c>
      <c r="C22" s="13">
        <f>'Assessed Value All Property'!C22</f>
        <v>15209357667</v>
      </c>
      <c r="D22" s="14">
        <f t="shared" si="0"/>
        <v>0.15921606257434717</v>
      </c>
      <c r="E22" s="13">
        <v>13120382091</v>
      </c>
      <c r="F22" s="14">
        <f t="shared" si="1"/>
        <v>8.1308842423823302E-2</v>
      </c>
      <c r="G22" s="15">
        <v>12133797095</v>
      </c>
    </row>
    <row r="23" spans="1:7" x14ac:dyDescent="0.2">
      <c r="A23" s="11" t="s">
        <v>21</v>
      </c>
      <c r="B23" s="12" t="str">
        <f>'Assessed Value All Property'!B23</f>
        <v>R-Final</v>
      </c>
      <c r="C23" s="13">
        <f>'Assessed Value All Property'!C23</f>
        <v>3297102662</v>
      </c>
      <c r="D23" s="14">
        <f t="shared" si="0"/>
        <v>0.10531629318777468</v>
      </c>
      <c r="E23" s="13">
        <v>2982949480</v>
      </c>
      <c r="F23" s="14">
        <f t="shared" si="1"/>
        <v>6.4495606227466432E-2</v>
      </c>
      <c r="G23" s="15">
        <v>2802218687</v>
      </c>
    </row>
    <row r="24" spans="1:7" x14ac:dyDescent="0.2">
      <c r="A24" s="11" t="s">
        <v>22</v>
      </c>
      <c r="B24" s="12" t="str">
        <f>'Assessed Value All Property'!B24</f>
        <v>R-Final</v>
      </c>
      <c r="C24" s="13">
        <f>'Assessed Value All Property'!C24</f>
        <v>2056196445</v>
      </c>
      <c r="D24" s="14">
        <f t="shared" si="0"/>
        <v>7.1782813484288749E-2</v>
      </c>
      <c r="E24" s="13">
        <v>1918482382</v>
      </c>
      <c r="F24" s="14">
        <f t="shared" si="1"/>
        <v>4.8380784670129261E-2</v>
      </c>
      <c r="G24" s="15">
        <v>1829948059</v>
      </c>
    </row>
    <row r="25" spans="1:7" x14ac:dyDescent="0.2">
      <c r="A25" s="11" t="s">
        <v>23</v>
      </c>
      <c r="B25" s="12" t="str">
        <f>'Assessed Value All Property'!B25</f>
        <v>R-Final</v>
      </c>
      <c r="C25" s="13">
        <f>'Assessed Value All Property'!C25</f>
        <v>1073026148</v>
      </c>
      <c r="D25" s="14">
        <f t="shared" si="0"/>
        <v>0.10308834552709358</v>
      </c>
      <c r="E25" s="13">
        <v>972747244</v>
      </c>
      <c r="F25" s="14">
        <f t="shared" si="1"/>
        <v>9.6752646977309745E-2</v>
      </c>
      <c r="G25" s="15">
        <v>886934029</v>
      </c>
    </row>
    <row r="26" spans="1:7" x14ac:dyDescent="0.2">
      <c r="A26" s="11" t="s">
        <v>24</v>
      </c>
      <c r="B26" s="12" t="str">
        <f>'Assessed Value All Property'!B26</f>
        <v>R-Final</v>
      </c>
      <c r="C26" s="13">
        <f>'Assessed Value All Property'!C26</f>
        <v>1688963233</v>
      </c>
      <c r="D26" s="14">
        <f t="shared" si="0"/>
        <v>0.10219479391120977</v>
      </c>
      <c r="E26" s="13">
        <v>1532363646</v>
      </c>
      <c r="F26" s="14">
        <f t="shared" si="1"/>
        <v>5.212384454970214E-2</v>
      </c>
      <c r="G26" s="15">
        <v>1456447978</v>
      </c>
    </row>
    <row r="27" spans="1:7" x14ac:dyDescent="0.2">
      <c r="A27" s="11" t="s">
        <v>25</v>
      </c>
      <c r="B27" s="12" t="str">
        <f>'Assessed Value All Property'!B27</f>
        <v>R-Final</v>
      </c>
      <c r="C27" s="13">
        <f>'Assessed Value All Property'!C27</f>
        <v>3154034902</v>
      </c>
      <c r="D27" s="14">
        <f t="shared" si="0"/>
        <v>0.18244600308639511</v>
      </c>
      <c r="E27" s="13">
        <v>2667381761</v>
      </c>
      <c r="F27" s="14">
        <f t="shared" si="1"/>
        <v>9.8327468884463226E-2</v>
      </c>
      <c r="G27" s="15">
        <v>2428585132</v>
      </c>
    </row>
    <row r="28" spans="1:7" x14ac:dyDescent="0.2">
      <c r="A28" s="11" t="s">
        <v>26</v>
      </c>
      <c r="B28" s="12" t="str">
        <f>'Assessed Value All Property'!B28</f>
        <v>R-Final</v>
      </c>
      <c r="C28" s="13">
        <f>'Assessed Value All Property'!C28</f>
        <v>749352778</v>
      </c>
      <c r="D28" s="14">
        <f t="shared" si="0"/>
        <v>0.10585465693156913</v>
      </c>
      <c r="E28" s="13">
        <v>677623206</v>
      </c>
      <c r="F28" s="14">
        <f t="shared" si="1"/>
        <v>4.1858252305272681E-2</v>
      </c>
      <c r="G28" s="15">
        <v>650398655</v>
      </c>
    </row>
    <row r="29" spans="1:7" x14ac:dyDescent="0.2">
      <c r="A29" s="11" t="s">
        <v>27</v>
      </c>
      <c r="B29" s="12" t="str">
        <f>'Assessed Value All Property'!B29</f>
        <v>R-NVAB</v>
      </c>
      <c r="C29" s="13">
        <f>'Assessed Value All Property'!C29</f>
        <v>1643915908</v>
      </c>
      <c r="D29" s="14">
        <f t="shared" si="0"/>
        <v>0.11822231312120521</v>
      </c>
      <c r="E29" s="13">
        <v>1470115458</v>
      </c>
      <c r="F29" s="14">
        <f t="shared" si="1"/>
        <v>4.0637528577192737E-2</v>
      </c>
      <c r="G29" s="15">
        <v>1412706555</v>
      </c>
    </row>
    <row r="30" spans="1:7" x14ac:dyDescent="0.2">
      <c r="A30" s="11" t="s">
        <v>28</v>
      </c>
      <c r="B30" s="12" t="str">
        <f>'Assessed Value All Property'!B30</f>
        <v>R-NVAB</v>
      </c>
      <c r="C30" s="13">
        <f>'Assessed Value All Property'!C30</f>
        <v>3846759604</v>
      </c>
      <c r="D30" s="14">
        <f t="shared" si="0"/>
        <v>0.13711728246997001</v>
      </c>
      <c r="E30" s="13">
        <v>3382904880</v>
      </c>
      <c r="F30" s="14">
        <f t="shared" si="1"/>
        <v>8.5841966822143193E-2</v>
      </c>
      <c r="G30" s="15">
        <v>3115467060</v>
      </c>
    </row>
    <row r="31" spans="1:7" x14ac:dyDescent="0.2">
      <c r="A31" s="11" t="s">
        <v>29</v>
      </c>
      <c r="B31" s="12" t="str">
        <f>'Assessed Value All Property'!B31</f>
        <v>R-NVAB</v>
      </c>
      <c r="C31" s="13">
        <f>'Assessed Value All Property'!C31</f>
        <v>16033070411</v>
      </c>
      <c r="D31" s="14">
        <f t="shared" si="0"/>
        <v>0.16277136417890212</v>
      </c>
      <c r="E31" s="13">
        <v>13788669815</v>
      </c>
      <c r="F31" s="14">
        <f t="shared" si="1"/>
        <v>7.7130715198067898E-2</v>
      </c>
      <c r="G31" s="15">
        <v>12801296649</v>
      </c>
    </row>
    <row r="32" spans="1:7" x14ac:dyDescent="0.2">
      <c r="A32" s="11" t="s">
        <v>30</v>
      </c>
      <c r="B32" s="12" t="str">
        <f>'Assessed Value All Property'!B32</f>
        <v>R-NVAB</v>
      </c>
      <c r="C32" s="13">
        <f>'Assessed Value All Property'!C32</f>
        <v>8041302774</v>
      </c>
      <c r="D32" s="14">
        <f t="shared" si="0"/>
        <v>0.12708122339465669</v>
      </c>
      <c r="E32" s="13">
        <v>7134625799</v>
      </c>
      <c r="F32" s="14">
        <f t="shared" si="1"/>
        <v>5.3662204414013377E-2</v>
      </c>
      <c r="G32" s="15">
        <v>6771264803</v>
      </c>
    </row>
    <row r="33" spans="1:7" x14ac:dyDescent="0.2">
      <c r="A33" s="11" t="s">
        <v>31</v>
      </c>
      <c r="B33" s="12" t="str">
        <f>'Assessed Value All Property'!B33</f>
        <v>R-NVAB</v>
      </c>
      <c r="C33" s="13">
        <f>'Assessed Value All Property'!C33</f>
        <v>163726113434</v>
      </c>
      <c r="D33" s="14">
        <f t="shared" si="0"/>
        <v>0.14315961445140549</v>
      </c>
      <c r="E33" s="13">
        <v>143222443624</v>
      </c>
      <c r="F33" s="14">
        <f t="shared" si="1"/>
        <v>8.5347886756499222E-2</v>
      </c>
      <c r="G33" s="15">
        <v>131959941482</v>
      </c>
    </row>
    <row r="34" spans="1:7" x14ac:dyDescent="0.2">
      <c r="A34" s="11" t="s">
        <v>32</v>
      </c>
      <c r="B34" s="12" t="str">
        <f>'Assessed Value All Property'!B34</f>
        <v>R-Final</v>
      </c>
      <c r="C34" s="13">
        <f>'Assessed Value All Property'!C34</f>
        <v>771694443</v>
      </c>
      <c r="D34" s="14">
        <f t="shared" si="0"/>
        <v>5.9475430455356908E-2</v>
      </c>
      <c r="E34" s="13">
        <v>728374081</v>
      </c>
      <c r="F34" s="14">
        <f t="shared" si="1"/>
        <v>4.1273617932813068E-2</v>
      </c>
      <c r="G34" s="15">
        <v>699503059</v>
      </c>
    </row>
    <row r="35" spans="1:7" x14ac:dyDescent="0.2">
      <c r="A35" s="11" t="s">
        <v>33</v>
      </c>
      <c r="B35" s="12" t="str">
        <f>'Assessed Value All Property'!B35</f>
        <v>R-NVAB</v>
      </c>
      <c r="C35" s="13">
        <f>'Assessed Value All Property'!C35</f>
        <v>26739941916</v>
      </c>
      <c r="D35" s="14">
        <f t="shared" si="0"/>
        <v>0.11857748991213436</v>
      </c>
      <c r="E35" s="13">
        <v>23905310233</v>
      </c>
      <c r="F35" s="14">
        <f t="shared" si="1"/>
        <v>4.8448128204741342E-2</v>
      </c>
      <c r="G35" s="15">
        <v>22800660891</v>
      </c>
    </row>
    <row r="36" spans="1:7" x14ac:dyDescent="0.2">
      <c r="A36" s="11" t="s">
        <v>34</v>
      </c>
      <c r="B36" s="12" t="str">
        <f>'Assessed Value All Property'!B36</f>
        <v>R-Final</v>
      </c>
      <c r="C36" s="13">
        <f>'Assessed Value All Property'!C36</f>
        <v>2401085264</v>
      </c>
      <c r="D36" s="14">
        <f t="shared" si="0"/>
        <v>7.5530261252248751E-2</v>
      </c>
      <c r="E36" s="13">
        <v>2232466487</v>
      </c>
      <c r="F36" s="14">
        <f t="shared" si="1"/>
        <v>4.8830232089027675E-2</v>
      </c>
      <c r="G36" s="15">
        <v>2128529879</v>
      </c>
    </row>
    <row r="37" spans="1:7" x14ac:dyDescent="0.2">
      <c r="A37" s="11" t="s">
        <v>35</v>
      </c>
      <c r="B37" s="12" t="str">
        <f>'Assessed Value All Property'!B37</f>
        <v>R-NVAB</v>
      </c>
      <c r="C37" s="13">
        <f>'Assessed Value All Property'!C37</f>
        <v>975798105</v>
      </c>
      <c r="D37" s="14">
        <f t="shared" si="0"/>
        <v>0.10574962205454382</v>
      </c>
      <c r="E37" s="13">
        <v>882476544</v>
      </c>
      <c r="F37" s="14">
        <f t="shared" si="1"/>
        <v>7.1245355510523259E-2</v>
      </c>
      <c r="G37" s="15">
        <v>823785643</v>
      </c>
    </row>
    <row r="38" spans="1:7" x14ac:dyDescent="0.2">
      <c r="A38" s="11" t="s">
        <v>36</v>
      </c>
      <c r="B38" s="12" t="str">
        <f>'Assessed Value All Property'!B38</f>
        <v>R-Final</v>
      </c>
      <c r="C38" s="13">
        <f>'Assessed Value All Property'!C38</f>
        <v>426953443</v>
      </c>
      <c r="D38" s="14">
        <f t="shared" si="0"/>
        <v>6.2504641965587721E-2</v>
      </c>
      <c r="E38" s="13">
        <v>401836779</v>
      </c>
      <c r="F38" s="14">
        <f t="shared" si="1"/>
        <v>3.4996853413320983E-2</v>
      </c>
      <c r="G38" s="15">
        <v>388249276</v>
      </c>
    </row>
    <row r="39" spans="1:7" x14ac:dyDescent="0.2">
      <c r="A39" s="11" t="s">
        <v>37</v>
      </c>
      <c r="B39" s="12" t="str">
        <f>'Assessed Value All Property'!B39</f>
        <v>R-NVAB</v>
      </c>
      <c r="C39" s="13">
        <f>'Assessed Value All Property'!C39</f>
        <v>36332010853</v>
      </c>
      <c r="D39" s="14">
        <f t="shared" si="0"/>
        <v>0.1264072284281105</v>
      </c>
      <c r="E39" s="13">
        <v>32254774238</v>
      </c>
      <c r="F39" s="14">
        <f t="shared" si="1"/>
        <v>7.229939117062352E-2</v>
      </c>
      <c r="G39" s="15">
        <v>30080007975</v>
      </c>
    </row>
    <row r="40" spans="1:7" x14ac:dyDescent="0.2">
      <c r="A40" s="11" t="s">
        <v>38</v>
      </c>
      <c r="B40" s="12" t="str">
        <f>'Assessed Value All Property'!B40</f>
        <v>R-NVAB</v>
      </c>
      <c r="C40" s="13">
        <f>'Assessed Value All Property'!C40</f>
        <v>125682715549</v>
      </c>
      <c r="D40" s="14">
        <f t="shared" si="0"/>
        <v>0.16417872761072239</v>
      </c>
      <c r="E40" s="13">
        <v>107958264971</v>
      </c>
      <c r="F40" s="14">
        <f t="shared" si="1"/>
        <v>7.6946928279234231E-2</v>
      </c>
      <c r="G40" s="15">
        <v>100244740141</v>
      </c>
    </row>
    <row r="41" spans="1:7" x14ac:dyDescent="0.2">
      <c r="A41" s="11" t="s">
        <v>39</v>
      </c>
      <c r="B41" s="12" t="str">
        <f>'Assessed Value All Property'!B41</f>
        <v>R-NVAB</v>
      </c>
      <c r="C41" s="13">
        <f>'Assessed Value All Property'!C41</f>
        <v>29747347069</v>
      </c>
      <c r="D41" s="14">
        <f t="shared" si="0"/>
        <v>8.2728431156643384E-2</v>
      </c>
      <c r="E41" s="13">
        <v>27474430534</v>
      </c>
      <c r="F41" s="14">
        <f t="shared" si="1"/>
        <v>4.0265407362206282E-2</v>
      </c>
      <c r="G41" s="15">
        <v>26410981601</v>
      </c>
    </row>
    <row r="42" spans="1:7" x14ac:dyDescent="0.2">
      <c r="A42" s="11" t="s">
        <v>40</v>
      </c>
      <c r="B42" s="12" t="str">
        <f>'Assessed Value All Property'!B42</f>
        <v>R-Final</v>
      </c>
      <c r="C42" s="13">
        <f>'Assessed Value All Property'!C42</f>
        <v>3065701472</v>
      </c>
      <c r="D42" s="14">
        <f t="shared" si="0"/>
        <v>0.11109128227713506</v>
      </c>
      <c r="E42" s="13">
        <v>2759180565</v>
      </c>
      <c r="F42" s="14">
        <f t="shared" si="1"/>
        <v>7.4244501465881615E-2</v>
      </c>
      <c r="G42" s="15">
        <v>2568484699</v>
      </c>
    </row>
    <row r="43" spans="1:7" x14ac:dyDescent="0.2">
      <c r="A43" s="11" t="s">
        <v>41</v>
      </c>
      <c r="B43" s="12" t="str">
        <f>'Assessed Value All Property'!B43</f>
        <v>R-Final</v>
      </c>
      <c r="C43" s="13">
        <f>'Assessed Value All Property'!C43</f>
        <v>622884443</v>
      </c>
      <c r="D43" s="14">
        <f t="shared" si="0"/>
        <v>2.6504194400234774E-2</v>
      </c>
      <c r="E43" s="13">
        <v>606801654</v>
      </c>
      <c r="F43" s="14">
        <f t="shared" si="1"/>
        <v>2.073715404279208E-2</v>
      </c>
      <c r="G43" s="15">
        <v>594473956</v>
      </c>
    </row>
    <row r="44" spans="1:7" x14ac:dyDescent="0.2">
      <c r="A44" s="11" t="s">
        <v>42</v>
      </c>
      <c r="B44" s="12" t="str">
        <f>'Assessed Value All Property'!B44</f>
        <v>R-NVAB</v>
      </c>
      <c r="C44" s="13">
        <f>'Assessed Value All Property'!C44</f>
        <v>977651361</v>
      </c>
      <c r="D44" s="14">
        <f t="shared" si="0"/>
        <v>0.12022473832278625</v>
      </c>
      <c r="E44" s="13">
        <v>872727880</v>
      </c>
      <c r="F44" s="14">
        <f t="shared" si="1"/>
        <v>4.6019208676306288E-2</v>
      </c>
      <c r="G44" s="15">
        <v>834332556</v>
      </c>
    </row>
    <row r="45" spans="1:7" x14ac:dyDescent="0.2">
      <c r="A45" s="11" t="s">
        <v>43</v>
      </c>
      <c r="B45" s="12" t="str">
        <f>'Assessed Value All Property'!B45</f>
        <v>R-NVAB</v>
      </c>
      <c r="C45" s="13">
        <f>'Assessed Value All Property'!C45</f>
        <v>57142431329</v>
      </c>
      <c r="D45" s="14">
        <f t="shared" si="0"/>
        <v>0.1656116240051716</v>
      </c>
      <c r="E45" s="13">
        <v>49023559951</v>
      </c>
      <c r="F45" s="14">
        <f t="shared" si="1"/>
        <v>7.8515265416638363E-2</v>
      </c>
      <c r="G45" s="15">
        <v>45454674146</v>
      </c>
    </row>
    <row r="46" spans="1:7" x14ac:dyDescent="0.2">
      <c r="A46" s="11" t="s">
        <v>44</v>
      </c>
      <c r="B46" s="12" t="str">
        <f>'Assessed Value All Property'!B46</f>
        <v>R-NVAB</v>
      </c>
      <c r="C46" s="13">
        <f>'Assessed Value All Property'!C46</f>
        <v>31565430564</v>
      </c>
      <c r="D46" s="14">
        <f t="shared" si="0"/>
        <v>0.14182171335329058</v>
      </c>
      <c r="E46" s="13">
        <v>27644797953</v>
      </c>
      <c r="F46" s="14">
        <f t="shared" si="1"/>
        <v>7.352998944645632E-2</v>
      </c>
      <c r="G46" s="15">
        <v>25751304784</v>
      </c>
    </row>
    <row r="47" spans="1:7" x14ac:dyDescent="0.2">
      <c r="A47" s="11" t="s">
        <v>45</v>
      </c>
      <c r="B47" s="12" t="str">
        <f>'Assessed Value All Property'!B47</f>
        <v>R-NVAB</v>
      </c>
      <c r="C47" s="13">
        <f>'Assessed Value All Property'!C47</f>
        <v>29127486125</v>
      </c>
      <c r="D47" s="14">
        <f t="shared" si="0"/>
        <v>0.10192064015060483</v>
      </c>
      <c r="E47" s="13">
        <v>26433379196</v>
      </c>
      <c r="F47" s="14">
        <f t="shared" si="1"/>
        <v>5.3225703543911221E-2</v>
      </c>
      <c r="G47" s="15">
        <v>25097544721</v>
      </c>
    </row>
    <row r="48" spans="1:7" x14ac:dyDescent="0.2">
      <c r="A48" s="11" t="s">
        <v>46</v>
      </c>
      <c r="B48" s="12" t="str">
        <f>'Assessed Value All Property'!B48</f>
        <v>R-NVAB</v>
      </c>
      <c r="C48" s="13">
        <f>'Assessed Value All Property'!C48</f>
        <v>42124488789</v>
      </c>
      <c r="D48" s="14">
        <f t="shared" si="0"/>
        <v>0.14009804938721168</v>
      </c>
      <c r="E48" s="13">
        <v>36948128112</v>
      </c>
      <c r="F48" s="14">
        <f t="shared" si="1"/>
        <v>4.7342387520243237E-2</v>
      </c>
      <c r="G48" s="15">
        <v>35277984117</v>
      </c>
    </row>
    <row r="49" spans="1:7" x14ac:dyDescent="0.2">
      <c r="A49" s="11" t="s">
        <v>47</v>
      </c>
      <c r="B49" s="12" t="str">
        <f>'Assessed Value All Property'!B49</f>
        <v>R-NVAB</v>
      </c>
      <c r="C49" s="13">
        <f>'Assessed Value All Property'!C49</f>
        <v>14161400016</v>
      </c>
      <c r="D49" s="14">
        <f t="shared" si="0"/>
        <v>0.13883333926209313</v>
      </c>
      <c r="E49" s="13">
        <v>12435006535</v>
      </c>
      <c r="F49" s="14">
        <f t="shared" si="1"/>
        <v>8.3361124196042788E-2</v>
      </c>
      <c r="G49" s="15">
        <v>11478173120</v>
      </c>
    </row>
    <row r="50" spans="1:7" x14ac:dyDescent="0.2">
      <c r="A50" s="11" t="s">
        <v>48</v>
      </c>
      <c r="B50" s="12" t="str">
        <f>'Assessed Value All Property'!B50</f>
        <v>R-NVAB</v>
      </c>
      <c r="C50" s="13">
        <f>'Assessed Value All Property'!C50</f>
        <v>28575410336</v>
      </c>
      <c r="D50" s="14">
        <f t="shared" si="0"/>
        <v>0.13042417323245639</v>
      </c>
      <c r="E50" s="13">
        <v>25278484849</v>
      </c>
      <c r="F50" s="14">
        <f t="shared" si="1"/>
        <v>6.1691326499598929E-2</v>
      </c>
      <c r="G50" s="15">
        <v>23809636773</v>
      </c>
    </row>
    <row r="51" spans="1:7" x14ac:dyDescent="0.2">
      <c r="A51" s="11" t="s">
        <v>49</v>
      </c>
      <c r="B51" s="12" t="str">
        <f>'Assessed Value All Property'!B51</f>
        <v>R-NVAB</v>
      </c>
      <c r="C51" s="13">
        <f>'Assessed Value All Property'!C51</f>
        <v>3094809233</v>
      </c>
      <c r="D51" s="14">
        <f t="shared" si="0"/>
        <v>0.14570753932381361</v>
      </c>
      <c r="E51" s="13">
        <v>2701220972</v>
      </c>
      <c r="F51" s="14">
        <f t="shared" si="1"/>
        <v>6.9465529083025362E-2</v>
      </c>
      <c r="G51" s="15">
        <v>2525767216</v>
      </c>
    </row>
    <row r="52" spans="1:7" x14ac:dyDescent="0.2">
      <c r="A52" s="11" t="s">
        <v>50</v>
      </c>
      <c r="B52" s="12" t="str">
        <f>'Assessed Value All Property'!B52</f>
        <v>R-NVAB</v>
      </c>
      <c r="C52" s="13">
        <f>'Assessed Value All Property'!C52</f>
        <v>209098851096</v>
      </c>
      <c r="D52" s="14">
        <f t="shared" si="0"/>
        <v>0.13186162017649608</v>
      </c>
      <c r="E52" s="13">
        <v>184738882712</v>
      </c>
      <c r="F52" s="14">
        <f t="shared" si="1"/>
        <v>3.5554210813369347E-2</v>
      </c>
      <c r="G52" s="15">
        <v>178396148442</v>
      </c>
    </row>
    <row r="53" spans="1:7" x14ac:dyDescent="0.2">
      <c r="A53" s="11" t="s">
        <v>51</v>
      </c>
      <c r="B53" s="12" t="str">
        <f>'Assessed Value All Property'!B53</f>
        <v>R-NVAB</v>
      </c>
      <c r="C53" s="13">
        <f>'Assessed Value All Property'!C53</f>
        <v>45654755729</v>
      </c>
      <c r="D53" s="14">
        <f t="shared" si="0"/>
        <v>0.15402300170722832</v>
      </c>
      <c r="E53" s="13">
        <v>39561391464</v>
      </c>
      <c r="F53" s="14">
        <f t="shared" si="1"/>
        <v>8.8516040008701918E-2</v>
      </c>
      <c r="G53" s="15">
        <v>36344334865</v>
      </c>
    </row>
    <row r="54" spans="1:7" x14ac:dyDescent="0.2">
      <c r="A54" s="11" t="s">
        <v>52</v>
      </c>
      <c r="B54" s="12" t="str">
        <f>'Assessed Value All Property'!B54</f>
        <v>R-NVAB</v>
      </c>
      <c r="C54" s="13">
        <f>'Assessed Value All Property'!C54</f>
        <v>281245711418</v>
      </c>
      <c r="D54" s="14">
        <f t="shared" si="0"/>
        <v>0.14181795357184174</v>
      </c>
      <c r="E54" s="13">
        <v>246313968473</v>
      </c>
      <c r="F54" s="14">
        <f t="shared" si="1"/>
        <v>5.2497578851215372E-2</v>
      </c>
      <c r="G54" s="15">
        <v>234028061843</v>
      </c>
    </row>
    <row r="55" spans="1:7" x14ac:dyDescent="0.2">
      <c r="A55" s="11" t="s">
        <v>53</v>
      </c>
      <c r="B55" s="12" t="str">
        <f>'Assessed Value All Property'!B55</f>
        <v>R-NVAB</v>
      </c>
      <c r="C55" s="13">
        <f>'Assessed Value All Property'!C55</f>
        <v>48849028643</v>
      </c>
      <c r="D55" s="14">
        <f t="shared" si="0"/>
        <v>0.14864809087706279</v>
      </c>
      <c r="E55" s="13">
        <v>42527410293</v>
      </c>
      <c r="F55" s="14">
        <f t="shared" si="1"/>
        <v>9.5119205578938368E-2</v>
      </c>
      <c r="G55" s="15">
        <v>38833590057</v>
      </c>
    </row>
    <row r="56" spans="1:7" x14ac:dyDescent="0.2">
      <c r="A56" s="11" t="s">
        <v>54</v>
      </c>
      <c r="B56" s="12" t="str">
        <f>'Assessed Value All Property'!B56</f>
        <v>R-NVAB</v>
      </c>
      <c r="C56" s="13">
        <f>'Assessed Value All Property'!C56</f>
        <v>129912182436</v>
      </c>
      <c r="D56" s="14">
        <f t="shared" si="0"/>
        <v>0.1208451694385448</v>
      </c>
      <c r="E56" s="13">
        <v>115905555895</v>
      </c>
      <c r="F56" s="14">
        <f t="shared" si="1"/>
        <v>6.9124535073974355E-2</v>
      </c>
      <c r="G56" s="15">
        <v>108411650928</v>
      </c>
    </row>
    <row r="57" spans="1:7" x14ac:dyDescent="0.2">
      <c r="A57" s="11" t="s">
        <v>55</v>
      </c>
      <c r="B57" s="12" t="str">
        <f>'Assessed Value All Property'!B57</f>
        <v>R-NVAB</v>
      </c>
      <c r="C57" s="13">
        <f>'Assessed Value All Property'!C57</f>
        <v>56606011959</v>
      </c>
      <c r="D57" s="14">
        <f t="shared" si="0"/>
        <v>0.16471126836976813</v>
      </c>
      <c r="E57" s="13">
        <v>48600896631</v>
      </c>
      <c r="F57" s="14">
        <f t="shared" si="1"/>
        <v>8.9343486255069812E-2</v>
      </c>
      <c r="G57" s="15">
        <v>44614850361</v>
      </c>
    </row>
    <row r="58" spans="1:7" x14ac:dyDescent="0.2">
      <c r="A58" s="11" t="s">
        <v>56</v>
      </c>
      <c r="B58" s="12" t="str">
        <f>'Assessed Value All Property'!B58</f>
        <v>R-NVAB</v>
      </c>
      <c r="C58" s="13">
        <f>'Assessed Value All Property'!C58</f>
        <v>5539277361</v>
      </c>
      <c r="D58" s="14">
        <f t="shared" si="0"/>
        <v>9.5999256709510039E-2</v>
      </c>
      <c r="E58" s="13">
        <v>5054088611</v>
      </c>
      <c r="F58" s="14">
        <f t="shared" si="1"/>
        <v>4.8602704193064249E-2</v>
      </c>
      <c r="G58" s="15">
        <v>4819831754</v>
      </c>
    </row>
    <row r="59" spans="1:7" x14ac:dyDescent="0.2">
      <c r="A59" s="11" t="s">
        <v>2</v>
      </c>
      <c r="B59" s="12" t="str">
        <f>'Assessed Value All Property'!B59</f>
        <v>R-NVAB</v>
      </c>
      <c r="C59" s="13">
        <f>'Assessed Value All Property'!C59</f>
        <v>46513228839</v>
      </c>
      <c r="D59" s="14">
        <f t="shared" si="0"/>
        <v>0.16713539039652883</v>
      </c>
      <c r="E59" s="13">
        <v>39852470606</v>
      </c>
      <c r="F59" s="14">
        <f t="shared" si="1"/>
        <v>9.1487447350548215E-2</v>
      </c>
      <c r="G59" s="15">
        <v>36512074145</v>
      </c>
    </row>
    <row r="60" spans="1:7" x14ac:dyDescent="0.2">
      <c r="A60" s="11" t="s">
        <v>3</v>
      </c>
      <c r="B60" s="12" t="str">
        <f>'Assessed Value All Property'!B60</f>
        <v>R-NVAB</v>
      </c>
      <c r="C60" s="13">
        <f>'Assessed Value All Property'!C60</f>
        <v>33315696704</v>
      </c>
      <c r="D60" s="14">
        <f t="shared" si="0"/>
        <v>0.1736919753350781</v>
      </c>
      <c r="E60" s="13">
        <v>28385383392</v>
      </c>
      <c r="F60" s="14">
        <f t="shared" si="1"/>
        <v>9.3502408217123648E-2</v>
      </c>
      <c r="G60" s="15">
        <v>25958226684</v>
      </c>
    </row>
    <row r="61" spans="1:7" x14ac:dyDescent="0.2">
      <c r="A61" s="11" t="s">
        <v>57</v>
      </c>
      <c r="B61" s="12" t="str">
        <f>'Assessed Value All Property'!B61</f>
        <v>R-NVAB</v>
      </c>
      <c r="C61" s="13">
        <f>'Assessed Value All Property'!C61</f>
        <v>18031426502</v>
      </c>
      <c r="D61" s="14">
        <f t="shared" si="0"/>
        <v>0.13705698136013572</v>
      </c>
      <c r="E61" s="13">
        <v>15857979677</v>
      </c>
      <c r="F61" s="14">
        <f t="shared" si="1"/>
        <v>8.2673914856613726E-2</v>
      </c>
      <c r="G61" s="15">
        <v>14647050658</v>
      </c>
    </row>
    <row r="62" spans="1:7" x14ac:dyDescent="0.2">
      <c r="A62" s="11" t="s">
        <v>58</v>
      </c>
      <c r="B62" s="12" t="str">
        <f>'Assessed Value All Property'!B62</f>
        <v>R-NVAB</v>
      </c>
      <c r="C62" s="13">
        <f>'Assessed Value All Property'!C62</f>
        <v>93079101944</v>
      </c>
      <c r="D62" s="14">
        <f t="shared" si="0"/>
        <v>0.16466232659604291</v>
      </c>
      <c r="E62" s="13">
        <v>79919389353</v>
      </c>
      <c r="F62" s="14">
        <f t="shared" si="1"/>
        <v>6.9105180892970325E-2</v>
      </c>
      <c r="G62" s="15">
        <v>74753532937</v>
      </c>
    </row>
    <row r="63" spans="1:7" x14ac:dyDescent="0.2">
      <c r="A63" s="11" t="s">
        <v>59</v>
      </c>
      <c r="B63" s="12" t="str">
        <f>'Assessed Value All Property'!B63</f>
        <v>R-NVAB</v>
      </c>
      <c r="C63" s="13">
        <f>'Assessed Value All Property'!C63</f>
        <v>50623905313</v>
      </c>
      <c r="D63" s="14">
        <f t="shared" si="0"/>
        <v>0.11467489217417033</v>
      </c>
      <c r="E63" s="13">
        <v>45415847857</v>
      </c>
      <c r="F63" s="14">
        <f t="shared" si="1"/>
        <v>5.041634070082384E-2</v>
      </c>
      <c r="G63" s="15">
        <v>43236044697</v>
      </c>
    </row>
    <row r="64" spans="1:7" x14ac:dyDescent="0.2">
      <c r="A64" s="11" t="s">
        <v>60</v>
      </c>
      <c r="B64" s="12" t="str">
        <f>'Assessed Value All Property'!B64</f>
        <v>R-NVAB</v>
      </c>
      <c r="C64" s="13">
        <f>'Assessed Value All Property'!C64</f>
        <v>20226915835</v>
      </c>
      <c r="D64" s="14">
        <f t="shared" si="0"/>
        <v>0.15486437083047555</v>
      </c>
      <c r="E64" s="13">
        <v>17514537937</v>
      </c>
      <c r="F64" s="14">
        <f t="shared" si="1"/>
        <v>7.938088331127556E-2</v>
      </c>
      <c r="G64" s="15">
        <v>16226466679</v>
      </c>
    </row>
    <row r="65" spans="1:7" x14ac:dyDescent="0.2">
      <c r="A65" s="11" t="s">
        <v>61</v>
      </c>
      <c r="B65" s="12" t="str">
        <f>'Assessed Value All Property'!B65</f>
        <v>R-NVAB</v>
      </c>
      <c r="C65" s="13">
        <f>'Assessed Value All Property'!C65</f>
        <v>2214469423</v>
      </c>
      <c r="D65" s="14">
        <f t="shared" si="0"/>
        <v>7.090716932792393E-2</v>
      </c>
      <c r="E65" s="13">
        <v>2067844428</v>
      </c>
      <c r="F65" s="14">
        <f t="shared" si="1"/>
        <v>5.8799729564457448E-2</v>
      </c>
      <c r="G65" s="15">
        <v>1953008081</v>
      </c>
    </row>
    <row r="66" spans="1:7" x14ac:dyDescent="0.2">
      <c r="A66" s="11" t="s">
        <v>62</v>
      </c>
      <c r="B66" s="12" t="str">
        <f>'Assessed Value All Property'!B66</f>
        <v>R-Final</v>
      </c>
      <c r="C66" s="13">
        <f>'Assessed Value All Property'!C66</f>
        <v>1412464038</v>
      </c>
      <c r="D66" s="14">
        <f t="shared" si="0"/>
        <v>7.8487977830041272E-2</v>
      </c>
      <c r="E66" s="13">
        <v>1309670638</v>
      </c>
      <c r="F66" s="14">
        <f t="shared" si="1"/>
        <v>5.7254901850616005E-2</v>
      </c>
      <c r="G66" s="15">
        <v>1238746338</v>
      </c>
    </row>
    <row r="67" spans="1:7" x14ac:dyDescent="0.2">
      <c r="A67" s="11" t="s">
        <v>63</v>
      </c>
      <c r="B67" s="12" t="str">
        <f>'Assessed Value All Property'!B67</f>
        <v>R-Final</v>
      </c>
      <c r="C67" s="13">
        <f>'Assessed Value All Property'!C67</f>
        <v>481017468</v>
      </c>
      <c r="D67" s="14">
        <f t="shared" si="0"/>
        <v>6.2636281191555607E-2</v>
      </c>
      <c r="E67" s="13">
        <v>452664262</v>
      </c>
      <c r="F67" s="14">
        <f t="shared" si="1"/>
        <v>2.5444905095419381E-2</v>
      </c>
      <c r="G67" s="15">
        <v>441432065</v>
      </c>
    </row>
    <row r="68" spans="1:7" x14ac:dyDescent="0.2">
      <c r="A68" s="11" t="s">
        <v>64</v>
      </c>
      <c r="B68" s="12" t="str">
        <f>'Assessed Value All Property'!B68</f>
        <v>R-NVAB</v>
      </c>
      <c r="C68" s="13">
        <f>'Assessed Value All Property'!C68</f>
        <v>58690461940</v>
      </c>
      <c r="D68" s="14">
        <f t="shared" si="0"/>
        <v>0.12784475090507152</v>
      </c>
      <c r="E68" s="13">
        <v>52037713429</v>
      </c>
      <c r="F68" s="14">
        <f t="shared" si="1"/>
        <v>6.7199266846185574E-2</v>
      </c>
      <c r="G68" s="15">
        <v>48761009350</v>
      </c>
    </row>
    <row r="69" spans="1:7" x14ac:dyDescent="0.2">
      <c r="A69" s="11" t="s">
        <v>65</v>
      </c>
      <c r="B69" s="12" t="str">
        <f>'Assessed Value All Property'!B69</f>
        <v>R-Final</v>
      </c>
      <c r="C69" s="13">
        <f>'Assessed Value All Property'!C69</f>
        <v>2513287172</v>
      </c>
      <c r="D69" s="14">
        <f t="shared" si="0"/>
        <v>0.14514075489034359</v>
      </c>
      <c r="E69" s="13">
        <v>2194740831</v>
      </c>
      <c r="F69" s="14">
        <f t="shared" si="1"/>
        <v>8.8349058591214724E-2</v>
      </c>
      <c r="G69" s="15">
        <v>2016578058</v>
      </c>
    </row>
    <row r="70" spans="1:7" x14ac:dyDescent="0.2">
      <c r="A70" s="11" t="s">
        <v>66</v>
      </c>
      <c r="B70" s="12" t="str">
        <f>'Assessed Value All Property'!B70</f>
        <v>R-NVAB</v>
      </c>
      <c r="C70" s="13">
        <f>'Assessed Value All Property'!C70</f>
        <v>33525507948</v>
      </c>
      <c r="D70" s="14">
        <f>((C70-E70)/E70)</f>
        <v>0.22652068598667166</v>
      </c>
      <c r="E70" s="13">
        <v>27333830021</v>
      </c>
      <c r="F70" s="14">
        <f>((E70-G70)/G70)</f>
        <v>0.12833389965680611</v>
      </c>
      <c r="G70" s="15">
        <v>24224947978</v>
      </c>
    </row>
    <row r="71" spans="1:7" x14ac:dyDescent="0.2">
      <c r="A71" s="11" t="s">
        <v>67</v>
      </c>
      <c r="B71" s="12" t="str">
        <f>'Assessed Value All Property'!B71</f>
        <v>R-Final</v>
      </c>
      <c r="C71" s="13">
        <f>'Assessed Value All Property'!C71</f>
        <v>1297713936</v>
      </c>
      <c r="D71" s="14">
        <f>((C71-E71)/E71)</f>
        <v>9.3195204521472175E-2</v>
      </c>
      <c r="E71" s="13">
        <v>1187083451</v>
      </c>
      <c r="F71" s="14">
        <f>((E71-G71)/G71)</f>
        <v>6.0788252634060812E-2</v>
      </c>
      <c r="G71" s="15">
        <v>1119057878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SUM(C5:C72)</f>
        <v>2952234078391</v>
      </c>
      <c r="D73" s="22">
        <f>((C73-E73)/E73)</f>
        <v>0.13467989602817773</v>
      </c>
      <c r="E73" s="21">
        <f>SUM(E5:E72)</f>
        <v>2601821085158</v>
      </c>
      <c r="F73" s="22" t="e">
        <f>((E73-G73)/G73)</f>
        <v>#DIV/0!</v>
      </c>
      <c r="G73" s="23"/>
    </row>
    <row r="75" spans="1:7" x14ac:dyDescent="0.2">
      <c r="A75" s="24" t="s">
        <v>88</v>
      </c>
    </row>
  </sheetData>
  <phoneticPr fontId="3" type="noConversion"/>
  <conditionalFormatting sqref="A75">
    <cfRule type="expression" dxfId="7" priority="8" stopIfTrue="1">
      <formula>MOD(ROW(),5)=1</formula>
    </cfRule>
  </conditionalFormatting>
  <conditionalFormatting sqref="A5:G73">
    <cfRule type="expression" dxfId="6" priority="2" stopIfTrue="1">
      <formula>MOD(ROW(),3)=1</formula>
    </cfRule>
  </conditionalFormatting>
  <conditionalFormatting sqref="A4:G4">
    <cfRule type="expression" dxfId="5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5"/>
  <sheetViews>
    <sheetView zoomScaleNormal="100" zoomScaleSheetLayoutView="100" workbookViewId="0">
      <pane ySplit="4" topLeftCell="A20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72</v>
      </c>
      <c r="B1" s="7"/>
      <c r="C1" s="8"/>
      <c r="D1" s="7"/>
      <c r="E1" s="8"/>
      <c r="F1" s="7"/>
      <c r="G1" s="8"/>
    </row>
    <row r="2" spans="1:7" ht="15" x14ac:dyDescent="0.25">
      <c r="A2" s="9" t="s">
        <v>89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90</v>
      </c>
      <c r="D4" s="38" t="s">
        <v>91</v>
      </c>
      <c r="E4" s="38" t="s">
        <v>82</v>
      </c>
      <c r="F4" s="38" t="s">
        <v>83</v>
      </c>
      <c r="G4" s="39" t="s">
        <v>81</v>
      </c>
    </row>
    <row r="5" spans="1:7" x14ac:dyDescent="0.2">
      <c r="A5" s="11" t="s">
        <v>4</v>
      </c>
      <c r="B5" s="12" t="str">
        <f>'Assessed Value All Property'!B5</f>
        <v>R-NVAB</v>
      </c>
      <c r="C5" s="13">
        <f>'Assessed Value All Property'!D5</f>
        <v>4017481347</v>
      </c>
      <c r="D5" s="14">
        <f>((C5-E5)/E5)</f>
        <v>2.2495771645395568E-2</v>
      </c>
      <c r="E5" s="13">
        <v>3929093360</v>
      </c>
      <c r="F5" s="14">
        <f>((E5-G5)/G5)</f>
        <v>-3.9767490115394282E-3</v>
      </c>
      <c r="G5" s="15">
        <v>3944780763</v>
      </c>
    </row>
    <row r="6" spans="1:7" x14ac:dyDescent="0.2">
      <c r="A6" s="11" t="s">
        <v>5</v>
      </c>
      <c r="B6" s="12" t="str">
        <f>'Assessed Value All Property'!B6</f>
        <v>R-Final</v>
      </c>
      <c r="C6" s="13">
        <f>'Assessed Value All Property'!D6</f>
        <v>232449160</v>
      </c>
      <c r="D6" s="14">
        <f t="shared" ref="D6:D69" si="0">((C6-E6)/E6)</f>
        <v>9.3541373121842367E-2</v>
      </c>
      <c r="E6" s="13">
        <v>212565492</v>
      </c>
      <c r="F6" s="14">
        <f t="shared" ref="F6:F69" si="1">((E6-G6)/G6)</f>
        <v>0.1316309378797515</v>
      </c>
      <c r="G6" s="15">
        <v>187839944</v>
      </c>
    </row>
    <row r="7" spans="1:7" x14ac:dyDescent="0.2">
      <c r="A7" s="11" t="s">
        <v>6</v>
      </c>
      <c r="B7" s="12" t="str">
        <f>'Assessed Value All Property'!B7</f>
        <v>R-NVAB</v>
      </c>
      <c r="C7" s="13">
        <f>'Assessed Value All Property'!D7</f>
        <v>2150454429</v>
      </c>
      <c r="D7" s="14">
        <f t="shared" si="0"/>
        <v>2.3855391555563502E-2</v>
      </c>
      <c r="E7" s="13">
        <v>2100349763</v>
      </c>
      <c r="F7" s="14">
        <f t="shared" si="1"/>
        <v>3.3270699432937818E-2</v>
      </c>
      <c r="G7" s="15">
        <v>2032719755</v>
      </c>
    </row>
    <row r="8" spans="1:7" x14ac:dyDescent="0.2">
      <c r="A8" s="11" t="s">
        <v>7</v>
      </c>
      <c r="B8" s="12" t="str">
        <f>'Assessed Value All Property'!B8</f>
        <v>R-Final</v>
      </c>
      <c r="C8" s="13">
        <f>'Assessed Value All Property'!D8</f>
        <v>339661189</v>
      </c>
      <c r="D8" s="14">
        <f t="shared" si="0"/>
        <v>0.21174312973553791</v>
      </c>
      <c r="E8" s="13">
        <v>280307914</v>
      </c>
      <c r="F8" s="14">
        <f t="shared" si="1"/>
        <v>6.1932636691600797E-2</v>
      </c>
      <c r="G8" s="15">
        <v>263960165</v>
      </c>
    </row>
    <row r="9" spans="1:7" x14ac:dyDescent="0.2">
      <c r="A9" s="11" t="s">
        <v>8</v>
      </c>
      <c r="B9" s="12" t="str">
        <f>'Assessed Value All Property'!B9</f>
        <v>R-NVAB</v>
      </c>
      <c r="C9" s="13">
        <f>'Assessed Value All Property'!D9</f>
        <v>10577764678</v>
      </c>
      <c r="D9" s="14">
        <f t="shared" si="0"/>
        <v>3.5121513794196084E-2</v>
      </c>
      <c r="E9" s="13">
        <v>10218862749</v>
      </c>
      <c r="F9" s="14">
        <f t="shared" si="1"/>
        <v>2.874035586855225E-2</v>
      </c>
      <c r="G9" s="15">
        <v>9933374044</v>
      </c>
    </row>
    <row r="10" spans="1:7" x14ac:dyDescent="0.2">
      <c r="A10" s="11" t="s">
        <v>9</v>
      </c>
      <c r="B10" s="12" t="str">
        <f>'Assessed Value All Property'!B10</f>
        <v>R-NVAB</v>
      </c>
      <c r="C10" s="13">
        <f>'Assessed Value All Property'!D10</f>
        <v>10480265271</v>
      </c>
      <c r="D10" s="14">
        <f t="shared" si="0"/>
        <v>4.3196926958996726E-2</v>
      </c>
      <c r="E10" s="13">
        <v>10046296150</v>
      </c>
      <c r="F10" s="14">
        <f t="shared" si="1"/>
        <v>-6.9915513555875546E-3</v>
      </c>
      <c r="G10" s="15">
        <v>10117029884</v>
      </c>
    </row>
    <row r="11" spans="1:7" x14ac:dyDescent="0.2">
      <c r="A11" s="11" t="s">
        <v>10</v>
      </c>
      <c r="B11" s="12" t="str">
        <f>'Assessed Value All Property'!B11</f>
        <v>R-Final</v>
      </c>
      <c r="C11" s="13">
        <f>'Assessed Value All Property'!D11</f>
        <v>135274404</v>
      </c>
      <c r="D11" s="14">
        <f t="shared" si="0"/>
        <v>1.4178651121081881E-2</v>
      </c>
      <c r="E11" s="13">
        <v>133383210</v>
      </c>
      <c r="F11" s="14">
        <f t="shared" si="1"/>
        <v>6.2443870672006498E-2</v>
      </c>
      <c r="G11" s="15">
        <v>125543771</v>
      </c>
    </row>
    <row r="12" spans="1:7" x14ac:dyDescent="0.2">
      <c r="A12" s="11" t="s">
        <v>11</v>
      </c>
      <c r="B12" s="12" t="str">
        <f>'Assessed Value All Property'!B12</f>
        <v>R-NVAB</v>
      </c>
      <c r="C12" s="13">
        <f>'Assessed Value All Property'!D12</f>
        <v>1570192818</v>
      </c>
      <c r="D12" s="14">
        <f t="shared" si="0"/>
        <v>0.103452958260897</v>
      </c>
      <c r="E12" s="13">
        <v>1422981203</v>
      </c>
      <c r="F12" s="14">
        <f t="shared" si="1"/>
        <v>-4.2823319201577593E-2</v>
      </c>
      <c r="G12" s="15">
        <v>1486644244</v>
      </c>
    </row>
    <row r="13" spans="1:7" x14ac:dyDescent="0.2">
      <c r="A13" s="11" t="s">
        <v>12</v>
      </c>
      <c r="B13" s="12" t="str">
        <f>'Assessed Value All Property'!B13</f>
        <v>R-NVAB</v>
      </c>
      <c r="C13" s="13">
        <f>'Assessed Value All Property'!D13</f>
        <v>1966400804</v>
      </c>
      <c r="D13" s="14">
        <f t="shared" si="0"/>
        <v>-9.6372617330144225E-2</v>
      </c>
      <c r="E13" s="13">
        <v>2176119097</v>
      </c>
      <c r="F13" s="14">
        <f t="shared" si="1"/>
        <v>-1.3885828912571532E-2</v>
      </c>
      <c r="G13" s="15">
        <v>2206761814</v>
      </c>
    </row>
    <row r="14" spans="1:7" x14ac:dyDescent="0.2">
      <c r="A14" s="11" t="s">
        <v>13</v>
      </c>
      <c r="B14" s="12" t="str">
        <f>'Assessed Value All Property'!B14</f>
        <v>R-NVAB</v>
      </c>
      <c r="C14" s="13">
        <f>'Assessed Value All Property'!D14</f>
        <v>1623346507</v>
      </c>
      <c r="D14" s="14">
        <f t="shared" si="0"/>
        <v>5.5341713240658452E-2</v>
      </c>
      <c r="E14" s="13">
        <v>1538218841</v>
      </c>
      <c r="F14" s="14">
        <f t="shared" si="1"/>
        <v>4.7547826609027406E-2</v>
      </c>
      <c r="G14" s="15">
        <v>1468399630</v>
      </c>
    </row>
    <row r="15" spans="1:7" x14ac:dyDescent="0.2">
      <c r="A15" s="11" t="s">
        <v>14</v>
      </c>
      <c r="B15" s="12" t="str">
        <f>'Assessed Value All Property'!B15</f>
        <v>R-NVAB</v>
      </c>
      <c r="C15" s="13">
        <f>'Assessed Value All Property'!D15</f>
        <v>3052292848</v>
      </c>
      <c r="D15" s="14">
        <f t="shared" si="0"/>
        <v>7.6559135818114132E-2</v>
      </c>
      <c r="E15" s="13">
        <v>2835230083</v>
      </c>
      <c r="F15" s="14">
        <f t="shared" si="1"/>
        <v>2.9117979924516885E-2</v>
      </c>
      <c r="G15" s="15">
        <v>2755009764</v>
      </c>
    </row>
    <row r="16" spans="1:7" x14ac:dyDescent="0.2">
      <c r="A16" s="11" t="s">
        <v>15</v>
      </c>
      <c r="B16" s="12" t="str">
        <f>'Assessed Value All Property'!B16</f>
        <v>R-NVAB</v>
      </c>
      <c r="C16" s="13">
        <f>'Assessed Value All Property'!D16</f>
        <v>828685808</v>
      </c>
      <c r="D16" s="14">
        <f t="shared" si="0"/>
        <v>0.20035186860064941</v>
      </c>
      <c r="E16" s="13">
        <v>690369074</v>
      </c>
      <c r="F16" s="14">
        <f t="shared" si="1"/>
        <v>0.23663241325647077</v>
      </c>
      <c r="G16" s="15">
        <v>558265388</v>
      </c>
    </row>
    <row r="17" spans="1:7" x14ac:dyDescent="0.2">
      <c r="A17" s="11" t="s">
        <v>78</v>
      </c>
      <c r="B17" s="12" t="str">
        <f>'Assessed Value All Property'!B17</f>
        <v>R-NVAB</v>
      </c>
      <c r="C17" s="13">
        <f>'Assessed Value All Property'!D17</f>
        <v>20057527684</v>
      </c>
      <c r="D17" s="14">
        <f t="shared" si="0"/>
        <v>8.5230714834672081E-2</v>
      </c>
      <c r="E17" s="13">
        <v>18482270553</v>
      </c>
      <c r="F17" s="14">
        <f t="shared" si="1"/>
        <v>5.3665726307240876E-2</v>
      </c>
      <c r="G17" s="15">
        <v>17540924120</v>
      </c>
    </row>
    <row r="18" spans="1:7" x14ac:dyDescent="0.2">
      <c r="A18" s="11" t="s">
        <v>16</v>
      </c>
      <c r="B18" s="12" t="str">
        <f>'Assessed Value All Property'!B18</f>
        <v>R-NVAB</v>
      </c>
      <c r="C18" s="13">
        <f>'Assessed Value All Property'!D18</f>
        <v>756796626</v>
      </c>
      <c r="D18" s="14">
        <f t="shared" si="0"/>
        <v>7.8425295287143884E-2</v>
      </c>
      <c r="E18" s="13">
        <v>701760826</v>
      </c>
      <c r="F18" s="14">
        <f t="shared" si="1"/>
        <v>-2.3056716953552745E-2</v>
      </c>
      <c r="G18" s="15">
        <v>718322996</v>
      </c>
    </row>
    <row r="19" spans="1:7" x14ac:dyDescent="0.2">
      <c r="A19" s="11" t="s">
        <v>17</v>
      </c>
      <c r="B19" s="12" t="str">
        <f>'Assessed Value All Property'!B19</f>
        <v>R-Final</v>
      </c>
      <c r="C19" s="13">
        <f>'Assessed Value All Property'!D19</f>
        <v>98408399</v>
      </c>
      <c r="D19" s="14">
        <f t="shared" si="0"/>
        <v>4.844850588862943E-2</v>
      </c>
      <c r="E19" s="13">
        <v>93860975</v>
      </c>
      <c r="F19" s="14">
        <f t="shared" si="1"/>
        <v>7.4569177106016578E-3</v>
      </c>
      <c r="G19" s="15">
        <v>93166242</v>
      </c>
    </row>
    <row r="20" spans="1:7" x14ac:dyDescent="0.2">
      <c r="A20" s="11" t="s">
        <v>18</v>
      </c>
      <c r="B20" s="12" t="str">
        <f>'Assessed Value All Property'!B20</f>
        <v>R-NVAB</v>
      </c>
      <c r="C20" s="13">
        <f>'Assessed Value All Property'!D20</f>
        <v>15115079987</v>
      </c>
      <c r="D20" s="14">
        <f t="shared" si="0"/>
        <v>3.6394246577122931E-2</v>
      </c>
      <c r="E20" s="13">
        <v>14584295539</v>
      </c>
      <c r="F20" s="14">
        <f t="shared" si="1"/>
        <v>5.9713566265340258E-3</v>
      </c>
      <c r="G20" s="15">
        <v>14497724456</v>
      </c>
    </row>
    <row r="21" spans="1:7" x14ac:dyDescent="0.2">
      <c r="A21" s="11" t="s">
        <v>19</v>
      </c>
      <c r="B21" s="12" t="str">
        <f>'Assessed Value All Property'!B21</f>
        <v>R-NVAB</v>
      </c>
      <c r="C21" s="13">
        <f>'Assessed Value All Property'!D21</f>
        <v>3422138152</v>
      </c>
      <c r="D21" s="14">
        <f t="shared" si="0"/>
        <v>0.20316216828745223</v>
      </c>
      <c r="E21" s="13">
        <v>2844286699</v>
      </c>
      <c r="F21" s="14">
        <f t="shared" si="1"/>
        <v>0.10524063584533495</v>
      </c>
      <c r="G21" s="15">
        <v>2573454691</v>
      </c>
    </row>
    <row r="22" spans="1:7" x14ac:dyDescent="0.2">
      <c r="A22" s="11" t="s">
        <v>20</v>
      </c>
      <c r="B22" s="12" t="str">
        <f>'Assessed Value All Property'!B22</f>
        <v>R-NVAB</v>
      </c>
      <c r="C22" s="13">
        <f>'Assessed Value All Property'!D22</f>
        <v>929516427</v>
      </c>
      <c r="D22" s="14">
        <f t="shared" si="0"/>
        <v>0.30738601561308343</v>
      </c>
      <c r="E22" s="13">
        <v>710973206</v>
      </c>
      <c r="F22" s="14">
        <f t="shared" si="1"/>
        <v>5.7734633749694349E-2</v>
      </c>
      <c r="G22" s="15">
        <v>672165951</v>
      </c>
    </row>
    <row r="23" spans="1:7" x14ac:dyDescent="0.2">
      <c r="A23" s="11" t="s">
        <v>21</v>
      </c>
      <c r="B23" s="12" t="str">
        <f>'Assessed Value All Property'!B23</f>
        <v>R-Final</v>
      </c>
      <c r="C23" s="13">
        <f>'Assessed Value All Property'!D23</f>
        <v>98222209</v>
      </c>
      <c r="D23" s="14">
        <f t="shared" si="0"/>
        <v>3.6122399865431594E-2</v>
      </c>
      <c r="E23" s="13">
        <v>94797882</v>
      </c>
      <c r="F23" s="14">
        <f t="shared" si="1"/>
        <v>0.14825188431980751</v>
      </c>
      <c r="G23" s="15">
        <v>82558438</v>
      </c>
    </row>
    <row r="24" spans="1:7" x14ac:dyDescent="0.2">
      <c r="A24" s="11" t="s">
        <v>22</v>
      </c>
      <c r="B24" s="12" t="str">
        <f>'Assessed Value All Property'!B24</f>
        <v>R-Final</v>
      </c>
      <c r="C24" s="13">
        <f>'Assessed Value All Property'!D24</f>
        <v>692109389</v>
      </c>
      <c r="D24" s="14">
        <f t="shared" si="0"/>
        <v>3.5267135849171564E-2</v>
      </c>
      <c r="E24" s="13">
        <v>668532174</v>
      </c>
      <c r="F24" s="14">
        <f t="shared" si="1"/>
        <v>7.3010414750986519E-2</v>
      </c>
      <c r="G24" s="15">
        <v>623043509</v>
      </c>
    </row>
    <row r="25" spans="1:7" x14ac:dyDescent="0.2">
      <c r="A25" s="11" t="s">
        <v>23</v>
      </c>
      <c r="B25" s="12" t="str">
        <f>'Assessed Value All Property'!B25</f>
        <v>R-Final</v>
      </c>
      <c r="C25" s="13">
        <f>'Assessed Value All Property'!D25</f>
        <v>335194715</v>
      </c>
      <c r="D25" s="14">
        <f t="shared" si="0"/>
        <v>4.2967552207789896E-2</v>
      </c>
      <c r="E25" s="13">
        <v>321385564</v>
      </c>
      <c r="F25" s="14">
        <f t="shared" si="1"/>
        <v>6.4183787219165372E-2</v>
      </c>
      <c r="G25" s="15">
        <v>302001936</v>
      </c>
    </row>
    <row r="26" spans="1:7" x14ac:dyDescent="0.2">
      <c r="A26" s="11" t="s">
        <v>24</v>
      </c>
      <c r="B26" s="12" t="str">
        <f>'Assessed Value All Property'!B26</f>
        <v>R-Final</v>
      </c>
      <c r="C26" s="13">
        <f>'Assessed Value All Property'!D26</f>
        <v>170612129</v>
      </c>
      <c r="D26" s="14">
        <f t="shared" si="0"/>
        <v>9.4500232866276485E-2</v>
      </c>
      <c r="E26" s="13">
        <v>155881309</v>
      </c>
      <c r="F26" s="14">
        <f t="shared" si="1"/>
        <v>-3.1193306126509803E-2</v>
      </c>
      <c r="G26" s="15">
        <v>160900322</v>
      </c>
    </row>
    <row r="27" spans="1:7" x14ac:dyDescent="0.2">
      <c r="A27" s="11" t="s">
        <v>25</v>
      </c>
      <c r="B27" s="12" t="str">
        <f>'Assessed Value All Property'!B27</f>
        <v>R-Final</v>
      </c>
      <c r="C27" s="13">
        <f>'Assessed Value All Property'!D27</f>
        <v>123725192</v>
      </c>
      <c r="D27" s="14">
        <f t="shared" si="0"/>
        <v>6.2520954645492843E-2</v>
      </c>
      <c r="E27" s="13">
        <v>116444943</v>
      </c>
      <c r="F27" s="14">
        <f t="shared" si="1"/>
        <v>8.9334398348562813E-2</v>
      </c>
      <c r="G27" s="15">
        <v>106895498</v>
      </c>
    </row>
    <row r="28" spans="1:7" x14ac:dyDescent="0.2">
      <c r="A28" s="11" t="s">
        <v>26</v>
      </c>
      <c r="B28" s="12" t="str">
        <f>'Assessed Value All Property'!B28</f>
        <v>R-Final</v>
      </c>
      <c r="C28" s="13">
        <f>'Assessed Value All Property'!D28</f>
        <v>633950511</v>
      </c>
      <c r="D28" s="14">
        <f t="shared" si="0"/>
        <v>8.6519125126627711E-2</v>
      </c>
      <c r="E28" s="13">
        <v>583469261</v>
      </c>
      <c r="F28" s="14">
        <f t="shared" si="1"/>
        <v>-3.6119770273252451E-2</v>
      </c>
      <c r="G28" s="15">
        <v>605333778</v>
      </c>
    </row>
    <row r="29" spans="1:7" x14ac:dyDescent="0.2">
      <c r="A29" s="11" t="s">
        <v>27</v>
      </c>
      <c r="B29" s="12" t="str">
        <f>'Assessed Value All Property'!B29</f>
        <v>R-NVAB</v>
      </c>
      <c r="C29" s="13">
        <f>'Assessed Value All Property'!D29</f>
        <v>922453940</v>
      </c>
      <c r="D29" s="14">
        <f t="shared" si="0"/>
        <v>0.10943277255607879</v>
      </c>
      <c r="E29" s="13">
        <v>831464477</v>
      </c>
      <c r="F29" s="14">
        <f t="shared" si="1"/>
        <v>1.4970040228405238E-2</v>
      </c>
      <c r="G29" s="15">
        <v>819201005</v>
      </c>
    </row>
    <row r="30" spans="1:7" x14ac:dyDescent="0.2">
      <c r="A30" s="11" t="s">
        <v>28</v>
      </c>
      <c r="B30" s="12" t="str">
        <f>'Assessed Value All Property'!B30</f>
        <v>R-NVAB</v>
      </c>
      <c r="C30" s="13">
        <f>'Assessed Value All Property'!D30</f>
        <v>1206735028</v>
      </c>
      <c r="D30" s="14">
        <f t="shared" si="0"/>
        <v>0.28460226432579422</v>
      </c>
      <c r="E30" s="13">
        <v>939384167</v>
      </c>
      <c r="F30" s="14">
        <f t="shared" si="1"/>
        <v>3.4122158990590901E-2</v>
      </c>
      <c r="G30" s="15">
        <v>908388007</v>
      </c>
    </row>
    <row r="31" spans="1:7" x14ac:dyDescent="0.2">
      <c r="A31" s="11" t="s">
        <v>29</v>
      </c>
      <c r="B31" s="12" t="str">
        <f>'Assessed Value All Property'!B31</f>
        <v>R-NVAB</v>
      </c>
      <c r="C31" s="13">
        <f>'Assessed Value All Property'!D31</f>
        <v>1857269202</v>
      </c>
      <c r="D31" s="14">
        <f t="shared" si="0"/>
        <v>4.0091118353719236E-2</v>
      </c>
      <c r="E31" s="13">
        <v>1785679321</v>
      </c>
      <c r="F31" s="14">
        <f t="shared" si="1"/>
        <v>2.6571323406746047E-2</v>
      </c>
      <c r="G31" s="15">
        <v>1739459578</v>
      </c>
    </row>
    <row r="32" spans="1:7" x14ac:dyDescent="0.2">
      <c r="A32" s="11" t="s">
        <v>30</v>
      </c>
      <c r="B32" s="12" t="str">
        <f>'Assessed Value All Property'!B32</f>
        <v>R-NVAB</v>
      </c>
      <c r="C32" s="13">
        <f>'Assessed Value All Property'!D32</f>
        <v>749240212</v>
      </c>
      <c r="D32" s="14">
        <f t="shared" si="0"/>
        <v>9.06612471716268E-3</v>
      </c>
      <c r="E32" s="13">
        <v>742508537</v>
      </c>
      <c r="F32" s="14">
        <f t="shared" si="1"/>
        <v>3.7392912453276847E-2</v>
      </c>
      <c r="G32" s="15">
        <v>715744756</v>
      </c>
    </row>
    <row r="33" spans="1:7" x14ac:dyDescent="0.2">
      <c r="A33" s="11" t="s">
        <v>31</v>
      </c>
      <c r="B33" s="12" t="str">
        <f>'Assessed Value All Property'!B33</f>
        <v>R-NVAB</v>
      </c>
      <c r="C33" s="13">
        <f>'Assessed Value All Property'!D33</f>
        <v>12576742750</v>
      </c>
      <c r="D33" s="14">
        <f t="shared" si="0"/>
        <v>6.3047451633168383E-2</v>
      </c>
      <c r="E33" s="13">
        <v>11830838530</v>
      </c>
      <c r="F33" s="14">
        <f t="shared" si="1"/>
        <v>1.1505777479070427E-2</v>
      </c>
      <c r="G33" s="15">
        <v>11696263920</v>
      </c>
    </row>
    <row r="34" spans="1:7" x14ac:dyDescent="0.2">
      <c r="A34" s="11" t="s">
        <v>32</v>
      </c>
      <c r="B34" s="12" t="str">
        <f>'Assessed Value All Property'!B34</f>
        <v>R-Final</v>
      </c>
      <c r="C34" s="13">
        <f>'Assessed Value All Property'!D34</f>
        <v>109194421</v>
      </c>
      <c r="D34" s="14">
        <f t="shared" si="0"/>
        <v>9.2835745401098221E-2</v>
      </c>
      <c r="E34" s="13">
        <v>99918420</v>
      </c>
      <c r="F34" s="14">
        <f t="shared" si="1"/>
        <v>1.7255499812855422E-2</v>
      </c>
      <c r="G34" s="15">
        <v>98223524</v>
      </c>
    </row>
    <row r="35" spans="1:7" x14ac:dyDescent="0.2">
      <c r="A35" s="11" t="s">
        <v>33</v>
      </c>
      <c r="B35" s="12" t="str">
        <f>'Assessed Value All Property'!B35</f>
        <v>R-NVAB</v>
      </c>
      <c r="C35" s="13">
        <f>'Assessed Value All Property'!D35</f>
        <v>985586805</v>
      </c>
      <c r="D35" s="14">
        <f t="shared" si="0"/>
        <v>0.15909908758122837</v>
      </c>
      <c r="E35" s="13">
        <v>850304185</v>
      </c>
      <c r="F35" s="14">
        <f t="shared" si="1"/>
        <v>6.0872095851042606E-2</v>
      </c>
      <c r="G35" s="15">
        <v>801514328</v>
      </c>
    </row>
    <row r="36" spans="1:7" x14ac:dyDescent="0.2">
      <c r="A36" s="11" t="s">
        <v>34</v>
      </c>
      <c r="B36" s="12" t="str">
        <f>'Assessed Value All Property'!B36</f>
        <v>R-Final</v>
      </c>
      <c r="C36" s="13">
        <f>'Assessed Value All Property'!D36</f>
        <v>486440798</v>
      </c>
      <c r="D36" s="14">
        <f t="shared" si="0"/>
        <v>7.5752117767957872E-2</v>
      </c>
      <c r="E36" s="13">
        <v>452186698</v>
      </c>
      <c r="F36" s="14">
        <f t="shared" si="1"/>
        <v>0.13683607087548247</v>
      </c>
      <c r="G36" s="15">
        <v>397758929</v>
      </c>
    </row>
    <row r="37" spans="1:7" x14ac:dyDescent="0.2">
      <c r="A37" s="11" t="s">
        <v>35</v>
      </c>
      <c r="B37" s="12" t="str">
        <f>'Assessed Value All Property'!B37</f>
        <v>R-NVAB</v>
      </c>
      <c r="C37" s="13">
        <f>'Assessed Value All Property'!D37</f>
        <v>189245441</v>
      </c>
      <c r="D37" s="14">
        <f t="shared" si="0"/>
        <v>0.10631401861479414</v>
      </c>
      <c r="E37" s="13">
        <v>171059426</v>
      </c>
      <c r="F37" s="14">
        <f t="shared" si="1"/>
        <v>-2.0694737262496782E-2</v>
      </c>
      <c r="G37" s="15">
        <v>174674264</v>
      </c>
    </row>
    <row r="38" spans="1:7" x14ac:dyDescent="0.2">
      <c r="A38" s="11" t="s">
        <v>36</v>
      </c>
      <c r="B38" s="12" t="str">
        <f>'Assessed Value All Property'!B38</f>
        <v>R-Final</v>
      </c>
      <c r="C38" s="13">
        <f>'Assessed Value All Property'!D38</f>
        <v>78754649</v>
      </c>
      <c r="D38" s="14">
        <f t="shared" si="0"/>
        <v>7.4685070702666223E-2</v>
      </c>
      <c r="E38" s="13">
        <v>73281607</v>
      </c>
      <c r="F38" s="14">
        <f t="shared" si="1"/>
        <v>2.2606033114907727E-2</v>
      </c>
      <c r="G38" s="15">
        <v>71661622</v>
      </c>
    </row>
    <row r="39" spans="1:7" x14ac:dyDescent="0.2">
      <c r="A39" s="11" t="s">
        <v>37</v>
      </c>
      <c r="B39" s="12" t="str">
        <f>'Assessed Value All Property'!B39</f>
        <v>R-NVAB</v>
      </c>
      <c r="C39" s="13">
        <f>'Assessed Value All Property'!D39</f>
        <v>2374028227</v>
      </c>
      <c r="D39" s="14">
        <f t="shared" si="0"/>
        <v>0.1319982853700912</v>
      </c>
      <c r="E39" s="13">
        <v>2097201257</v>
      </c>
      <c r="F39" s="14">
        <f t="shared" si="1"/>
        <v>2.9036285451401389E-3</v>
      </c>
      <c r="G39" s="15">
        <v>2091129394</v>
      </c>
    </row>
    <row r="40" spans="1:7" x14ac:dyDescent="0.2">
      <c r="A40" s="11" t="s">
        <v>38</v>
      </c>
      <c r="B40" s="12" t="str">
        <f>'Assessed Value All Property'!B40</f>
        <v>R-NVAB</v>
      </c>
      <c r="C40" s="13">
        <f>'Assessed Value All Property'!D40</f>
        <v>6160285826</v>
      </c>
      <c r="D40" s="14">
        <f t="shared" si="0"/>
        <v>6.2624412344000582E-2</v>
      </c>
      <c r="E40" s="13">
        <v>5797237250</v>
      </c>
      <c r="F40" s="14">
        <f t="shared" si="1"/>
        <v>5.6077543784239705E-3</v>
      </c>
      <c r="G40" s="15">
        <v>5764909056</v>
      </c>
    </row>
    <row r="41" spans="1:7" x14ac:dyDescent="0.2">
      <c r="A41" s="11" t="s">
        <v>39</v>
      </c>
      <c r="B41" s="12" t="str">
        <f>'Assessed Value All Property'!B41</f>
        <v>R-NVAB</v>
      </c>
      <c r="C41" s="13">
        <f>'Assessed Value All Property'!D41</f>
        <v>2255235854</v>
      </c>
      <c r="D41" s="14">
        <f t="shared" si="0"/>
        <v>2.5548724201904235E-2</v>
      </c>
      <c r="E41" s="13">
        <v>2199052859</v>
      </c>
      <c r="F41" s="14">
        <f t="shared" si="1"/>
        <v>7.2690653286910344E-3</v>
      </c>
      <c r="G41" s="15">
        <v>2183183158</v>
      </c>
    </row>
    <row r="42" spans="1:7" x14ac:dyDescent="0.2">
      <c r="A42" s="11" t="s">
        <v>40</v>
      </c>
      <c r="B42" s="12" t="str">
        <f>'Assessed Value All Property'!B42</f>
        <v>R-Final</v>
      </c>
      <c r="C42" s="13">
        <f>'Assessed Value All Property'!D42</f>
        <v>400726480</v>
      </c>
      <c r="D42" s="14">
        <f t="shared" si="0"/>
        <v>-1.4810045821742255E-3</v>
      </c>
      <c r="E42" s="13">
        <v>401320838</v>
      </c>
      <c r="F42" s="14">
        <f t="shared" si="1"/>
        <v>-2.9945205232858735E-3</v>
      </c>
      <c r="G42" s="15">
        <v>402526211</v>
      </c>
    </row>
    <row r="43" spans="1:7" x14ac:dyDescent="0.2">
      <c r="A43" s="11" t="s">
        <v>41</v>
      </c>
      <c r="B43" s="12" t="str">
        <f>'Assessed Value All Property'!B43</f>
        <v>R-Final</v>
      </c>
      <c r="C43" s="13">
        <f>'Assessed Value All Property'!D43</f>
        <v>149058826</v>
      </c>
      <c r="D43" s="14">
        <f t="shared" si="0"/>
        <v>0.11003595462030637</v>
      </c>
      <c r="E43" s="13">
        <v>134282881</v>
      </c>
      <c r="F43" s="14">
        <f t="shared" si="1"/>
        <v>0.21309961015331025</v>
      </c>
      <c r="G43" s="15">
        <v>110694027</v>
      </c>
    </row>
    <row r="44" spans="1:7" x14ac:dyDescent="0.2">
      <c r="A44" s="11" t="s">
        <v>42</v>
      </c>
      <c r="B44" s="12" t="str">
        <f>'Assessed Value All Property'!B44</f>
        <v>R-NVAB</v>
      </c>
      <c r="C44" s="13">
        <f>'Assessed Value All Property'!D44</f>
        <v>244518723</v>
      </c>
      <c r="D44" s="14">
        <f t="shared" si="0"/>
        <v>0.10537132395492986</v>
      </c>
      <c r="E44" s="13">
        <v>221209577</v>
      </c>
      <c r="F44" s="14">
        <f t="shared" si="1"/>
        <v>9.8362199850951945E-2</v>
      </c>
      <c r="G44" s="15">
        <v>201399481</v>
      </c>
    </row>
    <row r="45" spans="1:7" x14ac:dyDescent="0.2">
      <c r="A45" s="11" t="s">
        <v>43</v>
      </c>
      <c r="B45" s="12" t="str">
        <f>'Assessed Value All Property'!B45</f>
        <v>R-NVAB</v>
      </c>
      <c r="C45" s="13">
        <f>'Assessed Value All Property'!D45</f>
        <v>3965157902</v>
      </c>
      <c r="D45" s="14">
        <f t="shared" si="0"/>
        <v>0.15025299230598621</v>
      </c>
      <c r="E45" s="13">
        <v>3447205031</v>
      </c>
      <c r="F45" s="14">
        <f t="shared" si="1"/>
        <v>5.4723775152886118E-3</v>
      </c>
      <c r="G45" s="15">
        <v>3428443295</v>
      </c>
    </row>
    <row r="46" spans="1:7" x14ac:dyDescent="0.2">
      <c r="A46" s="11" t="s">
        <v>44</v>
      </c>
      <c r="B46" s="12" t="str">
        <f>'Assessed Value All Property'!B46</f>
        <v>R-NVAB</v>
      </c>
      <c r="C46" s="13">
        <f>'Assessed Value All Property'!D46</f>
        <v>2267076775</v>
      </c>
      <c r="D46" s="14">
        <f t="shared" si="0"/>
        <v>8.847721691099765E-2</v>
      </c>
      <c r="E46" s="13">
        <v>2082796718</v>
      </c>
      <c r="F46" s="14">
        <f t="shared" si="1"/>
        <v>4.7304503931467526E-2</v>
      </c>
      <c r="G46" s="15">
        <v>1988721246</v>
      </c>
    </row>
    <row r="47" spans="1:7" x14ac:dyDescent="0.2">
      <c r="A47" s="11" t="s">
        <v>45</v>
      </c>
      <c r="B47" s="12" t="str">
        <f>'Assessed Value All Property'!B47</f>
        <v>R-NVAB</v>
      </c>
      <c r="C47" s="13">
        <f>'Assessed Value All Property'!D47</f>
        <v>3240030632</v>
      </c>
      <c r="D47" s="14">
        <f t="shared" si="0"/>
        <v>3.7281196588386994E-2</v>
      </c>
      <c r="E47" s="13">
        <v>3123579838</v>
      </c>
      <c r="F47" s="14">
        <f t="shared" si="1"/>
        <v>2.5948791732709645E-2</v>
      </c>
      <c r="G47" s="15">
        <v>3044576750</v>
      </c>
    </row>
    <row r="48" spans="1:7" x14ac:dyDescent="0.2">
      <c r="A48" s="11" t="s">
        <v>46</v>
      </c>
      <c r="B48" s="12" t="str">
        <f>'Assessed Value All Property'!B48</f>
        <v>R-NVAB</v>
      </c>
      <c r="C48" s="13">
        <f>'Assessed Value All Property'!D48</f>
        <v>957309313</v>
      </c>
      <c r="D48" s="14">
        <f t="shared" si="0"/>
        <v>5.7732448783262801E-2</v>
      </c>
      <c r="E48" s="13">
        <v>905058093</v>
      </c>
      <c r="F48" s="14">
        <f t="shared" si="1"/>
        <v>5.8603116382273668E-2</v>
      </c>
      <c r="G48" s="15">
        <v>854955062</v>
      </c>
    </row>
    <row r="49" spans="1:7" x14ac:dyDescent="0.2">
      <c r="A49" s="11" t="s">
        <v>47</v>
      </c>
      <c r="B49" s="12" t="str">
        <f>'Assessed Value All Property'!B49</f>
        <v>R-NVAB</v>
      </c>
      <c r="C49" s="13">
        <f>'Assessed Value All Property'!D49</f>
        <v>1411623213</v>
      </c>
      <c r="D49" s="14">
        <f t="shared" si="0"/>
        <v>0.12018936789824733</v>
      </c>
      <c r="E49" s="13">
        <v>1260164802</v>
      </c>
      <c r="F49" s="14">
        <f t="shared" si="1"/>
        <v>0.10575566356151005</v>
      </c>
      <c r="G49" s="15">
        <v>1139641282</v>
      </c>
    </row>
    <row r="50" spans="1:7" x14ac:dyDescent="0.2">
      <c r="A50" s="11" t="s">
        <v>48</v>
      </c>
      <c r="B50" s="12" t="str">
        <f>'Assessed Value All Property'!B50</f>
        <v>R-NVAB</v>
      </c>
      <c r="C50" s="13">
        <f>'Assessed Value All Property'!D50</f>
        <v>1080824347</v>
      </c>
      <c r="D50" s="14">
        <f t="shared" si="0"/>
        <v>3.9982883814578679E-2</v>
      </c>
      <c r="E50" s="13">
        <v>1039271284</v>
      </c>
      <c r="F50" s="14">
        <f t="shared" si="1"/>
        <v>1.5327610005416126E-2</v>
      </c>
      <c r="G50" s="15">
        <v>1023582215</v>
      </c>
    </row>
    <row r="51" spans="1:7" x14ac:dyDescent="0.2">
      <c r="A51" s="11" t="s">
        <v>49</v>
      </c>
      <c r="B51" s="12" t="str">
        <f>'Assessed Value All Property'!B51</f>
        <v>R-NVAB</v>
      </c>
      <c r="C51" s="13">
        <f>'Assessed Value All Property'!D51</f>
        <v>1831675152</v>
      </c>
      <c r="D51" s="14">
        <f t="shared" si="0"/>
        <v>5.7159848988291309E-2</v>
      </c>
      <c r="E51" s="13">
        <v>1732637835</v>
      </c>
      <c r="F51" s="14">
        <f t="shared" si="1"/>
        <v>9.5126629591500506E-2</v>
      </c>
      <c r="G51" s="15">
        <v>1582134694</v>
      </c>
    </row>
    <row r="52" spans="1:7" x14ac:dyDescent="0.2">
      <c r="A52" s="11" t="s">
        <v>50</v>
      </c>
      <c r="B52" s="12" t="str">
        <f>'Assessed Value All Property'!B52</f>
        <v>R-NVAB</v>
      </c>
      <c r="C52" s="13">
        <f>'Assessed Value All Property'!D52</f>
        <v>16614910363</v>
      </c>
      <c r="D52" s="14">
        <f t="shared" si="0"/>
        <v>-4.6600673041794285E-3</v>
      </c>
      <c r="E52" s="13">
        <v>16692699466</v>
      </c>
      <c r="F52" s="14">
        <f t="shared" si="1"/>
        <v>1.7341862673939692E-2</v>
      </c>
      <c r="G52" s="15">
        <v>16408151555</v>
      </c>
    </row>
    <row r="53" spans="1:7" x14ac:dyDescent="0.2">
      <c r="A53" s="11" t="s">
        <v>51</v>
      </c>
      <c r="B53" s="12" t="str">
        <f>'Assessed Value All Property'!B53</f>
        <v>R-NVAB</v>
      </c>
      <c r="C53" s="13">
        <f>'Assessed Value All Property'!D53</f>
        <v>3516169412</v>
      </c>
      <c r="D53" s="14">
        <f t="shared" si="0"/>
        <v>6.9456649735027201E-2</v>
      </c>
      <c r="E53" s="13">
        <v>3287809200</v>
      </c>
      <c r="F53" s="14">
        <f t="shared" si="1"/>
        <v>6.3391759890742888E-2</v>
      </c>
      <c r="G53" s="15">
        <v>3091813689</v>
      </c>
    </row>
    <row r="54" spans="1:7" x14ac:dyDescent="0.2">
      <c r="A54" s="11" t="s">
        <v>52</v>
      </c>
      <c r="B54" s="12" t="str">
        <f>'Assessed Value All Property'!B54</f>
        <v>R-NVAB</v>
      </c>
      <c r="C54" s="13">
        <f>'Assessed Value All Property'!D54</f>
        <v>12900710255</v>
      </c>
      <c r="D54" s="14">
        <f t="shared" si="0"/>
        <v>8.9044795013591041E-2</v>
      </c>
      <c r="E54" s="13">
        <v>11845894966</v>
      </c>
      <c r="F54" s="14">
        <f t="shared" si="1"/>
        <v>1.2348688197988445E-2</v>
      </c>
      <c r="G54" s="15">
        <v>11701398050</v>
      </c>
    </row>
    <row r="55" spans="1:7" x14ac:dyDescent="0.2">
      <c r="A55" s="11" t="s">
        <v>53</v>
      </c>
      <c r="B55" s="12" t="str">
        <f>'Assessed Value All Property'!B55</f>
        <v>R-NVAB</v>
      </c>
      <c r="C55" s="13">
        <f>'Assessed Value All Property'!D55</f>
        <v>3377605157</v>
      </c>
      <c r="D55" s="14">
        <f t="shared" si="0"/>
        <v>4.200648142096889E-2</v>
      </c>
      <c r="E55" s="13">
        <v>3241443520</v>
      </c>
      <c r="F55" s="14">
        <f t="shared" si="1"/>
        <v>2.1719790109573103E-2</v>
      </c>
      <c r="G55" s="15">
        <v>3172536689</v>
      </c>
    </row>
    <row r="56" spans="1:7" x14ac:dyDescent="0.2">
      <c r="A56" s="11" t="s">
        <v>54</v>
      </c>
      <c r="B56" s="12" t="str">
        <f>'Assessed Value All Property'!B56</f>
        <v>R-NVAB</v>
      </c>
      <c r="C56" s="13">
        <f>'Assessed Value All Property'!D56</f>
        <v>6715815759</v>
      </c>
      <c r="D56" s="14">
        <f t="shared" si="0"/>
        <v>3.4972837852106947E-2</v>
      </c>
      <c r="E56" s="13">
        <v>6488881170</v>
      </c>
      <c r="F56" s="14">
        <f t="shared" si="1"/>
        <v>-3.4615740384258263E-2</v>
      </c>
      <c r="G56" s="15">
        <v>6721552693</v>
      </c>
    </row>
    <row r="57" spans="1:7" x14ac:dyDescent="0.2">
      <c r="A57" s="11" t="s">
        <v>55</v>
      </c>
      <c r="B57" s="12" t="str">
        <f>'Assessed Value All Property'!B57</f>
        <v>R-NVAB</v>
      </c>
      <c r="C57" s="13">
        <f>'Assessed Value All Property'!D57</f>
        <v>8680488333</v>
      </c>
      <c r="D57" s="14">
        <f t="shared" si="0"/>
        <v>0.10885360206329174</v>
      </c>
      <c r="E57" s="13">
        <v>7828344803</v>
      </c>
      <c r="F57" s="14">
        <f t="shared" si="1"/>
        <v>5.736308639383552E-2</v>
      </c>
      <c r="G57" s="15">
        <v>7403648665</v>
      </c>
    </row>
    <row r="58" spans="1:7" x14ac:dyDescent="0.2">
      <c r="A58" s="11" t="s">
        <v>56</v>
      </c>
      <c r="B58" s="12" t="str">
        <f>'Assessed Value All Property'!B58</f>
        <v>R-NVAB</v>
      </c>
      <c r="C58" s="13">
        <f>'Assessed Value All Property'!D58</f>
        <v>1793049045</v>
      </c>
      <c r="D58" s="14">
        <f t="shared" si="0"/>
        <v>0.11600794735260436</v>
      </c>
      <c r="E58" s="13">
        <v>1606663330</v>
      </c>
      <c r="F58" s="14">
        <f t="shared" si="1"/>
        <v>7.9136609081477988E-2</v>
      </c>
      <c r="G58" s="15">
        <v>1488841465</v>
      </c>
    </row>
    <row r="59" spans="1:7" x14ac:dyDescent="0.2">
      <c r="A59" s="11" t="s">
        <v>2</v>
      </c>
      <c r="B59" s="12" t="str">
        <f>'Assessed Value All Property'!B59</f>
        <v>R-NVAB</v>
      </c>
      <c r="C59" s="13">
        <f>'Assessed Value All Property'!D59</f>
        <v>1790060338</v>
      </c>
      <c r="D59" s="14">
        <f t="shared" si="0"/>
        <v>9.5811518157624218E-2</v>
      </c>
      <c r="E59" s="13">
        <v>1633547657</v>
      </c>
      <c r="F59" s="14">
        <f t="shared" si="1"/>
        <v>5.8513719247484525E-2</v>
      </c>
      <c r="G59" s="15">
        <v>1543246561</v>
      </c>
    </row>
    <row r="60" spans="1:7" x14ac:dyDescent="0.2">
      <c r="A60" s="11" t="s">
        <v>3</v>
      </c>
      <c r="B60" s="12" t="str">
        <f>'Assessed Value All Property'!B60</f>
        <v>R-NVAB</v>
      </c>
      <c r="C60" s="13">
        <f>'Assessed Value All Property'!D60</f>
        <v>5099458957</v>
      </c>
      <c r="D60" s="14">
        <f t="shared" si="0"/>
        <v>3.2322978249547024E-2</v>
      </c>
      <c r="E60" s="13">
        <v>4939790225</v>
      </c>
      <c r="F60" s="14">
        <f t="shared" si="1"/>
        <v>1.4971794100427868E-3</v>
      </c>
      <c r="G60" s="15">
        <v>4932405529</v>
      </c>
    </row>
    <row r="61" spans="1:7" x14ac:dyDescent="0.2">
      <c r="A61" s="11" t="s">
        <v>57</v>
      </c>
      <c r="B61" s="12" t="str">
        <f>'Assessed Value All Property'!B61</f>
        <v>R-NVAB</v>
      </c>
      <c r="C61" s="13">
        <f>'Assessed Value All Property'!D61</f>
        <v>971950108</v>
      </c>
      <c r="D61" s="14">
        <f t="shared" si="0"/>
        <v>0.13550854275126978</v>
      </c>
      <c r="E61" s="13">
        <v>855960190</v>
      </c>
      <c r="F61" s="14">
        <f t="shared" si="1"/>
        <v>4.0991284813314675E-2</v>
      </c>
      <c r="G61" s="15">
        <v>822254905</v>
      </c>
    </row>
    <row r="62" spans="1:7" x14ac:dyDescent="0.2">
      <c r="A62" s="11" t="s">
        <v>58</v>
      </c>
      <c r="B62" s="12" t="str">
        <f>'Assessed Value All Property'!B62</f>
        <v>R-NVAB</v>
      </c>
      <c r="C62" s="13">
        <f>'Assessed Value All Property'!D62</f>
        <v>3193004350</v>
      </c>
      <c r="D62" s="14">
        <f t="shared" si="0"/>
        <v>8.1889119860136333E-2</v>
      </c>
      <c r="E62" s="13">
        <v>2951323099</v>
      </c>
      <c r="F62" s="14">
        <f t="shared" si="1"/>
        <v>3.5822449786332401E-2</v>
      </c>
      <c r="G62" s="15">
        <v>2849255777</v>
      </c>
    </row>
    <row r="63" spans="1:7" x14ac:dyDescent="0.2">
      <c r="A63" s="11" t="s">
        <v>59</v>
      </c>
      <c r="B63" s="12" t="str">
        <f>'Assessed Value All Property'!B63</f>
        <v>R-NVAB</v>
      </c>
      <c r="C63" s="13">
        <f>'Assessed Value All Property'!D63</f>
        <v>3005420631</v>
      </c>
      <c r="D63" s="14">
        <f t="shared" si="0"/>
        <v>8.1182501193212894E-2</v>
      </c>
      <c r="E63" s="13">
        <v>2779753305</v>
      </c>
      <c r="F63" s="14">
        <f t="shared" si="1"/>
        <v>3.7059742771122429E-2</v>
      </c>
      <c r="G63" s="15">
        <v>2680417714</v>
      </c>
    </row>
    <row r="64" spans="1:7" x14ac:dyDescent="0.2">
      <c r="A64" s="11" t="s">
        <v>60</v>
      </c>
      <c r="B64" s="12" t="str">
        <f>'Assessed Value All Property'!B64</f>
        <v>R-NVAB</v>
      </c>
      <c r="C64" s="13">
        <f>'Assessed Value All Property'!D64</f>
        <v>1182512751</v>
      </c>
      <c r="D64" s="14">
        <f t="shared" si="0"/>
        <v>0.14360200055988795</v>
      </c>
      <c r="E64" s="13">
        <v>1034024731</v>
      </c>
      <c r="F64" s="14">
        <f t="shared" si="1"/>
        <v>0.10757859343432187</v>
      </c>
      <c r="G64" s="15">
        <v>933590390</v>
      </c>
    </row>
    <row r="65" spans="1:7" x14ac:dyDescent="0.2">
      <c r="A65" s="11" t="s">
        <v>61</v>
      </c>
      <c r="B65" s="12" t="str">
        <f>'Assessed Value All Property'!B65</f>
        <v>R-NVAB</v>
      </c>
      <c r="C65" s="13">
        <f>'Assessed Value All Property'!D65</f>
        <v>763497620</v>
      </c>
      <c r="D65" s="14">
        <f t="shared" si="0"/>
        <v>8.6197429706862769E-2</v>
      </c>
      <c r="E65" s="13">
        <v>702908697</v>
      </c>
      <c r="F65" s="14">
        <f t="shared" si="1"/>
        <v>3.6127753440058565E-2</v>
      </c>
      <c r="G65" s="15">
        <v>678399642</v>
      </c>
    </row>
    <row r="66" spans="1:7" x14ac:dyDescent="0.2">
      <c r="A66" s="11" t="s">
        <v>62</v>
      </c>
      <c r="B66" s="12" t="str">
        <f>'Assessed Value All Property'!B66</f>
        <v>R-Final</v>
      </c>
      <c r="C66" s="13">
        <f>'Assessed Value All Property'!D66</f>
        <v>816176146</v>
      </c>
      <c r="D66" s="14">
        <f t="shared" si="0"/>
        <v>5.0586483940386902E-2</v>
      </c>
      <c r="E66" s="13">
        <v>776876686</v>
      </c>
      <c r="F66" s="14">
        <f t="shared" si="1"/>
        <v>2.544729706129532E-2</v>
      </c>
      <c r="G66" s="15">
        <v>757597868</v>
      </c>
    </row>
    <row r="67" spans="1:7" x14ac:dyDescent="0.2">
      <c r="A67" s="11" t="s">
        <v>63</v>
      </c>
      <c r="B67" s="12" t="str">
        <f>'Assessed Value All Property'!B67</f>
        <v>R-Final</v>
      </c>
      <c r="C67" s="13">
        <f>'Assessed Value All Property'!D67</f>
        <v>87527779</v>
      </c>
      <c r="D67" s="14">
        <f t="shared" si="0"/>
        <v>-1.1058651461041151E-2</v>
      </c>
      <c r="E67" s="13">
        <v>88506542</v>
      </c>
      <c r="F67" s="14">
        <f t="shared" si="1"/>
        <v>0.37233934311514133</v>
      </c>
      <c r="G67" s="15">
        <v>64493190</v>
      </c>
    </row>
    <row r="68" spans="1:7" x14ac:dyDescent="0.2">
      <c r="A68" s="11" t="s">
        <v>64</v>
      </c>
      <c r="B68" s="12" t="str">
        <f>'Assessed Value All Property'!B68</f>
        <v>R-NVAB</v>
      </c>
      <c r="C68" s="13">
        <f>'Assessed Value All Property'!D68</f>
        <v>4544146115</v>
      </c>
      <c r="D68" s="14">
        <f t="shared" si="0"/>
        <v>6.5595990696810366E-2</v>
      </c>
      <c r="E68" s="13">
        <v>4264417429</v>
      </c>
      <c r="F68" s="14">
        <f t="shared" si="1"/>
        <v>6.9876191587582487E-2</v>
      </c>
      <c r="G68" s="15">
        <v>3985898053</v>
      </c>
    </row>
    <row r="69" spans="1:7" x14ac:dyDescent="0.2">
      <c r="A69" s="11" t="s">
        <v>65</v>
      </c>
      <c r="B69" s="12" t="str">
        <f>'Assessed Value All Property'!B69</f>
        <v>R-Final</v>
      </c>
      <c r="C69" s="13">
        <f>'Assessed Value All Property'!D69</f>
        <v>212578431</v>
      </c>
      <c r="D69" s="14">
        <f t="shared" si="0"/>
        <v>8.5516328927642229E-2</v>
      </c>
      <c r="E69" s="13">
        <v>195831629</v>
      </c>
      <c r="F69" s="14">
        <f t="shared" si="1"/>
        <v>8.4896323050505026E-3</v>
      </c>
      <c r="G69" s="15">
        <v>194183086</v>
      </c>
    </row>
    <row r="70" spans="1:7" x14ac:dyDescent="0.2">
      <c r="A70" s="11" t="s">
        <v>66</v>
      </c>
      <c r="B70" s="12" t="str">
        <f>'Assessed Value All Property'!B70</f>
        <v>R-NVAB</v>
      </c>
      <c r="C70" s="13">
        <f>'Assessed Value All Property'!D70</f>
        <v>753027345</v>
      </c>
      <c r="D70" s="14">
        <f>((C70-E70)/E70)</f>
        <v>8.5179682700429429E-2</v>
      </c>
      <c r="E70" s="13">
        <v>693919502</v>
      </c>
      <c r="F70" s="14">
        <f>((E70-G70)/G70)</f>
        <v>6.9521583796267827E-2</v>
      </c>
      <c r="G70" s="15">
        <v>648812995</v>
      </c>
    </row>
    <row r="71" spans="1:7" x14ac:dyDescent="0.2">
      <c r="A71" s="11" t="s">
        <v>67</v>
      </c>
      <c r="B71" s="12" t="str">
        <f>'Assessed Value All Property'!B71</f>
        <v>R-Final</v>
      </c>
      <c r="C71" s="13">
        <f>'Assessed Value All Property'!D71</f>
        <v>277904053</v>
      </c>
      <c r="D71" s="14">
        <f>((C71-E71)/E71)</f>
        <v>5.6514296298500452E-2</v>
      </c>
      <c r="E71" s="13">
        <v>263038611</v>
      </c>
      <c r="F71" s="14">
        <f>((E71-G71)/G71)</f>
        <v>1.0435634122735987E-2</v>
      </c>
      <c r="G71" s="15">
        <v>260321986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SUM(C5:C71)</f>
        <v>201202778147</v>
      </c>
      <c r="D73" s="22">
        <f>((C73-E73)/E73)</f>
        <v>6.2703746333645269E-2</v>
      </c>
      <c r="E73" s="21">
        <f>SUM(E5:E71)</f>
        <v>189331014256</v>
      </c>
      <c r="F73" s="22">
        <f>((E73-G73)/G73)</f>
        <v>2.5437221610876373E-2</v>
      </c>
      <c r="G73" s="23">
        <f>SUM(G5:G71)</f>
        <v>184634427409</v>
      </c>
    </row>
    <row r="75" spans="1:7" x14ac:dyDescent="0.2">
      <c r="A75" s="24" t="s">
        <v>88</v>
      </c>
    </row>
  </sheetData>
  <phoneticPr fontId="3" type="noConversion"/>
  <conditionalFormatting sqref="A75">
    <cfRule type="expression" dxfId="4" priority="9" stopIfTrue="1">
      <formula>MOD(ROW(),5)=1</formula>
    </cfRule>
  </conditionalFormatting>
  <conditionalFormatting sqref="A5:G73">
    <cfRule type="expression" dxfId="3" priority="2" stopIfTrue="1">
      <formula>MOD(ROW(),3)=1</formula>
    </cfRule>
  </conditionalFormatting>
  <conditionalFormatting sqref="A4:G4">
    <cfRule type="expression" dxfId="2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 G7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5"/>
  <sheetViews>
    <sheetView zoomScaleNormal="100" zoomScaleSheetLayoutView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73</v>
      </c>
      <c r="B1" s="7"/>
      <c r="C1" s="8"/>
      <c r="D1" s="7"/>
      <c r="E1" s="8"/>
      <c r="F1" s="7"/>
      <c r="G1" s="8"/>
    </row>
    <row r="2" spans="1:7" ht="15" x14ac:dyDescent="0.25">
      <c r="A2" s="9" t="s">
        <v>89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90</v>
      </c>
      <c r="D4" s="38" t="s">
        <v>91</v>
      </c>
      <c r="E4" s="38" t="s">
        <v>82</v>
      </c>
      <c r="F4" s="38" t="s">
        <v>83</v>
      </c>
      <c r="G4" s="39" t="s">
        <v>81</v>
      </c>
    </row>
    <row r="5" spans="1:7" x14ac:dyDescent="0.2">
      <c r="A5" s="11" t="s">
        <v>4</v>
      </c>
      <c r="B5" s="12" t="str">
        <f>'Assessed Value All Property'!B5</f>
        <v>R-NVAB</v>
      </c>
      <c r="C5" s="13">
        <f>'Assessed Value All Property'!E5</f>
        <v>34378880</v>
      </c>
      <c r="D5" s="14">
        <f>((C5-E5)/E5)</f>
        <v>0.22723876276023627</v>
      </c>
      <c r="E5" s="13">
        <v>28013196</v>
      </c>
      <c r="F5" s="14">
        <f>((E5-G5)/G5)</f>
        <v>-7.0114403708601988E-2</v>
      </c>
      <c r="G5" s="15">
        <v>30125422</v>
      </c>
    </row>
    <row r="6" spans="1:7" x14ac:dyDescent="0.2">
      <c r="A6" s="11" t="s">
        <v>5</v>
      </c>
      <c r="B6" s="12" t="str">
        <f>'Assessed Value All Property'!B6</f>
        <v>R-Final</v>
      </c>
      <c r="C6" s="13">
        <f>'Assessed Value All Property'!E6</f>
        <v>15120905</v>
      </c>
      <c r="D6" s="14">
        <f t="shared" ref="D6:D68" si="0">((C6-E6)/E6)</f>
        <v>6.18275275372209E-2</v>
      </c>
      <c r="E6" s="13">
        <v>14240453</v>
      </c>
      <c r="F6" s="14">
        <f t="shared" ref="F6:F68" si="1">((E6-G6)/G6)</f>
        <v>9.5626619248470213E-2</v>
      </c>
      <c r="G6" s="15">
        <v>12997542</v>
      </c>
    </row>
    <row r="7" spans="1:7" x14ac:dyDescent="0.2">
      <c r="A7" s="11" t="s">
        <v>6</v>
      </c>
      <c r="B7" s="12" t="str">
        <f>'Assessed Value All Property'!B7</f>
        <v>R-NVAB</v>
      </c>
      <c r="C7" s="13">
        <f>'Assessed Value All Property'!E7</f>
        <v>36413543</v>
      </c>
      <c r="D7" s="14">
        <f t="shared" si="0"/>
        <v>0.21175862546098753</v>
      </c>
      <c r="E7" s="13">
        <v>30050162</v>
      </c>
      <c r="F7" s="14">
        <f t="shared" si="1"/>
        <v>-1.0408438295610448E-2</v>
      </c>
      <c r="G7" s="15">
        <v>30366227</v>
      </c>
    </row>
    <row r="8" spans="1:7" x14ac:dyDescent="0.2">
      <c r="A8" s="11" t="s">
        <v>7</v>
      </c>
      <c r="B8" s="12" t="str">
        <f>'Assessed Value All Property'!B8</f>
        <v>R-Final</v>
      </c>
      <c r="C8" s="13">
        <f>'Assessed Value All Property'!E8</f>
        <v>18871537</v>
      </c>
      <c r="D8" s="14">
        <f t="shared" si="0"/>
        <v>6.9648208490841371E-2</v>
      </c>
      <c r="E8" s="13">
        <v>17642751</v>
      </c>
      <c r="F8" s="14">
        <f t="shared" si="1"/>
        <v>8.3875733438987955E-3</v>
      </c>
      <c r="G8" s="15">
        <v>17496002</v>
      </c>
    </row>
    <row r="9" spans="1:7" x14ac:dyDescent="0.2">
      <c r="A9" s="11" t="s">
        <v>8</v>
      </c>
      <c r="B9" s="12" t="str">
        <f>'Assessed Value All Property'!B9</f>
        <v>R-NVAB</v>
      </c>
      <c r="C9" s="13">
        <f>'Assessed Value All Property'!E9</f>
        <v>91053009</v>
      </c>
      <c r="D9" s="14">
        <f t="shared" si="0"/>
        <v>7.6402524167393515E-2</v>
      </c>
      <c r="E9" s="13">
        <v>84590111</v>
      </c>
      <c r="F9" s="14">
        <f t="shared" si="1"/>
        <v>2.147464373356257E-2</v>
      </c>
      <c r="G9" s="15">
        <v>82811758</v>
      </c>
    </row>
    <row r="10" spans="1:7" x14ac:dyDescent="0.2">
      <c r="A10" s="11" t="s">
        <v>9</v>
      </c>
      <c r="B10" s="12" t="str">
        <f>'Assessed Value All Property'!B10</f>
        <v>R-NVAB</v>
      </c>
      <c r="C10" s="13">
        <f>'Assessed Value All Property'!E10</f>
        <v>102789696</v>
      </c>
      <c r="D10" s="14">
        <f t="shared" si="0"/>
        <v>4.7274672798035322E-2</v>
      </c>
      <c r="E10" s="13">
        <v>98149701</v>
      </c>
      <c r="F10" s="14">
        <f t="shared" si="1"/>
        <v>-7.0719467559546237E-2</v>
      </c>
      <c r="G10" s="15">
        <v>105619022</v>
      </c>
    </row>
    <row r="11" spans="1:7" x14ac:dyDescent="0.2">
      <c r="A11" s="11" t="s">
        <v>10</v>
      </c>
      <c r="B11" s="12" t="str">
        <f>'Assessed Value All Property'!B11</f>
        <v>R-Final</v>
      </c>
      <c r="C11" s="13">
        <v>0</v>
      </c>
      <c r="D11" s="14" t="s">
        <v>79</v>
      </c>
      <c r="E11" s="13">
        <v>0</v>
      </c>
      <c r="F11" s="14" t="s">
        <v>79</v>
      </c>
      <c r="G11" s="15">
        <v>0</v>
      </c>
    </row>
    <row r="12" spans="1:7" x14ac:dyDescent="0.2">
      <c r="A12" s="11" t="s">
        <v>11</v>
      </c>
      <c r="B12" s="12" t="str">
        <f>'Assessed Value All Property'!B12</f>
        <v>R-NVAB</v>
      </c>
      <c r="C12" s="13">
        <f>'Assessed Value All Property'!E12</f>
        <v>3156640</v>
      </c>
      <c r="D12" s="14">
        <f t="shared" si="0"/>
        <v>4.9644852379560546E-2</v>
      </c>
      <c r="E12" s="13">
        <v>3007341</v>
      </c>
      <c r="F12" s="14">
        <f t="shared" si="1"/>
        <v>-0.12285543951713811</v>
      </c>
      <c r="G12" s="15">
        <v>3428558</v>
      </c>
    </row>
    <row r="13" spans="1:7" x14ac:dyDescent="0.2">
      <c r="A13" s="11" t="s">
        <v>12</v>
      </c>
      <c r="B13" s="12" t="str">
        <f>'Assessed Value All Property'!B13</f>
        <v>R-NVAB</v>
      </c>
      <c r="C13" s="13">
        <f>'Assessed Value All Property'!E13</f>
        <v>1979472</v>
      </c>
      <c r="D13" s="14">
        <f t="shared" si="0"/>
        <v>7.640021011716315E-2</v>
      </c>
      <c r="E13" s="13">
        <v>1838974</v>
      </c>
      <c r="F13" s="14">
        <f t="shared" si="1"/>
        <v>0.17127551095148533</v>
      </c>
      <c r="G13" s="15">
        <v>1570061</v>
      </c>
    </row>
    <row r="14" spans="1:7" x14ac:dyDescent="0.2">
      <c r="A14" s="11" t="s">
        <v>13</v>
      </c>
      <c r="B14" s="12" t="str">
        <f>'Assessed Value All Property'!B14</f>
        <v>R-NVAB</v>
      </c>
      <c r="C14" s="13">
        <f>'Assessed Value All Property'!E14</f>
        <v>17164212</v>
      </c>
      <c r="D14" s="14">
        <f t="shared" si="0"/>
        <v>7.0938237376231228E-2</v>
      </c>
      <c r="E14" s="13">
        <v>16027266</v>
      </c>
      <c r="F14" s="14">
        <f t="shared" si="1"/>
        <v>1.4301367622863102E-2</v>
      </c>
      <c r="G14" s="15">
        <v>15801286</v>
      </c>
    </row>
    <row r="15" spans="1:7" x14ac:dyDescent="0.2">
      <c r="A15" s="11" t="s">
        <v>14</v>
      </c>
      <c r="B15" s="12" t="str">
        <f>'Assessed Value All Property'!B15</f>
        <v>R-NVAB</v>
      </c>
      <c r="C15" s="13">
        <f>'Assessed Value All Property'!E15</f>
        <v>200286</v>
      </c>
      <c r="D15" s="14">
        <f t="shared" si="0"/>
        <v>3.8273121724389979E-2</v>
      </c>
      <c r="E15" s="13">
        <v>192903</v>
      </c>
      <c r="F15" s="14">
        <f t="shared" si="1"/>
        <v>-0.12715944363501444</v>
      </c>
      <c r="G15" s="15">
        <v>221006</v>
      </c>
    </row>
    <row r="16" spans="1:7" x14ac:dyDescent="0.2">
      <c r="A16" s="11" t="s">
        <v>15</v>
      </c>
      <c r="B16" s="12" t="str">
        <f>'Assessed Value All Property'!B16</f>
        <v>R-NVAB</v>
      </c>
      <c r="C16" s="13">
        <f>'Assessed Value All Property'!E16</f>
        <v>15263179</v>
      </c>
      <c r="D16" s="14">
        <f t="shared" si="0"/>
        <v>6.2987337554728795E-2</v>
      </c>
      <c r="E16" s="13">
        <v>14358759</v>
      </c>
      <c r="F16" s="14">
        <f t="shared" si="1"/>
        <v>9.9803205529393826E-2</v>
      </c>
      <c r="G16" s="15">
        <v>13055753</v>
      </c>
    </row>
    <row r="17" spans="1:7" x14ac:dyDescent="0.2">
      <c r="A17" s="11" t="s">
        <v>78</v>
      </c>
      <c r="B17" s="12" t="str">
        <f>'Assessed Value All Property'!B17</f>
        <v>R-NVAB</v>
      </c>
      <c r="C17" s="13">
        <f>'Assessed Value All Property'!E17</f>
        <v>153207013</v>
      </c>
      <c r="D17" s="14">
        <f t="shared" si="0"/>
        <v>3.4091190734707871E-2</v>
      </c>
      <c r="E17" s="13">
        <v>148156192</v>
      </c>
      <c r="F17" s="14">
        <f t="shared" si="1"/>
        <v>-1.1877951145099222E-2</v>
      </c>
      <c r="G17" s="15">
        <v>149937138</v>
      </c>
    </row>
    <row r="18" spans="1:7" x14ac:dyDescent="0.2">
      <c r="A18" s="11" t="s">
        <v>16</v>
      </c>
      <c r="B18" s="12" t="str">
        <f>'Assessed Value All Property'!B18</f>
        <v>R-NVAB</v>
      </c>
      <c r="C18" s="13">
        <f>'Assessed Value All Property'!E18</f>
        <v>4692164</v>
      </c>
      <c r="D18" s="14">
        <f t="shared" si="0"/>
        <v>5.6362821380738622E-2</v>
      </c>
      <c r="E18" s="13">
        <v>4441811</v>
      </c>
      <c r="F18" s="14">
        <f t="shared" si="1"/>
        <v>-0.19991314311158409</v>
      </c>
      <c r="G18" s="15">
        <v>5551661</v>
      </c>
    </row>
    <row r="19" spans="1:7" x14ac:dyDescent="0.2">
      <c r="A19" s="11" t="s">
        <v>17</v>
      </c>
      <c r="B19" s="12" t="str">
        <f>'Assessed Value All Property'!B19</f>
        <v>R-Final</v>
      </c>
      <c r="C19" s="13">
        <v>0</v>
      </c>
      <c r="D19" s="14" t="s">
        <v>79</v>
      </c>
      <c r="E19" s="13">
        <v>0</v>
      </c>
      <c r="F19" s="14" t="s">
        <v>79</v>
      </c>
      <c r="G19" s="15">
        <v>0</v>
      </c>
    </row>
    <row r="20" spans="1:7" x14ac:dyDescent="0.2">
      <c r="A20" s="11" t="s">
        <v>18</v>
      </c>
      <c r="B20" s="12" t="str">
        <f>'Assessed Value All Property'!B20</f>
        <v>R-NVAB</v>
      </c>
      <c r="C20" s="13">
        <f>'Assessed Value All Property'!E20</f>
        <v>225501073</v>
      </c>
      <c r="D20" s="14">
        <f t="shared" si="0"/>
        <v>1.370915759951595E-2</v>
      </c>
      <c r="E20" s="13">
        <v>222451451</v>
      </c>
      <c r="F20" s="14">
        <f t="shared" si="1"/>
        <v>1.4376380631006758E-2</v>
      </c>
      <c r="G20" s="15">
        <v>219298729</v>
      </c>
    </row>
    <row r="21" spans="1:7" x14ac:dyDescent="0.2">
      <c r="A21" s="11" t="s">
        <v>19</v>
      </c>
      <c r="B21" s="12" t="str">
        <f>'Assessed Value All Property'!B21</f>
        <v>R-NVAB</v>
      </c>
      <c r="C21" s="13">
        <f>'Assessed Value All Property'!E21</f>
        <v>31416961</v>
      </c>
      <c r="D21" s="14">
        <f t="shared" si="0"/>
        <v>8.1534709193245777E-2</v>
      </c>
      <c r="E21" s="13">
        <v>29048500</v>
      </c>
      <c r="F21" s="14">
        <f t="shared" si="1"/>
        <v>6.2902798875072189E-3</v>
      </c>
      <c r="G21" s="15">
        <v>28866919</v>
      </c>
    </row>
    <row r="22" spans="1:7" x14ac:dyDescent="0.2">
      <c r="A22" s="11" t="s">
        <v>20</v>
      </c>
      <c r="B22" s="12" t="str">
        <f>'Assessed Value All Property'!B22</f>
        <v>R-NVAB</v>
      </c>
      <c r="C22" s="13">
        <f>'Assessed Value All Property'!E22</f>
        <v>27574003</v>
      </c>
      <c r="D22" s="14">
        <f t="shared" si="0"/>
        <v>8.0949650269273019E-2</v>
      </c>
      <c r="E22" s="13">
        <v>25509054</v>
      </c>
      <c r="F22" s="14">
        <f t="shared" si="1"/>
        <v>2.4603238709797141E-2</v>
      </c>
      <c r="G22" s="15">
        <v>24896519</v>
      </c>
    </row>
    <row r="23" spans="1:7" x14ac:dyDescent="0.2">
      <c r="A23" s="11" t="s">
        <v>21</v>
      </c>
      <c r="B23" s="12" t="str">
        <f>'Assessed Value All Property'!B23</f>
        <v>R-Final</v>
      </c>
      <c r="C23" s="13">
        <f>'Assessed Value All Property'!E23</f>
        <v>573997</v>
      </c>
      <c r="D23" s="14">
        <f t="shared" si="0"/>
        <v>0.1670661957712945</v>
      </c>
      <c r="E23" s="13">
        <v>491829</v>
      </c>
      <c r="F23" s="14">
        <f t="shared" si="1"/>
        <v>-5.330294636790428E-2</v>
      </c>
      <c r="G23" s="15">
        <v>519521</v>
      </c>
    </row>
    <row r="24" spans="1:7" x14ac:dyDescent="0.2">
      <c r="A24" s="11" t="s">
        <v>22</v>
      </c>
      <c r="B24" s="12" t="str">
        <f>'Assessed Value All Property'!B24</f>
        <v>R-Final</v>
      </c>
      <c r="C24" s="13">
        <f>'Assessed Value All Property'!E24</f>
        <v>8102682</v>
      </c>
      <c r="D24" s="14">
        <f t="shared" si="0"/>
        <v>4.9736370187094384E-2</v>
      </c>
      <c r="E24" s="13">
        <v>7718778</v>
      </c>
      <c r="F24" s="14">
        <f t="shared" si="1"/>
        <v>3.1433640456131541E-2</v>
      </c>
      <c r="G24" s="15">
        <v>7483543</v>
      </c>
    </row>
    <row r="25" spans="1:7" x14ac:dyDescent="0.2">
      <c r="A25" s="11" t="s">
        <v>23</v>
      </c>
      <c r="B25" s="12" t="str">
        <f>'Assessed Value All Property'!B25</f>
        <v>R-Final</v>
      </c>
      <c r="C25" s="13">
        <v>0</v>
      </c>
      <c r="D25" s="14" t="s">
        <v>79</v>
      </c>
      <c r="E25" s="13">
        <v>0</v>
      </c>
      <c r="F25" s="14" t="s">
        <v>79</v>
      </c>
      <c r="G25" s="15">
        <v>0</v>
      </c>
    </row>
    <row r="26" spans="1:7" x14ac:dyDescent="0.2">
      <c r="A26" s="11" t="s">
        <v>24</v>
      </c>
      <c r="B26" s="12" t="str">
        <f>'Assessed Value All Property'!B26</f>
        <v>R-Final</v>
      </c>
      <c r="C26" s="13">
        <f>'Assessed Value All Property'!E26</f>
        <v>18394116</v>
      </c>
      <c r="D26" s="14">
        <f t="shared" si="0"/>
        <v>-3.6218496073351307E-2</v>
      </c>
      <c r="E26" s="13">
        <v>19085359</v>
      </c>
      <c r="F26" s="14">
        <f t="shared" si="1"/>
        <v>3.8248157694987739E-2</v>
      </c>
      <c r="G26" s="15">
        <v>18382271</v>
      </c>
    </row>
    <row r="27" spans="1:7" x14ac:dyDescent="0.2">
      <c r="A27" s="11" t="s">
        <v>25</v>
      </c>
      <c r="B27" s="12" t="str">
        <f>'Assessed Value All Property'!B27</f>
        <v>R-Final</v>
      </c>
      <c r="C27" s="13">
        <f>'Assessed Value All Property'!E27</f>
        <v>431138</v>
      </c>
      <c r="D27" s="14">
        <f t="shared" si="0"/>
        <v>-4.8722474736331144E-2</v>
      </c>
      <c r="E27" s="13">
        <v>453220</v>
      </c>
      <c r="F27" s="14">
        <f t="shared" si="1"/>
        <v>-0.22097432353921942</v>
      </c>
      <c r="G27" s="15">
        <v>581778</v>
      </c>
    </row>
    <row r="28" spans="1:7" x14ac:dyDescent="0.2">
      <c r="A28" s="11" t="s">
        <v>26</v>
      </c>
      <c r="B28" s="12" t="str">
        <f>'Assessed Value All Property'!B28</f>
        <v>R-Final</v>
      </c>
      <c r="C28" s="13">
        <f>'Assessed Value All Property'!E28</f>
        <v>27559235</v>
      </c>
      <c r="D28" s="14">
        <f t="shared" si="0"/>
        <v>6.9379512564374579E-2</v>
      </c>
      <c r="E28" s="13">
        <v>25771239</v>
      </c>
      <c r="F28" s="14">
        <f t="shared" si="1"/>
        <v>0.11817417747534484</v>
      </c>
      <c r="G28" s="15">
        <v>23047607</v>
      </c>
    </row>
    <row r="29" spans="1:7" x14ac:dyDescent="0.2">
      <c r="A29" s="11" t="s">
        <v>27</v>
      </c>
      <c r="B29" s="12" t="str">
        <f>'Assessed Value All Property'!B29</f>
        <v>R-NVAB</v>
      </c>
      <c r="C29" s="13">
        <f>'Assessed Value All Property'!E29</f>
        <v>9367098</v>
      </c>
      <c r="D29" s="14">
        <f t="shared" si="0"/>
        <v>7.3092568416238707E-2</v>
      </c>
      <c r="E29" s="13">
        <v>8729068</v>
      </c>
      <c r="F29" s="14">
        <f t="shared" si="1"/>
        <v>1.2120656272055542E-2</v>
      </c>
      <c r="G29" s="15">
        <v>8624533</v>
      </c>
    </row>
    <row r="30" spans="1:7" x14ac:dyDescent="0.2">
      <c r="A30" s="11" t="s">
        <v>28</v>
      </c>
      <c r="B30" s="12" t="str">
        <f>'Assessed Value All Property'!B30</f>
        <v>R-NVAB</v>
      </c>
      <c r="C30" s="13">
        <f>'Assessed Value All Property'!E30</f>
        <v>5944780</v>
      </c>
      <c r="D30" s="14">
        <f t="shared" si="0"/>
        <v>-3.3742096953143619E-2</v>
      </c>
      <c r="E30" s="13">
        <v>6152374</v>
      </c>
      <c r="F30" s="14">
        <f t="shared" si="1"/>
        <v>3.514883902798837E-2</v>
      </c>
      <c r="G30" s="15">
        <v>5943468</v>
      </c>
    </row>
    <row r="31" spans="1:7" x14ac:dyDescent="0.2">
      <c r="A31" s="11" t="s">
        <v>29</v>
      </c>
      <c r="B31" s="12" t="str">
        <f>'Assessed Value All Property'!B31</f>
        <v>R-NVAB</v>
      </c>
      <c r="C31" s="13">
        <f>'Assessed Value All Property'!E31</f>
        <v>11986078</v>
      </c>
      <c r="D31" s="14">
        <f t="shared" si="0"/>
        <v>9.2790193580150115E-2</v>
      </c>
      <c r="E31" s="13">
        <v>10968325</v>
      </c>
      <c r="F31" s="14">
        <f t="shared" si="1"/>
        <v>2.974309009158884E-2</v>
      </c>
      <c r="G31" s="15">
        <v>10651516</v>
      </c>
    </row>
    <row r="32" spans="1:7" x14ac:dyDescent="0.2">
      <c r="A32" s="11" t="s">
        <v>30</v>
      </c>
      <c r="B32" s="12" t="str">
        <f>'Assessed Value All Property'!B32</f>
        <v>R-NVAB</v>
      </c>
      <c r="C32" s="13">
        <f>'Assessed Value All Property'!E32</f>
        <v>38593326</v>
      </c>
      <c r="D32" s="14">
        <f t="shared" si="0"/>
        <v>1.27946748229107E-2</v>
      </c>
      <c r="E32" s="13">
        <v>38105775</v>
      </c>
      <c r="F32" s="14">
        <f t="shared" si="1"/>
        <v>3.3742760929827073E-2</v>
      </c>
      <c r="G32" s="15">
        <v>36861951</v>
      </c>
    </row>
    <row r="33" spans="1:7" x14ac:dyDescent="0.2">
      <c r="A33" s="11" t="s">
        <v>31</v>
      </c>
      <c r="B33" s="12" t="str">
        <f>'Assessed Value All Property'!B33</f>
        <v>R-NVAB</v>
      </c>
      <c r="C33" s="13">
        <f>'Assessed Value All Property'!E33</f>
        <v>133838824</v>
      </c>
      <c r="D33" s="14">
        <f t="shared" si="0"/>
        <v>2.3828337545430008E-2</v>
      </c>
      <c r="E33" s="13">
        <v>130723891</v>
      </c>
      <c r="F33" s="14">
        <f t="shared" si="1"/>
        <v>1.838332859511977E-2</v>
      </c>
      <c r="G33" s="15">
        <v>128364131</v>
      </c>
    </row>
    <row r="34" spans="1:7" x14ac:dyDescent="0.2">
      <c r="A34" s="11" t="s">
        <v>32</v>
      </c>
      <c r="B34" s="12" t="str">
        <f>'Assessed Value All Property'!B34</f>
        <v>R-Final</v>
      </c>
      <c r="C34" s="13">
        <f>'Assessed Value All Property'!E34</f>
        <v>3710945</v>
      </c>
      <c r="D34" s="14">
        <f t="shared" si="0"/>
        <v>4.2114870225149009E-2</v>
      </c>
      <c r="E34" s="13">
        <v>3560975</v>
      </c>
      <c r="F34" s="14">
        <f t="shared" si="1"/>
        <v>3.4132117186199976E-2</v>
      </c>
      <c r="G34" s="15">
        <v>3443443</v>
      </c>
    </row>
    <row r="35" spans="1:7" x14ac:dyDescent="0.2">
      <c r="A35" s="11" t="s">
        <v>33</v>
      </c>
      <c r="B35" s="12" t="str">
        <f>'Assessed Value All Property'!B35</f>
        <v>R-NVAB</v>
      </c>
      <c r="C35" s="13">
        <f>'Assessed Value All Property'!E35</f>
        <v>26551338</v>
      </c>
      <c r="D35" s="14">
        <f t="shared" si="0"/>
        <v>8.1436363487513944E-2</v>
      </c>
      <c r="E35" s="13">
        <v>24551919</v>
      </c>
      <c r="F35" s="14">
        <f t="shared" si="1"/>
        <v>0.14252512846935192</v>
      </c>
      <c r="G35" s="15">
        <v>21489172</v>
      </c>
    </row>
    <row r="36" spans="1:7" x14ac:dyDescent="0.2">
      <c r="A36" s="11" t="s">
        <v>34</v>
      </c>
      <c r="B36" s="12" t="str">
        <f>'Assessed Value All Property'!B36</f>
        <v>R-Final</v>
      </c>
      <c r="C36" s="13">
        <f>'Assessed Value All Property'!E36</f>
        <v>29027063</v>
      </c>
      <c r="D36" s="14">
        <f t="shared" si="0"/>
        <v>0.16342565927778546</v>
      </c>
      <c r="E36" s="13">
        <v>24949650</v>
      </c>
      <c r="F36" s="14">
        <f t="shared" si="1"/>
        <v>5.9224058872807614E-3</v>
      </c>
      <c r="G36" s="15">
        <v>24802758</v>
      </c>
    </row>
    <row r="37" spans="1:7" x14ac:dyDescent="0.2">
      <c r="A37" s="11" t="s">
        <v>35</v>
      </c>
      <c r="B37" s="12" t="str">
        <f>'Assessed Value All Property'!B37</f>
        <v>R-NVAB</v>
      </c>
      <c r="C37" s="13">
        <f>'Assessed Value All Property'!E37</f>
        <v>3032986</v>
      </c>
      <c r="D37" s="14">
        <f t="shared" si="0"/>
        <v>4.2113180267171153E-2</v>
      </c>
      <c r="E37" s="13">
        <v>2910419</v>
      </c>
      <c r="F37" s="14">
        <f t="shared" si="1"/>
        <v>-0.20927954817511149</v>
      </c>
      <c r="G37" s="15">
        <v>3680718</v>
      </c>
    </row>
    <row r="38" spans="1:7" x14ac:dyDescent="0.2">
      <c r="A38" s="11" t="s">
        <v>36</v>
      </c>
      <c r="B38" s="12" t="str">
        <f>'Assessed Value All Property'!B38</f>
        <v>R-Final</v>
      </c>
      <c r="C38" s="13">
        <v>0</v>
      </c>
      <c r="D38" s="14" t="s">
        <v>79</v>
      </c>
      <c r="E38" s="13">
        <v>0</v>
      </c>
      <c r="F38" s="14" t="s">
        <v>79</v>
      </c>
      <c r="G38" s="15">
        <v>0</v>
      </c>
    </row>
    <row r="39" spans="1:7" x14ac:dyDescent="0.2">
      <c r="A39" s="11" t="s">
        <v>37</v>
      </c>
      <c r="B39" s="12" t="str">
        <f>'Assessed Value All Property'!B39</f>
        <v>R-NVAB</v>
      </c>
      <c r="C39" s="13">
        <f>'Assessed Value All Property'!E39</f>
        <v>13139054</v>
      </c>
      <c r="D39" s="14">
        <f t="shared" si="0"/>
        <v>-0.346216970881771</v>
      </c>
      <c r="E39" s="13">
        <v>20096964</v>
      </c>
      <c r="F39" s="14">
        <f t="shared" si="1"/>
        <v>3.095710633663431</v>
      </c>
      <c r="G39" s="15">
        <v>4906832</v>
      </c>
    </row>
    <row r="40" spans="1:7" x14ac:dyDescent="0.2">
      <c r="A40" s="11" t="s">
        <v>38</v>
      </c>
      <c r="B40" s="12" t="str">
        <f>'Assessed Value All Property'!B40</f>
        <v>R-NVAB</v>
      </c>
      <c r="C40" s="13">
        <f>'Assessed Value All Property'!E40</f>
        <v>5393643</v>
      </c>
      <c r="D40" s="14">
        <f t="shared" si="0"/>
        <v>3.893149783040796E-2</v>
      </c>
      <c r="E40" s="13">
        <v>5191529</v>
      </c>
      <c r="F40" s="14">
        <f t="shared" si="1"/>
        <v>-0.11585857971729772</v>
      </c>
      <c r="G40" s="15">
        <v>5871831</v>
      </c>
    </row>
    <row r="41" spans="1:7" x14ac:dyDescent="0.2">
      <c r="A41" s="11" t="s">
        <v>39</v>
      </c>
      <c r="B41" s="12" t="str">
        <f>'Assessed Value All Property'!B41</f>
        <v>R-NVAB</v>
      </c>
      <c r="C41" s="13">
        <f>'Assessed Value All Property'!E41</f>
        <v>5757017</v>
      </c>
      <c r="D41" s="14">
        <f t="shared" si="0"/>
        <v>3.9929602194232333E-2</v>
      </c>
      <c r="E41" s="13">
        <v>5535968</v>
      </c>
      <c r="F41" s="14">
        <f t="shared" si="1"/>
        <v>4.2128514615673358E-2</v>
      </c>
      <c r="G41" s="15">
        <v>5312174</v>
      </c>
    </row>
    <row r="42" spans="1:7" x14ac:dyDescent="0.2">
      <c r="A42" s="11" t="s">
        <v>40</v>
      </c>
      <c r="B42" s="12" t="str">
        <f>'Assessed Value All Property'!B42</f>
        <v>R-Final</v>
      </c>
      <c r="C42" s="13">
        <f>'Assessed Value All Property'!E42</f>
        <v>3998198</v>
      </c>
      <c r="D42" s="14">
        <f t="shared" si="0"/>
        <v>8.2437122668327145E-2</v>
      </c>
      <c r="E42" s="13">
        <v>3693700</v>
      </c>
      <c r="F42" s="14">
        <f t="shared" si="1"/>
        <v>0.11071117449956053</v>
      </c>
      <c r="G42" s="15">
        <v>3325527</v>
      </c>
    </row>
    <row r="43" spans="1:7" x14ac:dyDescent="0.2">
      <c r="A43" s="11" t="s">
        <v>41</v>
      </c>
      <c r="B43" s="12" t="str">
        <f>'Assessed Value All Property'!B43</f>
        <v>R-Final</v>
      </c>
      <c r="C43" s="13">
        <f>'Assessed Value All Property'!E43</f>
        <v>743402</v>
      </c>
      <c r="D43" s="14">
        <f t="shared" si="0"/>
        <v>0.25303312758519558</v>
      </c>
      <c r="E43" s="13">
        <v>593282</v>
      </c>
      <c r="F43" s="14">
        <f t="shared" si="1"/>
        <v>-0.11865731174154023</v>
      </c>
      <c r="G43" s="15">
        <v>673157</v>
      </c>
    </row>
    <row r="44" spans="1:7" x14ac:dyDescent="0.2">
      <c r="A44" s="11" t="s">
        <v>42</v>
      </c>
      <c r="B44" s="12" t="str">
        <f>'Assessed Value All Property'!B44</f>
        <v>R-NVAB</v>
      </c>
      <c r="C44" s="13">
        <f>'Assessed Value All Property'!E44</f>
        <v>8293538</v>
      </c>
      <c r="D44" s="14">
        <f t="shared" si="0"/>
        <v>6.7421033278389109E-2</v>
      </c>
      <c r="E44" s="13">
        <v>7769697</v>
      </c>
      <c r="F44" s="14">
        <f t="shared" si="1"/>
        <v>2.6962993392682742E-2</v>
      </c>
      <c r="G44" s="15">
        <v>7565703</v>
      </c>
    </row>
    <row r="45" spans="1:7" x14ac:dyDescent="0.2">
      <c r="A45" s="11" t="s">
        <v>43</v>
      </c>
      <c r="B45" s="12" t="str">
        <f>'Assessed Value All Property'!B45</f>
        <v>R-NVAB</v>
      </c>
      <c r="C45" s="13">
        <f>'Assessed Value All Property'!E45</f>
        <v>8933050</v>
      </c>
      <c r="D45" s="14">
        <f t="shared" si="0"/>
        <v>-7.2368073316260897E-2</v>
      </c>
      <c r="E45" s="13">
        <v>9629951</v>
      </c>
      <c r="F45" s="14">
        <f t="shared" si="1"/>
        <v>-8.8149327622701348E-2</v>
      </c>
      <c r="G45" s="15">
        <v>10560886</v>
      </c>
    </row>
    <row r="46" spans="1:7" x14ac:dyDescent="0.2">
      <c r="A46" s="11" t="s">
        <v>44</v>
      </c>
      <c r="B46" s="12" t="str">
        <f>'Assessed Value All Property'!B46</f>
        <v>R-NVAB</v>
      </c>
      <c r="C46" s="13">
        <f>'Assessed Value All Property'!E46</f>
        <v>30489378</v>
      </c>
      <c r="D46" s="14">
        <f t="shared" si="0"/>
        <v>6.9088735614256783E-2</v>
      </c>
      <c r="E46" s="13">
        <v>28519034</v>
      </c>
      <c r="F46" s="14">
        <f t="shared" si="1"/>
        <v>0.10150083026699284</v>
      </c>
      <c r="G46" s="15">
        <v>25891069</v>
      </c>
    </row>
    <row r="47" spans="1:7" x14ac:dyDescent="0.2">
      <c r="A47" s="11" t="s">
        <v>45</v>
      </c>
      <c r="B47" s="12" t="str">
        <f>'Assessed Value All Property'!B47</f>
        <v>R-NVAB</v>
      </c>
      <c r="C47" s="13">
        <f>'Assessed Value All Property'!E47</f>
        <v>72515839</v>
      </c>
      <c r="D47" s="14">
        <f t="shared" si="0"/>
        <v>6.0910991819236843E-2</v>
      </c>
      <c r="E47" s="13">
        <v>68352425</v>
      </c>
      <c r="F47" s="14">
        <f t="shared" si="1"/>
        <v>2.5353566419207451E-2</v>
      </c>
      <c r="G47" s="15">
        <v>66662298</v>
      </c>
    </row>
    <row r="48" spans="1:7" x14ac:dyDescent="0.2">
      <c r="A48" s="11" t="s">
        <v>46</v>
      </c>
      <c r="B48" s="12" t="str">
        <f>'Assessed Value All Property'!B48</f>
        <v>R-NVAB</v>
      </c>
      <c r="C48" s="13">
        <v>0</v>
      </c>
      <c r="D48" s="14" t="s">
        <v>79</v>
      </c>
      <c r="E48" s="13">
        <v>0</v>
      </c>
      <c r="F48" s="14" t="s">
        <v>79</v>
      </c>
      <c r="G48" s="15">
        <v>0</v>
      </c>
    </row>
    <row r="49" spans="1:7" x14ac:dyDescent="0.2">
      <c r="A49" s="11" t="s">
        <v>47</v>
      </c>
      <c r="B49" s="12" t="str">
        <f>'Assessed Value All Property'!B49</f>
        <v>R-NVAB</v>
      </c>
      <c r="C49" s="13">
        <f>'Assessed Value All Property'!E49</f>
        <v>46963158</v>
      </c>
      <c r="D49" s="14">
        <f t="shared" si="0"/>
        <v>4.7870821031459489E-2</v>
      </c>
      <c r="E49" s="13">
        <v>44817698</v>
      </c>
      <c r="F49" s="14">
        <f t="shared" si="1"/>
        <v>-4.2444451661258327E-2</v>
      </c>
      <c r="G49" s="15">
        <v>46804280</v>
      </c>
    </row>
    <row r="50" spans="1:7" x14ac:dyDescent="0.2">
      <c r="A50" s="11" t="s">
        <v>48</v>
      </c>
      <c r="B50" s="12" t="str">
        <f>'Assessed Value All Property'!B50</f>
        <v>R-NVAB</v>
      </c>
      <c r="C50" s="13">
        <f>'Assessed Value All Property'!E50</f>
        <v>4276231</v>
      </c>
      <c r="D50" s="14">
        <f t="shared" si="0"/>
        <v>4.0183301727350476E-2</v>
      </c>
      <c r="E50" s="13">
        <v>4111036</v>
      </c>
      <c r="F50" s="14">
        <f t="shared" si="1"/>
        <v>3.3591297292798944E-2</v>
      </c>
      <c r="G50" s="15">
        <v>3977429</v>
      </c>
    </row>
    <row r="51" spans="1:7" x14ac:dyDescent="0.2">
      <c r="A51" s="11" t="s">
        <v>49</v>
      </c>
      <c r="B51" s="12" t="str">
        <f>'Assessed Value All Property'!B51</f>
        <v>R-NVAB</v>
      </c>
      <c r="C51" s="13">
        <f>'Assessed Value All Property'!E51</f>
        <v>12202472</v>
      </c>
      <c r="D51" s="14">
        <f t="shared" si="0"/>
        <v>7.1489147223517402E-2</v>
      </c>
      <c r="E51" s="13">
        <v>11388330</v>
      </c>
      <c r="F51" s="14">
        <f t="shared" si="1"/>
        <v>2.2308902312812611E-2</v>
      </c>
      <c r="G51" s="15">
        <v>11139813</v>
      </c>
    </row>
    <row r="52" spans="1:7" x14ac:dyDescent="0.2">
      <c r="A52" s="11" t="s">
        <v>50</v>
      </c>
      <c r="B52" s="12" t="str">
        <f>'Assessed Value All Property'!B52</f>
        <v>R-NVAB</v>
      </c>
      <c r="C52" s="13">
        <f>'Assessed Value All Property'!E52</f>
        <v>51894007</v>
      </c>
      <c r="D52" s="14">
        <f t="shared" si="0"/>
        <v>-0.13242884865111795</v>
      </c>
      <c r="E52" s="13">
        <v>59815275</v>
      </c>
      <c r="F52" s="14">
        <f t="shared" si="1"/>
        <v>0.92282915065669224</v>
      </c>
      <c r="G52" s="15">
        <v>31107951</v>
      </c>
    </row>
    <row r="53" spans="1:7" x14ac:dyDescent="0.2">
      <c r="A53" s="11" t="s">
        <v>51</v>
      </c>
      <c r="B53" s="12" t="str">
        <f>'Assessed Value All Property'!B53</f>
        <v>R-NVAB</v>
      </c>
      <c r="C53" s="13">
        <f>'Assessed Value All Property'!E53</f>
        <v>6843648</v>
      </c>
      <c r="D53" s="14">
        <f t="shared" si="0"/>
        <v>7.0818309055874273E-2</v>
      </c>
      <c r="E53" s="13">
        <v>6391045</v>
      </c>
      <c r="F53" s="14">
        <f t="shared" si="1"/>
        <v>3.3128918256492855E-2</v>
      </c>
      <c r="G53" s="15">
        <v>6186106</v>
      </c>
    </row>
    <row r="54" spans="1:7" x14ac:dyDescent="0.2">
      <c r="A54" s="11" t="s">
        <v>52</v>
      </c>
      <c r="B54" s="12" t="str">
        <f>'Assessed Value All Property'!B54</f>
        <v>R-NVAB</v>
      </c>
      <c r="C54" s="13">
        <f>'Assessed Value All Property'!E54</f>
        <v>194136464</v>
      </c>
      <c r="D54" s="14">
        <f t="shared" si="0"/>
        <v>4.2440309258056093E-2</v>
      </c>
      <c r="E54" s="13">
        <v>186232691</v>
      </c>
      <c r="F54" s="14">
        <f t="shared" si="1"/>
        <v>8.7230433520743957E-4</v>
      </c>
      <c r="G54" s="15">
        <v>186070381</v>
      </c>
    </row>
    <row r="55" spans="1:7" x14ac:dyDescent="0.2">
      <c r="A55" s="11" t="s">
        <v>53</v>
      </c>
      <c r="B55" s="12" t="str">
        <f>'Assessed Value All Property'!B55</f>
        <v>R-NVAB</v>
      </c>
      <c r="C55" s="13">
        <f>'Assessed Value All Property'!E55</f>
        <v>22967160</v>
      </c>
      <c r="D55" s="14">
        <f t="shared" si="0"/>
        <v>7.1218235816088687E-2</v>
      </c>
      <c r="E55" s="13">
        <v>21440225</v>
      </c>
      <c r="F55" s="14">
        <f t="shared" si="1"/>
        <v>-6.1745854808822262E-3</v>
      </c>
      <c r="G55" s="15">
        <v>21573432</v>
      </c>
    </row>
    <row r="56" spans="1:7" x14ac:dyDescent="0.2">
      <c r="A56" s="11" t="s">
        <v>54</v>
      </c>
      <c r="B56" s="12" t="str">
        <f>'Assessed Value All Property'!B56</f>
        <v>R-NVAB</v>
      </c>
      <c r="C56" s="13">
        <f>'Assessed Value All Property'!E56</f>
        <v>13399405</v>
      </c>
      <c r="D56" s="14">
        <f t="shared" si="0"/>
        <v>6.4861868170127665E-2</v>
      </c>
      <c r="E56" s="13">
        <v>12583233</v>
      </c>
      <c r="F56" s="14">
        <f t="shared" si="1"/>
        <v>1.9131505134519951E-2</v>
      </c>
      <c r="G56" s="15">
        <v>12347016</v>
      </c>
    </row>
    <row r="57" spans="1:7" x14ac:dyDescent="0.2">
      <c r="A57" s="11" t="s">
        <v>55</v>
      </c>
      <c r="B57" s="12" t="str">
        <f>'Assessed Value All Property'!B57</f>
        <v>R-NVAB</v>
      </c>
      <c r="C57" s="13">
        <f>'Assessed Value All Property'!E57</f>
        <v>134656032</v>
      </c>
      <c r="D57" s="14">
        <f t="shared" si="0"/>
        <v>7.4669522001785393E-2</v>
      </c>
      <c r="E57" s="13">
        <v>125299945</v>
      </c>
      <c r="F57" s="14">
        <f t="shared" si="1"/>
        <v>9.0944860270493325E-2</v>
      </c>
      <c r="G57" s="15">
        <v>114854517</v>
      </c>
    </row>
    <row r="58" spans="1:7" x14ac:dyDescent="0.2">
      <c r="A58" s="11" t="s">
        <v>56</v>
      </c>
      <c r="B58" s="12" t="str">
        <f>'Assessed Value All Property'!B58</f>
        <v>R-NVAB</v>
      </c>
      <c r="C58" s="13">
        <f>'Assessed Value All Property'!E58</f>
        <v>18446146</v>
      </c>
      <c r="D58" s="14">
        <f t="shared" si="0"/>
        <v>6.9917629871056403E-2</v>
      </c>
      <c r="E58" s="13">
        <v>17240716</v>
      </c>
      <c r="F58" s="14">
        <f t="shared" si="1"/>
        <v>-0.15804380285662312</v>
      </c>
      <c r="G58" s="15">
        <v>20476975</v>
      </c>
    </row>
    <row r="59" spans="1:7" x14ac:dyDescent="0.2">
      <c r="A59" s="11" t="s">
        <v>2</v>
      </c>
      <c r="B59" s="12" t="str">
        <f>'Assessed Value All Property'!B59</f>
        <v>R-NVAB</v>
      </c>
      <c r="C59" s="13">
        <f>'Assessed Value All Property'!E59</f>
        <v>42547676</v>
      </c>
      <c r="D59" s="14">
        <f t="shared" si="0"/>
        <v>8.0156564489021476E-2</v>
      </c>
      <c r="E59" s="13">
        <v>39390286</v>
      </c>
      <c r="F59" s="14">
        <f t="shared" si="1"/>
        <v>2.5431746193974612E-2</v>
      </c>
      <c r="G59" s="15">
        <v>38413367</v>
      </c>
    </row>
    <row r="60" spans="1:7" x14ac:dyDescent="0.2">
      <c r="A60" s="11" t="s">
        <v>3</v>
      </c>
      <c r="B60" s="12" t="str">
        <f>'Assessed Value All Property'!B60</f>
        <v>R-NVAB</v>
      </c>
      <c r="C60" s="13">
        <f>'Assessed Value All Property'!E60</f>
        <v>59207856</v>
      </c>
      <c r="D60" s="14">
        <f t="shared" si="0"/>
        <v>7.0934710970735185E-2</v>
      </c>
      <c r="E60" s="13">
        <v>55286149</v>
      </c>
      <c r="F60" s="14">
        <f t="shared" si="1"/>
        <v>2.6174849729807104E-2</v>
      </c>
      <c r="G60" s="15">
        <v>53875954</v>
      </c>
    </row>
    <row r="61" spans="1:7" x14ac:dyDescent="0.2">
      <c r="A61" s="11" t="s">
        <v>57</v>
      </c>
      <c r="B61" s="12" t="str">
        <f>'Assessed Value All Property'!B61</f>
        <v>R-NVAB</v>
      </c>
      <c r="C61" s="13">
        <f>'Assessed Value All Property'!E61</f>
        <v>3995341</v>
      </c>
      <c r="D61" s="14">
        <f t="shared" si="0"/>
        <v>4.2864194127935858E-2</v>
      </c>
      <c r="E61" s="13">
        <v>3831123</v>
      </c>
      <c r="F61" s="14">
        <f t="shared" si="1"/>
        <v>3.4972351645893594E-2</v>
      </c>
      <c r="G61" s="15">
        <v>3701667</v>
      </c>
    </row>
    <row r="62" spans="1:7" x14ac:dyDescent="0.2">
      <c r="A62" s="11" t="s">
        <v>58</v>
      </c>
      <c r="B62" s="12" t="str">
        <f>'Assessed Value All Property'!B62</f>
        <v>R-NVAB</v>
      </c>
      <c r="C62" s="13">
        <f>'Assessed Value All Property'!E62</f>
        <v>937586</v>
      </c>
      <c r="D62" s="14">
        <f t="shared" si="0"/>
        <v>4.8758607421062285E-2</v>
      </c>
      <c r="E62" s="13">
        <v>893996</v>
      </c>
      <c r="F62" s="14">
        <f t="shared" si="1"/>
        <v>-0.12437719335189715</v>
      </c>
      <c r="G62" s="15">
        <v>1020983</v>
      </c>
    </row>
    <row r="63" spans="1:7" x14ac:dyDescent="0.2">
      <c r="A63" s="11" t="s">
        <v>59</v>
      </c>
      <c r="B63" s="12" t="str">
        <f>'Assessed Value All Property'!B63</f>
        <v>R-NVAB</v>
      </c>
      <c r="C63" s="13">
        <f>'Assessed Value All Property'!E63</f>
        <v>12303219</v>
      </c>
      <c r="D63" s="14">
        <f t="shared" si="0"/>
        <v>-0.11251722294031812</v>
      </c>
      <c r="E63" s="13">
        <v>13863051</v>
      </c>
      <c r="F63" s="14">
        <f t="shared" si="1"/>
        <v>3.803073646897881E-2</v>
      </c>
      <c r="G63" s="15">
        <v>13355145</v>
      </c>
    </row>
    <row r="64" spans="1:7" x14ac:dyDescent="0.2">
      <c r="A64" s="11" t="s">
        <v>60</v>
      </c>
      <c r="B64" s="12" t="str">
        <f>'Assessed Value All Property'!B64</f>
        <v>R-NVAB</v>
      </c>
      <c r="C64" s="13">
        <f>'Assessed Value All Property'!E64</f>
        <v>17280208</v>
      </c>
      <c r="D64" s="14">
        <f t="shared" si="0"/>
        <v>6.6998288377515258E-2</v>
      </c>
      <c r="E64" s="13">
        <v>16195160</v>
      </c>
      <c r="F64" s="14">
        <f t="shared" si="1"/>
        <v>2.5372835998759308E-2</v>
      </c>
      <c r="G64" s="15">
        <v>15794411</v>
      </c>
    </row>
    <row r="65" spans="1:7" x14ac:dyDescent="0.2">
      <c r="A65" s="11" t="s">
        <v>61</v>
      </c>
      <c r="B65" s="12" t="str">
        <f>'Assessed Value All Property'!B65</f>
        <v>R-NVAB</v>
      </c>
      <c r="C65" s="13">
        <f>'Assessed Value All Property'!E65</f>
        <v>4047580</v>
      </c>
      <c r="D65" s="14">
        <f t="shared" si="0"/>
        <v>4.1427005964898109E-2</v>
      </c>
      <c r="E65" s="13">
        <v>3886571</v>
      </c>
      <c r="F65" s="14">
        <f t="shared" si="1"/>
        <v>3.3415964329786219E-2</v>
      </c>
      <c r="G65" s="15">
        <v>3760897</v>
      </c>
    </row>
    <row r="66" spans="1:7" x14ac:dyDescent="0.2">
      <c r="A66" s="11" t="s">
        <v>62</v>
      </c>
      <c r="B66" s="12" t="str">
        <f>'Assessed Value All Property'!B66</f>
        <v>R-Final</v>
      </c>
      <c r="C66" s="13">
        <f>'Assessed Value All Property'!E66</f>
        <v>2354497</v>
      </c>
      <c r="D66" s="14">
        <f t="shared" si="0"/>
        <v>-0.78256141228043363</v>
      </c>
      <c r="E66" s="13">
        <v>10828331</v>
      </c>
      <c r="F66" s="14">
        <f t="shared" si="1"/>
        <v>5.64973675208605E-2</v>
      </c>
      <c r="G66" s="15">
        <v>10249274</v>
      </c>
    </row>
    <row r="67" spans="1:7" x14ac:dyDescent="0.2">
      <c r="A67" s="11" t="s">
        <v>63</v>
      </c>
      <c r="B67" s="12" t="str">
        <f>'Assessed Value All Property'!B67</f>
        <v>R-Final</v>
      </c>
      <c r="C67" s="13">
        <v>0</v>
      </c>
      <c r="D67" s="14" t="s">
        <v>79</v>
      </c>
      <c r="E67" s="13">
        <v>0</v>
      </c>
      <c r="F67" s="14" t="s">
        <v>79</v>
      </c>
      <c r="G67" s="15">
        <v>0</v>
      </c>
    </row>
    <row r="68" spans="1:7" x14ac:dyDescent="0.2">
      <c r="A68" s="11" t="s">
        <v>64</v>
      </c>
      <c r="B68" s="12" t="str">
        <f>'Assessed Value All Property'!B68</f>
        <v>R-NVAB</v>
      </c>
      <c r="C68" s="13">
        <f>'Assessed Value All Property'!E68</f>
        <v>74368765</v>
      </c>
      <c r="D68" s="14">
        <f t="shared" si="0"/>
        <v>5.8860629387414251E-2</v>
      </c>
      <c r="E68" s="13">
        <v>70234706</v>
      </c>
      <c r="F68" s="14">
        <f t="shared" si="1"/>
        <v>2.2585467377021117E-2</v>
      </c>
      <c r="G68" s="15">
        <v>68683458</v>
      </c>
    </row>
    <row r="69" spans="1:7" x14ac:dyDescent="0.2">
      <c r="A69" s="11" t="s">
        <v>65</v>
      </c>
      <c r="B69" s="12" t="str">
        <f>'Assessed Value All Property'!B69</f>
        <v>R-Final</v>
      </c>
      <c r="C69" s="13">
        <v>0</v>
      </c>
      <c r="D69" s="14" t="s">
        <v>79</v>
      </c>
      <c r="E69" s="13">
        <v>0</v>
      </c>
      <c r="F69" s="14" t="s">
        <v>79</v>
      </c>
      <c r="G69" s="15">
        <v>0</v>
      </c>
    </row>
    <row r="70" spans="1:7" x14ac:dyDescent="0.2">
      <c r="A70" s="11" t="s">
        <v>66</v>
      </c>
      <c r="B70" s="12" t="str">
        <f>'Assessed Value All Property'!B70</f>
        <v>R-NVAB</v>
      </c>
      <c r="C70" s="13">
        <f>'Assessed Value All Property'!E70</f>
        <v>3457052</v>
      </c>
      <c r="D70" s="14">
        <f>((C70-E70)/E70)</f>
        <v>4.3111194523884386E-2</v>
      </c>
      <c r="E70" s="13">
        <v>3314174</v>
      </c>
      <c r="F70" s="14">
        <f>((E70-G70)/G70)</f>
        <v>3.5296638773853292E-2</v>
      </c>
      <c r="G70" s="15">
        <v>3201183</v>
      </c>
    </row>
    <row r="71" spans="1:7" x14ac:dyDescent="0.2">
      <c r="A71" s="11" t="s">
        <v>67</v>
      </c>
      <c r="B71" s="12" t="str">
        <f>'Assessed Value All Property'!B71</f>
        <v>R-Final</v>
      </c>
      <c r="C71" s="13">
        <f>'Assessed Value All Property'!E71</f>
        <v>2026994</v>
      </c>
      <c r="D71" s="14">
        <f>((C71-E71)/E71)</f>
        <v>4.1045136399400946E-2</v>
      </c>
      <c r="E71" s="13">
        <v>1947076</v>
      </c>
      <c r="F71" s="14">
        <f>((E71-G71)/G71)</f>
        <v>3.2949100462182912E-2</v>
      </c>
      <c r="G71" s="15">
        <v>1884968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SUM(C5:C71)</f>
        <v>1973470795</v>
      </c>
      <c r="D73" s="22">
        <f>((C73-E73)/E73)</f>
        <v>3.8524094904661056E-2</v>
      </c>
      <c r="E73" s="21">
        <f>SUM(E5:E71)</f>
        <v>1900264813</v>
      </c>
      <c r="F73" s="22">
        <f>((E73-G73)/G73)</f>
        <v>3.5471461618985976E-2</v>
      </c>
      <c r="G73" s="23">
        <f>SUM(G5:G71)</f>
        <v>1835168697</v>
      </c>
    </row>
    <row r="75" spans="1:7" x14ac:dyDescent="0.2">
      <c r="A75" s="24" t="s">
        <v>88</v>
      </c>
    </row>
  </sheetData>
  <phoneticPr fontId="3" type="noConversion"/>
  <conditionalFormatting sqref="A75">
    <cfRule type="expression" dxfId="1" priority="39" stopIfTrue="1">
      <formula>MOD(ROW(),5)=1</formula>
    </cfRule>
  </conditionalFormatting>
  <conditionalFormatting sqref="A4:G73">
    <cfRule type="expression" dxfId="0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 G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6139D9A-AA5A-4101-AE61-BCF0D1757BB0}"/>
</file>

<file path=customXml/itemProps2.xml><?xml version="1.0" encoding="utf-8"?>
<ds:datastoreItem xmlns:ds="http://schemas.openxmlformats.org/officeDocument/2006/customXml" ds:itemID="{3FD597B7-2C42-4022-8060-6F20905A35E4}"/>
</file>

<file path=customXml/itemProps3.xml><?xml version="1.0" encoding="utf-8"?>
<ds:datastoreItem xmlns:ds="http://schemas.openxmlformats.org/officeDocument/2006/customXml" ds:itemID="{1E9B3F7A-3D6A-41AE-9297-F26C39E0A5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Report Index</vt:lpstr>
      <vt:lpstr>Assessed Value All Property</vt:lpstr>
      <vt:lpstr>All Property Assessed Value</vt:lpstr>
      <vt:lpstr>Real Property Assessed Value</vt:lpstr>
      <vt:lpstr>Personal Prop Assessed Value</vt:lpstr>
      <vt:lpstr>Centrally Prop Assessed Value </vt:lpstr>
      <vt:lpstr>'All Property Assessed Value'!Print_Area</vt:lpstr>
      <vt:lpstr>'Assessed Value All Property'!Print_Area</vt:lpstr>
      <vt:lpstr>'Centrally Prop Assessed Value '!Print_Area</vt:lpstr>
      <vt:lpstr>'Personal Prop Assessed Value'!Print_Area</vt:lpstr>
      <vt:lpstr>'Real Property Assessed Value'!Print_Area</vt:lpstr>
      <vt:lpstr>'Report Index'!Print_Area</vt:lpstr>
      <vt:lpstr>'All Property Assessed Value'!Print_Titles</vt:lpstr>
      <vt:lpstr>'Assessed Value All Property'!Print_Titles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Allison Kever</cp:lastModifiedBy>
  <cp:lastPrinted>2011-02-11T15:25:28Z</cp:lastPrinted>
  <dcterms:created xsi:type="dcterms:W3CDTF">2010-08-10T15:50:22Z</dcterms:created>
  <dcterms:modified xsi:type="dcterms:W3CDTF">2023-01-10T13:32:07Z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