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J:\Research &amp; Analysis\Data Book Documentation\2022 Data Book\Final Drafts\"/>
    </mc:Choice>
  </mc:AlternateContent>
  <xr:revisionPtr revIDLastSave="0" documentId="13_ncr:1_{5E075E21-76C3-495B-84EA-DB0B28C179A2}" xr6:coauthVersionLast="47" xr6:coauthVersionMax="47" xr10:uidLastSave="{00000000-0000-0000-0000-000000000000}"/>
  <bookViews>
    <workbookView xWindow="28680" yWindow="-120" windowWidth="29040" windowHeight="1584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8" l="1"/>
  <c r="E73" i="8"/>
  <c r="B6" i="6" l="1"/>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5" i="6"/>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5" i="4"/>
  <c r="C73" i="4"/>
  <c r="E73" i="4"/>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G73" i="6"/>
  <c r="D18" i="8"/>
  <c r="D6" i="8"/>
  <c r="D7" i="8"/>
  <c r="D8" i="8"/>
  <c r="D9" i="8"/>
  <c r="D10" i="8"/>
  <c r="D12" i="8"/>
  <c r="D13" i="8"/>
  <c r="D14" i="8"/>
  <c r="D15" i="8"/>
  <c r="D16" i="8"/>
  <c r="D17" i="8"/>
  <c r="D20" i="8"/>
  <c r="D21" i="8"/>
  <c r="D22" i="8"/>
  <c r="D23" i="8"/>
  <c r="D24" i="8"/>
  <c r="D26" i="8"/>
  <c r="D27" i="8"/>
  <c r="D28" i="8"/>
  <c r="D29" i="8"/>
  <c r="D30" i="8"/>
  <c r="D31" i="8"/>
  <c r="D32" i="8"/>
  <c r="D33" i="8"/>
  <c r="D34" i="8"/>
  <c r="D35" i="8"/>
  <c r="D36" i="8"/>
  <c r="D37" i="8"/>
  <c r="D39" i="8"/>
  <c r="D40" i="8"/>
  <c r="D41" i="8"/>
  <c r="D42" i="8"/>
  <c r="D43"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G73" i="8"/>
  <c r="F73" i="8" s="1"/>
  <c r="G73" i="7"/>
  <c r="E73" i="7"/>
  <c r="E73" i="6"/>
  <c r="D73" i="9"/>
  <c r="E73" i="9"/>
  <c r="C73" i="9"/>
  <c r="F45" i="4"/>
  <c r="F25" i="4"/>
  <c r="F26" i="4"/>
  <c r="F29" i="4"/>
  <c r="F34" i="4"/>
  <c r="F35" i="4"/>
  <c r="F30" i="4"/>
  <c r="F36" i="4"/>
  <c r="F56" i="4"/>
  <c r="F71" i="4"/>
  <c r="F53" i="4"/>
  <c r="F31" i="4"/>
  <c r="F32" i="4"/>
  <c r="G73" i="4"/>
  <c r="F73" i="4" s="1"/>
  <c r="F39" i="4"/>
  <c r="F14" i="4"/>
  <c r="F43" i="4"/>
  <c r="F51" i="4"/>
  <c r="F11" i="4"/>
  <c r="F12" i="4"/>
  <c r="F62" i="4"/>
  <c r="F40" i="4"/>
  <c r="F7" i="4"/>
  <c r="F10" i="4"/>
  <c r="F49" i="4"/>
  <c r="F33" i="4"/>
  <c r="F57" i="4"/>
  <c r="F63" i="4"/>
  <c r="F6" i="4"/>
  <c r="F66" i="4"/>
  <c r="F28" i="4"/>
  <c r="F58" i="4"/>
  <c r="F61" i="4"/>
  <c r="F27" i="4"/>
  <c r="F13" i="4"/>
  <c r="F41" i="4"/>
  <c r="F59" i="4"/>
  <c r="F22" i="4"/>
  <c r="F60" i="4"/>
  <c r="F37" i="4"/>
  <c r="F21" i="4"/>
  <c r="F8" i="4"/>
  <c r="F20" i="4"/>
  <c r="F17" i="4"/>
  <c r="F46" i="4"/>
  <c r="F9" i="4"/>
  <c r="F47" i="4"/>
  <c r="F64" i="4"/>
  <c r="F5" i="4"/>
  <c r="D12" i="6"/>
  <c r="D6" i="4"/>
  <c r="F73" i="9"/>
  <c r="C73" i="6"/>
  <c r="D73" i="6" s="1"/>
  <c r="D5" i="6"/>
  <c r="C73" i="7"/>
  <c r="D73" i="4"/>
  <c r="D5" i="4"/>
  <c r="F73" i="6" l="1"/>
  <c r="D73" i="8"/>
  <c r="D73" i="7"/>
  <c r="F73" i="7"/>
</calcChain>
</file>

<file path=xl/sharedStrings.xml><?xml version="1.0" encoding="utf-8"?>
<sst xmlns="http://schemas.openxmlformats.org/spreadsheetml/2006/main" count="613" uniqueCount="96">
  <si>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</si>
  <si>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</si>
  <si>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</si>
  <si>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</si>
  <si>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</si>
  <si>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</si>
  <si>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</si>
  <si>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</si>
  <si>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</si>
  <si>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</si>
  <si>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</si>
  <si>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</si>
  <si>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</si>
  <si>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</si>
  <si>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</si>
  <si>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</si>
  <si>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</si>
  <si>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</si>
  <si>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</si>
  <si>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</si>
  <si>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</si>
  <si>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</si>
  <si>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</si>
  <si>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</si>
  <si>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</si>
  <si>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</si>
  <si>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</si>
  <si>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</si>
  <si>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</si>
  <si>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</si>
  <si>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</si>
  <si>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</si>
  <si>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</si>
  <si>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</si>
  <si>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</si>
  <si>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</si>
  <si>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</si>
  <si>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</si>
  <si>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</si>
  <si>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</si>
  <si>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</si>
  <si>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</si>
  <si>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</si>
  <si>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</si>
  <si>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</si>
  <si>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</si>
  <si>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</si>
  <si>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</si>
  <si>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</si>
  <si>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</si>
  <si>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</si>
  <si>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</si>
  <si>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</si>
  <si>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</si>
  <si>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</si>
  <si>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</si>
  <si>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</si>
  <si>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</si>
  <si>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</si>
  <si>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</si>
  <si>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</si>
  <si>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</si>
  <si>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</si>
  <si>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</si>
  <si>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</si>
  <si>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</si>
  <si>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</si>
  <si>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</si>
  <si>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</si>
  <si>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</si>
  <si>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</si>
  <si>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</si>
  <si>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</si>
  <si>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</si>
  <si>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</si>
  <si>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</si>
  <si>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</si>
  <si>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</si>
  <si>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</si>
  <si>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</si>
  <si>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</si>
  <si>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2020 Value</t>
  </si>
  <si>
    <t>2021 Value</t>
  </si>
  <si>
    <t>Percent increase 2020-2021</t>
  </si>
  <si>
    <t xml:space="preserve">Data Extract: </t>
  </si>
  <si>
    <t xml:space="preserve"> 2022 Real Property
 Just Value</t>
  </si>
  <si>
    <t>2022 Personal Property Just Value</t>
  </si>
  <si>
    <t xml:space="preserve"> 2022 Central Assessment Just Value</t>
  </si>
  <si>
    <t>2022 Total
 Just Value</t>
  </si>
  <si>
    <t>Percent increase 2021-2022</t>
  </si>
  <si>
    <t>2022 Value</t>
  </si>
  <si>
    <t>2020-2022</t>
  </si>
  <si>
    <t>Data Extract:</t>
  </si>
  <si>
    <t>R-NVAB</t>
  </si>
  <si>
    <t>R-Final</t>
  </si>
  <si>
    <t>Data Extract: November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</si>
</sst>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xf numFmtId="0" fontId="1" fillId="0" borderId="0"/>
  </cellStyleXfs>
  <cellXfs count="49">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7">
    <cellStyle name="Comma" xfId="1" builtinId="3"/>
    <cellStyle name="Comma 2" xfId="2" xr:uid="{00000000-0005-0000-0000-000001000000}"/>
    <cellStyle name="Hyperlink" xfId="3" builtinId="8"/>
    <cellStyle name="Normal" xfId="0" builtinId="0"/>
    <cellStyle name="Normal 2" xfId="4" xr:uid="{00000000-0005-0000-0000-000004000000}"/>
    <cellStyle name="Normal 3" xfId="6" xr:uid="{E1D0AD4D-D76E-4D49-AF8E-07ADB0AF94C8}"/>
    <cellStyle name="Percent" xfId="5" builtinId="5"/>
  </cellStyles>
  <dxfs count="17">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0" t="s">
        <v>75</v>
      </c>
      <c r="C4" s="41"/>
      <c r="D4" s="41"/>
      <c r="E4" s="41"/>
      <c r="F4" s="41"/>
      <c r="G4" s="41"/>
      <c r="H4" s="42"/>
      <c r="I4" s="3"/>
      <c r="J4" s="3"/>
      <c r="K4" s="3"/>
    </row>
    <row r="5" spans="1:11" x14ac:dyDescent="0.2">
      <c r="B5" s="43"/>
      <c r="C5" s="44"/>
      <c r="D5" s="44"/>
      <c r="E5" s="44"/>
      <c r="F5" s="44"/>
      <c r="G5" s="44"/>
      <c r="H5" s="45"/>
      <c r="I5" s="3"/>
      <c r="J5" s="3"/>
      <c r="K5" s="3"/>
    </row>
    <row r="6" spans="1:11" x14ac:dyDescent="0.2">
      <c r="B6" s="43"/>
      <c r="C6" s="44"/>
      <c r="D6" s="44"/>
      <c r="E6" s="44"/>
      <c r="F6" s="44"/>
      <c r="G6" s="44"/>
      <c r="H6" s="45"/>
      <c r="I6" s="3"/>
      <c r="J6" s="3"/>
      <c r="K6" s="3"/>
    </row>
    <row r="7" spans="1:11" x14ac:dyDescent="0.2">
      <c r="B7" s="43"/>
      <c r="C7" s="44"/>
      <c r="D7" s="44"/>
      <c r="E7" s="44"/>
      <c r="F7" s="44"/>
      <c r="G7" s="44"/>
      <c r="H7" s="45"/>
      <c r="I7" s="3"/>
      <c r="J7" s="3"/>
      <c r="K7" s="3"/>
    </row>
    <row r="8" spans="1:11" x14ac:dyDescent="0.2">
      <c r="B8" s="43"/>
      <c r="C8" s="44"/>
      <c r="D8" s="44"/>
      <c r="E8" s="44"/>
      <c r="F8" s="44"/>
      <c r="G8" s="44"/>
      <c r="H8" s="45"/>
      <c r="I8" s="3"/>
      <c r="J8" s="3"/>
      <c r="K8" s="3"/>
    </row>
    <row r="9" spans="1:11" ht="15" thickBot="1" x14ac:dyDescent="0.25">
      <c r="B9" s="46"/>
      <c r="C9" s="47"/>
      <c r="D9" s="47"/>
      <c r="E9" s="47"/>
      <c r="F9" s="47"/>
      <c r="G9" s="47"/>
      <c r="H9" s="48"/>
      <c r="I9" s="3"/>
      <c r="J9" s="3"/>
      <c r="K9" s="3"/>
    </row>
    <row r="10" spans="1:11" x14ac:dyDescent="0.2">
      <c r="B10" s="3"/>
      <c r="C10" s="3"/>
      <c r="D10" s="3"/>
      <c r="E10" s="3"/>
      <c r="F10" s="3"/>
      <c r="G10" s="3"/>
      <c r="H10" s="3"/>
      <c r="I10" s="3"/>
      <c r="J10" s="3"/>
      <c r="K10" s="3"/>
    </row>
    <row r="11" spans="1:11" x14ac:dyDescent="0.2">
      <c r="B11" s="39" t="s">
        <v>72</v>
      </c>
      <c r="C11" s="39"/>
      <c r="D11" s="39"/>
      <c r="E11" s="39"/>
      <c r="F11" s="39"/>
      <c r="G11" s="39"/>
      <c r="H11" s="39"/>
      <c r="I11" s="3"/>
      <c r="J11" s="3"/>
      <c r="K11" s="3"/>
    </row>
    <row r="12" spans="1:11" x14ac:dyDescent="0.2">
      <c r="B12" s="4"/>
      <c r="C12" s="3"/>
      <c r="D12" s="3"/>
      <c r="E12" s="3"/>
      <c r="F12" s="3"/>
      <c r="G12" s="3"/>
      <c r="H12" s="3"/>
      <c r="I12" s="3"/>
      <c r="J12" s="3"/>
      <c r="K12" s="3"/>
    </row>
    <row r="13" spans="1:11" x14ac:dyDescent="0.2">
      <c r="B13" s="39" t="s">
        <v>73</v>
      </c>
      <c r="C13" s="39"/>
      <c r="D13" s="39"/>
      <c r="E13" s="39"/>
      <c r="F13" s="39"/>
      <c r="G13" s="39"/>
      <c r="H13" s="39"/>
    </row>
    <row r="15" spans="1:11" x14ac:dyDescent="0.2">
      <c r="B15" s="39" t="s">
        <v>69</v>
      </c>
      <c r="C15" s="39"/>
      <c r="D15" s="39"/>
      <c r="E15" s="39"/>
      <c r="F15" s="39"/>
      <c r="G15" s="39"/>
      <c r="H15" s="39"/>
    </row>
    <row r="17" spans="1:8" x14ac:dyDescent="0.2">
      <c r="B17" s="39" t="s">
        <v>70</v>
      </c>
      <c r="C17" s="39"/>
      <c r="D17" s="39"/>
      <c r="E17" s="39"/>
      <c r="F17" s="39"/>
      <c r="G17" s="39"/>
      <c r="H17" s="39"/>
    </row>
    <row r="19" spans="1:8" x14ac:dyDescent="0.2">
      <c r="B19" s="39" t="s">
        <v>71</v>
      </c>
      <c r="C19" s="39"/>
      <c r="D19" s="39"/>
      <c r="E19" s="39"/>
      <c r="F19" s="39"/>
      <c r="G19" s="39"/>
      <c r="H19" s="39"/>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16384" width="9.140625" style="2"/>
  </cols>
  <sheetData>
    <row r="1" spans="1:11" ht="23.25" x14ac:dyDescent="0.35">
      <c r="A1" s="7" t="s">
        <v>72</v>
      </c>
      <c r="B1" s="8"/>
      <c r="C1" s="9"/>
      <c r="D1" s="9"/>
      <c r="E1" s="9"/>
      <c r="F1" s="9"/>
    </row>
    <row r="2" spans="1:11" ht="15" x14ac:dyDescent="0.25">
      <c r="A2" s="10">
        <v>2022</v>
      </c>
      <c r="B2" s="10"/>
      <c r="C2" s="10"/>
      <c r="D2" s="10"/>
      <c r="E2" s="10"/>
      <c r="F2" s="10"/>
    </row>
    <row r="3" spans="1:11" ht="15" thickBot="1" x14ac:dyDescent="0.25"/>
    <row r="4" spans="1:11" s="36" customFormat="1" ht="25.5" x14ac:dyDescent="0.2">
      <c r="A4" s="33" t="s">
        <v>0</v>
      </c>
      <c r="B4" s="34" t="s">
        <v>1</v>
      </c>
      <c r="C4" s="34" t="s">
        <v>85</v>
      </c>
      <c r="D4" s="34" t="s">
        <v>86</v>
      </c>
      <c r="E4" s="34" t="s">
        <v>87</v>
      </c>
      <c r="F4" s="35" t="s">
        <v>88</v>
      </c>
    </row>
    <row r="5" spans="1:11" x14ac:dyDescent="0.2">
      <c r="A5" s="12" t="s">
        <v>4</v>
      </c>
      <c r="B5" s="13" t="s">
        <v>93</v>
      </c>
      <c r="C5" s="27">
        <v>33750997228</v>
      </c>
      <c r="D5" s="28">
        <v>4038801731</v>
      </c>
      <c r="E5" s="27">
        <v>34378880</v>
      </c>
      <c r="F5" s="29">
        <v>37824177839</v>
      </c>
    </row>
    <row r="6" spans="1:11" x14ac:dyDescent="0.2">
      <c r="A6" s="12" t="s">
        <v>5</v>
      </c>
      <c r="B6" s="13" t="s">
        <v>94</v>
      </c>
      <c r="C6" s="27">
        <v>2570338150</v>
      </c>
      <c r="D6" s="28">
        <v>232958932</v>
      </c>
      <c r="E6" s="27">
        <v>15120905</v>
      </c>
      <c r="F6" s="29">
        <v>2818417987</v>
      </c>
      <c r="I6" s="17"/>
      <c r="K6" s="17"/>
    </row>
    <row r="7" spans="1:11" x14ac:dyDescent="0.2">
      <c r="A7" s="12" t="s">
        <v>6</v>
      </c>
      <c r="B7" s="13" t="s">
        <v>93</v>
      </c>
      <c r="C7" s="27">
        <v>31391778014</v>
      </c>
      <c r="D7" s="28">
        <v>2303008079</v>
      </c>
      <c r="E7" s="27">
        <v>36709300</v>
      </c>
      <c r="F7" s="29">
        <v>33731495393</v>
      </c>
      <c r="I7" s="17"/>
      <c r="K7" s="17"/>
    </row>
    <row r="8" spans="1:11" x14ac:dyDescent="0.2">
      <c r="A8" s="12" t="s">
        <v>7</v>
      </c>
      <c r="B8" s="13" t="s">
        <v>94</v>
      </c>
      <c r="C8" s="27">
        <v>1923529122</v>
      </c>
      <c r="D8" s="28">
        <v>342691925</v>
      </c>
      <c r="E8" s="27">
        <v>18871537</v>
      </c>
      <c r="F8" s="29">
        <v>2285092584</v>
      </c>
      <c r="I8" s="17"/>
      <c r="K8" s="17"/>
    </row>
    <row r="9" spans="1:11" x14ac:dyDescent="0.2">
      <c r="A9" s="12" t="s">
        <v>8</v>
      </c>
      <c r="B9" s="13" t="s">
        <v>93</v>
      </c>
      <c r="C9" s="27">
        <v>96380495090</v>
      </c>
      <c r="D9" s="28">
        <v>10579694118</v>
      </c>
      <c r="E9" s="27">
        <v>91053009</v>
      </c>
      <c r="F9" s="29">
        <v>107051242217</v>
      </c>
      <c r="I9" s="17"/>
      <c r="K9" s="17"/>
    </row>
    <row r="10" spans="1:11" x14ac:dyDescent="0.2">
      <c r="A10" s="12" t="s">
        <v>9</v>
      </c>
      <c r="B10" s="13" t="s">
        <v>93</v>
      </c>
      <c r="C10" s="27">
        <v>362030883200</v>
      </c>
      <c r="D10" s="28">
        <v>10606161209</v>
      </c>
      <c r="E10" s="27">
        <v>102789696</v>
      </c>
      <c r="F10" s="29">
        <v>372739834105</v>
      </c>
      <c r="I10" s="17"/>
      <c r="K10" s="17"/>
    </row>
    <row r="11" spans="1:11" x14ac:dyDescent="0.2">
      <c r="A11" s="12" t="s">
        <v>10</v>
      </c>
      <c r="B11" s="13" t="s">
        <v>94</v>
      </c>
      <c r="C11" s="27">
        <v>925699903</v>
      </c>
      <c r="D11" s="28">
        <v>135274404</v>
      </c>
      <c r="E11" s="27">
        <v>0</v>
      </c>
      <c r="F11" s="29">
        <v>1060974307</v>
      </c>
      <c r="I11" s="17"/>
      <c r="K11" s="17"/>
    </row>
    <row r="12" spans="1:11" x14ac:dyDescent="0.2">
      <c r="A12" s="12" t="s">
        <v>11</v>
      </c>
      <c r="B12" s="13" t="s">
        <v>93</v>
      </c>
      <c r="C12" s="27">
        <v>39422846849</v>
      </c>
      <c r="D12" s="28">
        <v>1570192818</v>
      </c>
      <c r="E12" s="27">
        <v>3156640</v>
      </c>
      <c r="F12" s="29">
        <v>40996196307</v>
      </c>
      <c r="I12" s="17"/>
      <c r="K12" s="17"/>
    </row>
    <row r="13" spans="1:11" x14ac:dyDescent="0.2">
      <c r="A13" s="12" t="s">
        <v>12</v>
      </c>
      <c r="B13" s="13" t="s">
        <v>93</v>
      </c>
      <c r="C13" s="27">
        <v>19494692315</v>
      </c>
      <c r="D13" s="28">
        <v>3776194445</v>
      </c>
      <c r="E13" s="27">
        <v>1979472</v>
      </c>
      <c r="F13" s="29">
        <v>23272866232</v>
      </c>
      <c r="I13" s="17"/>
      <c r="K13" s="17"/>
    </row>
    <row r="14" spans="1:11" x14ac:dyDescent="0.2">
      <c r="A14" s="12" t="s">
        <v>13</v>
      </c>
      <c r="B14" s="13" t="s">
        <v>93</v>
      </c>
      <c r="C14" s="27">
        <v>24408288014</v>
      </c>
      <c r="D14" s="28">
        <v>1626212946</v>
      </c>
      <c r="E14" s="27">
        <v>17164212</v>
      </c>
      <c r="F14" s="29">
        <v>26051665172</v>
      </c>
      <c r="I14" s="17"/>
      <c r="K14" s="17"/>
    </row>
    <row r="15" spans="1:11" x14ac:dyDescent="0.2">
      <c r="A15" s="12" t="s">
        <v>14</v>
      </c>
      <c r="B15" s="13" t="s">
        <v>93</v>
      </c>
      <c r="C15" s="27">
        <v>182257754189</v>
      </c>
      <c r="D15" s="28">
        <v>3052589486</v>
      </c>
      <c r="E15" s="27">
        <v>200286</v>
      </c>
      <c r="F15" s="29">
        <v>185310543961</v>
      </c>
      <c r="I15" s="17"/>
      <c r="K15" s="17"/>
    </row>
    <row r="16" spans="1:11" x14ac:dyDescent="0.2">
      <c r="A16" s="12" t="s">
        <v>15</v>
      </c>
      <c r="B16" s="13" t="s">
        <v>93</v>
      </c>
      <c r="C16" s="27">
        <v>5731284880</v>
      </c>
      <c r="D16" s="28">
        <v>828919195</v>
      </c>
      <c r="E16" s="27">
        <v>15263179</v>
      </c>
      <c r="F16" s="29">
        <v>6575467254</v>
      </c>
      <c r="I16" s="17"/>
      <c r="K16" s="17"/>
    </row>
    <row r="17" spans="1:11" x14ac:dyDescent="0.2">
      <c r="A17" s="12" t="s">
        <v>78</v>
      </c>
      <c r="B17" s="13" t="s">
        <v>93</v>
      </c>
      <c r="C17" s="27">
        <v>551130843931</v>
      </c>
      <c r="D17" s="28">
        <v>20346872678</v>
      </c>
      <c r="E17" s="27">
        <v>153207013</v>
      </c>
      <c r="F17" s="29">
        <v>571630923622</v>
      </c>
      <c r="I17" s="17"/>
      <c r="K17" s="17"/>
    </row>
    <row r="18" spans="1:11" x14ac:dyDescent="0.2">
      <c r="A18" s="12" t="s">
        <v>16</v>
      </c>
      <c r="B18" s="13" t="s">
        <v>93</v>
      </c>
      <c r="C18" s="27">
        <v>4996443177</v>
      </c>
      <c r="D18" s="28">
        <v>756796626</v>
      </c>
      <c r="E18" s="27">
        <v>4692164</v>
      </c>
      <c r="F18" s="29">
        <v>5757931967</v>
      </c>
      <c r="I18" s="17"/>
      <c r="K18" s="17"/>
    </row>
    <row r="19" spans="1:11" x14ac:dyDescent="0.2">
      <c r="A19" s="12" t="s">
        <v>17</v>
      </c>
      <c r="B19" s="13" t="s">
        <v>94</v>
      </c>
      <c r="C19" s="27">
        <v>1588209662</v>
      </c>
      <c r="D19" s="28">
        <v>98408399</v>
      </c>
      <c r="E19" s="27">
        <v>0</v>
      </c>
      <c r="F19" s="29">
        <v>1686618061</v>
      </c>
      <c r="I19" s="17"/>
      <c r="K19" s="17"/>
    </row>
    <row r="20" spans="1:11" x14ac:dyDescent="0.2">
      <c r="A20" s="12" t="s">
        <v>18</v>
      </c>
      <c r="B20" s="13" t="s">
        <v>93</v>
      </c>
      <c r="C20" s="27">
        <v>133165484410</v>
      </c>
      <c r="D20" s="28">
        <v>15197670104</v>
      </c>
      <c r="E20" s="27">
        <v>225918484</v>
      </c>
      <c r="F20" s="29">
        <v>148589072998</v>
      </c>
      <c r="I20" s="17"/>
      <c r="K20" s="17"/>
    </row>
    <row r="21" spans="1:11" x14ac:dyDescent="0.2">
      <c r="A21" s="12" t="s">
        <v>19</v>
      </c>
      <c r="B21" s="13" t="s">
        <v>93</v>
      </c>
      <c r="C21" s="27">
        <v>38315607592</v>
      </c>
      <c r="D21" s="28">
        <v>3885854736</v>
      </c>
      <c r="E21" s="27">
        <v>31416961</v>
      </c>
      <c r="F21" s="29">
        <v>42232879289</v>
      </c>
      <c r="I21" s="17"/>
      <c r="K21" s="17"/>
    </row>
    <row r="22" spans="1:11" x14ac:dyDescent="0.2">
      <c r="A22" s="12" t="s">
        <v>20</v>
      </c>
      <c r="B22" s="13" t="s">
        <v>93</v>
      </c>
      <c r="C22" s="27">
        <v>21560921422</v>
      </c>
      <c r="D22" s="28">
        <v>929516427</v>
      </c>
      <c r="E22" s="27">
        <v>27574003</v>
      </c>
      <c r="F22" s="29">
        <v>22518011852</v>
      </c>
      <c r="I22" s="17"/>
      <c r="K22" s="17"/>
    </row>
    <row r="23" spans="1:11" x14ac:dyDescent="0.2">
      <c r="A23" s="12" t="s">
        <v>21</v>
      </c>
      <c r="B23" s="13" t="s">
        <v>94</v>
      </c>
      <c r="C23" s="27">
        <v>4088354893</v>
      </c>
      <c r="D23" s="28">
        <v>98222209</v>
      </c>
      <c r="E23" s="27">
        <v>696583</v>
      </c>
      <c r="F23" s="29">
        <v>4187273685</v>
      </c>
      <c r="I23" s="17"/>
      <c r="K23" s="17"/>
    </row>
    <row r="24" spans="1:11" x14ac:dyDescent="0.2">
      <c r="A24" s="12" t="s">
        <v>22</v>
      </c>
      <c r="B24" s="13" t="s">
        <v>94</v>
      </c>
      <c r="C24" s="27">
        <v>2982903470</v>
      </c>
      <c r="D24" s="28">
        <v>692110358</v>
      </c>
      <c r="E24" s="27">
        <v>8192564</v>
      </c>
      <c r="F24" s="29">
        <v>3683206392</v>
      </c>
      <c r="I24" s="17"/>
      <c r="K24" s="17"/>
    </row>
    <row r="25" spans="1:11" x14ac:dyDescent="0.2">
      <c r="A25" s="12" t="s">
        <v>23</v>
      </c>
      <c r="B25" s="13" t="s">
        <v>94</v>
      </c>
      <c r="C25" s="27">
        <v>1794946132</v>
      </c>
      <c r="D25" s="28">
        <v>336429545</v>
      </c>
      <c r="E25" s="27">
        <v>0</v>
      </c>
      <c r="F25" s="29">
        <v>2131375677</v>
      </c>
      <c r="I25" s="17"/>
      <c r="K25" s="17"/>
    </row>
    <row r="26" spans="1:11" x14ac:dyDescent="0.2">
      <c r="A26" s="12" t="s">
        <v>24</v>
      </c>
      <c r="B26" s="13" t="s">
        <v>94</v>
      </c>
      <c r="C26" s="27">
        <v>4853206944</v>
      </c>
      <c r="D26" s="28">
        <v>171093068</v>
      </c>
      <c r="E26" s="27">
        <v>18394116</v>
      </c>
      <c r="F26" s="29">
        <v>5042694128</v>
      </c>
      <c r="I26" s="17"/>
      <c r="K26" s="17"/>
    </row>
    <row r="27" spans="1:11" x14ac:dyDescent="0.2">
      <c r="A27" s="12" t="s">
        <v>25</v>
      </c>
      <c r="B27" s="13" t="s">
        <v>94</v>
      </c>
      <c r="C27" s="27">
        <v>4596230699</v>
      </c>
      <c r="D27" s="28">
        <v>123725192</v>
      </c>
      <c r="E27" s="27">
        <v>695174</v>
      </c>
      <c r="F27" s="29">
        <v>4720651065</v>
      </c>
      <c r="I27" s="17"/>
      <c r="K27" s="17"/>
    </row>
    <row r="28" spans="1:11" x14ac:dyDescent="0.2">
      <c r="A28" s="12" t="s">
        <v>26</v>
      </c>
      <c r="B28" s="13" t="s">
        <v>94</v>
      </c>
      <c r="C28" s="27">
        <v>1306026036</v>
      </c>
      <c r="D28" s="28">
        <v>689698075</v>
      </c>
      <c r="E28" s="27">
        <v>27559235</v>
      </c>
      <c r="F28" s="29">
        <v>2023283346</v>
      </c>
      <c r="I28" s="17"/>
      <c r="K28" s="17"/>
    </row>
    <row r="29" spans="1:11" x14ac:dyDescent="0.2">
      <c r="A29" s="12" t="s">
        <v>27</v>
      </c>
      <c r="B29" s="13" t="s">
        <v>93</v>
      </c>
      <c r="C29" s="27">
        <v>3893367103</v>
      </c>
      <c r="D29" s="28">
        <v>958623609</v>
      </c>
      <c r="E29" s="27">
        <v>9367098</v>
      </c>
      <c r="F29" s="29">
        <v>4861357810</v>
      </c>
      <c r="I29" s="17"/>
      <c r="K29" s="17"/>
    </row>
    <row r="30" spans="1:11" x14ac:dyDescent="0.2">
      <c r="A30" s="12" t="s">
        <v>28</v>
      </c>
      <c r="B30" s="13" t="s">
        <v>93</v>
      </c>
      <c r="C30" s="27">
        <v>7572052506</v>
      </c>
      <c r="D30" s="28">
        <v>1245242653</v>
      </c>
      <c r="E30" s="27">
        <v>5944780</v>
      </c>
      <c r="F30" s="29">
        <v>8823239939</v>
      </c>
      <c r="I30" s="17"/>
      <c r="K30" s="17"/>
    </row>
    <row r="31" spans="1:11" x14ac:dyDescent="0.2">
      <c r="A31" s="12" t="s">
        <v>29</v>
      </c>
      <c r="B31" s="13" t="s">
        <v>93</v>
      </c>
      <c r="C31" s="27">
        <v>24884231993</v>
      </c>
      <c r="D31" s="28">
        <v>1883804358</v>
      </c>
      <c r="E31" s="27">
        <v>11986078</v>
      </c>
      <c r="F31" s="29">
        <v>26780022429</v>
      </c>
      <c r="I31" s="17"/>
      <c r="K31" s="17"/>
    </row>
    <row r="32" spans="1:11" x14ac:dyDescent="0.2">
      <c r="A32" s="12" t="s">
        <v>30</v>
      </c>
      <c r="B32" s="13" t="s">
        <v>93</v>
      </c>
      <c r="C32" s="27">
        <v>10685395152</v>
      </c>
      <c r="D32" s="28">
        <v>749240212</v>
      </c>
      <c r="E32" s="27">
        <v>38593326</v>
      </c>
      <c r="F32" s="29">
        <v>11473228690</v>
      </c>
      <c r="I32" s="17"/>
      <c r="K32" s="17"/>
    </row>
    <row r="33" spans="1:11" x14ac:dyDescent="0.2">
      <c r="A33" s="12" t="s">
        <v>31</v>
      </c>
      <c r="B33" s="13" t="s">
        <v>93</v>
      </c>
      <c r="C33" s="27">
        <v>221813299878</v>
      </c>
      <c r="D33" s="28">
        <v>12576742750</v>
      </c>
      <c r="E33" s="27">
        <v>133838824</v>
      </c>
      <c r="F33" s="29">
        <v>234523881452</v>
      </c>
      <c r="I33" s="17"/>
      <c r="K33" s="17"/>
    </row>
    <row r="34" spans="1:11" x14ac:dyDescent="0.2">
      <c r="A34" s="12" t="s">
        <v>32</v>
      </c>
      <c r="B34" s="13" t="s">
        <v>94</v>
      </c>
      <c r="C34" s="27">
        <v>1174519556</v>
      </c>
      <c r="D34" s="28">
        <v>109194421</v>
      </c>
      <c r="E34" s="27">
        <v>3710945</v>
      </c>
      <c r="F34" s="29">
        <v>1287424922</v>
      </c>
      <c r="I34" s="17"/>
      <c r="K34" s="17"/>
    </row>
    <row r="35" spans="1:11" x14ac:dyDescent="0.2">
      <c r="A35" s="12" t="s">
        <v>33</v>
      </c>
      <c r="B35" s="13" t="s">
        <v>93</v>
      </c>
      <c r="C35" s="27">
        <v>36525736400</v>
      </c>
      <c r="D35" s="28">
        <v>986160779</v>
      </c>
      <c r="E35" s="27">
        <v>26551338</v>
      </c>
      <c r="F35" s="29">
        <v>37538448517</v>
      </c>
      <c r="I35" s="17"/>
      <c r="K35" s="17"/>
    </row>
    <row r="36" spans="1:11" x14ac:dyDescent="0.2">
      <c r="A36" s="12" t="s">
        <v>34</v>
      </c>
      <c r="B36" s="13" t="s">
        <v>94</v>
      </c>
      <c r="C36" s="27">
        <v>3286159983</v>
      </c>
      <c r="D36" s="28">
        <v>498662334</v>
      </c>
      <c r="E36" s="27">
        <v>29214746</v>
      </c>
      <c r="F36" s="29">
        <v>3814037063</v>
      </c>
      <c r="I36" s="17"/>
      <c r="K36" s="17"/>
    </row>
    <row r="37" spans="1:11" x14ac:dyDescent="0.2">
      <c r="A37" s="12" t="s">
        <v>35</v>
      </c>
      <c r="B37" s="13" t="s">
        <v>93</v>
      </c>
      <c r="C37" s="27">
        <v>1756047882</v>
      </c>
      <c r="D37" s="28">
        <v>189245441</v>
      </c>
      <c r="E37" s="27">
        <v>3032986</v>
      </c>
      <c r="F37" s="29">
        <v>1948326309</v>
      </c>
      <c r="I37" s="17"/>
      <c r="K37" s="17"/>
    </row>
    <row r="38" spans="1:11" x14ac:dyDescent="0.2">
      <c r="A38" s="12" t="s">
        <v>36</v>
      </c>
      <c r="B38" s="13" t="s">
        <v>94</v>
      </c>
      <c r="C38" s="27">
        <v>819191335</v>
      </c>
      <c r="D38" s="28">
        <v>78754649</v>
      </c>
      <c r="E38" s="27">
        <v>0</v>
      </c>
      <c r="F38" s="29">
        <v>897945984</v>
      </c>
      <c r="I38" s="17"/>
      <c r="K38" s="17"/>
    </row>
    <row r="39" spans="1:11" x14ac:dyDescent="0.2">
      <c r="A39" s="12" t="s">
        <v>37</v>
      </c>
      <c r="B39" s="13" t="s">
        <v>93</v>
      </c>
      <c r="C39" s="27">
        <v>46929316449</v>
      </c>
      <c r="D39" s="28">
        <v>2374162521</v>
      </c>
      <c r="E39" s="27">
        <v>13139054</v>
      </c>
      <c r="F39" s="29">
        <v>49316618024</v>
      </c>
      <c r="I39" s="17"/>
      <c r="K39" s="17"/>
    </row>
    <row r="40" spans="1:11" x14ac:dyDescent="0.2">
      <c r="A40" s="12" t="s">
        <v>38</v>
      </c>
      <c r="B40" s="13" t="s">
        <v>93</v>
      </c>
      <c r="C40" s="27">
        <v>174420194428</v>
      </c>
      <c r="D40" s="28">
        <v>6205744975</v>
      </c>
      <c r="E40" s="27">
        <v>5393643</v>
      </c>
      <c r="F40" s="29">
        <v>180631333046</v>
      </c>
      <c r="I40" s="17"/>
      <c r="K40" s="17"/>
    </row>
    <row r="41" spans="1:11" x14ac:dyDescent="0.2">
      <c r="A41" s="12" t="s">
        <v>39</v>
      </c>
      <c r="B41" s="13" t="s">
        <v>93</v>
      </c>
      <c r="C41" s="27">
        <v>34318183171</v>
      </c>
      <c r="D41" s="28">
        <v>2255398160</v>
      </c>
      <c r="E41" s="27">
        <v>5757017</v>
      </c>
      <c r="F41" s="29">
        <v>36579338348</v>
      </c>
      <c r="I41" s="17"/>
      <c r="K41" s="17"/>
    </row>
    <row r="42" spans="1:11" x14ac:dyDescent="0.2">
      <c r="A42" s="12" t="s">
        <v>40</v>
      </c>
      <c r="B42" s="13" t="s">
        <v>94</v>
      </c>
      <c r="C42" s="27">
        <v>6228266958</v>
      </c>
      <c r="D42" s="28">
        <v>401875932</v>
      </c>
      <c r="E42" s="27">
        <v>3998198</v>
      </c>
      <c r="F42" s="29">
        <v>6634141088</v>
      </c>
      <c r="I42" s="17"/>
      <c r="K42" s="17"/>
    </row>
    <row r="43" spans="1:11" x14ac:dyDescent="0.2">
      <c r="A43" s="12" t="s">
        <v>41</v>
      </c>
      <c r="B43" s="13" t="s">
        <v>94</v>
      </c>
      <c r="C43" s="27">
        <v>886114109</v>
      </c>
      <c r="D43" s="28">
        <v>149058826</v>
      </c>
      <c r="E43" s="27">
        <v>743402</v>
      </c>
      <c r="F43" s="29">
        <v>1035916337</v>
      </c>
      <c r="I43" s="17"/>
      <c r="K43" s="17"/>
    </row>
    <row r="44" spans="1:11" x14ac:dyDescent="0.2">
      <c r="A44" s="12" t="s">
        <v>42</v>
      </c>
      <c r="B44" s="13" t="s">
        <v>93</v>
      </c>
      <c r="C44" s="27">
        <v>1686930261</v>
      </c>
      <c r="D44" s="28">
        <v>244653723</v>
      </c>
      <c r="E44" s="27">
        <v>8646352</v>
      </c>
      <c r="F44" s="29">
        <v>1940230336</v>
      </c>
      <c r="I44" s="17"/>
      <c r="K44" s="17"/>
    </row>
    <row r="45" spans="1:11" x14ac:dyDescent="0.2">
      <c r="A45" s="12" t="s">
        <v>43</v>
      </c>
      <c r="B45" s="13" t="s">
        <v>93</v>
      </c>
      <c r="C45" s="27">
        <v>78160443996</v>
      </c>
      <c r="D45" s="28">
        <v>4235107593</v>
      </c>
      <c r="E45" s="27">
        <v>8933050</v>
      </c>
      <c r="F45" s="29">
        <v>82404484639</v>
      </c>
      <c r="I45" s="17"/>
      <c r="K45" s="17"/>
    </row>
    <row r="46" spans="1:11" x14ac:dyDescent="0.2">
      <c r="A46" s="12" t="s">
        <v>44</v>
      </c>
      <c r="B46" s="13" t="s">
        <v>93</v>
      </c>
      <c r="C46" s="27">
        <v>45463261815</v>
      </c>
      <c r="D46" s="28">
        <v>2288819597</v>
      </c>
      <c r="E46" s="27">
        <v>30489378</v>
      </c>
      <c r="F46" s="29">
        <v>47782570790</v>
      </c>
      <c r="I46" s="17"/>
      <c r="K46" s="17"/>
    </row>
    <row r="47" spans="1:11" x14ac:dyDescent="0.2">
      <c r="A47" s="12" t="s">
        <v>45</v>
      </c>
      <c r="B47" s="13" t="s">
        <v>93</v>
      </c>
      <c r="C47" s="27">
        <v>41447701739</v>
      </c>
      <c r="D47" s="28">
        <v>3295287587</v>
      </c>
      <c r="E47" s="27">
        <v>72515839</v>
      </c>
      <c r="F47" s="29">
        <v>44815505165</v>
      </c>
      <c r="I47" s="17"/>
      <c r="K47" s="17"/>
    </row>
    <row r="48" spans="1:11" x14ac:dyDescent="0.2">
      <c r="A48" s="12" t="s">
        <v>46</v>
      </c>
      <c r="B48" s="13" t="s">
        <v>93</v>
      </c>
      <c r="C48" s="27">
        <v>55085945133</v>
      </c>
      <c r="D48" s="28">
        <v>957309313</v>
      </c>
      <c r="E48" s="27">
        <v>0</v>
      </c>
      <c r="F48" s="29">
        <v>56043254446</v>
      </c>
      <c r="I48" s="17"/>
      <c r="K48" s="17"/>
    </row>
    <row r="49" spans="1:11" x14ac:dyDescent="0.2">
      <c r="A49" s="12" t="s">
        <v>47</v>
      </c>
      <c r="B49" s="13" t="s">
        <v>93</v>
      </c>
      <c r="C49" s="27">
        <v>19458454452</v>
      </c>
      <c r="D49" s="28">
        <v>1647244221</v>
      </c>
      <c r="E49" s="27">
        <v>47051491</v>
      </c>
      <c r="F49" s="29">
        <v>21152750164</v>
      </c>
      <c r="I49" s="17"/>
      <c r="K49" s="17"/>
    </row>
    <row r="50" spans="1:11" x14ac:dyDescent="0.2">
      <c r="A50" s="12" t="s">
        <v>48</v>
      </c>
      <c r="B50" s="13" t="s">
        <v>93</v>
      </c>
      <c r="C50" s="27">
        <v>36137752140</v>
      </c>
      <c r="D50" s="28">
        <v>1083019731</v>
      </c>
      <c r="E50" s="27">
        <v>4276231</v>
      </c>
      <c r="F50" s="29">
        <v>37225048102</v>
      </c>
      <c r="I50" s="17"/>
      <c r="K50" s="17"/>
    </row>
    <row r="51" spans="1:11" x14ac:dyDescent="0.2">
      <c r="A51" s="12" t="s">
        <v>49</v>
      </c>
      <c r="B51" s="13" t="s">
        <v>93</v>
      </c>
      <c r="C51" s="27">
        <v>6060770278</v>
      </c>
      <c r="D51" s="28">
        <v>1831780686</v>
      </c>
      <c r="E51" s="27">
        <v>12202472</v>
      </c>
      <c r="F51" s="29">
        <v>7904753436</v>
      </c>
      <c r="I51" s="17"/>
      <c r="K51" s="17"/>
    </row>
    <row r="52" spans="1:11" x14ac:dyDescent="0.2">
      <c r="A52" s="12" t="s">
        <v>50</v>
      </c>
      <c r="B52" s="13" t="s">
        <v>93</v>
      </c>
      <c r="C52" s="27">
        <v>258694179698</v>
      </c>
      <c r="D52" s="28">
        <v>16640792005</v>
      </c>
      <c r="E52" s="27">
        <v>51894007</v>
      </c>
      <c r="F52" s="29">
        <v>275386865710</v>
      </c>
      <c r="I52" s="17"/>
      <c r="K52" s="17"/>
    </row>
    <row r="53" spans="1:11" x14ac:dyDescent="0.2">
      <c r="A53" s="12" t="s">
        <v>51</v>
      </c>
      <c r="B53" s="13" t="s">
        <v>93</v>
      </c>
      <c r="C53" s="27">
        <v>58255378108</v>
      </c>
      <c r="D53" s="28">
        <v>3516169412</v>
      </c>
      <c r="E53" s="27">
        <v>6843648</v>
      </c>
      <c r="F53" s="29">
        <v>61778391168</v>
      </c>
      <c r="I53" s="17"/>
      <c r="K53" s="17"/>
    </row>
    <row r="54" spans="1:11" x14ac:dyDescent="0.2">
      <c r="A54" s="12" t="s">
        <v>52</v>
      </c>
      <c r="B54" s="13" t="s">
        <v>93</v>
      </c>
      <c r="C54" s="27">
        <v>391254405351</v>
      </c>
      <c r="D54" s="28">
        <v>12938963177</v>
      </c>
      <c r="E54" s="27">
        <v>194136464</v>
      </c>
      <c r="F54" s="29">
        <v>404387504992</v>
      </c>
      <c r="I54" s="17"/>
      <c r="K54" s="17"/>
    </row>
    <row r="55" spans="1:11" x14ac:dyDescent="0.2">
      <c r="A55" s="12" t="s">
        <v>53</v>
      </c>
      <c r="B55" s="13" t="s">
        <v>93</v>
      </c>
      <c r="C55" s="27">
        <v>66626174734</v>
      </c>
      <c r="D55" s="28">
        <v>3393989067</v>
      </c>
      <c r="E55" s="27">
        <v>22967160</v>
      </c>
      <c r="F55" s="29">
        <v>70043130961</v>
      </c>
      <c r="I55" s="17"/>
      <c r="K55" s="17"/>
    </row>
    <row r="56" spans="1:11" x14ac:dyDescent="0.2">
      <c r="A56" s="12" t="s">
        <v>54</v>
      </c>
      <c r="B56" s="13" t="s">
        <v>93</v>
      </c>
      <c r="C56" s="27">
        <v>179297093517</v>
      </c>
      <c r="D56" s="28">
        <v>6746739077</v>
      </c>
      <c r="E56" s="27">
        <v>13399405</v>
      </c>
      <c r="F56" s="29">
        <v>186057231999</v>
      </c>
      <c r="I56" s="17"/>
      <c r="K56" s="17"/>
    </row>
    <row r="57" spans="1:11" x14ac:dyDescent="0.2">
      <c r="A57" s="12" t="s">
        <v>55</v>
      </c>
      <c r="B57" s="13" t="s">
        <v>93</v>
      </c>
      <c r="C57" s="27">
        <v>76952501663</v>
      </c>
      <c r="D57" s="28">
        <v>9070649937</v>
      </c>
      <c r="E57" s="27">
        <v>134656032</v>
      </c>
      <c r="F57" s="29">
        <v>86157807632</v>
      </c>
      <c r="I57" s="17"/>
      <c r="K57" s="17"/>
    </row>
    <row r="58" spans="1:11" x14ac:dyDescent="0.2">
      <c r="A58" s="12" t="s">
        <v>56</v>
      </c>
      <c r="B58" s="13" t="s">
        <v>93</v>
      </c>
      <c r="C58" s="27">
        <v>8141379156</v>
      </c>
      <c r="D58" s="28">
        <v>2637816445</v>
      </c>
      <c r="E58" s="27">
        <v>18446146</v>
      </c>
      <c r="F58" s="29">
        <v>10797641747</v>
      </c>
      <c r="I58" s="17"/>
      <c r="K58" s="17"/>
    </row>
    <row r="59" spans="1:11" x14ac:dyDescent="0.2">
      <c r="A59" s="12" t="s">
        <v>2</v>
      </c>
      <c r="B59" s="13" t="s">
        <v>93</v>
      </c>
      <c r="C59" s="27">
        <v>64228070538</v>
      </c>
      <c r="D59" s="28">
        <v>1790200805</v>
      </c>
      <c r="E59" s="27">
        <v>42547676</v>
      </c>
      <c r="F59" s="29">
        <v>66060819019</v>
      </c>
      <c r="I59" s="17"/>
      <c r="K59" s="17"/>
    </row>
    <row r="60" spans="1:11" x14ac:dyDescent="0.2">
      <c r="A60" s="12" t="s">
        <v>3</v>
      </c>
      <c r="B60" s="13" t="s">
        <v>93</v>
      </c>
      <c r="C60" s="27">
        <v>50141545736</v>
      </c>
      <c r="D60" s="28">
        <v>5684251243</v>
      </c>
      <c r="E60" s="27">
        <v>59207856</v>
      </c>
      <c r="F60" s="29">
        <v>55885004835</v>
      </c>
      <c r="I60" s="17"/>
      <c r="K60" s="17"/>
    </row>
    <row r="61" spans="1:11" x14ac:dyDescent="0.2">
      <c r="A61" s="12" t="s">
        <v>57</v>
      </c>
      <c r="B61" s="13" t="s">
        <v>93</v>
      </c>
      <c r="C61" s="27">
        <v>24118954974</v>
      </c>
      <c r="D61" s="28">
        <v>972826231</v>
      </c>
      <c r="E61" s="27">
        <v>3995341</v>
      </c>
      <c r="F61" s="29">
        <v>25095776546</v>
      </c>
      <c r="I61" s="17"/>
      <c r="K61" s="17"/>
    </row>
    <row r="62" spans="1:11" x14ac:dyDescent="0.2">
      <c r="A62" s="12" t="s">
        <v>58</v>
      </c>
      <c r="B62" s="13" t="s">
        <v>93</v>
      </c>
      <c r="C62" s="27">
        <v>129537324000</v>
      </c>
      <c r="D62" s="28">
        <v>3194368239</v>
      </c>
      <c r="E62" s="27">
        <v>937586</v>
      </c>
      <c r="F62" s="29">
        <v>132732629825</v>
      </c>
      <c r="I62" s="17"/>
      <c r="K62" s="17"/>
    </row>
    <row r="63" spans="1:11" x14ac:dyDescent="0.2">
      <c r="A63" s="12" t="s">
        <v>59</v>
      </c>
      <c r="B63" s="13" t="s">
        <v>93</v>
      </c>
      <c r="C63" s="27">
        <v>65929632883</v>
      </c>
      <c r="D63" s="28">
        <v>3005420631</v>
      </c>
      <c r="E63" s="27">
        <v>12303219</v>
      </c>
      <c r="F63" s="29">
        <v>68947356733</v>
      </c>
      <c r="I63" s="17"/>
      <c r="K63" s="17"/>
    </row>
    <row r="64" spans="1:11" x14ac:dyDescent="0.2">
      <c r="A64" s="12" t="s">
        <v>60</v>
      </c>
      <c r="B64" s="13" t="s">
        <v>93</v>
      </c>
      <c r="C64" s="27">
        <v>26638839412</v>
      </c>
      <c r="D64" s="28">
        <v>1221849561</v>
      </c>
      <c r="E64" s="27">
        <v>17280208</v>
      </c>
      <c r="F64" s="29">
        <v>27877969181</v>
      </c>
      <c r="I64" s="17"/>
      <c r="K64" s="17"/>
    </row>
    <row r="65" spans="1:11" x14ac:dyDescent="0.2">
      <c r="A65" s="12" t="s">
        <v>61</v>
      </c>
      <c r="B65" s="13" t="s">
        <v>93</v>
      </c>
      <c r="C65" s="27">
        <v>3071404858</v>
      </c>
      <c r="D65" s="28">
        <v>812784353</v>
      </c>
      <c r="E65" s="27">
        <v>4047580</v>
      </c>
      <c r="F65" s="29">
        <v>3888236791</v>
      </c>
      <c r="I65" s="17"/>
      <c r="K65" s="17"/>
    </row>
    <row r="66" spans="1:11" x14ac:dyDescent="0.2">
      <c r="A66" s="12" t="s">
        <v>62</v>
      </c>
      <c r="B66" s="13" t="s">
        <v>94</v>
      </c>
      <c r="C66" s="27">
        <v>2158933922</v>
      </c>
      <c r="D66" s="28">
        <v>949250137</v>
      </c>
      <c r="E66" s="27">
        <v>2657779</v>
      </c>
      <c r="F66" s="29">
        <v>3110841838</v>
      </c>
      <c r="I66" s="17"/>
      <c r="K66" s="17"/>
    </row>
    <row r="67" spans="1:11" x14ac:dyDescent="0.2">
      <c r="A67" s="12" t="s">
        <v>63</v>
      </c>
      <c r="B67" s="13" t="s">
        <v>94</v>
      </c>
      <c r="C67" s="27">
        <v>899696361</v>
      </c>
      <c r="D67" s="28">
        <v>87527779</v>
      </c>
      <c r="E67" s="27">
        <v>0</v>
      </c>
      <c r="F67" s="29">
        <v>987224140</v>
      </c>
      <c r="I67" s="17"/>
      <c r="K67" s="17"/>
    </row>
    <row r="68" spans="1:11" x14ac:dyDescent="0.2">
      <c r="A68" s="12" t="s">
        <v>64</v>
      </c>
      <c r="B68" s="13" t="s">
        <v>93</v>
      </c>
      <c r="C68" s="27">
        <v>80184171942</v>
      </c>
      <c r="D68" s="28">
        <v>4629779930</v>
      </c>
      <c r="E68" s="27">
        <v>74368765</v>
      </c>
      <c r="F68" s="29">
        <v>84888320637</v>
      </c>
      <c r="I68" s="17"/>
      <c r="K68" s="17"/>
    </row>
    <row r="69" spans="1:11" x14ac:dyDescent="0.2">
      <c r="A69" s="12" t="s">
        <v>65</v>
      </c>
      <c r="B69" s="13" t="s">
        <v>94</v>
      </c>
      <c r="C69" s="27">
        <v>3364010585</v>
      </c>
      <c r="D69" s="28">
        <v>212578431</v>
      </c>
      <c r="E69" s="27">
        <v>0</v>
      </c>
      <c r="F69" s="29">
        <v>3576589016</v>
      </c>
      <c r="I69" s="17"/>
      <c r="K69" s="17"/>
    </row>
    <row r="70" spans="1:11" x14ac:dyDescent="0.2">
      <c r="A70" s="12" t="s">
        <v>66</v>
      </c>
      <c r="B70" s="13" t="s">
        <v>93</v>
      </c>
      <c r="C70" s="27">
        <v>44520458971</v>
      </c>
      <c r="D70" s="28">
        <v>753401510</v>
      </c>
      <c r="E70" s="27">
        <v>3457052</v>
      </c>
      <c r="F70" s="29">
        <v>45277317533</v>
      </c>
      <c r="I70" s="17"/>
      <c r="K70" s="17"/>
    </row>
    <row r="71" spans="1:11" x14ac:dyDescent="0.2">
      <c r="A71" s="12" t="s">
        <v>67</v>
      </c>
      <c r="B71" s="13" t="s">
        <v>94</v>
      </c>
      <c r="C71" s="30">
        <v>1916439095</v>
      </c>
      <c r="D71" s="28">
        <v>277904053</v>
      </c>
      <c r="E71" s="30">
        <v>2026994</v>
      </c>
      <c r="F71" s="29">
        <v>2196370142</v>
      </c>
      <c r="I71" s="17"/>
      <c r="K71" s="17"/>
    </row>
    <row r="72" spans="1:11" x14ac:dyDescent="0.2">
      <c r="A72" s="12"/>
      <c r="B72" s="13"/>
      <c r="C72" s="31"/>
      <c r="D72" s="31"/>
      <c r="E72" s="32"/>
      <c r="F72" s="29"/>
      <c r="I72" s="17"/>
      <c r="K72" s="17"/>
    </row>
    <row r="73" spans="1:11" ht="15.75" thickBot="1" x14ac:dyDescent="0.3">
      <c r="A73" s="21" t="s">
        <v>68</v>
      </c>
      <c r="B73" s="22"/>
      <c r="C73" s="23">
        <f>SUM(C5:C71)</f>
        <v>3965291697543</v>
      </c>
      <c r="D73" s="23">
        <f>SUM(D5:D71)</f>
        <v>207201492799</v>
      </c>
      <c r="E73" s="23">
        <f>SUM(E5:E71)</f>
        <v>1975592579</v>
      </c>
      <c r="F73" s="25">
        <f>SUM(F5:F71)</f>
        <v>4174468782921</v>
      </c>
      <c r="I73" s="17"/>
      <c r="K73" s="17"/>
    </row>
    <row r="74" spans="1:11" x14ac:dyDescent="0.2">
      <c r="I74" s="17"/>
      <c r="K74" s="17"/>
    </row>
    <row r="75" spans="1:11" x14ac:dyDescent="0.2">
      <c r="A75" s="26" t="s">
        <v>95</v>
      </c>
      <c r="F75" s="17"/>
    </row>
  </sheetData>
  <phoneticPr fontId="3" type="noConversion"/>
  <conditionalFormatting sqref="A75">
    <cfRule type="expression" dxfId="16" priority="1" stopIfTrue="1">
      <formula>MOD(ROW(),5)=1</formula>
    </cfRule>
  </conditionalFormatting>
  <conditionalFormatting sqref="A4:F73">
    <cfRule type="expression" dxfId="15"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5" activePane="bottomLeft" state="frozen"/>
      <selection sqref="A1:XFD1048576"/>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8" ht="23.25" x14ac:dyDescent="0.35">
      <c r="A1" s="7" t="s">
        <v>73</v>
      </c>
      <c r="B1" s="8"/>
      <c r="C1" s="9"/>
      <c r="D1" s="8"/>
      <c r="E1" s="9"/>
      <c r="F1" s="8"/>
      <c r="G1" s="9"/>
    </row>
    <row r="2" spans="1:18" ht="15" x14ac:dyDescent="0.25">
      <c r="A2" s="10" t="s">
        <v>91</v>
      </c>
      <c r="B2" s="10"/>
      <c r="C2" s="10"/>
      <c r="D2" s="10"/>
      <c r="E2" s="10"/>
      <c r="F2" s="10"/>
      <c r="G2" s="10"/>
    </row>
    <row r="3" spans="1:18" ht="15" thickBot="1" x14ac:dyDescent="0.25"/>
    <row r="4" spans="1:18" s="36" customFormat="1" ht="25.5" x14ac:dyDescent="0.2">
      <c r="A4" s="33" t="s">
        <v>0</v>
      </c>
      <c r="B4" s="34" t="s">
        <v>1</v>
      </c>
      <c r="C4" s="37" t="s">
        <v>90</v>
      </c>
      <c r="D4" s="37" t="s">
        <v>89</v>
      </c>
      <c r="E4" s="37" t="s">
        <v>82</v>
      </c>
      <c r="F4" s="37" t="s">
        <v>83</v>
      </c>
      <c r="G4" s="38" t="s">
        <v>81</v>
      </c>
    </row>
    <row r="5" spans="1:18" x14ac:dyDescent="0.2">
      <c r="A5" s="12" t="s">
        <v>4</v>
      </c>
      <c r="B5" s="13" t="str">
        <f>'Just Value All Property Types'!B5</f>
        <v>R-NVAB</v>
      </c>
      <c r="C5" s="14">
        <v>37824177839</v>
      </c>
      <c r="D5" s="15">
        <f>((C5-E5)/E5)</f>
        <v>0.14837884822019023</v>
      </c>
      <c r="E5" s="14">
        <v>32937020651</v>
      </c>
      <c r="F5" s="15">
        <f>((E5-G5)/G5)</f>
        <v>6.6256228399432973E-2</v>
      </c>
      <c r="G5" s="16">
        <v>30890343028</v>
      </c>
    </row>
    <row r="6" spans="1:18" x14ac:dyDescent="0.2">
      <c r="A6" s="12" t="s">
        <v>5</v>
      </c>
      <c r="B6" s="13" t="str">
        <f>'Just Value All Property Types'!B6</f>
        <v>R-Final</v>
      </c>
      <c r="C6" s="14">
        <v>2818417987</v>
      </c>
      <c r="D6" s="15">
        <f t="shared" ref="D6:F69" si="0">((C6-E6)/E6)</f>
        <v>0.2601526557176625</v>
      </c>
      <c r="E6" s="14">
        <v>2236568700</v>
      </c>
      <c r="F6" s="15">
        <f t="shared" si="0"/>
        <v>7.4294971941980037E-2</v>
      </c>
      <c r="G6" s="16">
        <v>2081894413</v>
      </c>
    </row>
    <row r="7" spans="1:18" x14ac:dyDescent="0.2">
      <c r="A7" s="12" t="s">
        <v>6</v>
      </c>
      <c r="B7" s="13" t="str">
        <f>'Just Value All Property Types'!B7</f>
        <v>R-NVAB</v>
      </c>
      <c r="C7" s="14">
        <v>33731495393</v>
      </c>
      <c r="D7" s="15">
        <f t="shared" si="0"/>
        <v>0.25552442698726624</v>
      </c>
      <c r="E7" s="14">
        <v>26866458882</v>
      </c>
      <c r="F7" s="15">
        <f t="shared" si="0"/>
        <v>0.11828328236836139</v>
      </c>
      <c r="G7" s="16">
        <v>24024734435</v>
      </c>
      <c r="R7" s="17"/>
    </row>
    <row r="8" spans="1:18" x14ac:dyDescent="0.2">
      <c r="A8" s="12" t="s">
        <v>7</v>
      </c>
      <c r="B8" s="13" t="str">
        <f>'Just Value All Property Types'!B8</f>
        <v>R-Final</v>
      </c>
      <c r="C8" s="14">
        <v>2285092584</v>
      </c>
      <c r="D8" s="15">
        <f t="shared" si="0"/>
        <v>0.15980652516881996</v>
      </c>
      <c r="E8" s="14">
        <v>1970236013</v>
      </c>
      <c r="F8" s="15">
        <f t="shared" si="0"/>
        <v>9.0300251385981509E-2</v>
      </c>
      <c r="G8" s="16">
        <v>1807058203</v>
      </c>
      <c r="R8" s="17"/>
    </row>
    <row r="9" spans="1:18" x14ac:dyDescent="0.2">
      <c r="A9" s="12" t="s">
        <v>8</v>
      </c>
      <c r="B9" s="13" t="str">
        <f>'Just Value All Property Types'!B9</f>
        <v>R-NVAB</v>
      </c>
      <c r="C9" s="14">
        <v>107051242217</v>
      </c>
      <c r="D9" s="15">
        <f t="shared" si="0"/>
        <v>0.28793964357529805</v>
      </c>
      <c r="E9" s="14">
        <v>83118213459</v>
      </c>
      <c r="F9" s="15">
        <f t="shared" si="0"/>
        <v>6.3823788343264784E-2</v>
      </c>
      <c r="G9" s="16">
        <v>78131561232</v>
      </c>
      <c r="R9" s="17"/>
    </row>
    <row r="10" spans="1:18" x14ac:dyDescent="0.2">
      <c r="A10" s="12" t="s">
        <v>9</v>
      </c>
      <c r="B10" s="13" t="str">
        <f>'Just Value All Property Types'!B10</f>
        <v>R-NVAB</v>
      </c>
      <c r="C10" s="14">
        <v>372739834105</v>
      </c>
      <c r="D10" s="15">
        <f t="shared" si="0"/>
        <v>0.17281063020843282</v>
      </c>
      <c r="E10" s="14">
        <v>317817578136</v>
      </c>
      <c r="F10" s="15">
        <f t="shared" si="0"/>
        <v>5.0857103120577125E-2</v>
      </c>
      <c r="G10" s="16">
        <v>302436532229</v>
      </c>
      <c r="R10" s="17"/>
    </row>
    <row r="11" spans="1:18" x14ac:dyDescent="0.2">
      <c r="A11" s="12" t="s">
        <v>10</v>
      </c>
      <c r="B11" s="13" t="str">
        <f>'Just Value All Property Types'!B11</f>
        <v>R-Final</v>
      </c>
      <c r="C11" s="14">
        <v>1060974307</v>
      </c>
      <c r="D11" s="15">
        <f t="shared" si="0"/>
        <v>8.3182776384644969E-2</v>
      </c>
      <c r="E11" s="14">
        <v>979497025</v>
      </c>
      <c r="F11" s="15">
        <f t="shared" si="0"/>
        <v>2.565231132769738E-2</v>
      </c>
      <c r="G11" s="16">
        <v>954999091</v>
      </c>
      <c r="R11" s="17"/>
    </row>
    <row r="12" spans="1:18" x14ac:dyDescent="0.2">
      <c r="A12" s="12" t="s">
        <v>11</v>
      </c>
      <c r="B12" s="13" t="str">
        <f>'Just Value All Property Types'!B12</f>
        <v>R-NVAB</v>
      </c>
      <c r="C12" s="14">
        <v>40996196307</v>
      </c>
      <c r="D12" s="15">
        <f t="shared" si="0"/>
        <v>0.38216763576162438</v>
      </c>
      <c r="E12" s="14">
        <v>29660798912</v>
      </c>
      <c r="F12" s="15">
        <f t="shared" si="0"/>
        <v>6.89239299457301E-2</v>
      </c>
      <c r="G12" s="16">
        <v>27748278508</v>
      </c>
      <c r="R12" s="17"/>
    </row>
    <row r="13" spans="1:18" x14ac:dyDescent="0.2">
      <c r="A13" s="12" t="s">
        <v>12</v>
      </c>
      <c r="B13" s="13" t="str">
        <f>'Just Value All Property Types'!B13</f>
        <v>R-NVAB</v>
      </c>
      <c r="C13" s="14">
        <v>23272866232</v>
      </c>
      <c r="D13" s="15">
        <f t="shared" si="0"/>
        <v>0.18946984511143497</v>
      </c>
      <c r="E13" s="14">
        <v>19565747150</v>
      </c>
      <c r="F13" s="15">
        <f t="shared" si="0"/>
        <v>6.4042795884000997E-2</v>
      </c>
      <c r="G13" s="16">
        <v>18388120502</v>
      </c>
      <c r="R13" s="17"/>
    </row>
    <row r="14" spans="1:18" x14ac:dyDescent="0.2">
      <c r="A14" s="12" t="s">
        <v>13</v>
      </c>
      <c r="B14" s="13" t="str">
        <f>'Just Value All Property Types'!B14</f>
        <v>R-NVAB</v>
      </c>
      <c r="C14" s="14">
        <v>26051665172</v>
      </c>
      <c r="D14" s="15">
        <f t="shared" si="0"/>
        <v>0.23052169917158788</v>
      </c>
      <c r="E14" s="14">
        <v>21171235899</v>
      </c>
      <c r="F14" s="15">
        <f t="shared" si="0"/>
        <v>7.4907586720702399E-2</v>
      </c>
      <c r="G14" s="16">
        <v>19695866101</v>
      </c>
      <c r="R14" s="17"/>
    </row>
    <row r="15" spans="1:18" x14ac:dyDescent="0.2">
      <c r="A15" s="12" t="s">
        <v>14</v>
      </c>
      <c r="B15" s="13" t="str">
        <f>'Just Value All Property Types'!B15</f>
        <v>R-NVAB</v>
      </c>
      <c r="C15" s="14">
        <v>185310543961</v>
      </c>
      <c r="D15" s="15">
        <f t="shared" si="0"/>
        <v>0.4072960650514626</v>
      </c>
      <c r="E15" s="14">
        <v>131678435379</v>
      </c>
      <c r="F15" s="15">
        <f t="shared" si="0"/>
        <v>5.3965161132977571E-2</v>
      </c>
      <c r="G15" s="16">
        <v>124936231514</v>
      </c>
      <c r="R15" s="17"/>
    </row>
    <row r="16" spans="1:18" x14ac:dyDescent="0.2">
      <c r="A16" s="12" t="s">
        <v>15</v>
      </c>
      <c r="B16" s="13" t="str">
        <f>'Just Value All Property Types'!B16</f>
        <v>R-NVAB</v>
      </c>
      <c r="C16" s="14">
        <v>6575467254</v>
      </c>
      <c r="D16" s="15">
        <f t="shared" si="0"/>
        <v>0.15917646098028637</v>
      </c>
      <c r="E16" s="14">
        <v>5672533454</v>
      </c>
      <c r="F16" s="15">
        <f t="shared" si="0"/>
        <v>8.6686689840399039E-2</v>
      </c>
      <c r="G16" s="16">
        <v>5220026625</v>
      </c>
      <c r="R16" s="17"/>
    </row>
    <row r="17" spans="1:18" x14ac:dyDescent="0.2">
      <c r="A17" s="12" t="s">
        <v>78</v>
      </c>
      <c r="B17" s="13" t="str">
        <f>'Just Value All Property Types'!B17</f>
        <v>R-NVAB</v>
      </c>
      <c r="C17" s="14">
        <v>571630923622</v>
      </c>
      <c r="D17" s="15">
        <f t="shared" si="0"/>
        <v>0.23559374805673217</v>
      </c>
      <c r="E17" s="14">
        <v>462636626740</v>
      </c>
      <c r="F17" s="15">
        <f t="shared" si="0"/>
        <v>4.2896814574980881E-2</v>
      </c>
      <c r="G17" s="16">
        <v>443607287197</v>
      </c>
      <c r="R17" s="17"/>
    </row>
    <row r="18" spans="1:18" x14ac:dyDescent="0.2">
      <c r="A18" s="12" t="s">
        <v>16</v>
      </c>
      <c r="B18" s="13" t="str">
        <f>'Just Value All Property Types'!B18</f>
        <v>R-NVAB</v>
      </c>
      <c r="C18" s="14">
        <v>5757931967</v>
      </c>
      <c r="D18" s="15">
        <f t="shared" si="0"/>
        <v>0.32541119891074755</v>
      </c>
      <c r="E18" s="14">
        <v>4344260839</v>
      </c>
      <c r="F18" s="15">
        <f t="shared" si="0"/>
        <v>3.4514849852989658E-2</v>
      </c>
      <c r="G18" s="16">
        <v>4199321875</v>
      </c>
      <c r="R18" s="17"/>
    </row>
    <row r="19" spans="1:18" x14ac:dyDescent="0.2">
      <c r="A19" s="12" t="s">
        <v>17</v>
      </c>
      <c r="B19" s="13" t="str">
        <f>'Just Value All Property Types'!B19</f>
        <v>R-Final</v>
      </c>
      <c r="C19" s="14">
        <v>1686618061</v>
      </c>
      <c r="D19" s="15">
        <f t="shared" si="0"/>
        <v>0.13251135264669373</v>
      </c>
      <c r="E19" s="14">
        <v>1489272542</v>
      </c>
      <c r="F19" s="15">
        <f t="shared" si="0"/>
        <v>2.563477414155154E-2</v>
      </c>
      <c r="G19" s="16">
        <v>1452049579</v>
      </c>
      <c r="R19" s="17"/>
    </row>
    <row r="20" spans="1:18" x14ac:dyDescent="0.2">
      <c r="A20" s="12" t="s">
        <v>18</v>
      </c>
      <c r="B20" s="13" t="str">
        <f>'Just Value All Property Types'!B20</f>
        <v>R-NVAB</v>
      </c>
      <c r="C20" s="14">
        <v>148589072998</v>
      </c>
      <c r="D20" s="15">
        <f t="shared" si="0"/>
        <v>0.21355461151468685</v>
      </c>
      <c r="E20" s="14">
        <v>122441191841</v>
      </c>
      <c r="F20" s="15">
        <f t="shared" si="0"/>
        <v>7.0508796161483936E-2</v>
      </c>
      <c r="G20" s="16">
        <v>114376633130</v>
      </c>
      <c r="R20" s="17"/>
    </row>
    <row r="21" spans="1:18" x14ac:dyDescent="0.2">
      <c r="A21" s="12" t="s">
        <v>19</v>
      </c>
      <c r="B21" s="13" t="str">
        <f>'Just Value All Property Types'!B21</f>
        <v>R-NVAB</v>
      </c>
      <c r="C21" s="14">
        <v>42232879289</v>
      </c>
      <c r="D21" s="15">
        <f t="shared" si="0"/>
        <v>0.1950886533846149</v>
      </c>
      <c r="E21" s="14">
        <v>35338699911</v>
      </c>
      <c r="F21" s="15">
        <f t="shared" si="0"/>
        <v>7.7037668304296494E-2</v>
      </c>
      <c r="G21" s="16">
        <v>32811015762</v>
      </c>
      <c r="R21" s="17"/>
    </row>
    <row r="22" spans="1:18" x14ac:dyDescent="0.2">
      <c r="A22" s="12" t="s">
        <v>20</v>
      </c>
      <c r="B22" s="13" t="str">
        <f>'Just Value All Property Types'!B22</f>
        <v>R-NVAB</v>
      </c>
      <c r="C22" s="14">
        <v>22518011852</v>
      </c>
      <c r="D22" s="15">
        <f t="shared" si="0"/>
        <v>0.359918291112926</v>
      </c>
      <c r="E22" s="14">
        <v>16558356483</v>
      </c>
      <c r="F22" s="15">
        <f t="shared" si="0"/>
        <v>0.11529270261330668</v>
      </c>
      <c r="G22" s="16">
        <v>14846646485</v>
      </c>
      <c r="R22" s="17"/>
    </row>
    <row r="23" spans="1:18" x14ac:dyDescent="0.2">
      <c r="A23" s="12" t="s">
        <v>21</v>
      </c>
      <c r="B23" s="13" t="str">
        <f>'Just Value All Property Types'!B23</f>
        <v>R-Final</v>
      </c>
      <c r="C23" s="14">
        <v>4187273685</v>
      </c>
      <c r="D23" s="15">
        <f t="shared" si="0"/>
        <v>0.19306694721117162</v>
      </c>
      <c r="E23" s="14">
        <v>3509672022</v>
      </c>
      <c r="F23" s="15">
        <f t="shared" si="0"/>
        <v>7.9160653239129103E-2</v>
      </c>
      <c r="G23" s="16">
        <v>3252223857</v>
      </c>
      <c r="R23" s="17"/>
    </row>
    <row r="24" spans="1:18" x14ac:dyDescent="0.2">
      <c r="A24" s="12" t="s">
        <v>22</v>
      </c>
      <c r="B24" s="13" t="str">
        <f>'Just Value All Property Types'!B24</f>
        <v>R-Final</v>
      </c>
      <c r="C24" s="14">
        <v>3683206392</v>
      </c>
      <c r="D24" s="15">
        <f t="shared" si="0"/>
        <v>0.137687705828892</v>
      </c>
      <c r="E24" s="14">
        <v>3237449410</v>
      </c>
      <c r="F24" s="15">
        <f t="shared" si="0"/>
        <v>7.0707531417910655E-2</v>
      </c>
      <c r="G24" s="16">
        <v>3023654280</v>
      </c>
      <c r="R24" s="17"/>
    </row>
    <row r="25" spans="1:18" x14ac:dyDescent="0.2">
      <c r="A25" s="12" t="s">
        <v>23</v>
      </c>
      <c r="B25" s="13" t="str">
        <f>'Just Value All Property Types'!B25</f>
        <v>R-Final</v>
      </c>
      <c r="C25" s="14">
        <v>2131375677</v>
      </c>
      <c r="D25" s="15">
        <f t="shared" si="0"/>
        <v>0.12832569595272256</v>
      </c>
      <c r="E25" s="14">
        <v>1888972027</v>
      </c>
      <c r="F25" s="15">
        <f t="shared" si="0"/>
        <v>0.11002158557962896</v>
      </c>
      <c r="G25" s="16">
        <v>1701743508</v>
      </c>
      <c r="R25" s="17"/>
    </row>
    <row r="26" spans="1:18" x14ac:dyDescent="0.2">
      <c r="A26" s="12" t="s">
        <v>24</v>
      </c>
      <c r="B26" s="13" t="str">
        <f>'Just Value All Property Types'!B26</f>
        <v>R-Final</v>
      </c>
      <c r="C26" s="14">
        <v>5042694128</v>
      </c>
      <c r="D26" s="15">
        <f t="shared" si="0"/>
        <v>0.21017065512535951</v>
      </c>
      <c r="E26" s="14">
        <v>4166928116</v>
      </c>
      <c r="F26" s="15">
        <f t="shared" si="0"/>
        <v>0.14910417169608345</v>
      </c>
      <c r="G26" s="16">
        <v>3626240526</v>
      </c>
      <c r="R26" s="17"/>
    </row>
    <row r="27" spans="1:18" x14ac:dyDescent="0.2">
      <c r="A27" s="12" t="s">
        <v>25</v>
      </c>
      <c r="B27" s="13" t="str">
        <f>'Just Value All Property Types'!B27</f>
        <v>R-Final</v>
      </c>
      <c r="C27" s="14">
        <v>4720651065</v>
      </c>
      <c r="D27" s="15">
        <f t="shared" si="0"/>
        <v>0.31207037339703331</v>
      </c>
      <c r="E27" s="14">
        <v>3597864231</v>
      </c>
      <c r="F27" s="15">
        <f t="shared" si="0"/>
        <v>0.10790629301372547</v>
      </c>
      <c r="G27" s="16">
        <v>3247444530</v>
      </c>
      <c r="R27" s="17"/>
    </row>
    <row r="28" spans="1:18" x14ac:dyDescent="0.2">
      <c r="A28" s="12" t="s">
        <v>26</v>
      </c>
      <c r="B28" s="13" t="str">
        <f>'Just Value All Property Types'!B28</f>
        <v>R-Final</v>
      </c>
      <c r="C28" s="14">
        <v>2023283346</v>
      </c>
      <c r="D28" s="15">
        <f t="shared" si="0"/>
        <v>0.18318355193773322</v>
      </c>
      <c r="E28" s="14">
        <v>1710033361</v>
      </c>
      <c r="F28" s="15">
        <f t="shared" si="0"/>
        <v>1.8186531118888471E-2</v>
      </c>
      <c r="G28" s="16">
        <v>1679489277</v>
      </c>
      <c r="R28" s="17"/>
    </row>
    <row r="29" spans="1:18" x14ac:dyDescent="0.2">
      <c r="A29" s="12" t="s">
        <v>27</v>
      </c>
      <c r="B29" s="13" t="str">
        <f>'Just Value All Property Types'!B29</f>
        <v>R-NVAB</v>
      </c>
      <c r="C29" s="14">
        <v>4861357810</v>
      </c>
      <c r="D29" s="15">
        <f t="shared" si="0"/>
        <v>0.20555878153189402</v>
      </c>
      <c r="E29" s="14">
        <v>4032451909</v>
      </c>
      <c r="F29" s="15">
        <f t="shared" si="0"/>
        <v>3.3721590403097003E-2</v>
      </c>
      <c r="G29" s="16">
        <v>3900907117</v>
      </c>
      <c r="R29" s="17"/>
    </row>
    <row r="30" spans="1:18" x14ac:dyDescent="0.2">
      <c r="A30" s="12" t="s">
        <v>28</v>
      </c>
      <c r="B30" s="13" t="str">
        <f>'Just Value All Property Types'!B30</f>
        <v>R-NVAB</v>
      </c>
      <c r="C30" s="14">
        <v>8823239939</v>
      </c>
      <c r="D30" s="15">
        <f t="shared" si="0"/>
        <v>0.25616126629780928</v>
      </c>
      <c r="E30" s="14">
        <v>7023970708</v>
      </c>
      <c r="F30" s="15">
        <f t="shared" si="0"/>
        <v>8.8975638452924555E-2</v>
      </c>
      <c r="G30" s="16">
        <v>6450071480</v>
      </c>
      <c r="R30" s="17"/>
    </row>
    <row r="31" spans="1:18" x14ac:dyDescent="0.2">
      <c r="A31" s="12" t="s">
        <v>29</v>
      </c>
      <c r="B31" s="13" t="str">
        <f>'Just Value All Property Types'!B31</f>
        <v>R-NVAB</v>
      </c>
      <c r="C31" s="14">
        <v>26780022429</v>
      </c>
      <c r="D31" s="15">
        <f t="shared" si="0"/>
        <v>0.37491544006943012</v>
      </c>
      <c r="E31" s="14">
        <v>19477577783</v>
      </c>
      <c r="F31" s="15">
        <f t="shared" si="0"/>
        <v>6.1986914109103855E-2</v>
      </c>
      <c r="G31" s="16">
        <v>18340694715</v>
      </c>
      <c r="R31" s="17"/>
    </row>
    <row r="32" spans="1:18" x14ac:dyDescent="0.2">
      <c r="A32" s="12" t="s">
        <v>30</v>
      </c>
      <c r="B32" s="13" t="str">
        <f>'Just Value All Property Types'!B32</f>
        <v>R-NVAB</v>
      </c>
      <c r="C32" s="14">
        <v>11473228690</v>
      </c>
      <c r="D32" s="15">
        <f t="shared" si="0"/>
        <v>0.24451352240135249</v>
      </c>
      <c r="E32" s="14">
        <v>9219047028</v>
      </c>
      <c r="F32" s="15">
        <f t="shared" si="0"/>
        <v>7.9132537978838832E-2</v>
      </c>
      <c r="G32" s="16">
        <v>8543016454</v>
      </c>
      <c r="R32" s="17"/>
    </row>
    <row r="33" spans="1:18" x14ac:dyDescent="0.2">
      <c r="A33" s="12" t="s">
        <v>31</v>
      </c>
      <c r="B33" s="13" t="str">
        <f>'Just Value All Property Types'!B33</f>
        <v>R-NVAB</v>
      </c>
      <c r="C33" s="14">
        <v>234523881452</v>
      </c>
      <c r="D33" s="15">
        <f t="shared" si="0"/>
        <v>0.27342888312809305</v>
      </c>
      <c r="E33" s="14">
        <v>184167238987</v>
      </c>
      <c r="F33" s="15">
        <f t="shared" si="0"/>
        <v>0.10367573199294323</v>
      </c>
      <c r="G33" s="16">
        <v>166867163650</v>
      </c>
      <c r="R33" s="17"/>
    </row>
    <row r="34" spans="1:18" x14ac:dyDescent="0.2">
      <c r="A34" s="12" t="s">
        <v>32</v>
      </c>
      <c r="B34" s="13" t="str">
        <f>'Just Value All Property Types'!B34</f>
        <v>R-Final</v>
      </c>
      <c r="C34" s="14">
        <v>1287424922</v>
      </c>
      <c r="D34" s="15">
        <f t="shared" si="0"/>
        <v>5.2100217589709952E-2</v>
      </c>
      <c r="E34" s="14">
        <v>1223671377</v>
      </c>
      <c r="F34" s="15">
        <f t="shared" si="0"/>
        <v>3.2185125150818894E-2</v>
      </c>
      <c r="G34" s="16">
        <v>1185515415</v>
      </c>
      <c r="R34" s="17"/>
    </row>
    <row r="35" spans="1:18" x14ac:dyDescent="0.2">
      <c r="A35" s="12" t="s">
        <v>33</v>
      </c>
      <c r="B35" s="13" t="str">
        <f>'Just Value All Property Types'!B35</f>
        <v>R-NVAB</v>
      </c>
      <c r="C35" s="14">
        <v>37538448517</v>
      </c>
      <c r="D35" s="15">
        <f t="shared" si="0"/>
        <v>0.2438793487789013</v>
      </c>
      <c r="E35" s="14">
        <v>30178528612</v>
      </c>
      <c r="F35" s="15">
        <f t="shared" si="0"/>
        <v>5.2986071292903822E-2</v>
      </c>
      <c r="G35" s="16">
        <v>28659950435</v>
      </c>
      <c r="R35" s="17"/>
    </row>
    <row r="36" spans="1:18" x14ac:dyDescent="0.2">
      <c r="A36" s="12" t="s">
        <v>34</v>
      </c>
      <c r="B36" s="13" t="str">
        <f>'Just Value All Property Types'!B36</f>
        <v>R-Final</v>
      </c>
      <c r="C36" s="14">
        <v>3814037063</v>
      </c>
      <c r="D36" s="15">
        <f t="shared" si="0"/>
        <v>0.12541665568567428</v>
      </c>
      <c r="E36" s="14">
        <v>3389000015</v>
      </c>
      <c r="F36" s="15">
        <f t="shared" si="0"/>
        <v>8.8539025402736629E-2</v>
      </c>
      <c r="G36" s="16">
        <v>3113347281</v>
      </c>
      <c r="R36" s="17"/>
    </row>
    <row r="37" spans="1:18" x14ac:dyDescent="0.2">
      <c r="A37" s="12" t="s">
        <v>35</v>
      </c>
      <c r="B37" s="13" t="str">
        <f>'Just Value All Property Types'!B37</f>
        <v>R-NVAB</v>
      </c>
      <c r="C37" s="14">
        <v>1948326309</v>
      </c>
      <c r="D37" s="15">
        <f t="shared" si="0"/>
        <v>0.12503048116991122</v>
      </c>
      <c r="E37" s="14">
        <v>1731798686</v>
      </c>
      <c r="F37" s="15">
        <f t="shared" si="0"/>
        <v>8.619151056080572E-2</v>
      </c>
      <c r="G37" s="16">
        <v>1594376930</v>
      </c>
      <c r="R37" s="17"/>
    </row>
    <row r="38" spans="1:18" x14ac:dyDescent="0.2">
      <c r="A38" s="12" t="s">
        <v>36</v>
      </c>
      <c r="B38" s="13" t="str">
        <f>'Just Value All Property Types'!B38</f>
        <v>R-Final</v>
      </c>
      <c r="C38" s="14">
        <v>897945984</v>
      </c>
      <c r="D38" s="15">
        <f t="shared" si="0"/>
        <v>0.11640333957809597</v>
      </c>
      <c r="E38" s="14">
        <v>804320403</v>
      </c>
      <c r="F38" s="15">
        <f t="shared" si="0"/>
        <v>5.1465610383501115E-2</v>
      </c>
      <c r="G38" s="16">
        <v>764951697</v>
      </c>
      <c r="R38" s="17"/>
    </row>
    <row r="39" spans="1:18" x14ac:dyDescent="0.2">
      <c r="A39" s="12" t="s">
        <v>37</v>
      </c>
      <c r="B39" s="13" t="str">
        <f>'Just Value All Property Types'!B39</f>
        <v>R-NVAB</v>
      </c>
      <c r="C39" s="14">
        <v>49316618024</v>
      </c>
      <c r="D39" s="15">
        <f t="shared" si="0"/>
        <v>0.23083266433612393</v>
      </c>
      <c r="E39" s="14">
        <v>40067687065</v>
      </c>
      <c r="F39" s="15">
        <f t="shared" si="0"/>
        <v>7.6941131950615166E-2</v>
      </c>
      <c r="G39" s="16">
        <v>37205085660</v>
      </c>
      <c r="R39" s="17"/>
    </row>
    <row r="40" spans="1:18" x14ac:dyDescent="0.2">
      <c r="A40" s="12" t="s">
        <v>38</v>
      </c>
      <c r="B40" s="13" t="str">
        <f>'Just Value All Property Types'!B40</f>
        <v>R-NVAB</v>
      </c>
      <c r="C40" s="14">
        <v>180631333046</v>
      </c>
      <c r="D40" s="15">
        <f t="shared" si="0"/>
        <v>0.3578664990858571</v>
      </c>
      <c r="E40" s="14">
        <v>133025841029</v>
      </c>
      <c r="F40" s="15">
        <f t="shared" si="0"/>
        <v>9.1649356245324345E-2</v>
      </c>
      <c r="G40" s="16">
        <v>121857664522</v>
      </c>
      <c r="R40" s="17"/>
    </row>
    <row r="41" spans="1:18" x14ac:dyDescent="0.2">
      <c r="A41" s="12" t="s">
        <v>39</v>
      </c>
      <c r="B41" s="13" t="str">
        <f>'Just Value All Property Types'!B41</f>
        <v>R-NVAB</v>
      </c>
      <c r="C41" s="14">
        <v>36579338348</v>
      </c>
      <c r="D41" s="15">
        <f t="shared" si="0"/>
        <v>0.11686886382725356</v>
      </c>
      <c r="E41" s="14">
        <v>32751686015</v>
      </c>
      <c r="F41" s="15">
        <f t="shared" si="0"/>
        <v>4.8472176321797497E-2</v>
      </c>
      <c r="G41" s="16">
        <v>31237534724</v>
      </c>
      <c r="R41" s="17"/>
    </row>
    <row r="42" spans="1:18" x14ac:dyDescent="0.2">
      <c r="A42" s="12" t="s">
        <v>40</v>
      </c>
      <c r="B42" s="13" t="str">
        <f>'Just Value All Property Types'!B42</f>
        <v>R-Final</v>
      </c>
      <c r="C42" s="14">
        <v>6634141088</v>
      </c>
      <c r="D42" s="15">
        <f t="shared" si="0"/>
        <v>0.25043695480772338</v>
      </c>
      <c r="E42" s="14">
        <v>5305458274</v>
      </c>
      <c r="F42" s="15">
        <f t="shared" si="0"/>
        <v>0.16305948149292601</v>
      </c>
      <c r="G42" s="16">
        <v>4561639674</v>
      </c>
      <c r="R42" s="17"/>
    </row>
    <row r="43" spans="1:18" x14ac:dyDescent="0.2">
      <c r="A43" s="12" t="s">
        <v>41</v>
      </c>
      <c r="B43" s="13" t="str">
        <f>'Just Value All Property Types'!B43</f>
        <v>R-Final</v>
      </c>
      <c r="C43" s="14">
        <v>1035916337</v>
      </c>
      <c r="D43" s="15">
        <f t="shared" si="0"/>
        <v>2.4451810502813975E-2</v>
      </c>
      <c r="E43" s="14">
        <v>1011190889</v>
      </c>
      <c r="F43" s="15">
        <f t="shared" si="0"/>
        <v>4.2353267834048386E-2</v>
      </c>
      <c r="G43" s="16">
        <v>970103822</v>
      </c>
      <c r="R43" s="17"/>
    </row>
    <row r="44" spans="1:18" x14ac:dyDescent="0.2">
      <c r="A44" s="12" t="s">
        <v>42</v>
      </c>
      <c r="B44" s="13" t="str">
        <f>'Just Value All Property Types'!B44</f>
        <v>R-NVAB</v>
      </c>
      <c r="C44" s="14">
        <v>1940230336</v>
      </c>
      <c r="D44" s="15">
        <f t="shared" si="0"/>
        <v>0.19833847465225823</v>
      </c>
      <c r="E44" s="14">
        <v>1619100427</v>
      </c>
      <c r="F44" s="15">
        <f t="shared" si="0"/>
        <v>4.2790806071084347E-2</v>
      </c>
      <c r="G44" s="16">
        <v>1552660819</v>
      </c>
      <c r="R44" s="17"/>
    </row>
    <row r="45" spans="1:18" x14ac:dyDescent="0.2">
      <c r="A45" s="12" t="s">
        <v>43</v>
      </c>
      <c r="B45" s="13" t="str">
        <f>'Just Value All Property Types'!B45</f>
        <v>R-NVAB</v>
      </c>
      <c r="C45" s="14">
        <v>82404484639</v>
      </c>
      <c r="D45" s="15">
        <f t="shared" si="0"/>
        <v>0.3701164297736611</v>
      </c>
      <c r="E45" s="14">
        <v>60144147496</v>
      </c>
      <c r="F45" s="15">
        <f t="shared" si="0"/>
        <v>7.9835959232518405E-2</v>
      </c>
      <c r="G45" s="16">
        <v>55697485328</v>
      </c>
      <c r="R45" s="17"/>
    </row>
    <row r="46" spans="1:18" x14ac:dyDescent="0.2">
      <c r="A46" s="12" t="s">
        <v>44</v>
      </c>
      <c r="B46" s="13" t="str">
        <f>'Just Value All Property Types'!B46</f>
        <v>R-NVAB</v>
      </c>
      <c r="C46" s="14">
        <v>47782570790</v>
      </c>
      <c r="D46" s="15">
        <f t="shared" si="0"/>
        <v>0.27208365605890805</v>
      </c>
      <c r="E46" s="14">
        <v>37562443761</v>
      </c>
      <c r="F46" s="15">
        <f t="shared" si="0"/>
        <v>0.11151650774726245</v>
      </c>
      <c r="G46" s="16">
        <v>33793869456</v>
      </c>
      <c r="R46" s="17"/>
    </row>
    <row r="47" spans="1:18" x14ac:dyDescent="0.2">
      <c r="A47" s="12" t="s">
        <v>45</v>
      </c>
      <c r="B47" s="13" t="str">
        <f>'Just Value All Property Types'!B47</f>
        <v>R-NVAB</v>
      </c>
      <c r="C47" s="14">
        <v>44815505165</v>
      </c>
      <c r="D47" s="15">
        <f t="shared" si="0"/>
        <v>0.23596109467147924</v>
      </c>
      <c r="E47" s="14">
        <v>36259640662</v>
      </c>
      <c r="F47" s="15">
        <f t="shared" si="0"/>
        <v>6.5133002498712136E-2</v>
      </c>
      <c r="G47" s="16">
        <v>34042359571</v>
      </c>
      <c r="R47" s="17"/>
    </row>
    <row r="48" spans="1:18" x14ac:dyDescent="0.2">
      <c r="A48" s="12" t="s">
        <v>46</v>
      </c>
      <c r="B48" s="13" t="str">
        <f>'Just Value All Property Types'!B48</f>
        <v>R-NVAB</v>
      </c>
      <c r="C48" s="14">
        <v>56043254446</v>
      </c>
      <c r="D48" s="15">
        <f t="shared" si="0"/>
        <v>0.31725968168810287</v>
      </c>
      <c r="E48" s="14">
        <v>42545335005</v>
      </c>
      <c r="F48" s="15">
        <f t="shared" si="0"/>
        <v>3.7888230249656651E-2</v>
      </c>
      <c r="G48" s="16">
        <v>40992212615</v>
      </c>
      <c r="R48" s="17"/>
    </row>
    <row r="49" spans="1:18" x14ac:dyDescent="0.2">
      <c r="A49" s="12" t="s">
        <v>47</v>
      </c>
      <c r="B49" s="13" t="str">
        <f>'Just Value All Property Types'!B49</f>
        <v>R-NVAB</v>
      </c>
      <c r="C49" s="14">
        <v>21152750164</v>
      </c>
      <c r="D49" s="15">
        <f t="shared" si="0"/>
        <v>0.2179652315022636</v>
      </c>
      <c r="E49" s="14">
        <v>17367285713</v>
      </c>
      <c r="F49" s="15">
        <f t="shared" si="0"/>
        <v>0.11434934462050121</v>
      </c>
      <c r="G49" s="16">
        <v>15585135664</v>
      </c>
      <c r="R49" s="17"/>
    </row>
    <row r="50" spans="1:18" x14ac:dyDescent="0.2">
      <c r="A50" s="12" t="s">
        <v>48</v>
      </c>
      <c r="B50" s="13" t="str">
        <f>'Just Value All Property Types'!B50</f>
        <v>R-NVAB</v>
      </c>
      <c r="C50" s="14">
        <v>37225048102</v>
      </c>
      <c r="D50" s="15">
        <f t="shared" si="0"/>
        <v>0.24781751737954147</v>
      </c>
      <c r="E50" s="14">
        <v>29832124957</v>
      </c>
      <c r="F50" s="15">
        <f t="shared" si="0"/>
        <v>7.7115107967747884E-2</v>
      </c>
      <c r="G50" s="16">
        <v>27696320232</v>
      </c>
      <c r="R50" s="17"/>
    </row>
    <row r="51" spans="1:18" x14ac:dyDescent="0.2">
      <c r="A51" s="12" t="s">
        <v>49</v>
      </c>
      <c r="B51" s="13" t="str">
        <f>'Just Value All Property Types'!B51</f>
        <v>R-NVAB</v>
      </c>
      <c r="C51" s="14">
        <v>7904753436</v>
      </c>
      <c r="D51" s="15">
        <f t="shared" si="0"/>
        <v>0.18753828757696356</v>
      </c>
      <c r="E51" s="14">
        <v>6656419855</v>
      </c>
      <c r="F51" s="15">
        <f t="shared" si="0"/>
        <v>0.15355637221609875</v>
      </c>
      <c r="G51" s="16">
        <v>5770346396</v>
      </c>
      <c r="R51" s="17"/>
    </row>
    <row r="52" spans="1:18" x14ac:dyDescent="0.2">
      <c r="A52" s="12" t="s">
        <v>50</v>
      </c>
      <c r="B52" s="13" t="str">
        <f>'Just Value All Property Types'!B52</f>
        <v>R-NVAB</v>
      </c>
      <c r="C52" s="14">
        <v>275386865710</v>
      </c>
      <c r="D52" s="15">
        <f t="shared" si="0"/>
        <v>0.20860226076044094</v>
      </c>
      <c r="E52" s="14">
        <v>227855659923</v>
      </c>
      <c r="F52" s="15">
        <f t="shared" si="0"/>
        <v>2.6056175552963634E-2</v>
      </c>
      <c r="G52" s="16">
        <v>222069381143</v>
      </c>
      <c r="R52" s="17"/>
    </row>
    <row r="53" spans="1:18" x14ac:dyDescent="0.2">
      <c r="A53" s="12" t="s">
        <v>51</v>
      </c>
      <c r="B53" s="13" t="str">
        <f>'Just Value All Property Types'!B53</f>
        <v>R-NVAB</v>
      </c>
      <c r="C53" s="14">
        <v>61778391168</v>
      </c>
      <c r="D53" s="15">
        <f t="shared" si="0"/>
        <v>0.22242079431226486</v>
      </c>
      <c r="E53" s="14">
        <v>50537745640</v>
      </c>
      <c r="F53" s="15">
        <f t="shared" si="0"/>
        <v>7.5297488466188861E-2</v>
      </c>
      <c r="G53" s="16">
        <v>46998850255</v>
      </c>
      <c r="R53" s="17"/>
    </row>
    <row r="54" spans="1:18" x14ac:dyDescent="0.2">
      <c r="A54" s="12" t="s">
        <v>52</v>
      </c>
      <c r="B54" s="13" t="str">
        <f>'Just Value All Property Types'!B54</f>
        <v>R-NVAB</v>
      </c>
      <c r="C54" s="14">
        <v>404387504992</v>
      </c>
      <c r="D54" s="15">
        <f t="shared" si="0"/>
        <v>0.31076717193108266</v>
      </c>
      <c r="E54" s="14">
        <v>308512078767</v>
      </c>
      <c r="F54" s="15">
        <f t="shared" si="0"/>
        <v>6.9521101442879832E-2</v>
      </c>
      <c r="G54" s="16">
        <v>288458150429</v>
      </c>
      <c r="R54" s="17"/>
    </row>
    <row r="55" spans="1:18" x14ac:dyDescent="0.2">
      <c r="A55" s="12" t="s">
        <v>53</v>
      </c>
      <c r="B55" s="13" t="str">
        <f>'Just Value All Property Types'!B55</f>
        <v>R-NVAB</v>
      </c>
      <c r="C55" s="14">
        <v>70043130961</v>
      </c>
      <c r="D55" s="15">
        <f t="shared" si="0"/>
        <v>0.26253302414838509</v>
      </c>
      <c r="E55" s="14">
        <v>55478256506</v>
      </c>
      <c r="F55" s="15">
        <f t="shared" si="0"/>
        <v>0.12130252251261275</v>
      </c>
      <c r="G55" s="16">
        <v>49476617944</v>
      </c>
      <c r="R55" s="17"/>
    </row>
    <row r="56" spans="1:18" x14ac:dyDescent="0.2">
      <c r="A56" s="12" t="s">
        <v>54</v>
      </c>
      <c r="B56" s="13" t="str">
        <f>'Just Value All Property Types'!B56</f>
        <v>R-NVAB</v>
      </c>
      <c r="C56" s="14">
        <v>186057231999</v>
      </c>
      <c r="D56" s="15">
        <f t="shared" si="0"/>
        <v>0.23218225790654745</v>
      </c>
      <c r="E56" s="14">
        <v>150998142365</v>
      </c>
      <c r="F56" s="15">
        <f t="shared" si="0"/>
        <v>9.0597669157056138E-2</v>
      </c>
      <c r="G56" s="16">
        <v>138454488429</v>
      </c>
      <c r="R56" s="17"/>
    </row>
    <row r="57" spans="1:18" x14ac:dyDescent="0.2">
      <c r="A57" s="12" t="s">
        <v>55</v>
      </c>
      <c r="B57" s="13" t="str">
        <f>'Just Value All Property Types'!B57</f>
        <v>R-NVAB</v>
      </c>
      <c r="C57" s="14">
        <v>86157807632</v>
      </c>
      <c r="D57" s="15">
        <f t="shared" si="0"/>
        <v>0.27398686393961125</v>
      </c>
      <c r="E57" s="14">
        <v>67628489799</v>
      </c>
      <c r="F57" s="15">
        <f t="shared" si="0"/>
        <v>8.2598085932367962E-2</v>
      </c>
      <c r="G57" s="16">
        <v>62468695149</v>
      </c>
      <c r="R57" s="17"/>
    </row>
    <row r="58" spans="1:18" x14ac:dyDescent="0.2">
      <c r="A58" s="12" t="s">
        <v>56</v>
      </c>
      <c r="B58" s="13" t="str">
        <f>'Just Value All Property Types'!B58</f>
        <v>R-NVAB</v>
      </c>
      <c r="C58" s="14">
        <v>10797641747</v>
      </c>
      <c r="D58" s="15">
        <f t="shared" si="0"/>
        <v>0.21691661092320694</v>
      </c>
      <c r="E58" s="14">
        <v>8872951236</v>
      </c>
      <c r="F58" s="15">
        <f t="shared" si="0"/>
        <v>6.6560022579414929E-2</v>
      </c>
      <c r="G58" s="16">
        <v>8319223530</v>
      </c>
      <c r="R58" s="17"/>
    </row>
    <row r="59" spans="1:18" x14ac:dyDescent="0.2">
      <c r="A59" s="12" t="s">
        <v>2</v>
      </c>
      <c r="B59" s="13" t="str">
        <f>'Just Value All Property Types'!B59</f>
        <v>R-NVAB</v>
      </c>
      <c r="C59" s="14">
        <v>66060819019</v>
      </c>
      <c r="D59" s="15">
        <f t="shared" si="0"/>
        <v>0.35948049112762787</v>
      </c>
      <c r="E59" s="14">
        <v>48592693643</v>
      </c>
      <c r="F59" s="15">
        <f t="shared" si="0"/>
        <v>9.6807518309096216E-2</v>
      </c>
      <c r="G59" s="16">
        <v>44303756887</v>
      </c>
      <c r="R59" s="17"/>
    </row>
    <row r="60" spans="1:18" x14ac:dyDescent="0.2">
      <c r="A60" s="12" t="s">
        <v>3</v>
      </c>
      <c r="B60" s="13" t="str">
        <f>'Just Value All Property Types'!B60</f>
        <v>R-NVAB</v>
      </c>
      <c r="C60" s="14">
        <v>55885004835</v>
      </c>
      <c r="D60" s="15">
        <f t="shared" si="0"/>
        <v>0.31977399034493792</v>
      </c>
      <c r="E60" s="14">
        <v>42344375055</v>
      </c>
      <c r="F60" s="15">
        <f t="shared" si="0"/>
        <v>0.11388787364850307</v>
      </c>
      <c r="G60" s="16">
        <v>38014934947</v>
      </c>
      <c r="R60" s="17"/>
    </row>
    <row r="61" spans="1:18" x14ac:dyDescent="0.2">
      <c r="A61" s="12" t="s">
        <v>57</v>
      </c>
      <c r="B61" s="13" t="str">
        <f>'Just Value All Property Types'!B61</f>
        <v>R-NVAB</v>
      </c>
      <c r="C61" s="14">
        <v>25095776546</v>
      </c>
      <c r="D61" s="15">
        <f t="shared" si="0"/>
        <v>0.25844709070886845</v>
      </c>
      <c r="E61" s="14">
        <v>19941860672</v>
      </c>
      <c r="F61" s="15">
        <f t="shared" si="0"/>
        <v>0.12103719239495499</v>
      </c>
      <c r="G61" s="16">
        <v>17788759202</v>
      </c>
      <c r="R61" s="17"/>
    </row>
    <row r="62" spans="1:18" x14ac:dyDescent="0.2">
      <c r="A62" s="12" t="s">
        <v>58</v>
      </c>
      <c r="B62" s="13" t="str">
        <f>'Just Value All Property Types'!B62</f>
        <v>R-NVAB</v>
      </c>
      <c r="C62" s="14">
        <v>132732629825</v>
      </c>
      <c r="D62" s="15">
        <f t="shared" si="0"/>
        <v>0.38366225487054945</v>
      </c>
      <c r="E62" s="14">
        <v>95928489310</v>
      </c>
      <c r="F62" s="15">
        <f t="shared" si="0"/>
        <v>8.4010180330102907E-2</v>
      </c>
      <c r="G62" s="16">
        <v>88494085250</v>
      </c>
      <c r="R62" s="17"/>
    </row>
    <row r="63" spans="1:18" x14ac:dyDescent="0.2">
      <c r="A63" s="12" t="s">
        <v>59</v>
      </c>
      <c r="B63" s="13" t="str">
        <f>'Just Value All Property Types'!B63</f>
        <v>R-NVAB</v>
      </c>
      <c r="C63" s="14">
        <v>68947356733</v>
      </c>
      <c r="D63" s="15">
        <f t="shared" si="0"/>
        <v>0.21068157592600625</v>
      </c>
      <c r="E63" s="14">
        <v>56949207871</v>
      </c>
      <c r="F63" s="15">
        <f t="shared" si="0"/>
        <v>6.4456570755038592E-2</v>
      </c>
      <c r="G63" s="16">
        <v>53500734023</v>
      </c>
      <c r="R63" s="17"/>
    </row>
    <row r="64" spans="1:18" x14ac:dyDescent="0.2">
      <c r="A64" s="12" t="s">
        <v>60</v>
      </c>
      <c r="B64" s="13" t="str">
        <f>'Just Value All Property Types'!B64</f>
        <v>R-NVAB</v>
      </c>
      <c r="C64" s="14">
        <v>27877969181</v>
      </c>
      <c r="D64" s="15">
        <f t="shared" si="0"/>
        <v>0.28812467847861561</v>
      </c>
      <c r="E64" s="14">
        <v>21642291035</v>
      </c>
      <c r="F64" s="15">
        <f t="shared" si="0"/>
        <v>6.0264588365294941E-2</v>
      </c>
      <c r="G64" s="16">
        <v>20412160580</v>
      </c>
      <c r="R64" s="17"/>
    </row>
    <row r="65" spans="1:18" x14ac:dyDescent="0.2">
      <c r="A65" s="12" t="s">
        <v>61</v>
      </c>
      <c r="B65" s="13" t="str">
        <f>'Just Value All Property Types'!B65</f>
        <v>R-NVAB</v>
      </c>
      <c r="C65" s="14">
        <v>3888236791</v>
      </c>
      <c r="D65" s="15">
        <f t="shared" si="0"/>
        <v>0.1126252687212335</v>
      </c>
      <c r="E65" s="14">
        <v>3494650805</v>
      </c>
      <c r="F65" s="15">
        <f t="shared" si="0"/>
        <v>6.4700616337043645E-2</v>
      </c>
      <c r="G65" s="16">
        <v>3282284946</v>
      </c>
      <c r="R65" s="17"/>
    </row>
    <row r="66" spans="1:18" x14ac:dyDescent="0.2">
      <c r="A66" s="12" t="s">
        <v>62</v>
      </c>
      <c r="B66" s="13" t="str">
        <f>'Just Value All Property Types'!B66</f>
        <v>R-Final</v>
      </c>
      <c r="C66" s="14">
        <v>3110841838</v>
      </c>
      <c r="D66" s="15">
        <f t="shared" si="0"/>
        <v>0.10364857782699845</v>
      </c>
      <c r="E66" s="14">
        <v>2818688757</v>
      </c>
      <c r="F66" s="15">
        <f t="shared" si="0"/>
        <v>0.11011121860612584</v>
      </c>
      <c r="G66" s="16">
        <v>2539104830</v>
      </c>
      <c r="R66" s="17"/>
    </row>
    <row r="67" spans="1:18" x14ac:dyDescent="0.2">
      <c r="A67" s="12" t="s">
        <v>63</v>
      </c>
      <c r="B67" s="13" t="str">
        <f>'Just Value All Property Types'!B67</f>
        <v>R-Final</v>
      </c>
      <c r="C67" s="14">
        <v>987224140</v>
      </c>
      <c r="D67" s="15">
        <f t="shared" si="0"/>
        <v>8.8631945342502794E-2</v>
      </c>
      <c r="E67" s="14">
        <v>906848402</v>
      </c>
      <c r="F67" s="15">
        <f t="shared" si="0"/>
        <v>4.4677984583244464E-2</v>
      </c>
      <c r="G67" s="16">
        <v>868065007</v>
      </c>
      <c r="R67" s="17"/>
    </row>
    <row r="68" spans="1:18" x14ac:dyDescent="0.2">
      <c r="A68" s="12" t="s">
        <v>64</v>
      </c>
      <c r="B68" s="13" t="str">
        <f>'Just Value All Property Types'!B68</f>
        <v>R-NVAB</v>
      </c>
      <c r="C68" s="14">
        <v>84888320637</v>
      </c>
      <c r="D68" s="15">
        <f t="shared" si="0"/>
        <v>0.23705337712767527</v>
      </c>
      <c r="E68" s="14">
        <v>68621388702</v>
      </c>
      <c r="F68" s="15">
        <f t="shared" si="0"/>
        <v>7.4963045786706178E-2</v>
      </c>
      <c r="G68" s="16">
        <v>63836044384</v>
      </c>
      <c r="R68" s="17"/>
    </row>
    <row r="69" spans="1:18" x14ac:dyDescent="0.2">
      <c r="A69" s="12" t="s">
        <v>65</v>
      </c>
      <c r="B69" s="13" t="str">
        <f>'Just Value All Property Types'!B69</f>
        <v>R-Final</v>
      </c>
      <c r="C69" s="14">
        <v>3576589016</v>
      </c>
      <c r="D69" s="15">
        <f t="shared" si="0"/>
        <v>0.13831841304026443</v>
      </c>
      <c r="E69" s="14">
        <v>3141993466</v>
      </c>
      <c r="F69" s="15">
        <f t="shared" si="0"/>
        <v>6.9629650132105037E-2</v>
      </c>
      <c r="G69" s="16">
        <v>2937459209</v>
      </c>
      <c r="R69" s="17"/>
    </row>
    <row r="70" spans="1:18" x14ac:dyDescent="0.2">
      <c r="A70" s="12" t="s">
        <v>66</v>
      </c>
      <c r="B70" s="13" t="str">
        <f>'Just Value All Property Types'!B70</f>
        <v>R-NVAB</v>
      </c>
      <c r="C70" s="14">
        <v>45277317533</v>
      </c>
      <c r="D70" s="15">
        <f t="shared" ref="D70:F73" si="1">((C70-E70)/E70)</f>
        <v>0.448754934968914</v>
      </c>
      <c r="E70" s="14">
        <v>31252571736</v>
      </c>
      <c r="F70" s="15">
        <f t="shared" si="1"/>
        <v>0.1534154771990186</v>
      </c>
      <c r="G70" s="16">
        <v>27095675716</v>
      </c>
      <c r="R70" s="17"/>
    </row>
    <row r="71" spans="1:18" x14ac:dyDescent="0.2">
      <c r="A71" s="12" t="s">
        <v>67</v>
      </c>
      <c r="B71" s="13" t="str">
        <f>'Just Value All Property Types'!B71</f>
        <v>R-Final</v>
      </c>
      <c r="C71" s="14">
        <v>2196370142</v>
      </c>
      <c r="D71" s="15">
        <f t="shared" si="1"/>
        <v>0.18540710212512818</v>
      </c>
      <c r="E71" s="14">
        <v>1852840377</v>
      </c>
      <c r="F71" s="15">
        <f t="shared" si="1"/>
        <v>7.9797306601174428E-2</v>
      </c>
      <c r="G71" s="16">
        <v>1715914983</v>
      </c>
      <c r="R71" s="17"/>
    </row>
    <row r="72" spans="1:18" x14ac:dyDescent="0.2">
      <c r="A72" s="18"/>
      <c r="B72" s="19"/>
      <c r="C72" s="14"/>
      <c r="D72" s="20"/>
      <c r="E72" s="14"/>
      <c r="F72" s="20"/>
      <c r="G72" s="16"/>
      <c r="R72" s="17"/>
    </row>
    <row r="73" spans="1:18" ht="15.75" thickBot="1" x14ac:dyDescent="0.3">
      <c r="A73" s="21" t="s">
        <v>68</v>
      </c>
      <c r="B73" s="22"/>
      <c r="C73" s="23">
        <f>SUM(C5:C71)</f>
        <v>4174468782921</v>
      </c>
      <c r="D73" s="24">
        <f t="shared" si="1"/>
        <v>0.26217518512896648</v>
      </c>
      <c r="E73" s="23">
        <f>SUM(E5:E71)</f>
        <v>3307360841906</v>
      </c>
      <c r="F73" s="24">
        <f t="shared" si="1"/>
        <v>6.8422161344125904E-2</v>
      </c>
      <c r="G73" s="25">
        <f>SUM(G5:G71)</f>
        <v>3095556196387</v>
      </c>
      <c r="R73" s="17"/>
    </row>
    <row r="74" spans="1:18" x14ac:dyDescent="0.2">
      <c r="R74" s="17"/>
    </row>
    <row r="75" spans="1:18" x14ac:dyDescent="0.2">
      <c r="A75" s="26" t="s">
        <v>84</v>
      </c>
      <c r="R75" s="17"/>
    </row>
    <row r="76" spans="1:18" x14ac:dyDescent="0.2">
      <c r="C76" s="17"/>
      <c r="E76" s="17"/>
      <c r="G76" s="17"/>
    </row>
  </sheetData>
  <phoneticPr fontId="3" type="noConversion"/>
  <conditionalFormatting sqref="A75">
    <cfRule type="expression" dxfId="14" priority="5" stopIfTrue="1">
      <formula>MOD(ROW(),5)=1</formula>
    </cfRule>
  </conditionalFormatting>
  <conditionalFormatting sqref="A4:G73">
    <cfRule type="expression" dxfId="13"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E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7" ht="23.25" x14ac:dyDescent="0.35">
      <c r="A1" s="7" t="s">
        <v>69</v>
      </c>
      <c r="B1" s="8"/>
      <c r="C1" s="9"/>
      <c r="D1" s="8"/>
      <c r="E1" s="9"/>
      <c r="F1" s="8"/>
      <c r="G1" s="9"/>
    </row>
    <row r="2" spans="1:7" ht="15" x14ac:dyDescent="0.25">
      <c r="A2" s="10" t="s">
        <v>91</v>
      </c>
      <c r="B2" s="10"/>
      <c r="C2" s="10"/>
      <c r="D2" s="10"/>
      <c r="E2" s="10"/>
      <c r="F2" s="10"/>
      <c r="G2" s="10"/>
    </row>
    <row r="3" spans="1:7" ht="15" thickBot="1" x14ac:dyDescent="0.25"/>
    <row r="4" spans="1:7" s="36" customFormat="1" ht="25.5" x14ac:dyDescent="0.2">
      <c r="A4" s="33" t="s">
        <v>0</v>
      </c>
      <c r="B4" s="34" t="s">
        <v>1</v>
      </c>
      <c r="C4" s="37" t="s">
        <v>90</v>
      </c>
      <c r="D4" s="37" t="s">
        <v>89</v>
      </c>
      <c r="E4" s="37" t="s">
        <v>82</v>
      </c>
      <c r="F4" s="37" t="s">
        <v>83</v>
      </c>
      <c r="G4" s="38" t="s">
        <v>81</v>
      </c>
    </row>
    <row r="5" spans="1:7" x14ac:dyDescent="0.2">
      <c r="A5" s="12" t="s">
        <v>4</v>
      </c>
      <c r="B5" s="13" t="str">
        <f>'Just Value All Property Types'!B5</f>
        <v>R-NVAB</v>
      </c>
      <c r="C5" s="14">
        <v>33750997228</v>
      </c>
      <c r="D5" s="15">
        <f>((C5-E5)/E5)</f>
        <v>0.16656506535987448</v>
      </c>
      <c r="E5" s="14">
        <v>28931945787</v>
      </c>
      <c r="F5" s="15">
        <f>((E5-G5)/G5)</f>
        <v>7.6199180135309671E-2</v>
      </c>
      <c r="G5" s="16">
        <v>26883449013</v>
      </c>
    </row>
    <row r="6" spans="1:7" x14ac:dyDescent="0.2">
      <c r="A6" s="12" t="s">
        <v>5</v>
      </c>
      <c r="B6" s="13" t="str">
        <f>'Just Value All Property Types'!B6</f>
        <v>R-Final</v>
      </c>
      <c r="C6" s="14">
        <v>2570338150</v>
      </c>
      <c r="D6" s="15">
        <f t="shared" ref="D6:F69" si="0">((C6-E6)/E6)</f>
        <v>0.27966986459283921</v>
      </c>
      <c r="E6" s="14">
        <v>2008594733</v>
      </c>
      <c r="F6" s="15">
        <f t="shared" si="0"/>
        <v>6.7988163890973244E-2</v>
      </c>
      <c r="G6" s="16">
        <v>1880727522</v>
      </c>
    </row>
    <row r="7" spans="1:7" x14ac:dyDescent="0.2">
      <c r="A7" s="12" t="s">
        <v>6</v>
      </c>
      <c r="B7" s="13" t="str">
        <f>'Just Value All Property Types'!B7</f>
        <v>R-NVAB</v>
      </c>
      <c r="C7" s="14">
        <v>31391778014</v>
      </c>
      <c r="D7" s="15">
        <f t="shared" si="0"/>
        <v>0.27712325364083845</v>
      </c>
      <c r="E7" s="14">
        <v>24580069249</v>
      </c>
      <c r="F7" s="15">
        <f t="shared" si="0"/>
        <v>0.12648565659913949</v>
      </c>
      <c r="G7" s="16">
        <v>21820135130</v>
      </c>
    </row>
    <row r="8" spans="1:7" x14ac:dyDescent="0.2">
      <c r="A8" s="12" t="s">
        <v>7</v>
      </c>
      <c r="B8" s="13" t="str">
        <f>'Just Value All Property Types'!B8</f>
        <v>R-Final</v>
      </c>
      <c r="C8" s="14">
        <v>1923529122</v>
      </c>
      <c r="D8" s="15">
        <f t="shared" si="0"/>
        <v>0.15216241948552148</v>
      </c>
      <c r="E8" s="14">
        <v>1669494760</v>
      </c>
      <c r="F8" s="15">
        <f t="shared" si="0"/>
        <v>9.6975078146775348E-2</v>
      </c>
      <c r="G8" s="16">
        <v>1521907647</v>
      </c>
    </row>
    <row r="9" spans="1:7" x14ac:dyDescent="0.2">
      <c r="A9" s="12" t="s">
        <v>8</v>
      </c>
      <c r="B9" s="13" t="str">
        <f>'Just Value All Property Types'!B9</f>
        <v>R-NVAB</v>
      </c>
      <c r="C9" s="14">
        <v>96380495090</v>
      </c>
      <c r="D9" s="15">
        <f t="shared" si="0"/>
        <v>0.32367711684623751</v>
      </c>
      <c r="E9" s="14">
        <v>72812692660</v>
      </c>
      <c r="F9" s="15">
        <f t="shared" si="0"/>
        <v>6.8999848308643877E-2</v>
      </c>
      <c r="G9" s="16">
        <v>68112912060</v>
      </c>
    </row>
    <row r="10" spans="1:7" x14ac:dyDescent="0.2">
      <c r="A10" s="12" t="s">
        <v>9</v>
      </c>
      <c r="B10" s="13" t="str">
        <f>'Just Value All Property Types'!B10</f>
        <v>R-NVAB</v>
      </c>
      <c r="C10" s="14">
        <v>362030883200</v>
      </c>
      <c r="D10" s="15">
        <f t="shared" si="0"/>
        <v>0.17670210678448905</v>
      </c>
      <c r="E10" s="14">
        <v>307665704950</v>
      </c>
      <c r="F10" s="15">
        <f t="shared" si="0"/>
        <v>5.290875381044436E-2</v>
      </c>
      <c r="G10" s="16">
        <v>292205477290</v>
      </c>
    </row>
    <row r="11" spans="1:7" x14ac:dyDescent="0.2">
      <c r="A11" s="12" t="s">
        <v>10</v>
      </c>
      <c r="B11" s="13" t="str">
        <f>'Just Value All Property Types'!B11</f>
        <v>R-Final</v>
      </c>
      <c r="C11" s="14">
        <v>925699903</v>
      </c>
      <c r="D11" s="15">
        <f t="shared" si="0"/>
        <v>9.4060735788837113E-2</v>
      </c>
      <c r="E11" s="14">
        <v>846113815</v>
      </c>
      <c r="F11" s="15">
        <f t="shared" si="0"/>
        <v>2.0083655621137012E-2</v>
      </c>
      <c r="G11" s="16">
        <v>829455320</v>
      </c>
    </row>
    <row r="12" spans="1:7" x14ac:dyDescent="0.2">
      <c r="A12" s="12" t="s">
        <v>11</v>
      </c>
      <c r="B12" s="13" t="str">
        <f>'Just Value All Property Types'!B12</f>
        <v>R-NVAB</v>
      </c>
      <c r="C12" s="14">
        <v>39422846849</v>
      </c>
      <c r="D12" s="15">
        <f t="shared" si="0"/>
        <v>0.3962497475697585</v>
      </c>
      <c r="E12" s="14">
        <v>28234810368</v>
      </c>
      <c r="F12" s="15">
        <f t="shared" si="0"/>
        <v>7.5275694163228601E-2</v>
      </c>
      <c r="G12" s="16">
        <v>26258205706</v>
      </c>
    </row>
    <row r="13" spans="1:7" x14ac:dyDescent="0.2">
      <c r="A13" s="12" t="s">
        <v>12</v>
      </c>
      <c r="B13" s="13" t="str">
        <f>'Just Value All Property Types'!B13</f>
        <v>R-NVAB</v>
      </c>
      <c r="C13" s="14">
        <v>19494692315</v>
      </c>
      <c r="D13" s="15">
        <f t="shared" si="0"/>
        <v>0.25086744382462067</v>
      </c>
      <c r="E13" s="14">
        <v>15584938605</v>
      </c>
      <c r="F13" s="15">
        <f t="shared" si="0"/>
        <v>8.0782297366656985E-2</v>
      </c>
      <c r="G13" s="16">
        <v>14420053551</v>
      </c>
    </row>
    <row r="14" spans="1:7" x14ac:dyDescent="0.2">
      <c r="A14" s="12" t="s">
        <v>13</v>
      </c>
      <c r="B14" s="13" t="str">
        <f>'Just Value All Property Types'!B14</f>
        <v>R-NVAB</v>
      </c>
      <c r="C14" s="14">
        <v>24408288014</v>
      </c>
      <c r="D14" s="15">
        <f t="shared" si="0"/>
        <v>0.24439621693787725</v>
      </c>
      <c r="E14" s="14">
        <v>19614563016</v>
      </c>
      <c r="F14" s="15">
        <f t="shared" si="0"/>
        <v>7.7168154331780231E-2</v>
      </c>
      <c r="G14" s="16">
        <v>18209378858</v>
      </c>
    </row>
    <row r="15" spans="1:7" x14ac:dyDescent="0.2">
      <c r="A15" s="12" t="s">
        <v>14</v>
      </c>
      <c r="B15" s="13" t="str">
        <f>'Just Value All Property Types'!B15</f>
        <v>R-NVAB</v>
      </c>
      <c r="C15" s="14">
        <v>182257754189</v>
      </c>
      <c r="D15" s="15">
        <f t="shared" si="0"/>
        <v>0.41457448375967859</v>
      </c>
      <c r="E15" s="14">
        <v>128842811942</v>
      </c>
      <c r="F15" s="15">
        <f t="shared" si="0"/>
        <v>5.4526297061313428E-2</v>
      </c>
      <c r="G15" s="16">
        <v>122180748172</v>
      </c>
    </row>
    <row r="16" spans="1:7" x14ac:dyDescent="0.2">
      <c r="A16" s="12" t="s">
        <v>15</v>
      </c>
      <c r="B16" s="13" t="str">
        <f>'Just Value All Property Types'!B16</f>
        <v>R-NVAB</v>
      </c>
      <c r="C16" s="14">
        <v>5731284880</v>
      </c>
      <c r="D16" s="15">
        <f t="shared" si="0"/>
        <v>0.15385220467572133</v>
      </c>
      <c r="E16" s="14">
        <v>4967087515</v>
      </c>
      <c r="F16" s="15">
        <f t="shared" si="0"/>
        <v>6.8543333834341608E-2</v>
      </c>
      <c r="G16" s="16">
        <v>4648466148</v>
      </c>
    </row>
    <row r="17" spans="1:7" x14ac:dyDescent="0.2">
      <c r="A17" s="12" t="s">
        <v>78</v>
      </c>
      <c r="B17" s="13" t="str">
        <f>'Just Value All Property Types'!B17</f>
        <v>R-NVAB</v>
      </c>
      <c r="C17" s="14">
        <v>551130843931</v>
      </c>
      <c r="D17" s="15">
        <f t="shared" si="0"/>
        <v>0.24211960273292699</v>
      </c>
      <c r="E17" s="14">
        <v>443701913019</v>
      </c>
      <c r="F17" s="15">
        <f t="shared" si="0"/>
        <v>4.2542393384143687E-2</v>
      </c>
      <c r="G17" s="16">
        <v>425596038909</v>
      </c>
    </row>
    <row r="18" spans="1:7" x14ac:dyDescent="0.2">
      <c r="A18" s="12" t="s">
        <v>16</v>
      </c>
      <c r="B18" s="13" t="str">
        <f>'Just Value All Property Types'!B18</f>
        <v>R-NVAB</v>
      </c>
      <c r="C18" s="14">
        <v>4996443177</v>
      </c>
      <c r="D18" s="15">
        <f t="shared" si="0"/>
        <v>0.37338187010126345</v>
      </c>
      <c r="E18" s="14">
        <v>3638058202</v>
      </c>
      <c r="F18" s="15">
        <f t="shared" si="0"/>
        <v>4.6788506284258007E-2</v>
      </c>
      <c r="G18" s="16">
        <v>3475447218</v>
      </c>
    </row>
    <row r="19" spans="1:7" x14ac:dyDescent="0.2">
      <c r="A19" s="12" t="s">
        <v>17</v>
      </c>
      <c r="B19" s="13" t="str">
        <f>'Just Value All Property Types'!B19</f>
        <v>R-Final</v>
      </c>
      <c r="C19" s="14">
        <v>1588209662</v>
      </c>
      <c r="D19" s="15">
        <f t="shared" si="0"/>
        <v>0.13816575665521913</v>
      </c>
      <c r="E19" s="14">
        <v>1395411567</v>
      </c>
      <c r="F19" s="15">
        <f t="shared" si="0"/>
        <v>2.6881064036478063E-2</v>
      </c>
      <c r="G19" s="16">
        <v>1358883337</v>
      </c>
    </row>
    <row r="20" spans="1:7" x14ac:dyDescent="0.2">
      <c r="A20" s="12" t="s">
        <v>18</v>
      </c>
      <c r="B20" s="13" t="str">
        <f>'Just Value All Property Types'!B20</f>
        <v>R-NVAB</v>
      </c>
      <c r="C20" s="14">
        <v>133165484410</v>
      </c>
      <c r="D20" s="15">
        <f t="shared" si="0"/>
        <v>0.23814159585285066</v>
      </c>
      <c r="E20" s="14">
        <v>107552710333</v>
      </c>
      <c r="F20" s="15">
        <f t="shared" si="0"/>
        <v>8.0078194232935537E-2</v>
      </c>
      <c r="G20" s="16">
        <v>99578633202</v>
      </c>
    </row>
    <row r="21" spans="1:7" x14ac:dyDescent="0.2">
      <c r="A21" s="12" t="s">
        <v>19</v>
      </c>
      <c r="B21" s="13" t="str">
        <f>'Just Value All Property Types'!B21</f>
        <v>R-NVAB</v>
      </c>
      <c r="C21" s="14">
        <v>38315607592</v>
      </c>
      <c r="D21" s="15">
        <f t="shared" si="0"/>
        <v>0.19681509863456725</v>
      </c>
      <c r="E21" s="14">
        <v>32014642559</v>
      </c>
      <c r="F21" s="15">
        <f t="shared" si="0"/>
        <v>7.3870860530368579E-2</v>
      </c>
      <c r="G21" s="16">
        <v>29812376642</v>
      </c>
    </row>
    <row r="22" spans="1:7" x14ac:dyDescent="0.2">
      <c r="A22" s="12" t="s">
        <v>20</v>
      </c>
      <c r="B22" s="13" t="str">
        <f>'Just Value All Property Types'!B22</f>
        <v>R-NVAB</v>
      </c>
      <c r="C22" s="14">
        <v>21560921422</v>
      </c>
      <c r="D22" s="15">
        <f t="shared" si="0"/>
        <v>0.36272865768691553</v>
      </c>
      <c r="E22" s="14">
        <v>15821874223</v>
      </c>
      <c r="F22" s="15">
        <f t="shared" si="0"/>
        <v>0.11819002108784765</v>
      </c>
      <c r="G22" s="16">
        <v>14149539814</v>
      </c>
    </row>
    <row r="23" spans="1:7" x14ac:dyDescent="0.2">
      <c r="A23" s="12" t="s">
        <v>21</v>
      </c>
      <c r="B23" s="13" t="str">
        <f>'Just Value All Property Types'!B23</f>
        <v>R-Final</v>
      </c>
      <c r="C23" s="14">
        <v>4088354893</v>
      </c>
      <c r="D23" s="15">
        <f t="shared" si="0"/>
        <v>0.19740339307330801</v>
      </c>
      <c r="E23" s="14">
        <v>3414350516</v>
      </c>
      <c r="F23" s="15">
        <f t="shared" si="0"/>
        <v>7.737246119048824E-2</v>
      </c>
      <c r="G23" s="16">
        <v>3169145898</v>
      </c>
    </row>
    <row r="24" spans="1:7" x14ac:dyDescent="0.2">
      <c r="A24" s="12" t="s">
        <v>22</v>
      </c>
      <c r="B24" s="13" t="str">
        <f>'Just Value All Property Types'!B24</f>
        <v>R-Final</v>
      </c>
      <c r="C24" s="14">
        <v>2982903470</v>
      </c>
      <c r="D24" s="15">
        <f t="shared" si="0"/>
        <v>0.1646624832372636</v>
      </c>
      <c r="E24" s="14">
        <v>2561174171</v>
      </c>
      <c r="F24" s="15">
        <f t="shared" si="0"/>
        <v>7.02218547483794E-2</v>
      </c>
      <c r="G24" s="16">
        <v>2393124528</v>
      </c>
    </row>
    <row r="25" spans="1:7" x14ac:dyDescent="0.2">
      <c r="A25" s="12" t="s">
        <v>23</v>
      </c>
      <c r="B25" s="13" t="str">
        <f>'Just Value All Property Types'!B25</f>
        <v>R-Final</v>
      </c>
      <c r="C25" s="14">
        <v>1794946132</v>
      </c>
      <c r="D25" s="15">
        <f t="shared" si="0"/>
        <v>0.15412942314809569</v>
      </c>
      <c r="E25" s="14">
        <v>1555238170</v>
      </c>
      <c r="F25" s="15">
        <f t="shared" si="0"/>
        <v>0.11207055589582564</v>
      </c>
      <c r="G25" s="16">
        <v>1398506742</v>
      </c>
    </row>
    <row r="26" spans="1:7" x14ac:dyDescent="0.2">
      <c r="A26" s="12" t="s">
        <v>24</v>
      </c>
      <c r="B26" s="13" t="str">
        <f>'Just Value All Property Types'!B26</f>
        <v>R-Final</v>
      </c>
      <c r="C26" s="14">
        <v>4853206944</v>
      </c>
      <c r="D26" s="15">
        <f t="shared" si="0"/>
        <v>0.2159158812778576</v>
      </c>
      <c r="E26" s="14">
        <v>3991400243</v>
      </c>
      <c r="F26" s="15">
        <f t="shared" si="0"/>
        <v>0.15813544458485304</v>
      </c>
      <c r="G26" s="16">
        <v>3446401940</v>
      </c>
    </row>
    <row r="27" spans="1:7" x14ac:dyDescent="0.2">
      <c r="A27" s="12" t="s">
        <v>25</v>
      </c>
      <c r="B27" s="13" t="str">
        <f>'Just Value All Property Types'!B27</f>
        <v>R-Final</v>
      </c>
      <c r="C27" s="14">
        <v>4596230699</v>
      </c>
      <c r="D27" s="15">
        <f t="shared" si="0"/>
        <v>0.32044027245741574</v>
      </c>
      <c r="E27" s="14">
        <v>3480831958</v>
      </c>
      <c r="F27" s="15">
        <f t="shared" si="0"/>
        <v>0.10855677031847161</v>
      </c>
      <c r="G27" s="16">
        <v>3139967254</v>
      </c>
    </row>
    <row r="28" spans="1:7" x14ac:dyDescent="0.2">
      <c r="A28" s="12" t="s">
        <v>26</v>
      </c>
      <c r="B28" s="13" t="str">
        <f>'Just Value All Property Types'!B28</f>
        <v>R-Final</v>
      </c>
      <c r="C28" s="14">
        <v>1306026036</v>
      </c>
      <c r="D28" s="15">
        <f t="shared" si="0"/>
        <v>0.25065187349278384</v>
      </c>
      <c r="E28" s="14">
        <v>1044276240</v>
      </c>
      <c r="F28" s="15">
        <f t="shared" si="0"/>
        <v>4.8306757240557406E-2</v>
      </c>
      <c r="G28" s="16">
        <v>996155212</v>
      </c>
    </row>
    <row r="29" spans="1:7" x14ac:dyDescent="0.2">
      <c r="A29" s="12" t="s">
        <v>27</v>
      </c>
      <c r="B29" s="13" t="str">
        <f>'Just Value All Property Types'!B29</f>
        <v>R-NVAB</v>
      </c>
      <c r="C29" s="14">
        <v>3893367103</v>
      </c>
      <c r="D29" s="15">
        <f t="shared" si="0"/>
        <v>0.22490748677788674</v>
      </c>
      <c r="E29" s="14">
        <v>3178498903</v>
      </c>
      <c r="F29" s="15">
        <f t="shared" si="0"/>
        <v>3.6102366547547157E-2</v>
      </c>
      <c r="G29" s="16">
        <v>3067746012</v>
      </c>
    </row>
    <row r="30" spans="1:7" x14ac:dyDescent="0.2">
      <c r="A30" s="12" t="s">
        <v>28</v>
      </c>
      <c r="B30" s="13" t="str">
        <f>'Just Value All Property Types'!B30</f>
        <v>R-NVAB</v>
      </c>
      <c r="C30" s="14">
        <v>7572052506</v>
      </c>
      <c r="D30" s="15">
        <f t="shared" si="0"/>
        <v>0.25323440099021793</v>
      </c>
      <c r="E30" s="14">
        <v>6042008183</v>
      </c>
      <c r="F30" s="15">
        <f t="shared" si="0"/>
        <v>9.557291665726983E-2</v>
      </c>
      <c r="G30" s="16">
        <v>5514930217</v>
      </c>
    </row>
    <row r="31" spans="1:7" x14ac:dyDescent="0.2">
      <c r="A31" s="12" t="s">
        <v>29</v>
      </c>
      <c r="B31" s="13" t="str">
        <f>'Just Value All Property Types'!B31</f>
        <v>R-NVAB</v>
      </c>
      <c r="C31" s="14">
        <v>24884231993</v>
      </c>
      <c r="D31" s="15">
        <f t="shared" si="0"/>
        <v>0.40955439911703068</v>
      </c>
      <c r="E31" s="14">
        <v>17653970651</v>
      </c>
      <c r="F31" s="15">
        <f t="shared" si="0"/>
        <v>6.5830023735733587E-2</v>
      </c>
      <c r="G31" s="16">
        <v>16563589182</v>
      </c>
    </row>
    <row r="32" spans="1:7" x14ac:dyDescent="0.2">
      <c r="A32" s="12" t="s">
        <v>30</v>
      </c>
      <c r="B32" s="13" t="str">
        <f>'Just Value All Property Types'!B32</f>
        <v>R-NVAB</v>
      </c>
      <c r="C32" s="14">
        <v>10685395152</v>
      </c>
      <c r="D32" s="15">
        <f t="shared" si="0"/>
        <v>0.26627722370050594</v>
      </c>
      <c r="E32" s="14">
        <v>8438432716</v>
      </c>
      <c r="F32" s="15">
        <f t="shared" si="0"/>
        <v>8.3182141895623202E-2</v>
      </c>
      <c r="G32" s="16">
        <v>7790409747</v>
      </c>
    </row>
    <row r="33" spans="1:7" x14ac:dyDescent="0.2">
      <c r="A33" s="12" t="s">
        <v>31</v>
      </c>
      <c r="B33" s="13" t="str">
        <f>'Just Value All Property Types'!B33</f>
        <v>R-NVAB</v>
      </c>
      <c r="C33" s="14">
        <v>221813299878</v>
      </c>
      <c r="D33" s="15">
        <f t="shared" si="0"/>
        <v>0.2880719399106873</v>
      </c>
      <c r="E33" s="14">
        <v>172205676566</v>
      </c>
      <c r="F33" s="15">
        <f t="shared" si="0"/>
        <v>0.11069956319206831</v>
      </c>
      <c r="G33" s="16">
        <v>155042535599</v>
      </c>
    </row>
    <row r="34" spans="1:7" x14ac:dyDescent="0.2">
      <c r="A34" s="12" t="s">
        <v>32</v>
      </c>
      <c r="B34" s="13" t="str">
        <f>'Just Value All Property Types'!B34</f>
        <v>R-Final</v>
      </c>
      <c r="C34" s="14">
        <v>1174519556</v>
      </c>
      <c r="D34" s="15">
        <f t="shared" si="0"/>
        <v>4.8498449259566298E-2</v>
      </c>
      <c r="E34" s="14">
        <v>1120191982</v>
      </c>
      <c r="F34" s="15">
        <f t="shared" si="0"/>
        <v>3.3531933423961505E-2</v>
      </c>
      <c r="G34" s="16">
        <v>1083848448</v>
      </c>
    </row>
    <row r="35" spans="1:7" x14ac:dyDescent="0.2">
      <c r="A35" s="12" t="s">
        <v>33</v>
      </c>
      <c r="B35" s="13" t="str">
        <f>'Just Value All Property Types'!B35</f>
        <v>R-NVAB</v>
      </c>
      <c r="C35" s="14">
        <v>36525736400</v>
      </c>
      <c r="D35" s="15">
        <f t="shared" si="0"/>
        <v>0.24647637481334622</v>
      </c>
      <c r="E35" s="14">
        <v>29303191892</v>
      </c>
      <c r="F35" s="15">
        <f t="shared" si="0"/>
        <v>5.2690659616264068E-2</v>
      </c>
      <c r="G35" s="16">
        <v>27836469930</v>
      </c>
    </row>
    <row r="36" spans="1:7" x14ac:dyDescent="0.2">
      <c r="A36" s="12" t="s">
        <v>34</v>
      </c>
      <c r="B36" s="13" t="str">
        <f>'Just Value All Property Types'!B36</f>
        <v>R-Final</v>
      </c>
      <c r="C36" s="14">
        <v>3286159983</v>
      </c>
      <c r="D36" s="15">
        <f t="shared" si="0"/>
        <v>0.13072419098820667</v>
      </c>
      <c r="E36" s="14">
        <v>2906243635</v>
      </c>
      <c r="F36" s="15">
        <f t="shared" si="0"/>
        <v>8.1530929483653092E-2</v>
      </c>
      <c r="G36" s="16">
        <v>2687157210</v>
      </c>
    </row>
    <row r="37" spans="1:7" x14ac:dyDescent="0.2">
      <c r="A37" s="12" t="s">
        <v>35</v>
      </c>
      <c r="B37" s="13" t="str">
        <f>'Just Value All Property Types'!B37</f>
        <v>R-NVAB</v>
      </c>
      <c r="C37" s="14">
        <v>1756047882</v>
      </c>
      <c r="D37" s="15">
        <f t="shared" si="0"/>
        <v>0.12724057725928314</v>
      </c>
      <c r="E37" s="14">
        <v>1557828841</v>
      </c>
      <c r="F37" s="15">
        <f t="shared" si="0"/>
        <v>0.10014455863504737</v>
      </c>
      <c r="G37" s="16">
        <v>1416021948</v>
      </c>
    </row>
    <row r="38" spans="1:7" x14ac:dyDescent="0.2">
      <c r="A38" s="12" t="s">
        <v>36</v>
      </c>
      <c r="B38" s="13" t="str">
        <f>'Just Value All Property Types'!B38</f>
        <v>R-Final</v>
      </c>
      <c r="C38" s="14">
        <v>819191335</v>
      </c>
      <c r="D38" s="15">
        <f t="shared" si="0"/>
        <v>0.12058530885411449</v>
      </c>
      <c r="E38" s="14">
        <v>731038796</v>
      </c>
      <c r="F38" s="15">
        <f t="shared" si="0"/>
        <v>5.4448667824936049E-2</v>
      </c>
      <c r="G38" s="16">
        <v>693290075</v>
      </c>
    </row>
    <row r="39" spans="1:7" x14ac:dyDescent="0.2">
      <c r="A39" s="12" t="s">
        <v>37</v>
      </c>
      <c r="B39" s="13" t="str">
        <f>'Just Value All Property Types'!B39</f>
        <v>R-NVAB</v>
      </c>
      <c r="C39" s="14">
        <v>46929316449</v>
      </c>
      <c r="D39" s="15">
        <f t="shared" si="0"/>
        <v>0.23659645865313916</v>
      </c>
      <c r="E39" s="14">
        <v>37950388844</v>
      </c>
      <c r="F39" s="15">
        <f t="shared" si="0"/>
        <v>8.0991593822396804E-2</v>
      </c>
      <c r="G39" s="16">
        <v>35107015689</v>
      </c>
    </row>
    <row r="40" spans="1:7" x14ac:dyDescent="0.2">
      <c r="A40" s="12" t="s">
        <v>38</v>
      </c>
      <c r="B40" s="13" t="str">
        <f>'Just Value All Property Types'!B40</f>
        <v>R-NVAB</v>
      </c>
      <c r="C40" s="14">
        <v>174420194428</v>
      </c>
      <c r="D40" s="15">
        <f t="shared" si="0"/>
        <v>0.37143132710857796</v>
      </c>
      <c r="E40" s="14">
        <v>127181136219</v>
      </c>
      <c r="F40" s="15">
        <f t="shared" si="0"/>
        <v>9.5980578046645934E-2</v>
      </c>
      <c r="G40" s="16">
        <v>116043239056</v>
      </c>
    </row>
    <row r="41" spans="1:7" x14ac:dyDescent="0.2">
      <c r="A41" s="12" t="s">
        <v>39</v>
      </c>
      <c r="B41" s="13" t="str">
        <f>'Just Value All Property Types'!B41</f>
        <v>R-NVAB</v>
      </c>
      <c r="C41" s="14">
        <v>34318183171</v>
      </c>
      <c r="D41" s="15">
        <f t="shared" si="0"/>
        <v>0.12345750424695459</v>
      </c>
      <c r="E41" s="14">
        <v>30546934834</v>
      </c>
      <c r="F41" s="15">
        <f t="shared" si="0"/>
        <v>5.1570492454532595E-2</v>
      </c>
      <c r="G41" s="16">
        <v>29048870288</v>
      </c>
    </row>
    <row r="42" spans="1:7" x14ac:dyDescent="0.2">
      <c r="A42" s="12" t="s">
        <v>40</v>
      </c>
      <c r="B42" s="13" t="str">
        <f>'Just Value All Property Types'!B42</f>
        <v>R-Final</v>
      </c>
      <c r="C42" s="14">
        <v>6228266958</v>
      </c>
      <c r="D42" s="15">
        <f t="shared" si="0"/>
        <v>0.27411537461196034</v>
      </c>
      <c r="E42" s="14">
        <v>4888306885</v>
      </c>
      <c r="F42" s="15">
        <f t="shared" si="0"/>
        <v>0.1797100635947971</v>
      </c>
      <c r="G42" s="16">
        <v>4143651085</v>
      </c>
    </row>
    <row r="43" spans="1:7" x14ac:dyDescent="0.2">
      <c r="A43" s="12" t="s">
        <v>41</v>
      </c>
      <c r="B43" s="13" t="str">
        <f>'Just Value All Property Types'!B43</f>
        <v>R-Final</v>
      </c>
      <c r="C43" s="14">
        <v>886114109</v>
      </c>
      <c r="D43" s="15">
        <f t="shared" si="0"/>
        <v>1.128072592635289E-2</v>
      </c>
      <c r="E43" s="14">
        <v>876229603</v>
      </c>
      <c r="F43" s="15">
        <f t="shared" si="0"/>
        <v>2.0370581882637691E-2</v>
      </c>
      <c r="G43" s="16">
        <v>858736638</v>
      </c>
    </row>
    <row r="44" spans="1:7" x14ac:dyDescent="0.2">
      <c r="A44" s="12" t="s">
        <v>42</v>
      </c>
      <c r="B44" s="13" t="str">
        <f>'Just Value All Property Types'!B44</f>
        <v>R-NVAB</v>
      </c>
      <c r="C44" s="14">
        <v>1686930261</v>
      </c>
      <c r="D44" s="15">
        <f t="shared" si="0"/>
        <v>0.21415366023421675</v>
      </c>
      <c r="E44" s="14">
        <v>1389387782</v>
      </c>
      <c r="F44" s="15">
        <f t="shared" si="0"/>
        <v>3.4473538943043731E-2</v>
      </c>
      <c r="G44" s="16">
        <v>1343086826</v>
      </c>
    </row>
    <row r="45" spans="1:7" x14ac:dyDescent="0.2">
      <c r="A45" s="12" t="s">
        <v>43</v>
      </c>
      <c r="B45" s="13" t="str">
        <f>'Just Value All Property Types'!B45</f>
        <v>R-NVAB</v>
      </c>
      <c r="C45" s="14">
        <v>78160443996</v>
      </c>
      <c r="D45" s="15">
        <f t="shared" si="0"/>
        <v>0.38510166748722641</v>
      </c>
      <c r="E45" s="14">
        <v>56429391308</v>
      </c>
      <c r="F45" s="15">
        <f t="shared" si="0"/>
        <v>8.5177298776356811E-2</v>
      </c>
      <c r="G45" s="16">
        <v>52000158289</v>
      </c>
    </row>
    <row r="46" spans="1:7" x14ac:dyDescent="0.2">
      <c r="A46" s="12" t="s">
        <v>44</v>
      </c>
      <c r="B46" s="13" t="str">
        <f>'Just Value All Property Types'!B46</f>
        <v>R-NVAB</v>
      </c>
      <c r="C46" s="14">
        <v>45463261815</v>
      </c>
      <c r="D46" s="15">
        <f t="shared" si="0"/>
        <v>0.2832454220677259</v>
      </c>
      <c r="E46" s="14">
        <v>35428345220</v>
      </c>
      <c r="F46" s="15">
        <f t="shared" si="0"/>
        <v>0.1156430359950442</v>
      </c>
      <c r="G46" s="16">
        <v>31755986527</v>
      </c>
    </row>
    <row r="47" spans="1:7" x14ac:dyDescent="0.2">
      <c r="A47" s="12" t="s">
        <v>45</v>
      </c>
      <c r="B47" s="13" t="str">
        <f>'Just Value All Property Types'!B47</f>
        <v>R-NVAB</v>
      </c>
      <c r="C47" s="14">
        <v>41447701739</v>
      </c>
      <c r="D47" s="15">
        <f t="shared" si="0"/>
        <v>0.25578202812279177</v>
      </c>
      <c r="E47" s="14">
        <v>33005490452</v>
      </c>
      <c r="F47" s="15">
        <f t="shared" si="0"/>
        <v>6.9228307028431135E-2</v>
      </c>
      <c r="G47" s="16">
        <v>30868515391</v>
      </c>
    </row>
    <row r="48" spans="1:7" x14ac:dyDescent="0.2">
      <c r="A48" s="12" t="s">
        <v>46</v>
      </c>
      <c r="B48" s="13" t="str">
        <f>'Just Value All Property Types'!B48</f>
        <v>R-NVAB</v>
      </c>
      <c r="C48" s="14">
        <v>55085945133</v>
      </c>
      <c r="D48" s="15">
        <f t="shared" si="0"/>
        <v>0.32290054769364884</v>
      </c>
      <c r="E48" s="14">
        <v>41640276912</v>
      </c>
      <c r="F48" s="15">
        <f t="shared" si="0"/>
        <v>3.7446986930168555E-2</v>
      </c>
      <c r="G48" s="16">
        <v>40137257553</v>
      </c>
    </row>
    <row r="49" spans="1:7" x14ac:dyDescent="0.2">
      <c r="A49" s="12" t="s">
        <v>47</v>
      </c>
      <c r="B49" s="13" t="str">
        <f>'Just Value All Property Types'!B49</f>
        <v>R-NVAB</v>
      </c>
      <c r="C49" s="14">
        <v>19458454452</v>
      </c>
      <c r="D49" s="15">
        <f t="shared" si="0"/>
        <v>0.22958320457334011</v>
      </c>
      <c r="E49" s="14">
        <v>15825244180</v>
      </c>
      <c r="F49" s="15">
        <f t="shared" si="0"/>
        <v>0.11736379032657081</v>
      </c>
      <c r="G49" s="16">
        <v>14163018631</v>
      </c>
    </row>
    <row r="50" spans="1:7" x14ac:dyDescent="0.2">
      <c r="A50" s="12" t="s">
        <v>48</v>
      </c>
      <c r="B50" s="13" t="str">
        <f>'Just Value All Property Types'!B50</f>
        <v>R-NVAB</v>
      </c>
      <c r="C50" s="14">
        <v>36137752140</v>
      </c>
      <c r="D50" s="15">
        <f t="shared" si="0"/>
        <v>0.25536532784245414</v>
      </c>
      <c r="E50" s="14">
        <v>28786641895</v>
      </c>
      <c r="F50" s="15">
        <f t="shared" si="0"/>
        <v>7.9414313237825218E-2</v>
      </c>
      <c r="G50" s="16">
        <v>26668760588</v>
      </c>
    </row>
    <row r="51" spans="1:7" x14ac:dyDescent="0.2">
      <c r="A51" s="12" t="s">
        <v>49</v>
      </c>
      <c r="B51" s="13" t="str">
        <f>'Just Value All Property Types'!B51</f>
        <v>R-NVAB</v>
      </c>
      <c r="C51" s="14">
        <v>6060770278</v>
      </c>
      <c r="D51" s="15">
        <f t="shared" si="0"/>
        <v>0.23380246393412848</v>
      </c>
      <c r="E51" s="14">
        <v>4912269553</v>
      </c>
      <c r="F51" s="15">
        <f t="shared" si="0"/>
        <v>0.17601096477543576</v>
      </c>
      <c r="G51" s="16">
        <v>4177061014</v>
      </c>
    </row>
    <row r="52" spans="1:7" x14ac:dyDescent="0.2">
      <c r="A52" s="12" t="s">
        <v>50</v>
      </c>
      <c r="B52" s="13" t="str">
        <f>'Just Value All Property Types'!B52</f>
        <v>R-NVAB</v>
      </c>
      <c r="C52" s="14">
        <v>258694179698</v>
      </c>
      <c r="D52" s="15">
        <f t="shared" si="0"/>
        <v>0.2256125491624586</v>
      </c>
      <c r="E52" s="14">
        <v>211073377043</v>
      </c>
      <c r="F52" s="15">
        <f t="shared" si="0"/>
        <v>2.6674904278948978E-2</v>
      </c>
      <c r="G52" s="16">
        <v>205589302089</v>
      </c>
    </row>
    <row r="53" spans="1:7" x14ac:dyDescent="0.2">
      <c r="A53" s="12" t="s">
        <v>51</v>
      </c>
      <c r="B53" s="13" t="str">
        <f>'Just Value All Property Types'!B53</f>
        <v>R-NVAB</v>
      </c>
      <c r="C53" s="14">
        <v>58255378108</v>
      </c>
      <c r="D53" s="15">
        <f t="shared" si="0"/>
        <v>0.23308650146662008</v>
      </c>
      <c r="E53" s="14">
        <v>47243545395</v>
      </c>
      <c r="F53" s="15">
        <f t="shared" si="0"/>
        <v>7.6141917524938998E-2</v>
      </c>
      <c r="G53" s="16">
        <v>43900850460</v>
      </c>
    </row>
    <row r="54" spans="1:7" x14ac:dyDescent="0.2">
      <c r="A54" s="12" t="s">
        <v>52</v>
      </c>
      <c r="B54" s="13" t="str">
        <f>'Just Value All Property Types'!B54</f>
        <v>R-NVAB</v>
      </c>
      <c r="C54" s="14">
        <v>391254405351</v>
      </c>
      <c r="D54" s="15">
        <f t="shared" si="0"/>
        <v>0.31983560431425095</v>
      </c>
      <c r="E54" s="14">
        <v>296441772045</v>
      </c>
      <c r="F54" s="15">
        <f t="shared" si="0"/>
        <v>7.1986787631446572E-2</v>
      </c>
      <c r="G54" s="16">
        <v>276534912058</v>
      </c>
    </row>
    <row r="55" spans="1:7" x14ac:dyDescent="0.2">
      <c r="A55" s="12" t="s">
        <v>53</v>
      </c>
      <c r="B55" s="13" t="str">
        <f>'Just Value All Property Types'!B55</f>
        <v>R-NVAB</v>
      </c>
      <c r="C55" s="14">
        <v>66626174734</v>
      </c>
      <c r="D55" s="15">
        <f t="shared" si="0"/>
        <v>0.27602889101754918</v>
      </c>
      <c r="E55" s="14">
        <v>52213688266</v>
      </c>
      <c r="F55" s="15">
        <f t="shared" si="0"/>
        <v>0.12854142395786877</v>
      </c>
      <c r="G55" s="16">
        <v>46266523459</v>
      </c>
    </row>
    <row r="56" spans="1:7" x14ac:dyDescent="0.2">
      <c r="A56" s="12" t="s">
        <v>54</v>
      </c>
      <c r="B56" s="13" t="str">
        <f>'Just Value All Property Types'!B56</f>
        <v>R-NVAB</v>
      </c>
      <c r="C56" s="14">
        <v>179297093517</v>
      </c>
      <c r="D56" s="15">
        <f t="shared" si="0"/>
        <v>0.24115317715503337</v>
      </c>
      <c r="E56" s="14">
        <v>144460085038</v>
      </c>
      <c r="F56" s="15">
        <f t="shared" si="0"/>
        <v>9.7075790268463066E-2</v>
      </c>
      <c r="G56" s="16">
        <v>131677397605</v>
      </c>
    </row>
    <row r="57" spans="1:7" x14ac:dyDescent="0.2">
      <c r="A57" s="12" t="s">
        <v>55</v>
      </c>
      <c r="B57" s="13" t="str">
        <f>'Just Value All Property Types'!B57</f>
        <v>R-NVAB</v>
      </c>
      <c r="C57" s="14">
        <v>76952501663</v>
      </c>
      <c r="D57" s="15">
        <f t="shared" si="0"/>
        <v>0.29859420715619345</v>
      </c>
      <c r="E57" s="14">
        <v>59258312750</v>
      </c>
      <c r="F57" s="15">
        <f t="shared" si="0"/>
        <v>8.6321339442403347E-2</v>
      </c>
      <c r="G57" s="16">
        <v>54549524711</v>
      </c>
    </row>
    <row r="58" spans="1:7" x14ac:dyDescent="0.2">
      <c r="A58" s="12" t="s">
        <v>56</v>
      </c>
      <c r="B58" s="13" t="str">
        <f>'Just Value All Property Types'!B58</f>
        <v>R-NVAB</v>
      </c>
      <c r="C58" s="14">
        <v>8141379156</v>
      </c>
      <c r="D58" s="15">
        <f t="shared" si="0"/>
        <v>0.2713340930417496</v>
      </c>
      <c r="E58" s="14">
        <v>6403807780</v>
      </c>
      <c r="F58" s="15">
        <f t="shared" si="0"/>
        <v>7.1903510817349248E-2</v>
      </c>
      <c r="G58" s="16">
        <v>5974239020</v>
      </c>
    </row>
    <row r="59" spans="1:7" x14ac:dyDescent="0.2">
      <c r="A59" s="12" t="s">
        <v>2</v>
      </c>
      <c r="B59" s="13" t="str">
        <f>'Just Value All Property Types'!B59</f>
        <v>R-NVAB</v>
      </c>
      <c r="C59" s="14">
        <v>64228070538</v>
      </c>
      <c r="D59" s="15">
        <f t="shared" si="0"/>
        <v>0.36889547773053011</v>
      </c>
      <c r="E59" s="14">
        <v>46919630887</v>
      </c>
      <c r="F59" s="15">
        <f t="shared" si="0"/>
        <v>9.8263172934818316E-2</v>
      </c>
      <c r="G59" s="16">
        <v>42721664573</v>
      </c>
    </row>
    <row r="60" spans="1:7" x14ac:dyDescent="0.2">
      <c r="A60" s="12" t="s">
        <v>3</v>
      </c>
      <c r="B60" s="13" t="str">
        <f>'Just Value All Property Types'!B60</f>
        <v>R-NVAB</v>
      </c>
      <c r="C60" s="14">
        <v>50141545736</v>
      </c>
      <c r="D60" s="15">
        <f t="shared" si="0"/>
        <v>0.36374045421160095</v>
      </c>
      <c r="E60" s="14">
        <v>36767660284</v>
      </c>
      <c r="F60" s="15">
        <f t="shared" si="0"/>
        <v>0.13309440241508178</v>
      </c>
      <c r="G60" s="16">
        <v>32448894113</v>
      </c>
    </row>
    <row r="61" spans="1:7" x14ac:dyDescent="0.2">
      <c r="A61" s="12" t="s">
        <v>57</v>
      </c>
      <c r="B61" s="13" t="str">
        <f>'Just Value All Property Types'!B61</f>
        <v>R-NVAB</v>
      </c>
      <c r="C61" s="14">
        <v>24118954974</v>
      </c>
      <c r="D61" s="15">
        <f t="shared" si="0"/>
        <v>0.26401712281260187</v>
      </c>
      <c r="E61" s="14">
        <v>19081193236</v>
      </c>
      <c r="F61" s="15">
        <f t="shared" si="0"/>
        <v>0.12493939179207925</v>
      </c>
      <c r="G61" s="16">
        <v>16961974463</v>
      </c>
    </row>
    <row r="62" spans="1:7" x14ac:dyDescent="0.2">
      <c r="A62" s="12" t="s">
        <v>58</v>
      </c>
      <c r="B62" s="13" t="str">
        <f>'Just Value All Property Types'!B62</f>
        <v>R-NVAB</v>
      </c>
      <c r="C62" s="14">
        <v>129537324000</v>
      </c>
      <c r="D62" s="15">
        <f t="shared" si="0"/>
        <v>0.39325095895807027</v>
      </c>
      <c r="E62" s="14">
        <v>92974868000</v>
      </c>
      <c r="F62" s="15">
        <f t="shared" si="0"/>
        <v>8.5617212373420515E-2</v>
      </c>
      <c r="G62" s="16">
        <v>85642404100</v>
      </c>
    </row>
    <row r="63" spans="1:7" x14ac:dyDescent="0.2">
      <c r="A63" s="12" t="s">
        <v>59</v>
      </c>
      <c r="B63" s="13" t="str">
        <f>'Just Value All Property Types'!B63</f>
        <v>R-NVAB</v>
      </c>
      <c r="C63" s="14">
        <v>65929632883</v>
      </c>
      <c r="D63" s="15">
        <f t="shared" si="0"/>
        <v>0.21741137043510694</v>
      </c>
      <c r="E63" s="14">
        <v>54155591515</v>
      </c>
      <c r="F63" s="15">
        <f t="shared" si="0"/>
        <v>6.5908888748353642E-2</v>
      </c>
      <c r="G63" s="16">
        <v>50806961164</v>
      </c>
    </row>
    <row r="64" spans="1:7" x14ac:dyDescent="0.2">
      <c r="A64" s="12" t="s">
        <v>60</v>
      </c>
      <c r="B64" s="13" t="str">
        <f>'Just Value All Property Types'!B64</f>
        <v>R-NVAB</v>
      </c>
      <c r="C64" s="14">
        <v>26638839412</v>
      </c>
      <c r="D64" s="15">
        <f t="shared" si="0"/>
        <v>0.29611066188097035</v>
      </c>
      <c r="E64" s="14">
        <v>20552905084</v>
      </c>
      <c r="F64" s="15">
        <f t="shared" si="0"/>
        <v>5.792448382276822E-2</v>
      </c>
      <c r="G64" s="16">
        <v>19427572949</v>
      </c>
    </row>
    <row r="65" spans="1:7" x14ac:dyDescent="0.2">
      <c r="A65" s="12" t="s">
        <v>61</v>
      </c>
      <c r="B65" s="13" t="str">
        <f>'Just Value All Property Types'!B65</f>
        <v>R-NVAB</v>
      </c>
      <c r="C65" s="14">
        <v>3071404858</v>
      </c>
      <c r="D65" s="15">
        <f t="shared" si="0"/>
        <v>0.12001617298753635</v>
      </c>
      <c r="E65" s="14">
        <v>2742286167</v>
      </c>
      <c r="F65" s="15">
        <f t="shared" si="0"/>
        <v>7.3476703322032724E-2</v>
      </c>
      <c r="G65" s="16">
        <v>2554583773</v>
      </c>
    </row>
    <row r="66" spans="1:7" x14ac:dyDescent="0.2">
      <c r="A66" s="12" t="s">
        <v>62</v>
      </c>
      <c r="B66" s="13" t="str">
        <f>'Just Value All Property Types'!B66</f>
        <v>R-Final</v>
      </c>
      <c r="C66" s="14">
        <v>2158933922</v>
      </c>
      <c r="D66" s="15">
        <f t="shared" si="0"/>
        <v>0.14181106578805724</v>
      </c>
      <c r="E66" s="14">
        <v>1890797862</v>
      </c>
      <c r="F66" s="15">
        <f t="shared" si="0"/>
        <v>0.13726817696841281</v>
      </c>
      <c r="G66" s="16">
        <v>1662578713</v>
      </c>
    </row>
    <row r="67" spans="1:7" x14ac:dyDescent="0.2">
      <c r="A67" s="12" t="s">
        <v>63</v>
      </c>
      <c r="B67" s="13" t="str">
        <f>'Just Value All Property Types'!B67</f>
        <v>R-Final</v>
      </c>
      <c r="C67" s="14">
        <v>899696361</v>
      </c>
      <c r="D67" s="15">
        <f t="shared" si="0"/>
        <v>9.941383299150798E-2</v>
      </c>
      <c r="E67" s="14">
        <v>818341860</v>
      </c>
      <c r="F67" s="15">
        <f t="shared" si="0"/>
        <v>1.8380489070835594E-2</v>
      </c>
      <c r="G67" s="16">
        <v>803571817</v>
      </c>
    </row>
    <row r="68" spans="1:7" x14ac:dyDescent="0.2">
      <c r="A68" s="12" t="s">
        <v>64</v>
      </c>
      <c r="B68" s="13" t="str">
        <f>'Just Value All Property Types'!B68</f>
        <v>R-NVAB</v>
      </c>
      <c r="C68" s="14">
        <v>80184171942</v>
      </c>
      <c r="D68" s="15">
        <f t="shared" si="0"/>
        <v>0.24895602824472937</v>
      </c>
      <c r="E68" s="14">
        <v>64200956742</v>
      </c>
      <c r="F68" s="15">
        <f t="shared" si="0"/>
        <v>7.3927496193741393E-2</v>
      </c>
      <c r="G68" s="16">
        <v>59781462873</v>
      </c>
    </row>
    <row r="69" spans="1:7" x14ac:dyDescent="0.2">
      <c r="A69" s="12" t="s">
        <v>65</v>
      </c>
      <c r="B69" s="13" t="str">
        <f>'Just Value All Property Types'!B69</f>
        <v>R-Final</v>
      </c>
      <c r="C69" s="14">
        <v>3364010585</v>
      </c>
      <c r="D69" s="15">
        <f t="shared" si="0"/>
        <v>0.14182817208218423</v>
      </c>
      <c r="E69" s="14">
        <v>2946161837</v>
      </c>
      <c r="F69" s="15">
        <f t="shared" si="0"/>
        <v>7.395745265997053E-2</v>
      </c>
      <c r="G69" s="16">
        <v>2743276123</v>
      </c>
    </row>
    <row r="70" spans="1:7" x14ac:dyDescent="0.2">
      <c r="A70" s="12" t="s">
        <v>66</v>
      </c>
      <c r="B70" s="13" t="str">
        <f>'Just Value All Property Types'!B70</f>
        <v>R-NVAB</v>
      </c>
      <c r="C70" s="14">
        <v>44520458971</v>
      </c>
      <c r="D70" s="15">
        <f t="shared" ref="D70:F73" si="1">((C70-E70)/E70)</f>
        <v>0.45704357397641571</v>
      </c>
      <c r="E70" s="14">
        <v>30555338060</v>
      </c>
      <c r="F70" s="15">
        <f t="shared" si="1"/>
        <v>0.15549901571732863</v>
      </c>
      <c r="G70" s="16">
        <v>26443413317</v>
      </c>
    </row>
    <row r="71" spans="1:7" x14ac:dyDescent="0.2">
      <c r="A71" s="12" t="s">
        <v>67</v>
      </c>
      <c r="B71" s="13" t="str">
        <f>'Just Value All Property Types'!B71</f>
        <v>R-Final</v>
      </c>
      <c r="C71" s="14">
        <v>1916439095</v>
      </c>
      <c r="D71" s="15">
        <f t="shared" si="1"/>
        <v>0.20693606882495785</v>
      </c>
      <c r="E71" s="14">
        <v>1587854688</v>
      </c>
      <c r="F71" s="15">
        <f t="shared" si="1"/>
        <v>9.2278957334257047E-2</v>
      </c>
      <c r="G71" s="16">
        <v>1453708027</v>
      </c>
    </row>
    <row r="72" spans="1:7" x14ac:dyDescent="0.2">
      <c r="A72" s="18"/>
      <c r="B72" s="19"/>
      <c r="C72" s="14"/>
      <c r="D72" s="20"/>
      <c r="E72" s="14"/>
      <c r="F72" s="20"/>
      <c r="G72" s="16"/>
    </row>
    <row r="73" spans="1:7" ht="15.75" thickBot="1" x14ac:dyDescent="0.3">
      <c r="A73" s="21" t="s">
        <v>68</v>
      </c>
      <c r="B73" s="22"/>
      <c r="C73" s="23">
        <f>SUM(C5:C71)</f>
        <v>3965291697543</v>
      </c>
      <c r="D73" s="24">
        <f t="shared" si="1"/>
        <v>0.27492485604822164</v>
      </c>
      <c r="E73" s="23">
        <f>SUM(E5:E71)</f>
        <v>3110216008992</v>
      </c>
      <c r="F73" s="24">
        <f t="shared" si="1"/>
        <v>7.1217110511684736E-2</v>
      </c>
      <c r="G73" s="25">
        <f>SUM(G5:G71)</f>
        <v>2903441308463</v>
      </c>
    </row>
    <row r="75" spans="1:7" x14ac:dyDescent="0.2">
      <c r="A75" s="26" t="s">
        <v>84</v>
      </c>
    </row>
  </sheetData>
  <phoneticPr fontId="3" type="noConversion"/>
  <conditionalFormatting sqref="A75">
    <cfRule type="expression" dxfId="12" priority="7" stopIfTrue="1">
      <formula>MOD(ROW(),5)=1</formula>
    </cfRule>
  </conditionalFormatting>
  <conditionalFormatting sqref="A4:G73">
    <cfRule type="expression" dxfId="11"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6" ht="23.25" x14ac:dyDescent="0.35">
      <c r="A1" s="7" t="s">
        <v>70</v>
      </c>
      <c r="B1" s="8"/>
      <c r="C1" s="9"/>
      <c r="D1" s="8"/>
      <c r="E1" s="9"/>
      <c r="F1" s="8"/>
      <c r="G1" s="9"/>
    </row>
    <row r="2" spans="1:16" ht="15" x14ac:dyDescent="0.25">
      <c r="A2" s="10" t="s">
        <v>91</v>
      </c>
      <c r="B2" s="10"/>
      <c r="C2" s="10"/>
      <c r="D2" s="10"/>
      <c r="E2" s="10"/>
      <c r="F2" s="10"/>
      <c r="G2" s="10"/>
    </row>
    <row r="3" spans="1:16" ht="15" thickBot="1" x14ac:dyDescent="0.25"/>
    <row r="4" spans="1:16" s="36" customFormat="1" ht="25.5" x14ac:dyDescent="0.2">
      <c r="A4" s="33" t="s">
        <v>0</v>
      </c>
      <c r="B4" s="34" t="s">
        <v>1</v>
      </c>
      <c r="C4" s="37" t="s">
        <v>90</v>
      </c>
      <c r="D4" s="37" t="s">
        <v>89</v>
      </c>
      <c r="E4" s="37" t="s">
        <v>82</v>
      </c>
      <c r="F4" s="37" t="s">
        <v>83</v>
      </c>
      <c r="G4" s="38" t="s">
        <v>81</v>
      </c>
    </row>
    <row r="5" spans="1:16" x14ac:dyDescent="0.2">
      <c r="A5" s="12" t="s">
        <v>4</v>
      </c>
      <c r="B5" s="13" t="s">
        <v>93</v>
      </c>
      <c r="C5" s="14">
        <v>4038801731</v>
      </c>
      <c r="D5" s="15">
        <f>((C5-E5)/E5)</f>
        <v>1.552403964383285E-2</v>
      </c>
      <c r="E5" s="14">
        <v>3977061668</v>
      </c>
      <c r="F5" s="15">
        <f>((E5-G5)/G5)</f>
        <v>7.369676991411504E-5</v>
      </c>
      <c r="G5" s="16">
        <v>3976768593</v>
      </c>
    </row>
    <row r="6" spans="1:16" x14ac:dyDescent="0.2">
      <c r="A6" s="12" t="s">
        <v>5</v>
      </c>
      <c r="B6" s="13" t="s">
        <v>94</v>
      </c>
      <c r="C6" s="14">
        <v>232958932</v>
      </c>
      <c r="D6" s="15">
        <f t="shared" ref="D6:F69" si="0">((C6-E6)/E6)</f>
        <v>9.2222391038619275E-2</v>
      </c>
      <c r="E6" s="14">
        <v>213288918</v>
      </c>
      <c r="F6" s="15">
        <f t="shared" si="0"/>
        <v>0.13349447789182711</v>
      </c>
      <c r="G6" s="16">
        <v>188169349</v>
      </c>
    </row>
    <row r="7" spans="1:16" x14ac:dyDescent="0.2">
      <c r="A7" s="12" t="s">
        <v>6</v>
      </c>
      <c r="B7" s="13" t="s">
        <v>93</v>
      </c>
      <c r="C7" s="14">
        <v>2303008079</v>
      </c>
      <c r="D7" s="15">
        <f t="shared" si="0"/>
        <v>2.2067133529200415E-2</v>
      </c>
      <c r="E7" s="14">
        <v>2253284548</v>
      </c>
      <c r="F7" s="15">
        <f t="shared" si="0"/>
        <v>3.6358323677384508E-2</v>
      </c>
      <c r="G7" s="16">
        <v>2174233078</v>
      </c>
      <c r="P7" s="17"/>
    </row>
    <row r="8" spans="1:16" x14ac:dyDescent="0.2">
      <c r="A8" s="12" t="s">
        <v>7</v>
      </c>
      <c r="B8" s="13" t="s">
        <v>94</v>
      </c>
      <c r="C8" s="14">
        <v>342691925</v>
      </c>
      <c r="D8" s="15">
        <f t="shared" si="0"/>
        <v>0.21050419758137753</v>
      </c>
      <c r="E8" s="14">
        <v>283098502</v>
      </c>
      <c r="F8" s="15">
        <f t="shared" si="0"/>
        <v>5.770104699955899E-2</v>
      </c>
      <c r="G8" s="16">
        <v>267654554</v>
      </c>
      <c r="P8" s="17"/>
    </row>
    <row r="9" spans="1:16" x14ac:dyDescent="0.2">
      <c r="A9" s="12" t="s">
        <v>8</v>
      </c>
      <c r="B9" s="13" t="s">
        <v>93</v>
      </c>
      <c r="C9" s="14">
        <v>10579694118</v>
      </c>
      <c r="D9" s="15">
        <f t="shared" si="0"/>
        <v>3.5113266330508375E-2</v>
      </c>
      <c r="E9" s="14">
        <v>10220808159</v>
      </c>
      <c r="F9" s="15">
        <f t="shared" si="0"/>
        <v>2.8681099853593076E-2</v>
      </c>
      <c r="G9" s="16">
        <v>9935837414</v>
      </c>
      <c r="P9" s="17"/>
    </row>
    <row r="10" spans="1:16" x14ac:dyDescent="0.2">
      <c r="A10" s="12" t="s">
        <v>9</v>
      </c>
      <c r="B10" s="13" t="s">
        <v>93</v>
      </c>
      <c r="C10" s="14">
        <v>10606161209</v>
      </c>
      <c r="D10" s="15">
        <f t="shared" si="0"/>
        <v>5.4948569534882127E-2</v>
      </c>
      <c r="E10" s="14">
        <v>10053723485</v>
      </c>
      <c r="F10" s="15">
        <f t="shared" si="0"/>
        <v>-7.0824044108164395E-3</v>
      </c>
      <c r="G10" s="16">
        <v>10125435917</v>
      </c>
      <c r="P10" s="17"/>
    </row>
    <row r="11" spans="1:16" x14ac:dyDescent="0.2">
      <c r="A11" s="12" t="s">
        <v>10</v>
      </c>
      <c r="B11" s="13" t="s">
        <v>94</v>
      </c>
      <c r="C11" s="14">
        <v>135274404</v>
      </c>
      <c r="D11" s="15">
        <f t="shared" si="0"/>
        <v>1.4178651121081881E-2</v>
      </c>
      <c r="E11" s="14">
        <v>133383210</v>
      </c>
      <c r="F11" s="15">
        <f t="shared" si="0"/>
        <v>6.2443870672006498E-2</v>
      </c>
      <c r="G11" s="16">
        <v>125543771</v>
      </c>
      <c r="P11" s="17"/>
    </row>
    <row r="12" spans="1:16" x14ac:dyDescent="0.2">
      <c r="A12" s="12" t="s">
        <v>11</v>
      </c>
      <c r="B12" s="13" t="s">
        <v>93</v>
      </c>
      <c r="C12" s="14">
        <v>1570192818</v>
      </c>
      <c r="D12" s="15">
        <f t="shared" si="0"/>
        <v>0.103452958260897</v>
      </c>
      <c r="E12" s="14">
        <v>1422981203</v>
      </c>
      <c r="F12" s="15">
        <f t="shared" si="0"/>
        <v>-4.2823319201577593E-2</v>
      </c>
      <c r="G12" s="16">
        <v>1486644244</v>
      </c>
      <c r="P12" s="17"/>
    </row>
    <row r="13" spans="1:16" x14ac:dyDescent="0.2">
      <c r="A13" s="12" t="s">
        <v>12</v>
      </c>
      <c r="B13" s="13" t="s">
        <v>93</v>
      </c>
      <c r="C13" s="14">
        <v>3776194445</v>
      </c>
      <c r="D13" s="15">
        <f t="shared" si="0"/>
        <v>-5.0961718199075919E-2</v>
      </c>
      <c r="E13" s="14">
        <v>3978969571</v>
      </c>
      <c r="F13" s="15">
        <f t="shared" si="0"/>
        <v>3.1445079489271954E-3</v>
      </c>
      <c r="G13" s="16">
        <v>3966496890</v>
      </c>
      <c r="P13" s="17"/>
    </row>
    <row r="14" spans="1:16" x14ac:dyDescent="0.2">
      <c r="A14" s="12" t="s">
        <v>13</v>
      </c>
      <c r="B14" s="13" t="s">
        <v>93</v>
      </c>
      <c r="C14" s="14">
        <v>1626212946</v>
      </c>
      <c r="D14" s="15">
        <f t="shared" si="0"/>
        <v>5.5539916549154078E-2</v>
      </c>
      <c r="E14" s="14">
        <v>1540645617</v>
      </c>
      <c r="F14" s="15">
        <f t="shared" si="0"/>
        <v>4.756940777670049E-2</v>
      </c>
      <c r="G14" s="16">
        <v>1470685957</v>
      </c>
      <c r="P14" s="17"/>
    </row>
    <row r="15" spans="1:16" x14ac:dyDescent="0.2">
      <c r="A15" s="12" t="s">
        <v>14</v>
      </c>
      <c r="B15" s="13" t="s">
        <v>93</v>
      </c>
      <c r="C15" s="14">
        <v>3052589486</v>
      </c>
      <c r="D15" s="15">
        <f t="shared" si="0"/>
        <v>7.6587646706918061E-2</v>
      </c>
      <c r="E15" s="14">
        <v>2835430534</v>
      </c>
      <c r="F15" s="15">
        <f t="shared" si="0"/>
        <v>2.9096393817942424E-2</v>
      </c>
      <c r="G15" s="16">
        <v>2755262336</v>
      </c>
      <c r="P15" s="17"/>
    </row>
    <row r="16" spans="1:16" x14ac:dyDescent="0.2">
      <c r="A16" s="12" t="s">
        <v>15</v>
      </c>
      <c r="B16" s="13" t="s">
        <v>93</v>
      </c>
      <c r="C16" s="14">
        <v>828919195</v>
      </c>
      <c r="D16" s="15">
        <f t="shared" si="0"/>
        <v>0.20027382087629081</v>
      </c>
      <c r="E16" s="14">
        <v>690608410</v>
      </c>
      <c r="F16" s="15">
        <f t="shared" si="0"/>
        <v>0.23653100918086414</v>
      </c>
      <c r="G16" s="16">
        <v>558504724</v>
      </c>
      <c r="P16" s="17"/>
    </row>
    <row r="17" spans="1:16" x14ac:dyDescent="0.2">
      <c r="A17" s="12" t="s">
        <v>78</v>
      </c>
      <c r="B17" s="13" t="s">
        <v>93</v>
      </c>
      <c r="C17" s="14">
        <v>20346872678</v>
      </c>
      <c r="D17" s="15">
        <f t="shared" si="0"/>
        <v>8.3056531110785384E-2</v>
      </c>
      <c r="E17" s="14">
        <v>18786528767</v>
      </c>
      <c r="F17" s="15">
        <f t="shared" si="0"/>
        <v>5.1800095145870632E-2</v>
      </c>
      <c r="G17" s="16">
        <v>17861311150</v>
      </c>
      <c r="P17" s="17"/>
    </row>
    <row r="18" spans="1:16" x14ac:dyDescent="0.2">
      <c r="A18" s="12" t="s">
        <v>16</v>
      </c>
      <c r="B18" s="13" t="s">
        <v>93</v>
      </c>
      <c r="C18" s="14">
        <v>756796626</v>
      </c>
      <c r="D18" s="15">
        <f t="shared" si="0"/>
        <v>7.8425295287143884E-2</v>
      </c>
      <c r="E18" s="14">
        <v>701760826</v>
      </c>
      <c r="F18" s="15">
        <f t="shared" si="0"/>
        <v>-2.3056716953552745E-2</v>
      </c>
      <c r="G18" s="16">
        <v>718322996</v>
      </c>
      <c r="P18" s="17"/>
    </row>
    <row r="19" spans="1:16" x14ac:dyDescent="0.2">
      <c r="A19" s="12" t="s">
        <v>17</v>
      </c>
      <c r="B19" s="13" t="s">
        <v>94</v>
      </c>
      <c r="C19" s="14">
        <v>98408399</v>
      </c>
      <c r="D19" s="15">
        <f t="shared" si="0"/>
        <v>4.844850588862943E-2</v>
      </c>
      <c r="E19" s="14">
        <v>93860975</v>
      </c>
      <c r="F19" s="15">
        <f t="shared" si="0"/>
        <v>7.4569177106016578E-3</v>
      </c>
      <c r="G19" s="16">
        <v>93166242</v>
      </c>
      <c r="P19" s="17"/>
    </row>
    <row r="20" spans="1:16" x14ac:dyDescent="0.2">
      <c r="A20" s="12" t="s">
        <v>18</v>
      </c>
      <c r="B20" s="13" t="s">
        <v>93</v>
      </c>
      <c r="C20" s="14">
        <v>15197670104</v>
      </c>
      <c r="D20" s="15">
        <f t="shared" si="0"/>
        <v>3.6374532148718018E-2</v>
      </c>
      <c r="E20" s="14">
        <v>14664264349</v>
      </c>
      <c r="F20" s="15">
        <f t="shared" si="0"/>
        <v>5.8690516275804495E-3</v>
      </c>
      <c r="G20" s="16">
        <v>14578701199</v>
      </c>
      <c r="P20" s="17"/>
    </row>
    <row r="21" spans="1:16" x14ac:dyDescent="0.2">
      <c r="A21" s="12" t="s">
        <v>19</v>
      </c>
      <c r="B21" s="13" t="s">
        <v>93</v>
      </c>
      <c r="C21" s="14">
        <v>3885854736</v>
      </c>
      <c r="D21" s="15">
        <f t="shared" si="0"/>
        <v>0.17931541629740058</v>
      </c>
      <c r="E21" s="14">
        <v>3295008852</v>
      </c>
      <c r="F21" s="15">
        <f t="shared" si="0"/>
        <v>0.10951568975239391</v>
      </c>
      <c r="G21" s="16">
        <v>2969772201</v>
      </c>
      <c r="P21" s="17"/>
    </row>
    <row r="22" spans="1:16" x14ac:dyDescent="0.2">
      <c r="A22" s="12" t="s">
        <v>20</v>
      </c>
      <c r="B22" s="13" t="s">
        <v>93</v>
      </c>
      <c r="C22" s="14">
        <v>929516427</v>
      </c>
      <c r="D22" s="15">
        <f t="shared" si="0"/>
        <v>0.30738601561308343</v>
      </c>
      <c r="E22" s="14">
        <v>710973206</v>
      </c>
      <c r="F22" s="15">
        <f t="shared" si="0"/>
        <v>5.7665082689795498E-2</v>
      </c>
      <c r="G22" s="16">
        <v>672210152</v>
      </c>
      <c r="P22" s="17"/>
    </row>
    <row r="23" spans="1:16" x14ac:dyDescent="0.2">
      <c r="A23" s="12" t="s">
        <v>21</v>
      </c>
      <c r="B23" s="13" t="s">
        <v>94</v>
      </c>
      <c r="C23" s="14">
        <v>98222209</v>
      </c>
      <c r="D23" s="15">
        <f t="shared" si="0"/>
        <v>3.6122399865431594E-2</v>
      </c>
      <c r="E23" s="14">
        <v>94797882</v>
      </c>
      <c r="F23" s="15">
        <f t="shared" si="0"/>
        <v>0.14825188431980751</v>
      </c>
      <c r="G23" s="16">
        <v>82558438</v>
      </c>
      <c r="P23" s="17"/>
    </row>
    <row r="24" spans="1:16" x14ac:dyDescent="0.2">
      <c r="A24" s="12" t="s">
        <v>22</v>
      </c>
      <c r="B24" s="13" t="s">
        <v>94</v>
      </c>
      <c r="C24" s="14">
        <v>692110358</v>
      </c>
      <c r="D24" s="15">
        <f t="shared" si="0"/>
        <v>3.5267076988679098E-2</v>
      </c>
      <c r="E24" s="14">
        <v>668533148</v>
      </c>
      <c r="F24" s="15">
        <f t="shared" si="0"/>
        <v>7.3007328096911669E-2</v>
      </c>
      <c r="G24" s="16">
        <v>623046209</v>
      </c>
      <c r="P24" s="17"/>
    </row>
    <row r="25" spans="1:16" x14ac:dyDescent="0.2">
      <c r="A25" s="12" t="s">
        <v>23</v>
      </c>
      <c r="B25" s="13" t="s">
        <v>94</v>
      </c>
      <c r="C25" s="14">
        <v>336429545</v>
      </c>
      <c r="D25" s="15">
        <f t="shared" si="0"/>
        <v>8.0773584802934749E-3</v>
      </c>
      <c r="E25" s="14">
        <v>333733857</v>
      </c>
      <c r="F25" s="15">
        <f t="shared" si="0"/>
        <v>0.10057187788369963</v>
      </c>
      <c r="G25" s="16">
        <v>303236766</v>
      </c>
      <c r="P25" s="17"/>
    </row>
    <row r="26" spans="1:16" x14ac:dyDescent="0.2">
      <c r="A26" s="12" t="s">
        <v>24</v>
      </c>
      <c r="B26" s="13" t="s">
        <v>94</v>
      </c>
      <c r="C26" s="14">
        <v>171093068</v>
      </c>
      <c r="D26" s="15">
        <f t="shared" si="0"/>
        <v>9.3648162672711838E-2</v>
      </c>
      <c r="E26" s="14">
        <v>156442514</v>
      </c>
      <c r="F26" s="15">
        <f t="shared" si="0"/>
        <v>-3.105360128560844E-2</v>
      </c>
      <c r="G26" s="16">
        <v>161456314</v>
      </c>
      <c r="P26" s="17"/>
    </row>
    <row r="27" spans="1:16" x14ac:dyDescent="0.2">
      <c r="A27" s="12" t="s">
        <v>25</v>
      </c>
      <c r="B27" s="13" t="s">
        <v>94</v>
      </c>
      <c r="C27" s="14">
        <v>123725192</v>
      </c>
      <c r="D27" s="15">
        <f t="shared" si="0"/>
        <v>6.2520954645492843E-2</v>
      </c>
      <c r="E27" s="14">
        <v>116444943</v>
      </c>
      <c r="F27" s="15">
        <f t="shared" si="0"/>
        <v>8.9334398348562813E-2</v>
      </c>
      <c r="G27" s="16">
        <v>106895498</v>
      </c>
      <c r="P27" s="17"/>
    </row>
    <row r="28" spans="1:16" x14ac:dyDescent="0.2">
      <c r="A28" s="12" t="s">
        <v>26</v>
      </c>
      <c r="B28" s="13" t="s">
        <v>94</v>
      </c>
      <c r="C28" s="14">
        <v>689698075</v>
      </c>
      <c r="D28" s="15">
        <f t="shared" si="0"/>
        <v>7.9495363918373571E-2</v>
      </c>
      <c r="E28" s="14">
        <v>638907862</v>
      </c>
      <c r="F28" s="15">
        <f t="shared" si="0"/>
        <v>-3.2377759290650183E-2</v>
      </c>
      <c r="G28" s="16">
        <v>660286458</v>
      </c>
      <c r="P28" s="17"/>
    </row>
    <row r="29" spans="1:16" x14ac:dyDescent="0.2">
      <c r="A29" s="12" t="s">
        <v>27</v>
      </c>
      <c r="B29" s="13" t="s">
        <v>93</v>
      </c>
      <c r="C29" s="14">
        <v>958623609</v>
      </c>
      <c r="D29" s="15">
        <f t="shared" si="0"/>
        <v>0.13416523823062854</v>
      </c>
      <c r="E29" s="14">
        <v>845223938</v>
      </c>
      <c r="F29" s="15">
        <f t="shared" si="0"/>
        <v>2.5089688805216514E-2</v>
      </c>
      <c r="G29" s="16">
        <v>824536572</v>
      </c>
      <c r="P29" s="17"/>
    </row>
    <row r="30" spans="1:16" x14ac:dyDescent="0.2">
      <c r="A30" s="12" t="s">
        <v>28</v>
      </c>
      <c r="B30" s="13" t="s">
        <v>93</v>
      </c>
      <c r="C30" s="14">
        <v>1245242653</v>
      </c>
      <c r="D30" s="15">
        <f t="shared" si="0"/>
        <v>0.27611159990894579</v>
      </c>
      <c r="E30" s="14">
        <v>975810151</v>
      </c>
      <c r="F30" s="15">
        <f t="shared" si="0"/>
        <v>5.0164083740642108E-2</v>
      </c>
      <c r="G30" s="16">
        <v>929197795</v>
      </c>
      <c r="P30" s="17"/>
    </row>
    <row r="31" spans="1:16" x14ac:dyDescent="0.2">
      <c r="A31" s="12" t="s">
        <v>29</v>
      </c>
      <c r="B31" s="13" t="s">
        <v>93</v>
      </c>
      <c r="C31" s="14">
        <v>1883804358</v>
      </c>
      <c r="D31" s="15">
        <f t="shared" si="0"/>
        <v>3.9260745563415494E-2</v>
      </c>
      <c r="E31" s="14">
        <v>1812638807</v>
      </c>
      <c r="F31" s="15">
        <f t="shared" si="0"/>
        <v>2.6145481034618973E-2</v>
      </c>
      <c r="G31" s="16">
        <v>1766454017</v>
      </c>
      <c r="P31" s="17"/>
    </row>
    <row r="32" spans="1:16" x14ac:dyDescent="0.2">
      <c r="A32" s="12" t="s">
        <v>30</v>
      </c>
      <c r="B32" s="13" t="s">
        <v>93</v>
      </c>
      <c r="C32" s="14">
        <v>749240212</v>
      </c>
      <c r="D32" s="15">
        <f t="shared" si="0"/>
        <v>9.06612471716268E-3</v>
      </c>
      <c r="E32" s="14">
        <v>742508537</v>
      </c>
      <c r="F32" s="15">
        <f t="shared" si="0"/>
        <v>3.7392912453276847E-2</v>
      </c>
      <c r="G32" s="16">
        <v>715744756</v>
      </c>
      <c r="P32" s="17"/>
    </row>
    <row r="33" spans="1:16" x14ac:dyDescent="0.2">
      <c r="A33" s="12" t="s">
        <v>31</v>
      </c>
      <c r="B33" s="13" t="s">
        <v>93</v>
      </c>
      <c r="C33" s="14">
        <v>12576742750</v>
      </c>
      <c r="D33" s="15">
        <f t="shared" si="0"/>
        <v>6.3047451633168383E-2</v>
      </c>
      <c r="E33" s="14">
        <v>11830838530</v>
      </c>
      <c r="F33" s="15">
        <f t="shared" si="0"/>
        <v>1.1505777479070427E-2</v>
      </c>
      <c r="G33" s="16">
        <v>11696263920</v>
      </c>
      <c r="P33" s="17"/>
    </row>
    <row r="34" spans="1:16" x14ac:dyDescent="0.2">
      <c r="A34" s="12" t="s">
        <v>32</v>
      </c>
      <c r="B34" s="13" t="s">
        <v>94</v>
      </c>
      <c r="C34" s="14">
        <v>109194421</v>
      </c>
      <c r="D34" s="15">
        <f t="shared" si="0"/>
        <v>9.2835745401098221E-2</v>
      </c>
      <c r="E34" s="14">
        <v>99918420</v>
      </c>
      <c r="F34" s="15">
        <f t="shared" si="0"/>
        <v>1.7255499812855422E-2</v>
      </c>
      <c r="G34" s="16">
        <v>98223524</v>
      </c>
      <c r="P34" s="17"/>
    </row>
    <row r="35" spans="1:16" x14ac:dyDescent="0.2">
      <c r="A35" s="12" t="s">
        <v>33</v>
      </c>
      <c r="B35" s="13" t="s">
        <v>93</v>
      </c>
      <c r="C35" s="14">
        <v>986160779</v>
      </c>
      <c r="D35" s="15">
        <f t="shared" si="0"/>
        <v>0.15911894269958873</v>
      </c>
      <c r="E35" s="14">
        <v>850784801</v>
      </c>
      <c r="F35" s="15">
        <f t="shared" si="0"/>
        <v>6.0840393146742396E-2</v>
      </c>
      <c r="G35" s="16">
        <v>801991333</v>
      </c>
      <c r="P35" s="17"/>
    </row>
    <row r="36" spans="1:16" x14ac:dyDescent="0.2">
      <c r="A36" s="12" t="s">
        <v>34</v>
      </c>
      <c r="B36" s="13" t="s">
        <v>94</v>
      </c>
      <c r="C36" s="14">
        <v>498662334</v>
      </c>
      <c r="D36" s="15">
        <f t="shared" si="0"/>
        <v>9.3874417048345871E-2</v>
      </c>
      <c r="E36" s="14">
        <v>455867992</v>
      </c>
      <c r="F36" s="15">
        <f t="shared" si="0"/>
        <v>0.13573095272992064</v>
      </c>
      <c r="G36" s="16">
        <v>401387310</v>
      </c>
      <c r="P36" s="17"/>
    </row>
    <row r="37" spans="1:16" x14ac:dyDescent="0.2">
      <c r="A37" s="12" t="s">
        <v>35</v>
      </c>
      <c r="B37" s="13" t="s">
        <v>93</v>
      </c>
      <c r="C37" s="14">
        <v>189245441</v>
      </c>
      <c r="D37" s="15">
        <f t="shared" si="0"/>
        <v>0.10631401861479414</v>
      </c>
      <c r="E37" s="14">
        <v>171059426</v>
      </c>
      <c r="F37" s="15">
        <f t="shared" si="0"/>
        <v>-2.0694737262496782E-2</v>
      </c>
      <c r="G37" s="16">
        <v>174674264</v>
      </c>
      <c r="P37" s="17"/>
    </row>
    <row r="38" spans="1:16" x14ac:dyDescent="0.2">
      <c r="A38" s="12" t="s">
        <v>36</v>
      </c>
      <c r="B38" s="13" t="s">
        <v>94</v>
      </c>
      <c r="C38" s="14">
        <v>78754649</v>
      </c>
      <c r="D38" s="15">
        <f t="shared" si="0"/>
        <v>7.4685070702666223E-2</v>
      </c>
      <c r="E38" s="14">
        <v>73281607</v>
      </c>
      <c r="F38" s="15">
        <f t="shared" si="0"/>
        <v>2.2606033114907727E-2</v>
      </c>
      <c r="G38" s="16">
        <v>71661622</v>
      </c>
      <c r="P38" s="17"/>
    </row>
    <row r="39" spans="1:16" x14ac:dyDescent="0.2">
      <c r="A39" s="12" t="s">
        <v>37</v>
      </c>
      <c r="B39" s="13" t="s">
        <v>93</v>
      </c>
      <c r="C39" s="14">
        <v>2374162521</v>
      </c>
      <c r="D39" s="15">
        <f t="shared" si="0"/>
        <v>0.13206232023539169</v>
      </c>
      <c r="E39" s="14">
        <v>2097201257</v>
      </c>
      <c r="F39" s="15">
        <f t="shared" si="0"/>
        <v>2.9036285451401389E-3</v>
      </c>
      <c r="G39" s="16">
        <v>2091129394</v>
      </c>
      <c r="P39" s="17"/>
    </row>
    <row r="40" spans="1:16" x14ac:dyDescent="0.2">
      <c r="A40" s="12" t="s">
        <v>38</v>
      </c>
      <c r="B40" s="13" t="s">
        <v>93</v>
      </c>
      <c r="C40" s="14">
        <v>6205744975</v>
      </c>
      <c r="D40" s="15">
        <f t="shared" si="0"/>
        <v>6.2716133413311434E-2</v>
      </c>
      <c r="E40" s="14">
        <v>5839513281</v>
      </c>
      <c r="F40" s="15">
        <f t="shared" si="0"/>
        <v>5.3300094903918366E-3</v>
      </c>
      <c r="G40" s="16">
        <v>5808553635</v>
      </c>
      <c r="P40" s="17"/>
    </row>
    <row r="41" spans="1:16" x14ac:dyDescent="0.2">
      <c r="A41" s="12" t="s">
        <v>39</v>
      </c>
      <c r="B41" s="13" t="s">
        <v>93</v>
      </c>
      <c r="C41" s="14">
        <v>2255398160</v>
      </c>
      <c r="D41" s="15">
        <f t="shared" si="0"/>
        <v>2.5546816276957065E-2</v>
      </c>
      <c r="E41" s="14">
        <v>2199215213</v>
      </c>
      <c r="F41" s="15">
        <f t="shared" si="0"/>
        <v>7.2654107521198516E-3</v>
      </c>
      <c r="G41" s="16">
        <v>2183352262</v>
      </c>
      <c r="P41" s="17"/>
    </row>
    <row r="42" spans="1:16" x14ac:dyDescent="0.2">
      <c r="A42" s="12" t="s">
        <v>40</v>
      </c>
      <c r="B42" s="13" t="s">
        <v>94</v>
      </c>
      <c r="C42" s="14">
        <v>401875932</v>
      </c>
      <c r="D42" s="15">
        <f t="shared" si="0"/>
        <v>-2.801195214923189E-2</v>
      </c>
      <c r="E42" s="14">
        <v>413457689</v>
      </c>
      <c r="F42" s="15">
        <f t="shared" si="0"/>
        <v>-2.9068733399745163E-3</v>
      </c>
      <c r="G42" s="16">
        <v>414663062</v>
      </c>
      <c r="P42" s="17"/>
    </row>
    <row r="43" spans="1:16" x14ac:dyDescent="0.2">
      <c r="A43" s="12" t="s">
        <v>41</v>
      </c>
      <c r="B43" s="13" t="s">
        <v>94</v>
      </c>
      <c r="C43" s="14">
        <v>149058826</v>
      </c>
      <c r="D43" s="15">
        <f t="shared" si="0"/>
        <v>0.11003595462030637</v>
      </c>
      <c r="E43" s="14">
        <v>134282881</v>
      </c>
      <c r="F43" s="15">
        <f t="shared" si="0"/>
        <v>0.21309961015331025</v>
      </c>
      <c r="G43" s="16">
        <v>110694027</v>
      </c>
      <c r="P43" s="17"/>
    </row>
    <row r="44" spans="1:16" x14ac:dyDescent="0.2">
      <c r="A44" s="12" t="s">
        <v>42</v>
      </c>
      <c r="B44" s="13" t="s">
        <v>93</v>
      </c>
      <c r="C44" s="14">
        <v>244653723</v>
      </c>
      <c r="D44" s="15">
        <f t="shared" si="0"/>
        <v>0.10525709831477534</v>
      </c>
      <c r="E44" s="14">
        <v>221354582</v>
      </c>
      <c r="F44" s="15">
        <f t="shared" si="0"/>
        <v>9.8291458549043573E-2</v>
      </c>
      <c r="G44" s="16">
        <v>201544481</v>
      </c>
      <c r="P44" s="17"/>
    </row>
    <row r="45" spans="1:16" x14ac:dyDescent="0.2">
      <c r="A45" s="12" t="s">
        <v>43</v>
      </c>
      <c r="B45" s="13" t="s">
        <v>93</v>
      </c>
      <c r="C45" s="14">
        <v>4235107593</v>
      </c>
      <c r="D45" s="15">
        <f t="shared" si="0"/>
        <v>0.1430400267358016</v>
      </c>
      <c r="E45" s="14">
        <v>3705126237</v>
      </c>
      <c r="F45" s="15">
        <f t="shared" si="0"/>
        <v>4.9799968964833879E-3</v>
      </c>
      <c r="G45" s="16">
        <v>3686766153</v>
      </c>
      <c r="P45" s="17"/>
    </row>
    <row r="46" spans="1:16" x14ac:dyDescent="0.2">
      <c r="A46" s="12" t="s">
        <v>44</v>
      </c>
      <c r="B46" s="13" t="s">
        <v>93</v>
      </c>
      <c r="C46" s="14">
        <v>2288819597</v>
      </c>
      <c r="D46" s="15">
        <f t="shared" si="0"/>
        <v>8.7025965721464441E-2</v>
      </c>
      <c r="E46" s="14">
        <v>2105579507</v>
      </c>
      <c r="F46" s="15">
        <f t="shared" si="0"/>
        <v>4.6514923276081248E-2</v>
      </c>
      <c r="G46" s="16">
        <v>2011991860</v>
      </c>
      <c r="P46" s="17"/>
    </row>
    <row r="47" spans="1:16" x14ac:dyDescent="0.2">
      <c r="A47" s="12" t="s">
        <v>45</v>
      </c>
      <c r="B47" s="13" t="s">
        <v>93</v>
      </c>
      <c r="C47" s="14">
        <v>3295287587</v>
      </c>
      <c r="D47" s="15">
        <f t="shared" si="0"/>
        <v>3.436809533722493E-2</v>
      </c>
      <c r="E47" s="14">
        <v>3185797785</v>
      </c>
      <c r="F47" s="15">
        <f t="shared" si="0"/>
        <v>2.5301352153031125E-2</v>
      </c>
      <c r="G47" s="16">
        <v>3107181882</v>
      </c>
      <c r="P47" s="17"/>
    </row>
    <row r="48" spans="1:16" x14ac:dyDescent="0.2">
      <c r="A48" s="12" t="s">
        <v>46</v>
      </c>
      <c r="B48" s="13" t="s">
        <v>93</v>
      </c>
      <c r="C48" s="14">
        <v>957309313</v>
      </c>
      <c r="D48" s="15">
        <f t="shared" si="0"/>
        <v>5.7732448783262801E-2</v>
      </c>
      <c r="E48" s="14">
        <v>905058093</v>
      </c>
      <c r="F48" s="15">
        <f t="shared" si="0"/>
        <v>5.8603116382273668E-2</v>
      </c>
      <c r="G48" s="16">
        <v>854955062</v>
      </c>
      <c r="P48" s="17"/>
    </row>
    <row r="49" spans="1:16" x14ac:dyDescent="0.2">
      <c r="A49" s="12" t="s">
        <v>47</v>
      </c>
      <c r="B49" s="13" t="s">
        <v>93</v>
      </c>
      <c r="C49" s="14">
        <v>1647244221</v>
      </c>
      <c r="D49" s="15">
        <f t="shared" si="0"/>
        <v>0.10081478911007466</v>
      </c>
      <c r="E49" s="14">
        <v>1496386347</v>
      </c>
      <c r="F49" s="15">
        <f t="shared" si="0"/>
        <v>8.8033499097495832E-2</v>
      </c>
      <c r="G49" s="16">
        <v>1375312753</v>
      </c>
      <c r="P49" s="17"/>
    </row>
    <row r="50" spans="1:16" x14ac:dyDescent="0.2">
      <c r="A50" s="12" t="s">
        <v>48</v>
      </c>
      <c r="B50" s="13" t="s">
        <v>93</v>
      </c>
      <c r="C50" s="14">
        <v>1083019731</v>
      </c>
      <c r="D50" s="15">
        <f t="shared" si="0"/>
        <v>3.9993109052460757E-2</v>
      </c>
      <c r="E50" s="14">
        <v>1041372026</v>
      </c>
      <c r="F50" s="15">
        <f t="shared" si="0"/>
        <v>1.7379953206787594E-2</v>
      </c>
      <c r="G50" s="16">
        <v>1023582215</v>
      </c>
      <c r="P50" s="17"/>
    </row>
    <row r="51" spans="1:16" x14ac:dyDescent="0.2">
      <c r="A51" s="12" t="s">
        <v>49</v>
      </c>
      <c r="B51" s="13" t="s">
        <v>93</v>
      </c>
      <c r="C51" s="14">
        <v>1831780686</v>
      </c>
      <c r="D51" s="15">
        <f t="shared" si="0"/>
        <v>5.714501795402975E-2</v>
      </c>
      <c r="E51" s="14">
        <v>1732761972</v>
      </c>
      <c r="F51" s="15">
        <f t="shared" si="0"/>
        <v>9.5197563328637047E-2</v>
      </c>
      <c r="G51" s="16">
        <v>1582145569</v>
      </c>
      <c r="P51" s="17"/>
    </row>
    <row r="52" spans="1:16" x14ac:dyDescent="0.2">
      <c r="A52" s="12" t="s">
        <v>50</v>
      </c>
      <c r="B52" s="13" t="s">
        <v>93</v>
      </c>
      <c r="C52" s="14">
        <v>16640792005</v>
      </c>
      <c r="D52" s="15">
        <f t="shared" si="0"/>
        <v>-4.8841834787336702E-3</v>
      </c>
      <c r="E52" s="14">
        <v>16722467605</v>
      </c>
      <c r="F52" s="15">
        <f t="shared" si="0"/>
        <v>1.6817369724973667E-2</v>
      </c>
      <c r="G52" s="16">
        <v>16445890976</v>
      </c>
      <c r="P52" s="17"/>
    </row>
    <row r="53" spans="1:16" x14ac:dyDescent="0.2">
      <c r="A53" s="12" t="s">
        <v>51</v>
      </c>
      <c r="B53" s="13" t="s">
        <v>93</v>
      </c>
      <c r="C53" s="14">
        <v>3516169412</v>
      </c>
      <c r="D53" s="15">
        <f t="shared" si="0"/>
        <v>6.9456649735027201E-2</v>
      </c>
      <c r="E53" s="14">
        <v>3287809200</v>
      </c>
      <c r="F53" s="15">
        <f t="shared" si="0"/>
        <v>6.3391759890742888E-2</v>
      </c>
      <c r="G53" s="16">
        <v>3091813689</v>
      </c>
      <c r="P53" s="17"/>
    </row>
    <row r="54" spans="1:16" x14ac:dyDescent="0.2">
      <c r="A54" s="12" t="s">
        <v>52</v>
      </c>
      <c r="B54" s="13" t="s">
        <v>93</v>
      </c>
      <c r="C54" s="14">
        <v>12938963177</v>
      </c>
      <c r="D54" s="15">
        <f t="shared" si="0"/>
        <v>8.8764942329397037E-2</v>
      </c>
      <c r="E54" s="14">
        <v>11884074031</v>
      </c>
      <c r="F54" s="15">
        <f t="shared" si="0"/>
        <v>1.2516310674360553E-2</v>
      </c>
      <c r="G54" s="16">
        <v>11737167990</v>
      </c>
      <c r="P54" s="17"/>
    </row>
    <row r="55" spans="1:16" x14ac:dyDescent="0.2">
      <c r="A55" s="12" t="s">
        <v>53</v>
      </c>
      <c r="B55" s="13" t="s">
        <v>93</v>
      </c>
      <c r="C55" s="14">
        <v>3393989067</v>
      </c>
      <c r="D55" s="15">
        <f t="shared" si="0"/>
        <v>4.6517143727365325E-2</v>
      </c>
      <c r="E55" s="14">
        <v>3243128015</v>
      </c>
      <c r="F55" s="15">
        <f t="shared" si="0"/>
        <v>1.7126109908737051E-2</v>
      </c>
      <c r="G55" s="16">
        <v>3188521053</v>
      </c>
      <c r="P55" s="17"/>
    </row>
    <row r="56" spans="1:16" x14ac:dyDescent="0.2">
      <c r="A56" s="12" t="s">
        <v>54</v>
      </c>
      <c r="B56" s="13" t="s">
        <v>93</v>
      </c>
      <c r="C56" s="14">
        <v>6746739077</v>
      </c>
      <c r="D56" s="15">
        <f t="shared" si="0"/>
        <v>3.3907878540725078E-2</v>
      </c>
      <c r="E56" s="14">
        <v>6525474094</v>
      </c>
      <c r="F56" s="15">
        <f t="shared" si="0"/>
        <v>-3.5370107248856808E-2</v>
      </c>
      <c r="G56" s="16">
        <v>6764743808</v>
      </c>
      <c r="P56" s="17"/>
    </row>
    <row r="57" spans="1:16" x14ac:dyDescent="0.2">
      <c r="A57" s="12" t="s">
        <v>55</v>
      </c>
      <c r="B57" s="13" t="s">
        <v>93</v>
      </c>
      <c r="C57" s="14">
        <v>9070649937</v>
      </c>
      <c r="D57" s="15">
        <f t="shared" si="0"/>
        <v>0.10015586922446382</v>
      </c>
      <c r="E57" s="14">
        <v>8244877104</v>
      </c>
      <c r="F57" s="15">
        <f t="shared" si="0"/>
        <v>5.6450967318548664E-2</v>
      </c>
      <c r="G57" s="16">
        <v>7804315921</v>
      </c>
      <c r="P57" s="17"/>
    </row>
    <row r="58" spans="1:16" x14ac:dyDescent="0.2">
      <c r="A58" s="12" t="s">
        <v>56</v>
      </c>
      <c r="B58" s="13" t="s">
        <v>93</v>
      </c>
      <c r="C58" s="14">
        <v>2637816445</v>
      </c>
      <c r="D58" s="15">
        <f t="shared" si="0"/>
        <v>7.5824257613089502E-2</v>
      </c>
      <c r="E58" s="14">
        <v>2451902740</v>
      </c>
      <c r="F58" s="15">
        <f t="shared" si="0"/>
        <v>5.4805245017198877E-2</v>
      </c>
      <c r="G58" s="16">
        <v>2324507535</v>
      </c>
      <c r="P58" s="17"/>
    </row>
    <row r="59" spans="1:16" x14ac:dyDescent="0.2">
      <c r="A59" s="12" t="s">
        <v>2</v>
      </c>
      <c r="B59" s="13" t="s">
        <v>93</v>
      </c>
      <c r="C59" s="14">
        <v>1790200805</v>
      </c>
      <c r="D59" s="15">
        <f t="shared" si="0"/>
        <v>9.581378022486968E-2</v>
      </c>
      <c r="E59" s="14">
        <v>1633672470</v>
      </c>
      <c r="F59" s="15">
        <f t="shared" si="0"/>
        <v>5.8298082755416369E-2</v>
      </c>
      <c r="G59" s="16">
        <v>1543678947</v>
      </c>
      <c r="P59" s="17"/>
    </row>
    <row r="60" spans="1:16" x14ac:dyDescent="0.2">
      <c r="A60" s="12" t="s">
        <v>3</v>
      </c>
      <c r="B60" s="13" t="s">
        <v>93</v>
      </c>
      <c r="C60" s="14">
        <v>5684251243</v>
      </c>
      <c r="D60" s="15">
        <f t="shared" si="0"/>
        <v>2.9489219574665364E-2</v>
      </c>
      <c r="E60" s="14">
        <v>5521428622</v>
      </c>
      <c r="F60" s="15">
        <f t="shared" si="0"/>
        <v>1.6805995832258197E-3</v>
      </c>
      <c r="G60" s="16">
        <v>5512164880</v>
      </c>
      <c r="P60" s="17"/>
    </row>
    <row r="61" spans="1:16" x14ac:dyDescent="0.2">
      <c r="A61" s="12" t="s">
        <v>57</v>
      </c>
      <c r="B61" s="13" t="s">
        <v>93</v>
      </c>
      <c r="C61" s="14">
        <v>972826231</v>
      </c>
      <c r="D61" s="15">
        <f t="shared" si="0"/>
        <v>0.13536998402167394</v>
      </c>
      <c r="E61" s="14">
        <v>856836313</v>
      </c>
      <c r="F61" s="15">
        <f t="shared" si="0"/>
        <v>4.1008304201887412E-2</v>
      </c>
      <c r="G61" s="16">
        <v>823083072</v>
      </c>
      <c r="P61" s="17"/>
    </row>
    <row r="62" spans="1:16" x14ac:dyDescent="0.2">
      <c r="A62" s="12" t="s">
        <v>58</v>
      </c>
      <c r="B62" s="13" t="s">
        <v>93</v>
      </c>
      <c r="C62" s="14">
        <v>3194368239</v>
      </c>
      <c r="D62" s="15">
        <f t="shared" si="0"/>
        <v>8.1836519022359E-2</v>
      </c>
      <c r="E62" s="14">
        <v>2952727314</v>
      </c>
      <c r="F62" s="15">
        <f t="shared" si="0"/>
        <v>3.5804740312983085E-2</v>
      </c>
      <c r="G62" s="16">
        <v>2850660167</v>
      </c>
      <c r="P62" s="17"/>
    </row>
    <row r="63" spans="1:16" x14ac:dyDescent="0.2">
      <c r="A63" s="12" t="s">
        <v>59</v>
      </c>
      <c r="B63" s="13" t="s">
        <v>93</v>
      </c>
      <c r="C63" s="14">
        <v>3005420631</v>
      </c>
      <c r="D63" s="15">
        <f t="shared" si="0"/>
        <v>8.1182501193212894E-2</v>
      </c>
      <c r="E63" s="14">
        <v>2779753305</v>
      </c>
      <c r="F63" s="15">
        <f t="shared" si="0"/>
        <v>3.7059742771122429E-2</v>
      </c>
      <c r="G63" s="16">
        <v>2680417714</v>
      </c>
      <c r="P63" s="17"/>
    </row>
    <row r="64" spans="1:16" x14ac:dyDescent="0.2">
      <c r="A64" s="12" t="s">
        <v>60</v>
      </c>
      <c r="B64" s="13" t="s">
        <v>93</v>
      </c>
      <c r="C64" s="14">
        <v>1221849561</v>
      </c>
      <c r="D64" s="15">
        <f t="shared" si="0"/>
        <v>0.13852035560375955</v>
      </c>
      <c r="E64" s="14">
        <v>1073190791</v>
      </c>
      <c r="F64" s="15">
        <f t="shared" si="0"/>
        <v>0.10776042693610098</v>
      </c>
      <c r="G64" s="16">
        <v>968793220</v>
      </c>
      <c r="P64" s="17"/>
    </row>
    <row r="65" spans="1:16" x14ac:dyDescent="0.2">
      <c r="A65" s="12" t="s">
        <v>61</v>
      </c>
      <c r="B65" s="13" t="s">
        <v>93</v>
      </c>
      <c r="C65" s="14">
        <v>812784353</v>
      </c>
      <c r="D65" s="15">
        <f t="shared" si="0"/>
        <v>8.5916059314534332E-2</v>
      </c>
      <c r="E65" s="14">
        <v>748478067</v>
      </c>
      <c r="F65" s="15">
        <f t="shared" si="0"/>
        <v>3.3894772557177079E-2</v>
      </c>
      <c r="G65" s="16">
        <v>723940276</v>
      </c>
      <c r="P65" s="17"/>
    </row>
    <row r="66" spans="1:16" x14ac:dyDescent="0.2">
      <c r="A66" s="12" t="s">
        <v>62</v>
      </c>
      <c r="B66" s="13" t="s">
        <v>94</v>
      </c>
      <c r="C66" s="14">
        <v>949250137</v>
      </c>
      <c r="D66" s="15">
        <f t="shared" si="0"/>
        <v>3.566973598509058E-2</v>
      </c>
      <c r="E66" s="14">
        <v>916556798</v>
      </c>
      <c r="F66" s="15">
        <f t="shared" si="0"/>
        <v>5.8528617653171931E-2</v>
      </c>
      <c r="G66" s="16">
        <v>865878147</v>
      </c>
      <c r="P66" s="17"/>
    </row>
    <row r="67" spans="1:16" x14ac:dyDescent="0.2">
      <c r="A67" s="12" t="s">
        <v>63</v>
      </c>
      <c r="B67" s="13" t="s">
        <v>94</v>
      </c>
      <c r="C67" s="14">
        <v>87527779</v>
      </c>
      <c r="D67" s="15">
        <f t="shared" si="0"/>
        <v>-1.1058651461041151E-2</v>
      </c>
      <c r="E67" s="14">
        <v>88506542</v>
      </c>
      <c r="F67" s="15">
        <f t="shared" si="0"/>
        <v>0.37233934311514133</v>
      </c>
      <c r="G67" s="16">
        <v>64493190</v>
      </c>
      <c r="P67" s="17"/>
    </row>
    <row r="68" spans="1:16" x14ac:dyDescent="0.2">
      <c r="A68" s="12" t="s">
        <v>64</v>
      </c>
      <c r="B68" s="13" t="s">
        <v>93</v>
      </c>
      <c r="C68" s="14">
        <v>4629779930</v>
      </c>
      <c r="D68" s="15">
        <f t="shared" si="0"/>
        <v>6.426896521598513E-2</v>
      </c>
      <c r="E68" s="14">
        <v>4350197254</v>
      </c>
      <c r="F68" s="15">
        <f t="shared" si="0"/>
        <v>9.139701923028587E-2</v>
      </c>
      <c r="G68" s="16">
        <v>3985898053</v>
      </c>
      <c r="P68" s="17"/>
    </row>
    <row r="69" spans="1:16" x14ac:dyDescent="0.2">
      <c r="A69" s="12" t="s">
        <v>65</v>
      </c>
      <c r="B69" s="13" t="s">
        <v>94</v>
      </c>
      <c r="C69" s="14">
        <v>212578431</v>
      </c>
      <c r="D69" s="15">
        <f t="shared" si="0"/>
        <v>8.5516328927642229E-2</v>
      </c>
      <c r="E69" s="14">
        <v>195831629</v>
      </c>
      <c r="F69" s="15">
        <f t="shared" si="0"/>
        <v>8.4896323050505026E-3</v>
      </c>
      <c r="G69" s="16">
        <v>194183086</v>
      </c>
      <c r="P69" s="17"/>
    </row>
    <row r="70" spans="1:16" x14ac:dyDescent="0.2">
      <c r="A70" s="12" t="s">
        <v>66</v>
      </c>
      <c r="B70" s="13" t="s">
        <v>93</v>
      </c>
      <c r="C70" s="14">
        <v>753401510</v>
      </c>
      <c r="D70" s="15">
        <f t="shared" ref="D70:F73" si="1">((C70-E70)/E70)</f>
        <v>8.5718887894867091E-2</v>
      </c>
      <c r="E70" s="14">
        <v>693919502</v>
      </c>
      <c r="F70" s="15">
        <f t="shared" si="1"/>
        <v>6.9112565801497522E-2</v>
      </c>
      <c r="G70" s="16">
        <v>649061216</v>
      </c>
      <c r="P70" s="17"/>
    </row>
    <row r="71" spans="1:16" x14ac:dyDescent="0.2">
      <c r="A71" s="12" t="s">
        <v>67</v>
      </c>
      <c r="B71" s="13" t="s">
        <v>94</v>
      </c>
      <c r="C71" s="14">
        <v>277904053</v>
      </c>
      <c r="D71" s="15">
        <f t="shared" si="1"/>
        <v>5.6514296298500452E-2</v>
      </c>
      <c r="E71" s="14">
        <v>263038611</v>
      </c>
      <c r="F71" s="15">
        <f t="shared" si="1"/>
        <v>1.0435634122735987E-2</v>
      </c>
      <c r="G71" s="16">
        <v>260321986</v>
      </c>
      <c r="P71" s="17"/>
    </row>
    <row r="72" spans="1:16" x14ac:dyDescent="0.2">
      <c r="A72" s="18"/>
      <c r="B72" s="19"/>
      <c r="C72" s="14"/>
      <c r="D72" s="20"/>
      <c r="E72" s="14"/>
      <c r="F72" s="20"/>
      <c r="G72" s="16"/>
      <c r="P72" s="17"/>
    </row>
    <row r="73" spans="1:16" ht="15.75" thickBot="1" x14ac:dyDescent="0.3">
      <c r="A73" s="21" t="s">
        <v>68</v>
      </c>
      <c r="B73" s="22"/>
      <c r="C73" s="23">
        <f>SUM(C5:C71)</f>
        <v>207201492799</v>
      </c>
      <c r="D73" s="24">
        <f t="shared" si="1"/>
        <v>6.1301189429169491E-2</v>
      </c>
      <c r="E73" s="23">
        <f>SUM(E5:E71)</f>
        <v>195233450092</v>
      </c>
      <c r="F73" s="24">
        <f t="shared" si="1"/>
        <v>2.6066167479904583E-2</v>
      </c>
      <c r="G73" s="25">
        <f>SUM(G5:G71)</f>
        <v>190273742844</v>
      </c>
      <c r="P73" s="17"/>
    </row>
    <row r="74" spans="1:16" x14ac:dyDescent="0.2">
      <c r="P74" s="17"/>
    </row>
    <row r="75" spans="1:16" x14ac:dyDescent="0.2">
      <c r="A75" s="26" t="s">
        <v>92</v>
      </c>
      <c r="P75" s="17"/>
    </row>
  </sheetData>
  <phoneticPr fontId="3" type="noConversion"/>
  <conditionalFormatting sqref="A75">
    <cfRule type="expression" dxfId="10" priority="10" stopIfTrue="1">
      <formula>MOD(ROW(),5)=1</formula>
    </cfRule>
  </conditionalFormatting>
  <conditionalFormatting sqref="A72:G73 A5:A71 C5:G71">
    <cfRule type="expression" dxfId="9" priority="3" stopIfTrue="1">
      <formula>MOD(ROW(),3)=1</formula>
    </cfRule>
  </conditionalFormatting>
  <conditionalFormatting sqref="A4:G4">
    <cfRule type="expression" dxfId="8" priority="2" stopIfTrue="1">
      <formula>MOD(ROW(),3)=1</formula>
    </cfRule>
  </conditionalFormatting>
  <conditionalFormatting sqref="B5:B71">
    <cfRule type="expression" dxfId="4"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zoomScaleNormal="100" zoomScaleSheetLayoutView="100" workbookViewId="0">
      <pane ySplit="4" topLeftCell="A5" activePane="bottomLeft" state="frozen"/>
      <selection pane="bottomLeft"/>
    </sheetView>
  </sheetViews>
  <sheetFormatPr defaultRowHeight="14.25" x14ac:dyDescent="0.2"/>
  <cols>
    <col min="1" max="1" width="30.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9" ht="23.25" x14ac:dyDescent="0.35">
      <c r="A1" s="7" t="s">
        <v>71</v>
      </c>
      <c r="B1" s="8"/>
      <c r="C1" s="9"/>
      <c r="D1" s="8"/>
      <c r="E1" s="9"/>
      <c r="F1" s="8"/>
      <c r="G1" s="9"/>
    </row>
    <row r="2" spans="1:19" ht="15" x14ac:dyDescent="0.25">
      <c r="A2" s="10" t="s">
        <v>91</v>
      </c>
      <c r="B2" s="10"/>
      <c r="C2" s="10"/>
      <c r="D2" s="10"/>
      <c r="E2" s="10"/>
      <c r="F2" s="10"/>
      <c r="G2" s="10"/>
    </row>
    <row r="3" spans="1:19" ht="15" thickBot="1" x14ac:dyDescent="0.25"/>
    <row r="4" spans="1:19" s="36" customFormat="1" ht="25.5" x14ac:dyDescent="0.2">
      <c r="A4" s="33" t="s">
        <v>0</v>
      </c>
      <c r="B4" s="34" t="s">
        <v>1</v>
      </c>
      <c r="C4" s="37" t="s">
        <v>90</v>
      </c>
      <c r="D4" s="37" t="s">
        <v>89</v>
      </c>
      <c r="E4" s="37" t="s">
        <v>82</v>
      </c>
      <c r="F4" s="37" t="s">
        <v>83</v>
      </c>
      <c r="G4" s="38" t="s">
        <v>81</v>
      </c>
    </row>
    <row r="5" spans="1:19" x14ac:dyDescent="0.2">
      <c r="A5" s="12" t="s">
        <v>4</v>
      </c>
      <c r="B5" s="13" t="s">
        <v>93</v>
      </c>
      <c r="C5" s="14">
        <v>34378880</v>
      </c>
      <c r="D5" s="15">
        <f>((C5-E5)/E5)</f>
        <v>0.22723876276023627</v>
      </c>
      <c r="E5" s="14">
        <v>28013196</v>
      </c>
      <c r="F5" s="15">
        <f>((E5-G5)/G5)</f>
        <v>-7.0114403708601988E-2</v>
      </c>
      <c r="G5" s="16">
        <v>30125422</v>
      </c>
    </row>
    <row r="6" spans="1:19" x14ac:dyDescent="0.2">
      <c r="A6" s="12" t="s">
        <v>5</v>
      </c>
      <c r="B6" s="13" t="s">
        <v>94</v>
      </c>
      <c r="C6" s="14">
        <v>15120905</v>
      </c>
      <c r="D6" s="15">
        <f t="shared" ref="D6:F68" si="0">((C6-E6)/E6)</f>
        <v>2.9680255067586089E-2</v>
      </c>
      <c r="E6" s="14">
        <v>14685049</v>
      </c>
      <c r="F6" s="15">
        <f t="shared" si="0"/>
        <v>0.12983277915162728</v>
      </c>
      <c r="G6" s="16">
        <v>12997542</v>
      </c>
    </row>
    <row r="7" spans="1:19" x14ac:dyDescent="0.2">
      <c r="A7" s="12" t="s">
        <v>6</v>
      </c>
      <c r="B7" s="13" t="s">
        <v>93</v>
      </c>
      <c r="C7" s="14">
        <v>36709300</v>
      </c>
      <c r="D7" s="15">
        <f t="shared" si="0"/>
        <v>0.10887194520116773</v>
      </c>
      <c r="E7" s="14">
        <v>33105085</v>
      </c>
      <c r="F7" s="15">
        <f t="shared" si="0"/>
        <v>9.0194214776830858E-2</v>
      </c>
      <c r="G7" s="16">
        <v>30366227</v>
      </c>
      <c r="S7" s="17"/>
    </row>
    <row r="8" spans="1:19" x14ac:dyDescent="0.2">
      <c r="A8" s="12" t="s">
        <v>7</v>
      </c>
      <c r="B8" s="13" t="s">
        <v>94</v>
      </c>
      <c r="C8" s="14">
        <v>18871537</v>
      </c>
      <c r="D8" s="15">
        <f t="shared" si="0"/>
        <v>6.9648208490841371E-2</v>
      </c>
      <c r="E8" s="14">
        <v>17642751</v>
      </c>
      <c r="F8" s="15">
        <f t="shared" si="0"/>
        <v>8.3875733438987955E-3</v>
      </c>
      <c r="G8" s="16">
        <v>17496002</v>
      </c>
      <c r="S8" s="17"/>
    </row>
    <row r="9" spans="1:19" x14ac:dyDescent="0.2">
      <c r="A9" s="12" t="s">
        <v>8</v>
      </c>
      <c r="B9" s="13" t="s">
        <v>93</v>
      </c>
      <c r="C9" s="14">
        <v>91053009</v>
      </c>
      <c r="D9" s="15">
        <f t="shared" si="0"/>
        <v>7.4845607455982954E-2</v>
      </c>
      <c r="E9" s="14">
        <v>84712640</v>
      </c>
      <c r="F9" s="15">
        <f t="shared" si="0"/>
        <v>2.2954252462554895E-2</v>
      </c>
      <c r="G9" s="16">
        <v>82811758</v>
      </c>
      <c r="S9" s="17"/>
    </row>
    <row r="10" spans="1:19" x14ac:dyDescent="0.2">
      <c r="A10" s="12" t="s">
        <v>9</v>
      </c>
      <c r="B10" s="13" t="s">
        <v>93</v>
      </c>
      <c r="C10" s="14">
        <v>102789696</v>
      </c>
      <c r="D10" s="15">
        <f t="shared" si="0"/>
        <v>4.7274672798035322E-2</v>
      </c>
      <c r="E10" s="14">
        <v>98149701</v>
      </c>
      <c r="F10" s="15">
        <f t="shared" si="0"/>
        <v>-7.0719467559546237E-2</v>
      </c>
      <c r="G10" s="16">
        <v>105619022</v>
      </c>
      <c r="S10" s="17"/>
    </row>
    <row r="11" spans="1:19" x14ac:dyDescent="0.2">
      <c r="A11" s="12" t="s">
        <v>10</v>
      </c>
      <c r="B11" s="13" t="s">
        <v>94</v>
      </c>
      <c r="C11" s="14">
        <v>0</v>
      </c>
      <c r="D11" s="15" t="s">
        <v>79</v>
      </c>
      <c r="E11" s="14">
        <v>0</v>
      </c>
      <c r="F11" s="15" t="s">
        <v>79</v>
      </c>
      <c r="G11" s="16">
        <v>0</v>
      </c>
      <c r="S11" s="17"/>
    </row>
    <row r="12" spans="1:19" x14ac:dyDescent="0.2">
      <c r="A12" s="12" t="s">
        <v>11</v>
      </c>
      <c r="B12" s="13" t="s">
        <v>93</v>
      </c>
      <c r="C12" s="14">
        <v>3156640</v>
      </c>
      <c r="D12" s="15">
        <f t="shared" si="0"/>
        <v>4.9644852379560546E-2</v>
      </c>
      <c r="E12" s="14">
        <v>3007341</v>
      </c>
      <c r="F12" s="15">
        <f t="shared" si="0"/>
        <v>-0.12285543951713811</v>
      </c>
      <c r="G12" s="16">
        <v>3428558</v>
      </c>
      <c r="S12" s="17"/>
    </row>
    <row r="13" spans="1:19" x14ac:dyDescent="0.2">
      <c r="A13" s="12" t="s">
        <v>12</v>
      </c>
      <c r="B13" s="13" t="s">
        <v>93</v>
      </c>
      <c r="C13" s="14">
        <v>1979472</v>
      </c>
      <c r="D13" s="15">
        <f t="shared" si="0"/>
        <v>7.640021011716315E-2</v>
      </c>
      <c r="E13" s="14">
        <v>1838974</v>
      </c>
      <c r="F13" s="15">
        <f t="shared" si="0"/>
        <v>0.17127551095148533</v>
      </c>
      <c r="G13" s="16">
        <v>1570061</v>
      </c>
    </row>
    <row r="14" spans="1:19" x14ac:dyDescent="0.2">
      <c r="A14" s="12" t="s">
        <v>13</v>
      </c>
      <c r="B14" s="13" t="s">
        <v>93</v>
      </c>
      <c r="C14" s="14">
        <v>17164212</v>
      </c>
      <c r="D14" s="15">
        <f t="shared" si="0"/>
        <v>7.0938237376231228E-2</v>
      </c>
      <c r="E14" s="14">
        <v>16027266</v>
      </c>
      <c r="F14" s="15">
        <f t="shared" si="0"/>
        <v>1.4301367622863102E-2</v>
      </c>
      <c r="G14" s="16">
        <v>15801286</v>
      </c>
      <c r="S14" s="17"/>
    </row>
    <row r="15" spans="1:19" x14ac:dyDescent="0.2">
      <c r="A15" s="12" t="s">
        <v>14</v>
      </c>
      <c r="B15" s="13" t="s">
        <v>93</v>
      </c>
      <c r="C15" s="14">
        <v>200286</v>
      </c>
      <c r="D15" s="15">
        <f t="shared" si="0"/>
        <v>3.8273121724389979E-2</v>
      </c>
      <c r="E15" s="14">
        <v>192903</v>
      </c>
      <c r="F15" s="15">
        <f t="shared" si="0"/>
        <v>-0.12715944363501444</v>
      </c>
      <c r="G15" s="16">
        <v>221006</v>
      </c>
      <c r="S15" s="17"/>
    </row>
    <row r="16" spans="1:19" x14ac:dyDescent="0.2">
      <c r="A16" s="12" t="s">
        <v>15</v>
      </c>
      <c r="B16" s="13" t="s">
        <v>93</v>
      </c>
      <c r="C16" s="14">
        <v>15263179</v>
      </c>
      <c r="D16" s="15">
        <f t="shared" si="0"/>
        <v>2.8687391276539374E-2</v>
      </c>
      <c r="E16" s="14">
        <v>14837529</v>
      </c>
      <c r="F16" s="15">
        <f t="shared" si="0"/>
        <v>0.13647439561701266</v>
      </c>
      <c r="G16" s="16">
        <v>13055753</v>
      </c>
      <c r="S16" s="17"/>
    </row>
    <row r="17" spans="1:19" x14ac:dyDescent="0.2">
      <c r="A17" s="12" t="s">
        <v>78</v>
      </c>
      <c r="B17" s="13" t="s">
        <v>93</v>
      </c>
      <c r="C17" s="14">
        <v>153207013</v>
      </c>
      <c r="D17" s="15">
        <f t="shared" si="0"/>
        <v>3.389047851646261E-2</v>
      </c>
      <c r="E17" s="14">
        <v>148184954</v>
      </c>
      <c r="F17" s="15">
        <f t="shared" si="0"/>
        <v>-1.1686124087549276E-2</v>
      </c>
      <c r="G17" s="16">
        <v>149937138</v>
      </c>
      <c r="S17" s="17"/>
    </row>
    <row r="18" spans="1:19" x14ac:dyDescent="0.2">
      <c r="A18" s="12" t="s">
        <v>16</v>
      </c>
      <c r="B18" s="13" t="s">
        <v>93</v>
      </c>
      <c r="C18" s="14">
        <v>4692164</v>
      </c>
      <c r="D18" s="15">
        <f t="shared" si="0"/>
        <v>5.6362821380738622E-2</v>
      </c>
      <c r="E18" s="14">
        <v>4441811</v>
      </c>
      <c r="F18" s="15">
        <f t="shared" si="0"/>
        <v>-0.19991314311158409</v>
      </c>
      <c r="G18" s="16">
        <v>5551661</v>
      </c>
      <c r="S18" s="17"/>
    </row>
    <row r="19" spans="1:19" x14ac:dyDescent="0.2">
      <c r="A19" s="12" t="s">
        <v>17</v>
      </c>
      <c r="B19" s="13" t="s">
        <v>94</v>
      </c>
      <c r="C19" s="14">
        <v>0</v>
      </c>
      <c r="D19" s="15" t="s">
        <v>79</v>
      </c>
      <c r="E19" s="14">
        <v>0</v>
      </c>
      <c r="F19" s="15" t="s">
        <v>79</v>
      </c>
      <c r="G19" s="16">
        <v>0</v>
      </c>
      <c r="S19" s="17"/>
    </row>
    <row r="20" spans="1:19" x14ac:dyDescent="0.2">
      <c r="A20" s="12" t="s">
        <v>18</v>
      </c>
      <c r="B20" s="13" t="s">
        <v>93</v>
      </c>
      <c r="C20" s="14">
        <v>225918484</v>
      </c>
      <c r="D20" s="15">
        <f t="shared" si="0"/>
        <v>7.5878447822095539E-3</v>
      </c>
      <c r="E20" s="14">
        <v>224217159</v>
      </c>
      <c r="F20" s="15">
        <f t="shared" si="0"/>
        <v>2.2427991363324316E-2</v>
      </c>
      <c r="G20" s="16">
        <v>219298729</v>
      </c>
      <c r="S20" s="17"/>
    </row>
    <row r="21" spans="1:19" x14ac:dyDescent="0.2">
      <c r="A21" s="12" t="s">
        <v>19</v>
      </c>
      <c r="B21" s="13" t="s">
        <v>93</v>
      </c>
      <c r="C21" s="14">
        <v>31416961</v>
      </c>
      <c r="D21" s="15">
        <f t="shared" si="0"/>
        <v>8.1534709193245777E-2</v>
      </c>
      <c r="E21" s="14">
        <v>29048500</v>
      </c>
      <c r="F21" s="15">
        <f t="shared" si="0"/>
        <v>6.2902798875072189E-3</v>
      </c>
      <c r="G21" s="16">
        <v>28866919</v>
      </c>
    </row>
    <row r="22" spans="1:19" x14ac:dyDescent="0.2">
      <c r="A22" s="12" t="s">
        <v>20</v>
      </c>
      <c r="B22" s="13" t="s">
        <v>93</v>
      </c>
      <c r="C22" s="14">
        <v>27574003</v>
      </c>
      <c r="D22" s="15">
        <f t="shared" si="0"/>
        <v>8.0949650269273019E-2</v>
      </c>
      <c r="E22" s="14">
        <v>25509054</v>
      </c>
      <c r="F22" s="15">
        <f t="shared" si="0"/>
        <v>2.4603238709797141E-2</v>
      </c>
      <c r="G22" s="16">
        <v>24896519</v>
      </c>
      <c r="S22" s="17"/>
    </row>
    <row r="23" spans="1:19" x14ac:dyDescent="0.2">
      <c r="A23" s="12" t="s">
        <v>21</v>
      </c>
      <c r="B23" s="13" t="s">
        <v>94</v>
      </c>
      <c r="C23" s="14">
        <v>696583</v>
      </c>
      <c r="D23" s="15">
        <f t="shared" si="0"/>
        <v>0.33031144485355907</v>
      </c>
      <c r="E23" s="14">
        <v>523624</v>
      </c>
      <c r="F23" s="15">
        <f t="shared" si="0"/>
        <v>7.8976595748776277E-3</v>
      </c>
      <c r="G23" s="16">
        <v>519521</v>
      </c>
      <c r="S23" s="17"/>
    </row>
    <row r="24" spans="1:19" x14ac:dyDescent="0.2">
      <c r="A24" s="12" t="s">
        <v>22</v>
      </c>
      <c r="B24" s="13" t="s">
        <v>94</v>
      </c>
      <c r="C24" s="14">
        <v>8192564</v>
      </c>
      <c r="D24" s="15">
        <f t="shared" si="0"/>
        <v>5.8184927043611348E-2</v>
      </c>
      <c r="E24" s="14">
        <v>7742091</v>
      </c>
      <c r="F24" s="15">
        <f t="shared" si="0"/>
        <v>3.4548876113894178E-2</v>
      </c>
      <c r="G24" s="16">
        <v>7483543</v>
      </c>
      <c r="S24" s="17"/>
    </row>
    <row r="25" spans="1:19" x14ac:dyDescent="0.2">
      <c r="A25" s="12" t="s">
        <v>23</v>
      </c>
      <c r="B25" s="13" t="s">
        <v>94</v>
      </c>
      <c r="C25" s="14">
        <v>0</v>
      </c>
      <c r="D25" s="15" t="s">
        <v>79</v>
      </c>
      <c r="E25" s="14">
        <v>0</v>
      </c>
      <c r="F25" s="15" t="s">
        <v>79</v>
      </c>
      <c r="G25" s="16">
        <v>0</v>
      </c>
      <c r="S25" s="17"/>
    </row>
    <row r="26" spans="1:19" x14ac:dyDescent="0.2">
      <c r="A26" s="12" t="s">
        <v>24</v>
      </c>
      <c r="B26" s="13" t="s">
        <v>94</v>
      </c>
      <c r="C26" s="14">
        <v>18394116</v>
      </c>
      <c r="D26" s="15">
        <f t="shared" si="0"/>
        <v>-3.6218496073351307E-2</v>
      </c>
      <c r="E26" s="14">
        <v>19085359</v>
      </c>
      <c r="F26" s="15">
        <f t="shared" si="0"/>
        <v>3.8248101214039265E-2</v>
      </c>
      <c r="G26" s="16">
        <v>18382272</v>
      </c>
      <c r="S26" s="17"/>
    </row>
    <row r="27" spans="1:19" x14ac:dyDescent="0.2">
      <c r="A27" s="12" t="s">
        <v>25</v>
      </c>
      <c r="B27" s="13" t="s">
        <v>94</v>
      </c>
      <c r="C27" s="14">
        <v>695174</v>
      </c>
      <c r="D27" s="15">
        <f t="shared" si="0"/>
        <v>0.18361738715883746</v>
      </c>
      <c r="E27" s="14">
        <v>587330</v>
      </c>
      <c r="F27" s="15">
        <f t="shared" si="0"/>
        <v>9.5431590744235774E-3</v>
      </c>
      <c r="G27" s="16">
        <v>581778</v>
      </c>
    </row>
    <row r="28" spans="1:19" x14ac:dyDescent="0.2">
      <c r="A28" s="12" t="s">
        <v>26</v>
      </c>
      <c r="B28" s="13" t="s">
        <v>94</v>
      </c>
      <c r="C28" s="14">
        <v>27559235</v>
      </c>
      <c r="D28" s="15">
        <f t="shared" si="0"/>
        <v>2.6443038893550097E-2</v>
      </c>
      <c r="E28" s="14">
        <v>26849259</v>
      </c>
      <c r="F28" s="15">
        <f t="shared" si="0"/>
        <v>0.16494779696651371</v>
      </c>
      <c r="G28" s="16">
        <v>23047607</v>
      </c>
      <c r="S28" s="17"/>
    </row>
    <row r="29" spans="1:19" x14ac:dyDescent="0.2">
      <c r="A29" s="12" t="s">
        <v>27</v>
      </c>
      <c r="B29" s="13" t="s">
        <v>93</v>
      </c>
      <c r="C29" s="14">
        <v>9367098</v>
      </c>
      <c r="D29" s="15">
        <f t="shared" si="0"/>
        <v>7.3092568416238707E-2</v>
      </c>
      <c r="E29" s="14">
        <v>8729068</v>
      </c>
      <c r="F29" s="15">
        <f t="shared" si="0"/>
        <v>1.2120656272055542E-2</v>
      </c>
      <c r="G29" s="16">
        <v>8624533</v>
      </c>
      <c r="S29" s="17"/>
    </row>
    <row r="30" spans="1:19" x14ac:dyDescent="0.2">
      <c r="A30" s="12" t="s">
        <v>28</v>
      </c>
      <c r="B30" s="13" t="s">
        <v>93</v>
      </c>
      <c r="C30" s="14">
        <v>5944780</v>
      </c>
      <c r="D30" s="15">
        <f t="shared" si="0"/>
        <v>-3.3742096953143619E-2</v>
      </c>
      <c r="E30" s="14">
        <v>6152374</v>
      </c>
      <c r="F30" s="15">
        <f t="shared" si="0"/>
        <v>3.514883902798837E-2</v>
      </c>
      <c r="G30" s="16">
        <v>5943468</v>
      </c>
      <c r="S30" s="17"/>
    </row>
    <row r="31" spans="1:19" x14ac:dyDescent="0.2">
      <c r="A31" s="12" t="s">
        <v>29</v>
      </c>
      <c r="B31" s="13" t="s">
        <v>93</v>
      </c>
      <c r="C31" s="14">
        <v>11986078</v>
      </c>
      <c r="D31" s="15">
        <f t="shared" si="0"/>
        <v>9.2790193580150115E-2</v>
      </c>
      <c r="E31" s="14">
        <v>10968325</v>
      </c>
      <c r="F31" s="15">
        <f t="shared" si="0"/>
        <v>2.974309009158884E-2</v>
      </c>
      <c r="G31" s="16">
        <v>10651516</v>
      </c>
      <c r="S31" s="17"/>
    </row>
    <row r="32" spans="1:19" x14ac:dyDescent="0.2">
      <c r="A32" s="12" t="s">
        <v>30</v>
      </c>
      <c r="B32" s="13" t="s">
        <v>93</v>
      </c>
      <c r="C32" s="14">
        <v>38593326</v>
      </c>
      <c r="D32" s="15">
        <f t="shared" si="0"/>
        <v>1.27946748229107E-2</v>
      </c>
      <c r="E32" s="14">
        <v>38105775</v>
      </c>
      <c r="F32" s="15">
        <f t="shared" si="0"/>
        <v>3.3742760929827073E-2</v>
      </c>
      <c r="G32" s="16">
        <v>36861951</v>
      </c>
      <c r="S32" s="17"/>
    </row>
    <row r="33" spans="1:19" x14ac:dyDescent="0.2">
      <c r="A33" s="12" t="s">
        <v>31</v>
      </c>
      <c r="B33" s="13" t="s">
        <v>93</v>
      </c>
      <c r="C33" s="14">
        <v>133838824</v>
      </c>
      <c r="D33" s="15">
        <f t="shared" si="0"/>
        <v>2.3828337545430008E-2</v>
      </c>
      <c r="E33" s="14">
        <v>130723891</v>
      </c>
      <c r="F33" s="15">
        <f t="shared" si="0"/>
        <v>1.838332859511977E-2</v>
      </c>
      <c r="G33" s="16">
        <v>128364131</v>
      </c>
      <c r="S33" s="17"/>
    </row>
    <row r="34" spans="1:19" x14ac:dyDescent="0.2">
      <c r="A34" s="12" t="s">
        <v>32</v>
      </c>
      <c r="B34" s="13" t="s">
        <v>94</v>
      </c>
      <c r="C34" s="14">
        <v>3710945</v>
      </c>
      <c r="D34" s="15">
        <f t="shared" si="0"/>
        <v>4.2114870225149009E-2</v>
      </c>
      <c r="E34" s="14">
        <v>3560975</v>
      </c>
      <c r="F34" s="15">
        <f t="shared" si="0"/>
        <v>3.4132117186199976E-2</v>
      </c>
      <c r="G34" s="16">
        <v>3443443</v>
      </c>
      <c r="S34" s="17"/>
    </row>
    <row r="35" spans="1:19" x14ac:dyDescent="0.2">
      <c r="A35" s="12" t="s">
        <v>33</v>
      </c>
      <c r="B35" s="13" t="s">
        <v>93</v>
      </c>
      <c r="C35" s="14">
        <v>26551338</v>
      </c>
      <c r="D35" s="15">
        <f t="shared" si="0"/>
        <v>8.1436363487513944E-2</v>
      </c>
      <c r="E35" s="14">
        <v>24551919</v>
      </c>
      <c r="F35" s="15">
        <f t="shared" si="0"/>
        <v>0.14252512846935192</v>
      </c>
      <c r="G35" s="16">
        <v>21489172</v>
      </c>
      <c r="S35" s="17"/>
    </row>
    <row r="36" spans="1:19" x14ac:dyDescent="0.2">
      <c r="A36" s="12" t="s">
        <v>34</v>
      </c>
      <c r="B36" s="13" t="s">
        <v>94</v>
      </c>
      <c r="C36" s="14">
        <v>29214746</v>
      </c>
      <c r="D36" s="15">
        <f t="shared" si="0"/>
        <v>8.6519057966583934E-2</v>
      </c>
      <c r="E36" s="14">
        <v>26888388</v>
      </c>
      <c r="F36" s="15">
        <f t="shared" si="0"/>
        <v>8.4088501276128089E-2</v>
      </c>
      <c r="G36" s="16">
        <v>24802761</v>
      </c>
      <c r="S36" s="17"/>
    </row>
    <row r="37" spans="1:19" x14ac:dyDescent="0.2">
      <c r="A37" s="12" t="s">
        <v>35</v>
      </c>
      <c r="B37" s="13" t="s">
        <v>93</v>
      </c>
      <c r="C37" s="14">
        <v>3032986</v>
      </c>
      <c r="D37" s="15">
        <f t="shared" si="0"/>
        <v>4.2113180267171153E-2</v>
      </c>
      <c r="E37" s="14">
        <v>2910419</v>
      </c>
      <c r="F37" s="15">
        <f t="shared" si="0"/>
        <v>-0.20927954817511149</v>
      </c>
      <c r="G37" s="16">
        <v>3680718</v>
      </c>
      <c r="S37" s="17"/>
    </row>
    <row r="38" spans="1:19" x14ac:dyDescent="0.2">
      <c r="A38" s="12" t="s">
        <v>36</v>
      </c>
      <c r="B38" s="13" t="s">
        <v>94</v>
      </c>
      <c r="C38" s="14">
        <v>0</v>
      </c>
      <c r="D38" s="15" t="s">
        <v>79</v>
      </c>
      <c r="E38" s="14">
        <v>0</v>
      </c>
      <c r="F38" s="15" t="s">
        <v>79</v>
      </c>
      <c r="G38" s="16">
        <v>0</v>
      </c>
      <c r="S38" s="17"/>
    </row>
    <row r="39" spans="1:19" x14ac:dyDescent="0.2">
      <c r="A39" s="12" t="s">
        <v>37</v>
      </c>
      <c r="B39" s="13" t="s">
        <v>93</v>
      </c>
      <c r="C39" s="14">
        <v>13139054</v>
      </c>
      <c r="D39" s="15">
        <f t="shared" si="0"/>
        <v>-0.346216970881771</v>
      </c>
      <c r="E39" s="14">
        <v>20096964</v>
      </c>
      <c r="F39" s="15">
        <f t="shared" si="0"/>
        <v>1.8955753966853188</v>
      </c>
      <c r="G39" s="16">
        <v>6940577</v>
      </c>
      <c r="S39" s="17"/>
    </row>
    <row r="40" spans="1:19" x14ac:dyDescent="0.2">
      <c r="A40" s="12" t="s">
        <v>38</v>
      </c>
      <c r="B40" s="13" t="s">
        <v>93</v>
      </c>
      <c r="C40" s="14">
        <v>5393643</v>
      </c>
      <c r="D40" s="15">
        <f t="shared" si="0"/>
        <v>3.893149783040796E-2</v>
      </c>
      <c r="E40" s="14">
        <v>5191529</v>
      </c>
      <c r="F40" s="15">
        <f t="shared" si="0"/>
        <v>-0.11585857971729772</v>
      </c>
      <c r="G40" s="16">
        <v>5871831</v>
      </c>
    </row>
    <row r="41" spans="1:19" x14ac:dyDescent="0.2">
      <c r="A41" s="12" t="s">
        <v>39</v>
      </c>
      <c r="B41" s="13" t="s">
        <v>93</v>
      </c>
      <c r="C41" s="14">
        <v>5757017</v>
      </c>
      <c r="D41" s="15">
        <f t="shared" si="0"/>
        <v>3.9929602194232333E-2</v>
      </c>
      <c r="E41" s="14">
        <v>5535968</v>
      </c>
      <c r="F41" s="15">
        <f t="shared" si="0"/>
        <v>4.2128514615673358E-2</v>
      </c>
      <c r="G41" s="16">
        <v>5312174</v>
      </c>
      <c r="S41" s="17"/>
    </row>
    <row r="42" spans="1:19" x14ac:dyDescent="0.2">
      <c r="A42" s="12" t="s">
        <v>40</v>
      </c>
      <c r="B42" s="13" t="s">
        <v>94</v>
      </c>
      <c r="C42" s="14">
        <v>3998198</v>
      </c>
      <c r="D42" s="15">
        <f t="shared" si="0"/>
        <v>8.2437122668327145E-2</v>
      </c>
      <c r="E42" s="14">
        <v>3693700</v>
      </c>
      <c r="F42" s="15">
        <f t="shared" si="0"/>
        <v>0.11071117449956053</v>
      </c>
      <c r="G42" s="16">
        <v>3325527</v>
      </c>
      <c r="S42" s="17"/>
    </row>
    <row r="43" spans="1:19" x14ac:dyDescent="0.2">
      <c r="A43" s="12" t="s">
        <v>41</v>
      </c>
      <c r="B43" s="13" t="s">
        <v>94</v>
      </c>
      <c r="C43" s="14">
        <v>743402</v>
      </c>
      <c r="D43" s="15">
        <f t="shared" si="0"/>
        <v>9.5808550939335643E-2</v>
      </c>
      <c r="E43" s="14">
        <v>678405</v>
      </c>
      <c r="F43" s="15">
        <f t="shared" si="0"/>
        <v>7.7961010581483964E-3</v>
      </c>
      <c r="G43" s="16">
        <v>673157</v>
      </c>
      <c r="S43" s="17"/>
    </row>
    <row r="44" spans="1:19" x14ac:dyDescent="0.2">
      <c r="A44" s="12" t="s">
        <v>42</v>
      </c>
      <c r="B44" s="13" t="s">
        <v>93</v>
      </c>
      <c r="C44" s="14">
        <v>8646352</v>
      </c>
      <c r="D44" s="15">
        <f t="shared" si="0"/>
        <v>3.4492321965029459E-2</v>
      </c>
      <c r="E44" s="14">
        <v>8358063</v>
      </c>
      <c r="F44" s="15">
        <f t="shared" si="0"/>
        <v>4.09179287608014E-2</v>
      </c>
      <c r="G44" s="16">
        <v>8029512</v>
      </c>
      <c r="S44" s="17"/>
    </row>
    <row r="45" spans="1:19" x14ac:dyDescent="0.2">
      <c r="A45" s="12" t="s">
        <v>43</v>
      </c>
      <c r="B45" s="13" t="s">
        <v>93</v>
      </c>
      <c r="C45" s="14">
        <v>8933050</v>
      </c>
      <c r="D45" s="15">
        <f t="shared" si="0"/>
        <v>-7.2368073316260897E-2</v>
      </c>
      <c r="E45" s="14">
        <v>9629951</v>
      </c>
      <c r="F45" s="15">
        <f t="shared" si="0"/>
        <v>-8.8149327622701348E-2</v>
      </c>
      <c r="G45" s="16">
        <v>10560886</v>
      </c>
      <c r="S45" s="17"/>
    </row>
    <row r="46" spans="1:19" x14ac:dyDescent="0.2">
      <c r="A46" s="12" t="s">
        <v>44</v>
      </c>
      <c r="B46" s="13" t="s">
        <v>93</v>
      </c>
      <c r="C46" s="14">
        <v>30489378</v>
      </c>
      <c r="D46" s="15">
        <f t="shared" si="0"/>
        <v>6.9088735614256783E-2</v>
      </c>
      <c r="E46" s="14">
        <v>28519034</v>
      </c>
      <c r="F46" s="15">
        <f t="shared" si="0"/>
        <v>0.10150083026699284</v>
      </c>
      <c r="G46" s="16">
        <v>25891069</v>
      </c>
      <c r="S46" s="17"/>
    </row>
    <row r="47" spans="1:19" x14ac:dyDescent="0.2">
      <c r="A47" s="12" t="s">
        <v>45</v>
      </c>
      <c r="B47" s="13" t="s">
        <v>93</v>
      </c>
      <c r="C47" s="14">
        <v>72515839</v>
      </c>
      <c r="D47" s="15">
        <f t="shared" si="0"/>
        <v>6.0910991819236843E-2</v>
      </c>
      <c r="E47" s="14">
        <v>68352425</v>
      </c>
      <c r="F47" s="15">
        <f t="shared" si="0"/>
        <v>2.5353566419207451E-2</v>
      </c>
      <c r="G47" s="16">
        <v>66662298</v>
      </c>
      <c r="S47" s="17"/>
    </row>
    <row r="48" spans="1:19" x14ac:dyDescent="0.2">
      <c r="A48" s="12" t="s">
        <v>46</v>
      </c>
      <c r="B48" s="13" t="s">
        <v>93</v>
      </c>
      <c r="C48" s="14">
        <v>0</v>
      </c>
      <c r="D48" s="15" t="s">
        <v>79</v>
      </c>
      <c r="E48" s="14">
        <v>0</v>
      </c>
      <c r="F48" s="15" t="s">
        <v>79</v>
      </c>
      <c r="G48" s="16">
        <v>0</v>
      </c>
      <c r="S48" s="17"/>
    </row>
    <row r="49" spans="1:19" x14ac:dyDescent="0.2">
      <c r="A49" s="12" t="s">
        <v>47</v>
      </c>
      <c r="B49" s="13" t="s">
        <v>93</v>
      </c>
      <c r="C49" s="14">
        <v>47051491</v>
      </c>
      <c r="D49" s="15">
        <f t="shared" si="0"/>
        <v>3.0583710687324767E-2</v>
      </c>
      <c r="E49" s="14">
        <v>45655186</v>
      </c>
      <c r="F49" s="15">
        <f t="shared" si="0"/>
        <v>-2.455104533175171E-2</v>
      </c>
      <c r="G49" s="16">
        <v>46804280</v>
      </c>
      <c r="S49" s="17"/>
    </row>
    <row r="50" spans="1:19" x14ac:dyDescent="0.2">
      <c r="A50" s="12" t="s">
        <v>48</v>
      </c>
      <c r="B50" s="13" t="s">
        <v>93</v>
      </c>
      <c r="C50" s="14">
        <v>4276231</v>
      </c>
      <c r="D50" s="15">
        <f t="shared" si="0"/>
        <v>4.0183301727350476E-2</v>
      </c>
      <c r="E50" s="14">
        <v>4111036</v>
      </c>
      <c r="F50" s="15">
        <f t="shared" si="0"/>
        <v>3.3591297292798944E-2</v>
      </c>
      <c r="G50" s="16">
        <v>3977429</v>
      </c>
    </row>
    <row r="51" spans="1:19" x14ac:dyDescent="0.2">
      <c r="A51" s="12" t="s">
        <v>49</v>
      </c>
      <c r="B51" s="13" t="s">
        <v>93</v>
      </c>
      <c r="C51" s="14">
        <v>12202472</v>
      </c>
      <c r="D51" s="15">
        <f t="shared" si="0"/>
        <v>7.1489147223517402E-2</v>
      </c>
      <c r="E51" s="14">
        <v>11388330</v>
      </c>
      <c r="F51" s="15">
        <f t="shared" si="0"/>
        <v>2.2308902312812611E-2</v>
      </c>
      <c r="G51" s="16">
        <v>11139813</v>
      </c>
      <c r="S51" s="17"/>
    </row>
    <row r="52" spans="1:19" x14ac:dyDescent="0.2">
      <c r="A52" s="12" t="s">
        <v>50</v>
      </c>
      <c r="B52" s="13" t="s">
        <v>93</v>
      </c>
      <c r="C52" s="14">
        <v>51894007</v>
      </c>
      <c r="D52" s="15">
        <f t="shared" si="0"/>
        <v>-0.13242884865111795</v>
      </c>
      <c r="E52" s="14">
        <v>59815275</v>
      </c>
      <c r="F52" s="15">
        <f t="shared" si="0"/>
        <v>0.74959455164458211</v>
      </c>
      <c r="G52" s="16">
        <v>34188078</v>
      </c>
      <c r="S52" s="17"/>
    </row>
    <row r="53" spans="1:19" x14ac:dyDescent="0.2">
      <c r="A53" s="12" t="s">
        <v>51</v>
      </c>
      <c r="B53" s="13" t="s">
        <v>93</v>
      </c>
      <c r="C53" s="14">
        <v>6843648</v>
      </c>
      <c r="D53" s="15">
        <f t="shared" si="0"/>
        <v>7.0818309055874273E-2</v>
      </c>
      <c r="E53" s="14">
        <v>6391045</v>
      </c>
      <c r="F53" s="15">
        <f t="shared" si="0"/>
        <v>3.3128918256492855E-2</v>
      </c>
      <c r="G53" s="16">
        <v>6186106</v>
      </c>
      <c r="S53" s="17"/>
    </row>
    <row r="54" spans="1:19" x14ac:dyDescent="0.2">
      <c r="A54" s="12" t="s">
        <v>52</v>
      </c>
      <c r="B54" s="13" t="s">
        <v>93</v>
      </c>
      <c r="C54" s="14">
        <v>194136464</v>
      </c>
      <c r="D54" s="15">
        <f t="shared" si="0"/>
        <v>4.2440309258056093E-2</v>
      </c>
      <c r="E54" s="14">
        <v>186232691</v>
      </c>
      <c r="F54" s="15">
        <f t="shared" si="0"/>
        <v>8.7230433520743957E-4</v>
      </c>
      <c r="G54" s="16">
        <v>186070381</v>
      </c>
      <c r="S54" s="17"/>
    </row>
    <row r="55" spans="1:19" x14ac:dyDescent="0.2">
      <c r="A55" s="12" t="s">
        <v>53</v>
      </c>
      <c r="B55" s="13" t="s">
        <v>93</v>
      </c>
      <c r="C55" s="14">
        <v>22967160</v>
      </c>
      <c r="D55" s="15">
        <f t="shared" si="0"/>
        <v>7.1218235816088687E-2</v>
      </c>
      <c r="E55" s="14">
        <v>21440225</v>
      </c>
      <c r="F55" s="15">
        <f t="shared" si="0"/>
        <v>-6.1745854808822262E-3</v>
      </c>
      <c r="G55" s="16">
        <v>21573432</v>
      </c>
      <c r="S55" s="17"/>
    </row>
    <row r="56" spans="1:19" x14ac:dyDescent="0.2">
      <c r="A56" s="12" t="s">
        <v>54</v>
      </c>
      <c r="B56" s="13" t="s">
        <v>93</v>
      </c>
      <c r="C56" s="14">
        <v>13399405</v>
      </c>
      <c r="D56" s="15">
        <f t="shared" si="0"/>
        <v>6.4861868170127665E-2</v>
      </c>
      <c r="E56" s="14">
        <v>12583233</v>
      </c>
      <c r="F56" s="15">
        <f t="shared" si="0"/>
        <v>1.9131505134519951E-2</v>
      </c>
      <c r="G56" s="16">
        <v>12347016</v>
      </c>
      <c r="S56" s="17"/>
    </row>
    <row r="57" spans="1:19" x14ac:dyDescent="0.2">
      <c r="A57" s="12" t="s">
        <v>55</v>
      </c>
      <c r="B57" s="13" t="s">
        <v>93</v>
      </c>
      <c r="C57" s="14">
        <v>134656032</v>
      </c>
      <c r="D57" s="15">
        <f t="shared" si="0"/>
        <v>7.4669522001785393E-2</v>
      </c>
      <c r="E57" s="14">
        <v>125299945</v>
      </c>
      <c r="F57" s="15">
        <f t="shared" si="0"/>
        <v>9.0944860270493325E-2</v>
      </c>
      <c r="G57" s="16">
        <v>114854517</v>
      </c>
      <c r="S57" s="17"/>
    </row>
    <row r="58" spans="1:19" x14ac:dyDescent="0.2">
      <c r="A58" s="12" t="s">
        <v>56</v>
      </c>
      <c r="B58" s="13" t="s">
        <v>93</v>
      </c>
      <c r="C58" s="14">
        <v>18446146</v>
      </c>
      <c r="D58" s="15">
        <f t="shared" si="0"/>
        <v>6.9917629871056403E-2</v>
      </c>
      <c r="E58" s="14">
        <v>17240716</v>
      </c>
      <c r="F58" s="15">
        <f t="shared" si="0"/>
        <v>-0.15804380285662312</v>
      </c>
      <c r="G58" s="16">
        <v>20476975</v>
      </c>
      <c r="S58" s="17"/>
    </row>
    <row r="59" spans="1:19" x14ac:dyDescent="0.2">
      <c r="A59" s="12" t="s">
        <v>2</v>
      </c>
      <c r="B59" s="13" t="s">
        <v>93</v>
      </c>
      <c r="C59" s="14">
        <v>42547676</v>
      </c>
      <c r="D59" s="15">
        <f t="shared" si="0"/>
        <v>8.0156564489021476E-2</v>
      </c>
      <c r="E59" s="14">
        <v>39390286</v>
      </c>
      <c r="F59" s="15">
        <f t="shared" si="0"/>
        <v>2.5431746193974612E-2</v>
      </c>
      <c r="G59" s="16">
        <v>38413367</v>
      </c>
      <c r="S59" s="17"/>
    </row>
    <row r="60" spans="1:19" x14ac:dyDescent="0.2">
      <c r="A60" s="12" t="s">
        <v>3</v>
      </c>
      <c r="B60" s="13" t="s">
        <v>93</v>
      </c>
      <c r="C60" s="14">
        <v>59207856</v>
      </c>
      <c r="D60" s="15">
        <f t="shared" si="0"/>
        <v>7.0934710970735185E-2</v>
      </c>
      <c r="E60" s="14">
        <v>55286149</v>
      </c>
      <c r="F60" s="15">
        <f t="shared" si="0"/>
        <v>2.6174849729807104E-2</v>
      </c>
      <c r="G60" s="16">
        <v>53875954</v>
      </c>
      <c r="S60" s="17"/>
    </row>
    <row r="61" spans="1:19" x14ac:dyDescent="0.2">
      <c r="A61" s="12" t="s">
        <v>57</v>
      </c>
      <c r="B61" s="13" t="s">
        <v>93</v>
      </c>
      <c r="C61" s="14">
        <v>3995341</v>
      </c>
      <c r="D61" s="15">
        <f t="shared" si="0"/>
        <v>4.2864194127935858E-2</v>
      </c>
      <c r="E61" s="14">
        <v>3831123</v>
      </c>
      <c r="F61" s="15">
        <f t="shared" si="0"/>
        <v>3.4972351645893594E-2</v>
      </c>
      <c r="G61" s="16">
        <v>3701667</v>
      </c>
      <c r="S61" s="17"/>
    </row>
    <row r="62" spans="1:19" x14ac:dyDescent="0.2">
      <c r="A62" s="12" t="s">
        <v>58</v>
      </c>
      <c r="B62" s="13" t="s">
        <v>93</v>
      </c>
      <c r="C62" s="14">
        <v>937586</v>
      </c>
      <c r="D62" s="15">
        <f t="shared" si="0"/>
        <v>4.8758607421062285E-2</v>
      </c>
      <c r="E62" s="14">
        <v>893996</v>
      </c>
      <c r="F62" s="15">
        <f t="shared" si="0"/>
        <v>-0.12437719335189715</v>
      </c>
      <c r="G62" s="16">
        <v>1020983</v>
      </c>
      <c r="S62" s="17"/>
    </row>
    <row r="63" spans="1:19" x14ac:dyDescent="0.2">
      <c r="A63" s="12" t="s">
        <v>59</v>
      </c>
      <c r="B63" s="13" t="s">
        <v>93</v>
      </c>
      <c r="C63" s="14">
        <v>12303219</v>
      </c>
      <c r="D63" s="15">
        <f t="shared" si="0"/>
        <v>-0.11251722294031812</v>
      </c>
      <c r="E63" s="14">
        <v>13863051</v>
      </c>
      <c r="F63" s="15">
        <f t="shared" si="0"/>
        <v>3.803073646897881E-2</v>
      </c>
      <c r="G63" s="16">
        <v>13355145</v>
      </c>
      <c r="S63" s="17"/>
    </row>
    <row r="64" spans="1:19" x14ac:dyDescent="0.2">
      <c r="A64" s="12" t="s">
        <v>60</v>
      </c>
      <c r="B64" s="13" t="s">
        <v>93</v>
      </c>
      <c r="C64" s="14">
        <v>17280208</v>
      </c>
      <c r="D64" s="15">
        <f t="shared" si="0"/>
        <v>6.6998288377515258E-2</v>
      </c>
      <c r="E64" s="14">
        <v>16195160</v>
      </c>
      <c r="F64" s="15">
        <f t="shared" si="0"/>
        <v>2.5372835998759308E-2</v>
      </c>
      <c r="G64" s="16">
        <v>15794411</v>
      </c>
      <c r="S64" s="17"/>
    </row>
    <row r="65" spans="1:19" x14ac:dyDescent="0.2">
      <c r="A65" s="12" t="s">
        <v>61</v>
      </c>
      <c r="B65" s="13" t="s">
        <v>93</v>
      </c>
      <c r="C65" s="14">
        <v>4047580</v>
      </c>
      <c r="D65" s="15">
        <f t="shared" si="0"/>
        <v>4.1427005964898109E-2</v>
      </c>
      <c r="E65" s="14">
        <v>3886571</v>
      </c>
      <c r="F65" s="15">
        <f t="shared" si="0"/>
        <v>3.3415964329786219E-2</v>
      </c>
      <c r="G65" s="16">
        <v>3760897</v>
      </c>
      <c r="S65" s="17"/>
    </row>
    <row r="66" spans="1:19" x14ac:dyDescent="0.2">
      <c r="A66" s="12" t="s">
        <v>62</v>
      </c>
      <c r="B66" s="13" t="s">
        <v>94</v>
      </c>
      <c r="C66" s="14">
        <v>2657779</v>
      </c>
      <c r="D66" s="15">
        <f t="shared" si="0"/>
        <v>-0.76550588900024408</v>
      </c>
      <c r="E66" s="14">
        <v>11334097</v>
      </c>
      <c r="F66" s="15">
        <f t="shared" si="0"/>
        <v>6.4437352847538071E-2</v>
      </c>
      <c r="G66" s="16">
        <v>10647970</v>
      </c>
      <c r="S66" s="17"/>
    </row>
    <row r="67" spans="1:19" x14ac:dyDescent="0.2">
      <c r="A67" s="12" t="s">
        <v>63</v>
      </c>
      <c r="B67" s="13" t="s">
        <v>94</v>
      </c>
      <c r="C67" s="14">
        <v>0</v>
      </c>
      <c r="D67" s="15" t="s">
        <v>79</v>
      </c>
      <c r="E67" s="14">
        <v>0</v>
      </c>
      <c r="F67" s="15" t="s">
        <v>79</v>
      </c>
      <c r="G67" s="16">
        <v>0</v>
      </c>
      <c r="S67" s="17"/>
    </row>
    <row r="68" spans="1:19" x14ac:dyDescent="0.2">
      <c r="A68" s="12" t="s">
        <v>64</v>
      </c>
      <c r="B68" s="13" t="s">
        <v>93</v>
      </c>
      <c r="C68" s="14">
        <v>74368765</v>
      </c>
      <c r="D68" s="15">
        <f t="shared" si="0"/>
        <v>5.8860629387414251E-2</v>
      </c>
      <c r="E68" s="14">
        <v>70234706</v>
      </c>
      <c r="F68" s="15">
        <f t="shared" si="0"/>
        <v>2.2585467377021117E-2</v>
      </c>
      <c r="G68" s="16">
        <v>68683458</v>
      </c>
      <c r="S68" s="17"/>
    </row>
    <row r="69" spans="1:19" x14ac:dyDescent="0.2">
      <c r="A69" s="12" t="s">
        <v>65</v>
      </c>
      <c r="B69" s="13" t="s">
        <v>94</v>
      </c>
      <c r="C69" s="14">
        <v>0</v>
      </c>
      <c r="D69" s="15" t="s">
        <v>79</v>
      </c>
      <c r="E69" s="14">
        <v>0</v>
      </c>
      <c r="F69" s="15" t="s">
        <v>79</v>
      </c>
      <c r="G69" s="16">
        <v>0</v>
      </c>
    </row>
    <row r="70" spans="1:19" x14ac:dyDescent="0.2">
      <c r="A70" s="12" t="s">
        <v>66</v>
      </c>
      <c r="B70" s="13" t="s">
        <v>93</v>
      </c>
      <c r="C70" s="14">
        <v>3457052</v>
      </c>
      <c r="D70" s="15">
        <f t="shared" ref="D70:F73" si="1">((C70-E70)/E70)</f>
        <v>4.3111194523884386E-2</v>
      </c>
      <c r="E70" s="14">
        <v>3314174</v>
      </c>
      <c r="F70" s="15">
        <f t="shared" si="1"/>
        <v>3.5296638773853292E-2</v>
      </c>
      <c r="G70" s="16">
        <v>3201183</v>
      </c>
      <c r="S70" s="17"/>
    </row>
    <row r="71" spans="1:19" x14ac:dyDescent="0.2">
      <c r="A71" s="12" t="s">
        <v>67</v>
      </c>
      <c r="B71" s="13" t="s">
        <v>94</v>
      </c>
      <c r="C71" s="14">
        <v>2026994</v>
      </c>
      <c r="D71" s="15">
        <f t="shared" si="1"/>
        <v>4.1044067058433199E-2</v>
      </c>
      <c r="E71" s="14">
        <v>1947078</v>
      </c>
      <c r="F71" s="15">
        <f t="shared" si="1"/>
        <v>3.2949065502368736E-2</v>
      </c>
      <c r="G71" s="16">
        <v>1884970</v>
      </c>
    </row>
    <row r="72" spans="1:19" x14ac:dyDescent="0.2">
      <c r="A72" s="18"/>
      <c r="B72" s="19"/>
      <c r="C72" s="14"/>
      <c r="D72" s="20"/>
      <c r="E72" s="14"/>
      <c r="F72" s="20"/>
      <c r="G72" s="16"/>
    </row>
    <row r="73" spans="1:19" ht="15.75" thickBot="1" x14ac:dyDescent="0.3">
      <c r="A73" s="21" t="s">
        <v>68</v>
      </c>
      <c r="B73" s="22"/>
      <c r="C73" s="23">
        <f>SUM(C5:C71)</f>
        <v>1975592579</v>
      </c>
      <c r="D73" s="24">
        <f t="shared" si="1"/>
        <v>3.3593352551328934E-2</v>
      </c>
      <c r="E73" s="23">
        <f>SUM(E5:E71)</f>
        <v>1911382822</v>
      </c>
      <c r="F73" s="24">
        <f t="shared" si="1"/>
        <v>3.8148944786035005E-2</v>
      </c>
      <c r="G73" s="25">
        <f>SUM(G5:G71)</f>
        <v>1841145080</v>
      </c>
      <c r="S73" s="17"/>
    </row>
    <row r="74" spans="1:19" x14ac:dyDescent="0.2">
      <c r="S74" s="17"/>
    </row>
    <row r="75" spans="1:19" x14ac:dyDescent="0.2">
      <c r="A75" s="26" t="s">
        <v>95</v>
      </c>
      <c r="S75" s="17"/>
    </row>
  </sheetData>
  <phoneticPr fontId="3" type="noConversion"/>
  <conditionalFormatting sqref="A75">
    <cfRule type="expression" dxfId="7" priority="31" stopIfTrue="1">
      <formula>MOD(ROW(),5)=1</formula>
    </cfRule>
  </conditionalFormatting>
  <conditionalFormatting sqref="A72:G73 A5:A71 C5:G71">
    <cfRule type="expression" dxfId="6" priority="3" stopIfTrue="1">
      <formula>MOD(ROW(),3)=1</formula>
    </cfRule>
  </conditionalFormatting>
  <conditionalFormatting sqref="A4:G4">
    <cfRule type="expression" dxfId="5" priority="2" stopIfTrue="1">
      <formula>MOD(ROW(),3)=1</formula>
    </cfRule>
  </conditionalFormatting>
  <conditionalFormatting sqref="B5:B71">
    <cfRule type="expression" dxfId="3"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743364D-8E3B-4214-BD5B-A3B53DDE7DD1}"/>
</file>

<file path=customXml/itemProps2.xml><?xml version="1.0" encoding="utf-8"?>
<ds:datastoreItem xmlns:ds="http://schemas.openxmlformats.org/officeDocument/2006/customXml" ds:itemID="{5C2A87E0-8395-43C8-89F7-ED5AE2A6A823}"/>
</file>

<file path=customXml/itemProps3.xml><?xml version="1.0" encoding="utf-8"?>
<ds:datastoreItem xmlns:ds="http://schemas.openxmlformats.org/officeDocument/2006/customXml" ds:itemID="{FA796CE3-6C7D-429E-8EF9-34024CF49D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Florida Dept. of Revenue</dc:creator>
  <cp:lastModifiedBy>Allison Kever</cp:lastModifiedBy>
  <cp:lastPrinted>2011-02-11T15:23:46Z</cp:lastPrinted>
  <dcterms:created xsi:type="dcterms:W3CDTF">2010-08-10T15:50:22Z</dcterms:created>
  <dcterms:modified xsi:type="dcterms:W3CDTF">2022-11-28T19:43:23Z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0x010100211166BEE4B88A42947F6C3C78DF4222</vt:lpwstr>
  </property>
</Properties>
</file>