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J:\Research &amp; Analysis\Data Book Documentation\2025 Data Book\Final\For Review\"/>
    </mc:Choice>
  </mc:AlternateContent>
  <xr:revisionPtr revIDLastSave="0" documentId="13_ncr:1_{5D2B0D47-FADB-4BC0-8B00-831C58E9C73B}" xr6:coauthVersionLast="47" xr6:coauthVersionMax="47" xr10:uidLastSave="{00000000-0000-0000-0000-000000000000}"/>
  <bookViews>
    <workbookView xWindow="20370" yWindow="-120" windowWidth="29040" windowHeight="15720" tabRatio="692" xr2:uid="{00000000-000D-0000-FFFF-FFFF00000000}"/>
  </bookViews>
  <sheets>
    <sheet name="Report Index" sheetId="1" r:id="rId1"/>
    <sheet name="Total Exemption Value by Type" sheetId="2" r:id="rId2"/>
    <sheet name="Real Exemption Value by Type" sheetId="6" r:id="rId3"/>
    <sheet name="Personal Property by Type" sheetId="4" r:id="rId4"/>
    <sheet name="3-Year Homestead Comparison" sheetId="3" r:id="rId5"/>
  </sheets>
  <definedNames>
    <definedName name="_xlnm._FilterDatabase" localSheetId="0" hidden="1">'Report Index'!$A$2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73" i="2" l="1"/>
  <c r="T73" i="2"/>
  <c r="U73" i="2"/>
  <c r="V73" i="2"/>
  <c r="E73" i="3"/>
  <c r="I73" i="4"/>
  <c r="W73" i="2"/>
  <c r="R73" i="2"/>
  <c r="K71" i="3"/>
  <c r="K70" i="3"/>
  <c r="K69" i="3"/>
  <c r="K68" i="3"/>
  <c r="K67" i="3"/>
  <c r="K66" i="3"/>
  <c r="K65" i="3"/>
  <c r="K64" i="3"/>
  <c r="K63" i="3"/>
  <c r="K62" i="3"/>
  <c r="K61" i="3"/>
  <c r="K60" i="3"/>
  <c r="K59" i="3"/>
  <c r="K58" i="3"/>
  <c r="K57" i="3"/>
  <c r="K56" i="3"/>
  <c r="K55" i="3"/>
  <c r="K54" i="3"/>
  <c r="K53" i="3"/>
  <c r="K52" i="3"/>
  <c r="K51" i="3"/>
  <c r="K50" i="3"/>
  <c r="K49" i="3"/>
  <c r="K48" i="3"/>
  <c r="K47" i="3"/>
  <c r="K46" i="3"/>
  <c r="K45" i="3"/>
  <c r="K44" i="3"/>
  <c r="K43" i="3"/>
  <c r="K42" i="3"/>
  <c r="K41" i="3"/>
  <c r="K40" i="3"/>
  <c r="K39" i="3"/>
  <c r="K38" i="3"/>
  <c r="K37" i="3"/>
  <c r="K36" i="3"/>
  <c r="K35" i="3"/>
  <c r="K34" i="3"/>
  <c r="K33" i="3"/>
  <c r="K32" i="3"/>
  <c r="K31" i="3"/>
  <c r="K30" i="3"/>
  <c r="K29" i="3"/>
  <c r="K28" i="3"/>
  <c r="K27" i="3"/>
  <c r="K26" i="3"/>
  <c r="K25" i="3"/>
  <c r="K24" i="3"/>
  <c r="K23" i="3"/>
  <c r="K22" i="3"/>
  <c r="K21" i="3"/>
  <c r="K20" i="3"/>
  <c r="K19" i="3"/>
  <c r="K18" i="3"/>
  <c r="K17" i="3"/>
  <c r="K16" i="3"/>
  <c r="K15" i="3"/>
  <c r="K14" i="3"/>
  <c r="K13" i="3"/>
  <c r="K12" i="3"/>
  <c r="K11" i="3"/>
  <c r="K10" i="3"/>
  <c r="K9" i="3"/>
  <c r="K8" i="3"/>
  <c r="K7" i="3"/>
  <c r="K6" i="3"/>
  <c r="K5" i="3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F71" i="3"/>
  <c r="F70" i="3"/>
  <c r="F69" i="3"/>
  <c r="F68" i="3"/>
  <c r="F67" i="3"/>
  <c r="F66" i="3"/>
  <c r="F65" i="3"/>
  <c r="F64" i="3"/>
  <c r="F63" i="3"/>
  <c r="F62" i="3"/>
  <c r="F61" i="3"/>
  <c r="F60" i="3"/>
  <c r="F59" i="3"/>
  <c r="F58" i="3"/>
  <c r="F57" i="3"/>
  <c r="F56" i="3"/>
  <c r="F55" i="3"/>
  <c r="F54" i="3"/>
  <c r="F53" i="3"/>
  <c r="F52" i="3"/>
  <c r="F51" i="3"/>
  <c r="F50" i="3"/>
  <c r="F49" i="3"/>
  <c r="F48" i="3"/>
  <c r="F47" i="3"/>
  <c r="F46" i="3"/>
  <c r="F45" i="3"/>
  <c r="F44" i="3"/>
  <c r="F43" i="3"/>
  <c r="F42" i="3"/>
  <c r="F41" i="3"/>
  <c r="F40" i="3"/>
  <c r="F39" i="3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5" i="3"/>
  <c r="J73" i="4"/>
  <c r="Q73" i="2"/>
  <c r="P73" i="6"/>
  <c r="M5" i="3"/>
  <c r="O5" i="3"/>
  <c r="Q5" i="3"/>
  <c r="M6" i="3"/>
  <c r="O6" i="3"/>
  <c r="Q6" i="3"/>
  <c r="M7" i="3"/>
  <c r="O7" i="3"/>
  <c r="Q7" i="3"/>
  <c r="M8" i="3"/>
  <c r="O8" i="3"/>
  <c r="Q8" i="3"/>
  <c r="M9" i="3"/>
  <c r="O9" i="3"/>
  <c r="Q9" i="3"/>
  <c r="M10" i="3"/>
  <c r="O10" i="3"/>
  <c r="Q10" i="3"/>
  <c r="M11" i="3"/>
  <c r="O11" i="3"/>
  <c r="Q11" i="3"/>
  <c r="M12" i="3"/>
  <c r="O12" i="3"/>
  <c r="Q12" i="3"/>
  <c r="M13" i="3"/>
  <c r="O13" i="3"/>
  <c r="Q13" i="3"/>
  <c r="M14" i="3"/>
  <c r="O14" i="3"/>
  <c r="Q14" i="3"/>
  <c r="M15" i="3"/>
  <c r="O15" i="3"/>
  <c r="Q15" i="3"/>
  <c r="M16" i="3"/>
  <c r="O16" i="3"/>
  <c r="Q16" i="3"/>
  <c r="M17" i="3"/>
  <c r="O17" i="3"/>
  <c r="Q17" i="3"/>
  <c r="M18" i="3"/>
  <c r="O18" i="3"/>
  <c r="Q18" i="3"/>
  <c r="M19" i="3"/>
  <c r="O19" i="3"/>
  <c r="Q19" i="3"/>
  <c r="M20" i="3"/>
  <c r="O20" i="3"/>
  <c r="Q20" i="3"/>
  <c r="M21" i="3"/>
  <c r="O21" i="3"/>
  <c r="Q21" i="3"/>
  <c r="M22" i="3"/>
  <c r="O22" i="3"/>
  <c r="Q22" i="3"/>
  <c r="P22" i="3" s="1"/>
  <c r="M23" i="3"/>
  <c r="O23" i="3"/>
  <c r="Q23" i="3"/>
  <c r="M24" i="3"/>
  <c r="O24" i="3"/>
  <c r="Q24" i="3"/>
  <c r="M25" i="3"/>
  <c r="O25" i="3"/>
  <c r="Q25" i="3"/>
  <c r="M26" i="3"/>
  <c r="O26" i="3"/>
  <c r="Q26" i="3"/>
  <c r="M27" i="3"/>
  <c r="O27" i="3"/>
  <c r="Q27" i="3"/>
  <c r="M28" i="3"/>
  <c r="O28" i="3"/>
  <c r="Q28" i="3"/>
  <c r="M29" i="3"/>
  <c r="O29" i="3"/>
  <c r="Q29" i="3"/>
  <c r="M30" i="3"/>
  <c r="O30" i="3"/>
  <c r="Q30" i="3"/>
  <c r="M31" i="3"/>
  <c r="O31" i="3"/>
  <c r="Q31" i="3"/>
  <c r="M32" i="3"/>
  <c r="O32" i="3"/>
  <c r="Q32" i="3"/>
  <c r="M33" i="3"/>
  <c r="O33" i="3"/>
  <c r="Q33" i="3"/>
  <c r="M34" i="3"/>
  <c r="O34" i="3"/>
  <c r="Q34" i="3"/>
  <c r="M35" i="3"/>
  <c r="O35" i="3"/>
  <c r="Q35" i="3"/>
  <c r="M36" i="3"/>
  <c r="O36" i="3"/>
  <c r="Q36" i="3"/>
  <c r="M37" i="3"/>
  <c r="O37" i="3"/>
  <c r="Q37" i="3"/>
  <c r="M38" i="3"/>
  <c r="O38" i="3"/>
  <c r="Q38" i="3"/>
  <c r="M39" i="3"/>
  <c r="O39" i="3"/>
  <c r="Q39" i="3"/>
  <c r="M40" i="3"/>
  <c r="O40" i="3"/>
  <c r="Q40" i="3"/>
  <c r="M41" i="3"/>
  <c r="O41" i="3"/>
  <c r="Q41" i="3"/>
  <c r="M42" i="3"/>
  <c r="O42" i="3"/>
  <c r="Q42" i="3"/>
  <c r="M43" i="3"/>
  <c r="O43" i="3"/>
  <c r="Q43" i="3"/>
  <c r="M44" i="3"/>
  <c r="O44" i="3"/>
  <c r="Q44" i="3"/>
  <c r="M45" i="3"/>
  <c r="O45" i="3"/>
  <c r="Q45" i="3"/>
  <c r="M46" i="3"/>
  <c r="O46" i="3"/>
  <c r="Q46" i="3"/>
  <c r="M47" i="3"/>
  <c r="O47" i="3"/>
  <c r="Q47" i="3"/>
  <c r="M48" i="3"/>
  <c r="O48" i="3"/>
  <c r="Q48" i="3"/>
  <c r="M49" i="3"/>
  <c r="O49" i="3"/>
  <c r="Q49" i="3"/>
  <c r="M50" i="3"/>
  <c r="O50" i="3"/>
  <c r="Q50" i="3"/>
  <c r="M51" i="3"/>
  <c r="O51" i="3"/>
  <c r="Q51" i="3"/>
  <c r="M52" i="3"/>
  <c r="O52" i="3"/>
  <c r="Q52" i="3"/>
  <c r="M53" i="3"/>
  <c r="O53" i="3"/>
  <c r="Q53" i="3"/>
  <c r="M54" i="3"/>
  <c r="O54" i="3"/>
  <c r="Q54" i="3"/>
  <c r="M55" i="3"/>
  <c r="O55" i="3"/>
  <c r="Q55" i="3"/>
  <c r="M56" i="3"/>
  <c r="O56" i="3"/>
  <c r="Q56" i="3"/>
  <c r="M57" i="3"/>
  <c r="O57" i="3"/>
  <c r="Q57" i="3"/>
  <c r="M58" i="3"/>
  <c r="O58" i="3"/>
  <c r="Q58" i="3"/>
  <c r="M59" i="3"/>
  <c r="O59" i="3"/>
  <c r="Q59" i="3"/>
  <c r="M60" i="3"/>
  <c r="O60" i="3"/>
  <c r="Q60" i="3"/>
  <c r="M61" i="3"/>
  <c r="O61" i="3"/>
  <c r="Q61" i="3"/>
  <c r="M62" i="3"/>
  <c r="O62" i="3"/>
  <c r="Q62" i="3"/>
  <c r="M63" i="3"/>
  <c r="O63" i="3"/>
  <c r="Q63" i="3"/>
  <c r="M64" i="3"/>
  <c r="O64" i="3"/>
  <c r="Q64" i="3"/>
  <c r="M65" i="3"/>
  <c r="O65" i="3"/>
  <c r="Q65" i="3"/>
  <c r="M66" i="3"/>
  <c r="O66" i="3"/>
  <c r="Q66" i="3"/>
  <c r="M67" i="3"/>
  <c r="O67" i="3"/>
  <c r="Q67" i="3"/>
  <c r="M68" i="3"/>
  <c r="O68" i="3"/>
  <c r="Q68" i="3"/>
  <c r="M69" i="3"/>
  <c r="O69" i="3"/>
  <c r="Q69" i="3"/>
  <c r="M70" i="3"/>
  <c r="O70" i="3"/>
  <c r="Q70" i="3"/>
  <c r="M71" i="3"/>
  <c r="O71" i="3"/>
  <c r="Q71" i="3"/>
  <c r="C73" i="3"/>
  <c r="G73" i="3"/>
  <c r="H73" i="3"/>
  <c r="J73" i="3"/>
  <c r="L73" i="3"/>
  <c r="B73" i="4"/>
  <c r="C73" i="4"/>
  <c r="D73" i="4"/>
  <c r="E73" i="4"/>
  <c r="F73" i="4"/>
  <c r="G73" i="4"/>
  <c r="H73" i="4"/>
  <c r="B73" i="6"/>
  <c r="C73" i="6"/>
  <c r="D73" i="6"/>
  <c r="E73" i="6"/>
  <c r="F73" i="6"/>
  <c r="G73" i="6"/>
  <c r="H73" i="6"/>
  <c r="I73" i="6"/>
  <c r="J73" i="6"/>
  <c r="K73" i="6"/>
  <c r="L73" i="6"/>
  <c r="M73" i="6"/>
  <c r="N73" i="6"/>
  <c r="O73" i="6"/>
  <c r="Q73" i="6"/>
  <c r="B73" i="2"/>
  <c r="C73" i="2"/>
  <c r="D73" i="2"/>
  <c r="E73" i="2"/>
  <c r="F73" i="2"/>
  <c r="G73" i="2"/>
  <c r="H73" i="2"/>
  <c r="I73" i="2"/>
  <c r="J73" i="2"/>
  <c r="K73" i="2"/>
  <c r="L73" i="2"/>
  <c r="M73" i="2"/>
  <c r="N73" i="2"/>
  <c r="O73" i="2"/>
  <c r="P73" i="2"/>
  <c r="N26" i="3" l="1"/>
  <c r="N71" i="3"/>
  <c r="N39" i="3"/>
  <c r="N52" i="3"/>
  <c r="P56" i="3"/>
  <c r="P35" i="3"/>
  <c r="P43" i="3"/>
  <c r="N32" i="3"/>
  <c r="N12" i="3"/>
  <c r="P52" i="3"/>
  <c r="P30" i="3"/>
  <c r="P14" i="3"/>
  <c r="P9" i="3"/>
  <c r="N64" i="3"/>
  <c r="N48" i="3"/>
  <c r="P33" i="3"/>
  <c r="P17" i="3"/>
  <c r="P63" i="3"/>
  <c r="P39" i="3"/>
  <c r="N63" i="3"/>
  <c r="N47" i="3"/>
  <c r="P11" i="3"/>
  <c r="P10" i="3"/>
  <c r="P25" i="3"/>
  <c r="P67" i="3"/>
  <c r="P19" i="3"/>
  <c r="N65" i="3"/>
  <c r="N22" i="3"/>
  <c r="P21" i="3"/>
  <c r="N37" i="3"/>
  <c r="I73" i="3"/>
  <c r="N14" i="3"/>
  <c r="N40" i="3"/>
  <c r="P18" i="3"/>
  <c r="F73" i="3"/>
  <c r="P15" i="3"/>
  <c r="P34" i="3"/>
  <c r="P44" i="3"/>
  <c r="P23" i="3"/>
  <c r="P7" i="3"/>
  <c r="N33" i="3"/>
  <c r="N17" i="3"/>
  <c r="N38" i="3"/>
  <c r="N43" i="3"/>
  <c r="P37" i="3"/>
  <c r="N6" i="3"/>
  <c r="N10" i="3"/>
  <c r="N21" i="3"/>
  <c r="P50" i="3"/>
  <c r="N50" i="3"/>
  <c r="P26" i="3"/>
  <c r="N56" i="3"/>
  <c r="P65" i="3"/>
  <c r="N29" i="3"/>
  <c r="N13" i="3"/>
  <c r="N60" i="3"/>
  <c r="P54" i="3"/>
  <c r="P38" i="3"/>
  <c r="N36" i="3"/>
  <c r="N28" i="3"/>
  <c r="P69" i="3"/>
  <c r="P61" i="3"/>
  <c r="P57" i="3"/>
  <c r="P53" i="3"/>
  <c r="P49" i="3"/>
  <c r="P45" i="3"/>
  <c r="P41" i="3"/>
  <c r="K73" i="3"/>
  <c r="P6" i="3"/>
  <c r="P70" i="3"/>
  <c r="P66" i="3"/>
  <c r="P62" i="3"/>
  <c r="P58" i="3"/>
  <c r="P46" i="3"/>
  <c r="P42" i="3"/>
  <c r="P32" i="3"/>
  <c r="P24" i="3"/>
  <c r="P20" i="3"/>
  <c r="P16" i="3"/>
  <c r="P12" i="3"/>
  <c r="P8" i="3"/>
  <c r="P59" i="3"/>
  <c r="P55" i="3"/>
  <c r="P29" i="3"/>
  <c r="P13" i="3"/>
  <c r="Q73" i="3"/>
  <c r="N69" i="3"/>
  <c r="N57" i="3"/>
  <c r="N53" i="3"/>
  <c r="N41" i="3"/>
  <c r="N35" i="3"/>
  <c r="N27" i="3"/>
  <c r="N23" i="3"/>
  <c r="N19" i="3"/>
  <c r="N15" i="3"/>
  <c r="N11" i="3"/>
  <c r="N70" i="3"/>
  <c r="P71" i="3"/>
  <c r="N66" i="3"/>
  <c r="P60" i="3"/>
  <c r="N54" i="3"/>
  <c r="P48" i="3"/>
  <c r="N46" i="3"/>
  <c r="N67" i="3"/>
  <c r="P28" i="3"/>
  <c r="N59" i="3"/>
  <c r="N55" i="3"/>
  <c r="N51" i="3"/>
  <c r="P40" i="3"/>
  <c r="N7" i="3"/>
  <c r="N16" i="3"/>
  <c r="P27" i="3"/>
  <c r="N9" i="3"/>
  <c r="N8" i="3"/>
  <c r="N42" i="3"/>
  <c r="D73" i="3"/>
  <c r="P64" i="3"/>
  <c r="P51" i="3"/>
  <c r="N49" i="3"/>
  <c r="N45" i="3"/>
  <c r="N44" i="3"/>
  <c r="P36" i="3"/>
  <c r="N34" i="3"/>
  <c r="N30" i="3"/>
  <c r="N18" i="3"/>
  <c r="N31" i="3"/>
  <c r="N25" i="3"/>
  <c r="N68" i="3"/>
  <c r="N5" i="3"/>
  <c r="N20" i="3"/>
  <c r="K73" i="4"/>
  <c r="R73" i="6"/>
  <c r="X73" i="2"/>
  <c r="S73" i="6"/>
  <c r="Y73" i="2"/>
  <c r="O73" i="3"/>
  <c r="N58" i="3"/>
  <c r="N61" i="3"/>
  <c r="N24" i="3"/>
  <c r="P68" i="3"/>
  <c r="P5" i="3"/>
  <c r="P31" i="3"/>
  <c r="N62" i="3"/>
  <c r="P47" i="3"/>
  <c r="M73" i="3"/>
  <c r="L73" i="4"/>
  <c r="P73" i="3" l="1"/>
  <c r="N73" i="3"/>
</calcChain>
</file>

<file path=xl/sharedStrings.xml><?xml version="1.0" encoding="utf-8"?>
<sst xmlns="http://schemas.openxmlformats.org/spreadsheetml/2006/main" count="432" uniqueCount="126">
  <si>
    <t>Exemption Reports</t>
  </si>
  <si>
    <t>County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</si>
  <si>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</si>
  <si>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</si>
  <si>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</si>
  <si>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</si>
  <si>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</si>
  <si>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</si>
  <si>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</si>
  <si>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</si>
  <si>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</si>
  <si>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</si>
  <si>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</si>
  <si>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</si>
  <si>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</si>
  <si>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</si>
  <si>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</si>
  <si>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</si>
  <si>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</si>
  <si>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</si>
  <si>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</si>
  <si>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</si>
  <si>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</si>
  <si>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</si>
  <si>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</si>
  <si>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</si>
  <si>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</si>
  <si>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</si>
  <si>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</si>
  <si>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</si>
  <si>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</si>
  <si>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</si>
  <si>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</si>
  <si>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</si>
  <si>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</si>
  <si>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</si>
  <si>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</si>
  <si>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</si>
  <si>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</si>
  <si>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</si>
  <si>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</si>
  <si>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</si>
  <si>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</si>
  <si>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</si>
  <si>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</si>
  <si>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</si>
  <si>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</si>
  <si>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</si>
  <si>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</si>
  <si>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</si>
  <si>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</si>
  <si>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</si>
  <si>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</si>
  <si>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</si>
  <si>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</si>
  <si>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</si>
  <si>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</si>
  <si>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</si>
  <si>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</si>
  <si>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</si>
  <si>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</si>
  <si>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</si>
  <si>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</si>
  <si>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</si>
  <si>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</si>
  <si>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</si>
  <si>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</si>
  <si>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</si>
  <si>
    <t>Statewide</t>
  </si>
  <si>
    <t>Status</t>
  </si>
  <si>
    <t>Institutional Exemptions</t>
  </si>
  <si>
    <t>Conservation Land Exemption</t>
  </si>
  <si>
    <t>Homestead Assessment Reduction for Parents or Grandparents</t>
  </si>
  <si>
    <t>Disabled Veterans' Homestead Discount</t>
  </si>
  <si>
    <t>Total Assessed Value</t>
  </si>
  <si>
    <t>Total Exempt Value</t>
  </si>
  <si>
    <t>Total Taxable Value</t>
  </si>
  <si>
    <t>Homestead Statute</t>
  </si>
  <si>
    <t>Additional Homestead Statute</t>
  </si>
  <si>
    <t>Total Homestead Exemption</t>
  </si>
  <si>
    <t xml:space="preserve">Contact Information: </t>
  </si>
  <si>
    <t xml:space="preserve">Property Tax Oversight, Research &amp; Analysis  </t>
  </si>
  <si>
    <t>$25,000 Tangible Personal Property Exemption</t>
  </si>
  <si>
    <t>Governmental Exemptions</t>
  </si>
  <si>
    <t>Widows Exemption</t>
  </si>
  <si>
    <t>Disability Exemptions</t>
  </si>
  <si>
    <t>Historic Property Exemptions</t>
  </si>
  <si>
    <t>Economic Development &amp; Child Care Exemptions</t>
  </si>
  <si>
    <t xml:space="preserve">$25,000 Homestead Exemption </t>
  </si>
  <si>
    <t xml:space="preserve">Additional $25,000 Homestead Exemption </t>
  </si>
  <si>
    <t xml:space="preserve">Additional Homestead Exemption, Age 65 &amp; Older </t>
  </si>
  <si>
    <t xml:space="preserve">Governmental Exemption </t>
  </si>
  <si>
    <t xml:space="preserve">Institutional Exemptions </t>
  </si>
  <si>
    <t xml:space="preserve">Widows / Widowers Exemption </t>
  </si>
  <si>
    <t xml:space="preserve">Disability / Blind Exemptions </t>
  </si>
  <si>
    <t xml:space="preserve">Historic Property Exemption </t>
  </si>
  <si>
    <t xml:space="preserve">Econ. Development &amp; Child Care Exemptions (blank) </t>
  </si>
  <si>
    <t>Deployed Service Member's Homestead Exemption</t>
  </si>
  <si>
    <t>Exemption Value by Type (Category)</t>
  </si>
  <si>
    <t>Personal Property Exemption Value by Type (Category)</t>
  </si>
  <si>
    <t>Real Exemption Value by Property Category</t>
  </si>
  <si>
    <t>Personal Property Exemption Value by Property Category</t>
  </si>
  <si>
    <t>Total Exemption Value by Property Category</t>
  </si>
  <si>
    <t>3- Year Homestead Comparison</t>
  </si>
  <si>
    <t>Real Property Exemption Value by Type (Category)</t>
  </si>
  <si>
    <t>Senior Age 65 &amp; 25 Year Resident Homestead Exemption</t>
  </si>
  <si>
    <t>Miami-Dade</t>
  </si>
  <si>
    <t>Econ. Development &amp; Child Care Exemptions</t>
  </si>
  <si>
    <t>Tangible Personal Property $25,000 Exemption*</t>
  </si>
  <si>
    <t>*Includes Centrally Assessed exempt values.</t>
  </si>
  <si>
    <r>
      <t>Lands Available for Taxes</t>
    </r>
    <r>
      <rPr>
        <b/>
        <sz val="10"/>
        <color indexed="10"/>
        <rFont val="Arial"/>
        <family val="2"/>
      </rPr>
      <t xml:space="preserve"> </t>
    </r>
  </si>
  <si>
    <t>PTOResearchAnalysis@floridarevenue.com</t>
  </si>
  <si>
    <t>Renewable Energy Exemption</t>
  </si>
  <si>
    <t>R-NVAB</t>
  </si>
  <si>
    <t>R-Final</t>
  </si>
  <si>
    <t>2023 Value</t>
  </si>
  <si>
    <t>Data Extract: November 2025</t>
  </si>
  <si>
    <t>2025 Value</t>
  </si>
  <si>
    <t>Biblical History</t>
  </si>
  <si>
    <t xml:space="preserve">Affordable Housing  (State)                </t>
  </si>
  <si>
    <t>Affordable Housong  (Lease Land)</t>
  </si>
  <si>
    <t xml:space="preserve">Affordable Housing           (County)                </t>
  </si>
  <si>
    <t>2024 Value</t>
  </si>
  <si>
    <t>Percent Increase 2024-2025</t>
  </si>
  <si>
    <t>Percent Increase 2023-2024</t>
  </si>
  <si>
    <t>Homestead Comparison 2023-2025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</si>
</sst>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0.0%"/>
  </numFmts>
  <fonts count="47" x14ac:knownFonts="1"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8"/>
      <name val="Calibri"/>
      <family val="2"/>
    </font>
    <font>
      <u/>
      <sz val="11"/>
      <color indexed="12"/>
      <name val="Calibri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2"/>
      <color indexed="8"/>
      <name val="Calibri"/>
      <family val="2"/>
    </font>
    <font>
      <sz val="12"/>
      <color indexed="9"/>
      <name val="Calibri"/>
      <family val="2"/>
    </font>
    <font>
      <sz val="12"/>
      <color indexed="20"/>
      <name val="Calibri"/>
      <family val="2"/>
    </font>
    <font>
      <b/>
      <sz val="12"/>
      <color indexed="52"/>
      <name val="Calibri"/>
      <family val="2"/>
    </font>
    <font>
      <b/>
      <sz val="12"/>
      <color indexed="9"/>
      <name val="Calibri"/>
      <family val="2"/>
    </font>
    <font>
      <i/>
      <sz val="12"/>
      <color indexed="23"/>
      <name val="Calibri"/>
      <family val="2"/>
    </font>
    <font>
      <sz val="12"/>
      <color indexed="17"/>
      <name val="Calibri"/>
      <family val="2"/>
    </font>
    <font>
      <u/>
      <sz val="10"/>
      <color indexed="12"/>
      <name val="Arial"/>
      <family val="2"/>
    </font>
    <font>
      <sz val="12"/>
      <color indexed="62"/>
      <name val="Calibri"/>
      <family val="2"/>
    </font>
    <font>
      <sz val="12"/>
      <color indexed="52"/>
      <name val="Calibri"/>
      <family val="2"/>
    </font>
    <font>
      <sz val="12"/>
      <color indexed="60"/>
      <name val="Calibri"/>
      <family val="2"/>
    </font>
    <font>
      <b/>
      <sz val="12"/>
      <color indexed="63"/>
      <name val="Calibri"/>
      <family val="2"/>
    </font>
    <font>
      <b/>
      <sz val="12"/>
      <color indexed="8"/>
      <name val="Calibri"/>
      <family val="2"/>
    </font>
    <font>
      <sz val="12"/>
      <color indexed="10"/>
      <name val="Calibri"/>
      <family val="2"/>
    </font>
    <font>
      <b/>
      <sz val="11"/>
      <color indexed="8"/>
      <name val="Arial"/>
      <family val="2"/>
    </font>
    <font>
      <sz val="11"/>
      <color indexed="8"/>
      <name val="Arial"/>
      <family val="2"/>
    </font>
    <font>
      <u/>
      <sz val="11"/>
      <color indexed="12"/>
      <name val="Arial"/>
      <family val="2"/>
    </font>
    <font>
      <i/>
      <sz val="11"/>
      <name val="Arial"/>
      <family val="2"/>
    </font>
    <font>
      <sz val="11"/>
      <name val="Arial"/>
      <family val="2"/>
    </font>
    <font>
      <b/>
      <sz val="1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</fills>
  <borders count="2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87">
    <xf numFmtId="0" fontId="0" fillId="0" borderId="0"/>
    <xf numFmtId="0" fontId="1" fillId="2" borderId="0" applyNumberFormat="0" applyBorder="0" applyAlignment="0" applyProtection="0"/>
    <xf numFmtId="0" fontId="23" fillId="2" borderId="0" applyNumberFormat="0" applyBorder="0" applyAlignment="0" applyProtection="0"/>
    <xf numFmtId="0" fontId="1" fillId="3" borderId="0" applyNumberFormat="0" applyBorder="0" applyAlignment="0" applyProtection="0"/>
    <xf numFmtId="0" fontId="23" fillId="3" borderId="0" applyNumberFormat="0" applyBorder="0" applyAlignment="0" applyProtection="0"/>
    <xf numFmtId="0" fontId="1" fillId="4" borderId="0" applyNumberFormat="0" applyBorder="0" applyAlignment="0" applyProtection="0"/>
    <xf numFmtId="0" fontId="23" fillId="4" borderId="0" applyNumberFormat="0" applyBorder="0" applyAlignment="0" applyProtection="0"/>
    <xf numFmtId="0" fontId="1" fillId="5" borderId="0" applyNumberFormat="0" applyBorder="0" applyAlignment="0" applyProtection="0"/>
    <xf numFmtId="0" fontId="23" fillId="5" borderId="0" applyNumberFormat="0" applyBorder="0" applyAlignment="0" applyProtection="0"/>
    <xf numFmtId="0" fontId="1" fillId="6" borderId="0" applyNumberFormat="0" applyBorder="0" applyAlignment="0" applyProtection="0"/>
    <xf numFmtId="0" fontId="23" fillId="6" borderId="0" applyNumberFormat="0" applyBorder="0" applyAlignment="0" applyProtection="0"/>
    <xf numFmtId="0" fontId="1" fillId="7" borderId="0" applyNumberFormat="0" applyBorder="0" applyAlignment="0" applyProtection="0"/>
    <xf numFmtId="0" fontId="23" fillId="7" borderId="0" applyNumberFormat="0" applyBorder="0" applyAlignment="0" applyProtection="0"/>
    <xf numFmtId="0" fontId="1" fillId="8" borderId="0" applyNumberFormat="0" applyBorder="0" applyAlignment="0" applyProtection="0"/>
    <xf numFmtId="0" fontId="23" fillId="8" borderId="0" applyNumberFormat="0" applyBorder="0" applyAlignment="0" applyProtection="0"/>
    <xf numFmtId="0" fontId="1" fillId="9" borderId="0" applyNumberFormat="0" applyBorder="0" applyAlignment="0" applyProtection="0"/>
    <xf numFmtId="0" fontId="23" fillId="9" borderId="0" applyNumberFormat="0" applyBorder="0" applyAlignment="0" applyProtection="0"/>
    <xf numFmtId="0" fontId="1" fillId="10" borderId="0" applyNumberFormat="0" applyBorder="0" applyAlignment="0" applyProtection="0"/>
    <xf numFmtId="0" fontId="23" fillId="10" borderId="0" applyNumberFormat="0" applyBorder="0" applyAlignment="0" applyProtection="0"/>
    <xf numFmtId="0" fontId="1" fillId="5" borderId="0" applyNumberFormat="0" applyBorder="0" applyAlignment="0" applyProtection="0"/>
    <xf numFmtId="0" fontId="23" fillId="5" borderId="0" applyNumberFormat="0" applyBorder="0" applyAlignment="0" applyProtection="0"/>
    <xf numFmtId="0" fontId="1" fillId="8" borderId="0" applyNumberFormat="0" applyBorder="0" applyAlignment="0" applyProtection="0"/>
    <xf numFmtId="0" fontId="23" fillId="8" borderId="0" applyNumberFormat="0" applyBorder="0" applyAlignment="0" applyProtection="0"/>
    <xf numFmtId="0" fontId="1" fillId="11" borderId="0" applyNumberFormat="0" applyBorder="0" applyAlignment="0" applyProtection="0"/>
    <xf numFmtId="0" fontId="23" fillId="11" borderId="0" applyNumberFormat="0" applyBorder="0" applyAlignment="0" applyProtection="0"/>
    <xf numFmtId="0" fontId="2" fillId="12" borderId="0" applyNumberFormat="0" applyBorder="0" applyAlignment="0" applyProtection="0"/>
    <xf numFmtId="0" fontId="24" fillId="12" borderId="0" applyNumberFormat="0" applyBorder="0" applyAlignment="0" applyProtection="0"/>
    <xf numFmtId="0" fontId="2" fillId="9" borderId="0" applyNumberFormat="0" applyBorder="0" applyAlignment="0" applyProtection="0"/>
    <xf numFmtId="0" fontId="24" fillId="9" borderId="0" applyNumberFormat="0" applyBorder="0" applyAlignment="0" applyProtection="0"/>
    <xf numFmtId="0" fontId="2" fillId="10" borderId="0" applyNumberFormat="0" applyBorder="0" applyAlignment="0" applyProtection="0"/>
    <xf numFmtId="0" fontId="24" fillId="10" borderId="0" applyNumberFormat="0" applyBorder="0" applyAlignment="0" applyProtection="0"/>
    <xf numFmtId="0" fontId="2" fillId="13" borderId="0" applyNumberFormat="0" applyBorder="0" applyAlignment="0" applyProtection="0"/>
    <xf numFmtId="0" fontId="24" fillId="13" borderId="0" applyNumberFormat="0" applyBorder="0" applyAlignment="0" applyProtection="0"/>
    <xf numFmtId="0" fontId="2" fillId="14" borderId="0" applyNumberFormat="0" applyBorder="0" applyAlignment="0" applyProtection="0"/>
    <xf numFmtId="0" fontId="24" fillId="14" borderId="0" applyNumberFormat="0" applyBorder="0" applyAlignment="0" applyProtection="0"/>
    <xf numFmtId="0" fontId="2" fillId="15" borderId="0" applyNumberFormat="0" applyBorder="0" applyAlignment="0" applyProtection="0"/>
    <xf numFmtId="0" fontId="24" fillId="15" borderId="0" applyNumberFormat="0" applyBorder="0" applyAlignment="0" applyProtection="0"/>
    <xf numFmtId="0" fontId="2" fillId="16" borderId="0" applyNumberFormat="0" applyBorder="0" applyAlignment="0" applyProtection="0"/>
    <xf numFmtId="0" fontId="24" fillId="16" borderId="0" applyNumberFormat="0" applyBorder="0" applyAlignment="0" applyProtection="0"/>
    <xf numFmtId="0" fontId="2" fillId="17" borderId="0" applyNumberFormat="0" applyBorder="0" applyAlignment="0" applyProtection="0"/>
    <xf numFmtId="0" fontId="24" fillId="17" borderId="0" applyNumberFormat="0" applyBorder="0" applyAlignment="0" applyProtection="0"/>
    <xf numFmtId="0" fontId="2" fillId="18" borderId="0" applyNumberFormat="0" applyBorder="0" applyAlignment="0" applyProtection="0"/>
    <xf numFmtId="0" fontId="24" fillId="18" borderId="0" applyNumberFormat="0" applyBorder="0" applyAlignment="0" applyProtection="0"/>
    <xf numFmtId="0" fontId="2" fillId="13" borderId="0" applyNumberFormat="0" applyBorder="0" applyAlignment="0" applyProtection="0"/>
    <xf numFmtId="0" fontId="24" fillId="13" borderId="0" applyNumberFormat="0" applyBorder="0" applyAlignment="0" applyProtection="0"/>
    <xf numFmtId="0" fontId="2" fillId="14" borderId="0" applyNumberFormat="0" applyBorder="0" applyAlignment="0" applyProtection="0"/>
    <xf numFmtId="0" fontId="24" fillId="14" borderId="0" applyNumberFormat="0" applyBorder="0" applyAlignment="0" applyProtection="0"/>
    <xf numFmtId="0" fontId="2" fillId="19" borderId="0" applyNumberFormat="0" applyBorder="0" applyAlignment="0" applyProtection="0"/>
    <xf numFmtId="0" fontId="24" fillId="19" borderId="0" applyNumberFormat="0" applyBorder="0" applyAlignment="0" applyProtection="0"/>
    <xf numFmtId="0" fontId="3" fillId="3" borderId="0" applyNumberFormat="0" applyBorder="0" applyAlignment="0" applyProtection="0"/>
    <xf numFmtId="0" fontId="25" fillId="3" borderId="0" applyNumberFormat="0" applyBorder="0" applyAlignment="0" applyProtection="0"/>
    <xf numFmtId="0" fontId="4" fillId="20" borderId="1" applyNumberFormat="0" applyAlignment="0" applyProtection="0"/>
    <xf numFmtId="0" fontId="26" fillId="20" borderId="1" applyNumberFormat="0" applyAlignment="0" applyProtection="0"/>
    <xf numFmtId="0" fontId="5" fillId="21" borderId="2" applyNumberFormat="0" applyAlignment="0" applyProtection="0"/>
    <xf numFmtId="0" fontId="27" fillId="21" borderId="2" applyNumberFormat="0" applyAlignment="0" applyProtection="0"/>
    <xf numFmtId="43" fontId="1" fillId="0" borderId="0" applyFon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7" fillId="4" borderId="0" applyNumberFormat="0" applyBorder="0" applyAlignment="0" applyProtection="0"/>
    <xf numFmtId="0" fontId="29" fillId="4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11" fillId="7" borderId="1" applyNumberFormat="0" applyAlignment="0" applyProtection="0"/>
    <xf numFmtId="0" fontId="31" fillId="7" borderId="1" applyNumberFormat="0" applyAlignment="0" applyProtection="0"/>
    <xf numFmtId="0" fontId="12" fillId="0" borderId="6" applyNumberFormat="0" applyFill="0" applyAlignment="0" applyProtection="0"/>
    <xf numFmtId="0" fontId="32" fillId="0" borderId="6" applyNumberFormat="0" applyFill="0" applyAlignment="0" applyProtection="0"/>
    <xf numFmtId="0" fontId="13" fillId="22" borderId="0" applyNumberFormat="0" applyBorder="0" applyAlignment="0" applyProtection="0"/>
    <xf numFmtId="0" fontId="33" fillId="22" borderId="0" applyNumberFormat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2" fillId="0" borderId="0"/>
    <xf numFmtId="0" fontId="1" fillId="23" borderId="7" applyNumberFormat="0" applyFont="0" applyAlignment="0" applyProtection="0"/>
    <xf numFmtId="0" fontId="20" fillId="23" borderId="7" applyNumberFormat="0" applyFont="0" applyAlignment="0" applyProtection="0"/>
    <xf numFmtId="0" fontId="14" fillId="20" borderId="8" applyNumberFormat="0" applyAlignment="0" applyProtection="0"/>
    <xf numFmtId="0" fontId="34" fillId="20" borderId="8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35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1" fillId="0" borderId="0"/>
  </cellStyleXfs>
  <cellXfs count="64">
    <xf numFmtId="0" fontId="0" fillId="0" borderId="0" xfId="0"/>
    <xf numFmtId="0" fontId="37" fillId="0" borderId="0" xfId="0" applyFont="1"/>
    <xf numFmtId="0" fontId="38" fillId="0" borderId="0" xfId="0" applyFont="1"/>
    <xf numFmtId="0" fontId="39" fillId="0" borderId="0" xfId="66" applyFont="1" applyAlignment="1" applyProtection="1"/>
    <xf numFmtId="0" fontId="40" fillId="0" borderId="0" xfId="0" applyFont="1"/>
    <xf numFmtId="0" fontId="41" fillId="0" borderId="0" xfId="0" applyFont="1"/>
    <xf numFmtId="0" fontId="42" fillId="0" borderId="0" xfId="0" applyFont="1"/>
    <xf numFmtId="0" fontId="38" fillId="0" borderId="0" xfId="0" applyFont="1" applyAlignment="1">
      <alignment horizontal="center"/>
    </xf>
    <xf numFmtId="165" fontId="38" fillId="0" borderId="0" xfId="0" applyNumberFormat="1" applyFont="1" applyAlignment="1">
      <alignment horizontal="right"/>
    </xf>
    <xf numFmtId="0" fontId="38" fillId="0" borderId="0" xfId="0" applyFont="1" applyBorder="1"/>
    <xf numFmtId="165" fontId="38" fillId="0" borderId="0" xfId="0" applyNumberFormat="1" applyFont="1"/>
    <xf numFmtId="0" fontId="37" fillId="0" borderId="0" xfId="0" applyFont="1" applyAlignment="1">
      <alignment horizontal="left"/>
    </xf>
    <xf numFmtId="0" fontId="38" fillId="25" borderId="10" xfId="0" applyFont="1" applyFill="1" applyBorder="1"/>
    <xf numFmtId="165" fontId="38" fillId="25" borderId="11" xfId="0" applyNumberFormat="1" applyFont="1" applyFill="1" applyBorder="1" applyAlignment="1">
      <alignment horizontal="right"/>
    </xf>
    <xf numFmtId="0" fontId="37" fillId="25" borderId="11" xfId="0" applyFont="1" applyFill="1" applyBorder="1" applyAlignment="1"/>
    <xf numFmtId="165" fontId="37" fillId="25" borderId="11" xfId="0" applyNumberFormat="1" applyFont="1" applyFill="1" applyBorder="1" applyAlignment="1"/>
    <xf numFmtId="0" fontId="37" fillId="25" borderId="12" xfId="0" applyFont="1" applyFill="1" applyBorder="1" applyAlignment="1"/>
    <xf numFmtId="0" fontId="37" fillId="26" borderId="10" xfId="0" applyFont="1" applyFill="1" applyBorder="1" applyAlignment="1">
      <alignment horizontal="center"/>
    </xf>
    <xf numFmtId="165" fontId="37" fillId="26" borderId="11" xfId="0" applyNumberFormat="1" applyFont="1" applyFill="1" applyBorder="1" applyAlignment="1">
      <alignment horizontal="center"/>
    </xf>
    <xf numFmtId="0" fontId="37" fillId="26" borderId="11" xfId="0" applyFont="1" applyFill="1" applyBorder="1" applyAlignment="1"/>
    <xf numFmtId="165" fontId="37" fillId="26" borderId="11" xfId="0" applyNumberFormat="1" applyFont="1" applyFill="1" applyBorder="1" applyAlignment="1"/>
    <xf numFmtId="0" fontId="37" fillId="26" borderId="12" xfId="0" applyFont="1" applyFill="1" applyBorder="1" applyAlignment="1"/>
    <xf numFmtId="0" fontId="37" fillId="25" borderId="10" xfId="0" applyFont="1" applyFill="1" applyBorder="1" applyAlignment="1"/>
    <xf numFmtId="0" fontId="38" fillId="0" borderId="13" xfId="0" applyFont="1" applyBorder="1" applyAlignment="1"/>
    <xf numFmtId="3" fontId="41" fillId="0" borderId="13" xfId="0" applyNumberFormat="1" applyFont="1" applyBorder="1" applyAlignment="1">
      <alignment horizontal="right" wrapText="1"/>
    </xf>
    <xf numFmtId="10" fontId="41" fillId="0" borderId="14" xfId="0" applyNumberFormat="1" applyFont="1" applyBorder="1" applyAlignment="1">
      <alignment horizontal="right" wrapText="1"/>
    </xf>
    <xf numFmtId="3" fontId="41" fillId="0" borderId="14" xfId="0" applyNumberFormat="1" applyFont="1" applyBorder="1" applyAlignment="1">
      <alignment horizontal="right" wrapText="1"/>
    </xf>
    <xf numFmtId="3" fontId="41" fillId="0" borderId="15" xfId="0" applyNumberFormat="1" applyFont="1" applyBorder="1" applyAlignment="1">
      <alignment horizontal="right" wrapText="1"/>
    </xf>
    <xf numFmtId="3" fontId="38" fillId="0" borderId="15" xfId="55" applyNumberFormat="1" applyFont="1" applyBorder="1" applyAlignment="1"/>
    <xf numFmtId="164" fontId="38" fillId="0" borderId="0" xfId="0" applyNumberFormat="1" applyFont="1"/>
    <xf numFmtId="165" fontId="41" fillId="0" borderId="14" xfId="0" applyNumberFormat="1" applyFont="1" applyBorder="1" applyAlignment="1">
      <alignment horizontal="center" wrapText="1"/>
    </xf>
    <xf numFmtId="0" fontId="37" fillId="24" borderId="16" xfId="0" applyFont="1" applyFill="1" applyBorder="1" applyAlignment="1"/>
    <xf numFmtId="0" fontId="37" fillId="24" borderId="17" xfId="0" applyFont="1" applyFill="1" applyBorder="1" applyAlignment="1">
      <alignment horizontal="center"/>
    </xf>
    <xf numFmtId="3" fontId="37" fillId="24" borderId="16" xfId="0" applyNumberFormat="1" applyFont="1" applyFill="1" applyBorder="1" applyAlignment="1">
      <alignment horizontal="right"/>
    </xf>
    <xf numFmtId="10" fontId="37" fillId="24" borderId="18" xfId="0" applyNumberFormat="1" applyFont="1" applyFill="1" applyBorder="1" applyAlignment="1">
      <alignment horizontal="right"/>
    </xf>
    <xf numFmtId="3" fontId="37" fillId="24" borderId="18" xfId="0" applyNumberFormat="1" applyFont="1" applyFill="1" applyBorder="1" applyAlignment="1">
      <alignment horizontal="right"/>
    </xf>
    <xf numFmtId="3" fontId="37" fillId="24" borderId="19" xfId="0" applyNumberFormat="1" applyFont="1" applyFill="1" applyBorder="1" applyAlignment="1">
      <alignment horizontal="right"/>
    </xf>
    <xf numFmtId="3" fontId="37" fillId="24" borderId="19" xfId="55" applyNumberFormat="1" applyFont="1" applyFill="1" applyBorder="1" applyAlignment="1"/>
    <xf numFmtId="0" fontId="38" fillId="0" borderId="0" xfId="0" applyFont="1" applyFill="1" applyBorder="1"/>
    <xf numFmtId="0" fontId="38" fillId="0" borderId="0" xfId="0" applyFont="1" applyAlignment="1">
      <alignment horizontal="left"/>
    </xf>
    <xf numFmtId="0" fontId="38" fillId="0" borderId="13" xfId="0" applyFont="1" applyBorder="1"/>
    <xf numFmtId="3" fontId="38" fillId="0" borderId="14" xfId="55" applyNumberFormat="1" applyFont="1" applyBorder="1"/>
    <xf numFmtId="3" fontId="38" fillId="0" borderId="20" xfId="55" applyNumberFormat="1" applyFont="1" applyBorder="1"/>
    <xf numFmtId="3" fontId="38" fillId="0" borderId="15" xfId="55" applyNumberFormat="1" applyFont="1" applyBorder="1"/>
    <xf numFmtId="0" fontId="38" fillId="0" borderId="0" xfId="0" applyFont="1" applyAlignment="1">
      <alignment wrapText="1"/>
    </xf>
    <xf numFmtId="0" fontId="37" fillId="24" borderId="16" xfId="0" applyFont="1" applyFill="1" applyBorder="1"/>
    <xf numFmtId="3" fontId="37" fillId="24" borderId="18" xfId="55" applyNumberFormat="1" applyFont="1" applyFill="1" applyBorder="1"/>
    <xf numFmtId="3" fontId="37" fillId="24" borderId="17" xfId="55" applyNumberFormat="1" applyFont="1" applyFill="1" applyBorder="1"/>
    <xf numFmtId="3" fontId="37" fillId="24" borderId="19" xfId="55" applyNumberFormat="1" applyFont="1" applyFill="1" applyBorder="1"/>
    <xf numFmtId="0" fontId="42" fillId="0" borderId="0" xfId="0" applyFont="1" applyAlignment="1">
      <alignment horizontal="left"/>
    </xf>
    <xf numFmtId="0" fontId="43" fillId="24" borderId="21" xfId="0" applyFont="1" applyFill="1" applyBorder="1" applyAlignment="1">
      <alignment horizontal="center" vertical="center" wrapText="1"/>
    </xf>
    <xf numFmtId="165" fontId="43" fillId="24" borderId="22" xfId="0" applyNumberFormat="1" applyFont="1" applyFill="1" applyBorder="1" applyAlignment="1">
      <alignment horizontal="center" vertical="center" wrapText="1"/>
    </xf>
    <xf numFmtId="0" fontId="43" fillId="24" borderId="22" xfId="0" applyFont="1" applyFill="1" applyBorder="1" applyAlignment="1">
      <alignment horizontal="center" vertical="center" wrapText="1"/>
    </xf>
    <xf numFmtId="0" fontId="43" fillId="24" borderId="23" xfId="0" applyFont="1" applyFill="1" applyBorder="1" applyAlignment="1">
      <alignment horizontal="center" vertical="center" wrapText="1"/>
    </xf>
    <xf numFmtId="0" fontId="44" fillId="0" borderId="0" xfId="0" applyFont="1" applyAlignment="1">
      <alignment horizontal="center" vertical="center"/>
    </xf>
    <xf numFmtId="3" fontId="45" fillId="24" borderId="22" xfId="0" applyNumberFormat="1" applyFont="1" applyFill="1" applyBorder="1" applyAlignment="1">
      <alignment horizontal="center" vertical="center" wrapText="1"/>
    </xf>
    <xf numFmtId="3" fontId="45" fillId="24" borderId="24" xfId="0" applyNumberFormat="1" applyFont="1" applyFill="1" applyBorder="1" applyAlignment="1">
      <alignment horizontal="center" vertical="center" wrapText="1"/>
    </xf>
    <xf numFmtId="3" fontId="45" fillId="24" borderId="23" xfId="0" applyNumberFormat="1" applyFont="1" applyFill="1" applyBorder="1" applyAlignment="1">
      <alignment horizontal="center" vertical="center" wrapText="1"/>
    </xf>
    <xf numFmtId="0" fontId="44" fillId="0" borderId="0" xfId="0" applyFont="1" applyAlignment="1">
      <alignment horizontal="center" vertical="center" wrapText="1"/>
    </xf>
    <xf numFmtId="0" fontId="43" fillId="24" borderId="24" xfId="0" applyFont="1" applyFill="1" applyBorder="1" applyAlignment="1">
      <alignment horizontal="center" vertical="center"/>
    </xf>
    <xf numFmtId="0" fontId="41" fillId="0" borderId="20" xfId="0" applyFont="1" applyBorder="1" applyAlignment="1">
      <alignment horizontal="center"/>
    </xf>
    <xf numFmtId="0" fontId="43" fillId="24" borderId="22" xfId="86" applyFont="1" applyFill="1" applyBorder="1" applyAlignment="1">
      <alignment horizontal="center" vertical="center" wrapText="1"/>
    </xf>
    <xf numFmtId="0" fontId="39" fillId="0" borderId="0" xfId="66" applyFont="1" applyAlignment="1" applyProtection="1">
      <alignment horizontal="left"/>
    </xf>
    <xf numFmtId="0" fontId="39" fillId="0" borderId="0" xfId="66" applyFont="1" applyAlignment="1" applyProtection="1"/>
  </cellXfs>
  <cellStyles count="87">
    <cellStyle name="20% - Accent1" xfId="1" builtinId="30" customBuiltin="1"/>
    <cellStyle name="20% - Accent1 2" xfId="2" xr:uid="{00000000-0005-0000-0000-000001000000}"/>
    <cellStyle name="20% - Accent2" xfId="3" builtinId="34" customBuiltin="1"/>
    <cellStyle name="20% - Accent2 2" xfId="4" xr:uid="{00000000-0005-0000-0000-000003000000}"/>
    <cellStyle name="20% - Accent3" xfId="5" builtinId="38" customBuiltin="1"/>
    <cellStyle name="20% - Accent3 2" xfId="6" xr:uid="{00000000-0005-0000-0000-000005000000}"/>
    <cellStyle name="20% - Accent4" xfId="7" builtinId="42" customBuiltin="1"/>
    <cellStyle name="20% - Accent4 2" xfId="8" xr:uid="{00000000-0005-0000-0000-000007000000}"/>
    <cellStyle name="20% - Accent5" xfId="9" builtinId="46" customBuiltin="1"/>
    <cellStyle name="20% - Accent5 2" xfId="10" xr:uid="{00000000-0005-0000-0000-000009000000}"/>
    <cellStyle name="20% - Accent6" xfId="11" builtinId="50" customBuiltin="1"/>
    <cellStyle name="20% - Accent6 2" xfId="12" xr:uid="{00000000-0005-0000-0000-00000B000000}"/>
    <cellStyle name="40% - Accent1" xfId="13" builtinId="31" customBuiltin="1"/>
    <cellStyle name="40% - Accent1 2" xfId="14" xr:uid="{00000000-0005-0000-0000-00000D000000}"/>
    <cellStyle name="40% - Accent2" xfId="15" builtinId="35" customBuiltin="1"/>
    <cellStyle name="40% - Accent2 2" xfId="16" xr:uid="{00000000-0005-0000-0000-00000F000000}"/>
    <cellStyle name="40% - Accent3" xfId="17" builtinId="39" customBuiltin="1"/>
    <cellStyle name="40% - Accent3 2" xfId="18" xr:uid="{00000000-0005-0000-0000-000011000000}"/>
    <cellStyle name="40% - Accent4" xfId="19" builtinId="43" customBuiltin="1"/>
    <cellStyle name="40% - Accent4 2" xfId="20" xr:uid="{00000000-0005-0000-0000-000013000000}"/>
    <cellStyle name="40% - Accent5" xfId="21" builtinId="47" customBuiltin="1"/>
    <cellStyle name="40% - Accent5 2" xfId="22" xr:uid="{00000000-0005-0000-0000-000015000000}"/>
    <cellStyle name="40% - Accent6" xfId="23" builtinId="51" customBuiltin="1"/>
    <cellStyle name="40% - Accent6 2" xfId="24" xr:uid="{00000000-0005-0000-0000-000017000000}"/>
    <cellStyle name="60% - Accent1" xfId="25" builtinId="32" customBuiltin="1"/>
    <cellStyle name="60% - Accent1 2" xfId="26" xr:uid="{00000000-0005-0000-0000-000019000000}"/>
    <cellStyle name="60% - Accent2" xfId="27" builtinId="36" customBuiltin="1"/>
    <cellStyle name="60% - Accent2 2" xfId="28" xr:uid="{00000000-0005-0000-0000-00001B000000}"/>
    <cellStyle name="60% - Accent3" xfId="29" builtinId="40" customBuiltin="1"/>
    <cellStyle name="60% - Accent3 2" xfId="30" xr:uid="{00000000-0005-0000-0000-00001D000000}"/>
    <cellStyle name="60% - Accent4" xfId="31" builtinId="44" customBuiltin="1"/>
    <cellStyle name="60% - Accent4 2" xfId="32" xr:uid="{00000000-0005-0000-0000-00001F000000}"/>
    <cellStyle name="60% - Accent5" xfId="33" builtinId="48" customBuiltin="1"/>
    <cellStyle name="60% - Accent5 2" xfId="34" xr:uid="{00000000-0005-0000-0000-000021000000}"/>
    <cellStyle name="60% - Accent6" xfId="35" builtinId="52" customBuiltin="1"/>
    <cellStyle name="60% - Accent6 2" xfId="36" xr:uid="{00000000-0005-0000-0000-000023000000}"/>
    <cellStyle name="Accent1" xfId="37" builtinId="29" customBuiltin="1"/>
    <cellStyle name="Accent1 2" xfId="38" xr:uid="{00000000-0005-0000-0000-000025000000}"/>
    <cellStyle name="Accent2" xfId="39" builtinId="33" customBuiltin="1"/>
    <cellStyle name="Accent2 2" xfId="40" xr:uid="{00000000-0005-0000-0000-000027000000}"/>
    <cellStyle name="Accent3" xfId="41" builtinId="37" customBuiltin="1"/>
    <cellStyle name="Accent3 2" xfId="42" xr:uid="{00000000-0005-0000-0000-000029000000}"/>
    <cellStyle name="Accent4" xfId="43" builtinId="41" customBuiltin="1"/>
    <cellStyle name="Accent4 2" xfId="44" xr:uid="{00000000-0005-0000-0000-00002B000000}"/>
    <cellStyle name="Accent5" xfId="45" builtinId="45" customBuiltin="1"/>
    <cellStyle name="Accent5 2" xfId="46" xr:uid="{00000000-0005-0000-0000-00002D000000}"/>
    <cellStyle name="Accent6" xfId="47" builtinId="49" customBuiltin="1"/>
    <cellStyle name="Accent6 2" xfId="48" xr:uid="{00000000-0005-0000-0000-00002F000000}"/>
    <cellStyle name="Bad" xfId="49" builtinId="27" customBuiltin="1"/>
    <cellStyle name="Bad 2" xfId="50" xr:uid="{00000000-0005-0000-0000-000031000000}"/>
    <cellStyle name="Calculation" xfId="51" builtinId="22" customBuiltin="1"/>
    <cellStyle name="Calculation 2" xfId="52" xr:uid="{00000000-0005-0000-0000-000033000000}"/>
    <cellStyle name="Check Cell" xfId="53" builtinId="23" customBuiltin="1"/>
    <cellStyle name="Check Cell 2" xfId="54" xr:uid="{00000000-0005-0000-0000-000035000000}"/>
    <cellStyle name="Comma" xfId="55" builtinId="3"/>
    <cellStyle name="Comma 2" xfId="56" xr:uid="{00000000-0005-0000-0000-000037000000}"/>
    <cellStyle name="Comma 2 2" xfId="57" xr:uid="{00000000-0005-0000-0000-000038000000}"/>
    <cellStyle name="Explanatory Text" xfId="58" builtinId="53" customBuiltin="1"/>
    <cellStyle name="Explanatory Text 2" xfId="59" xr:uid="{00000000-0005-0000-0000-00003A000000}"/>
    <cellStyle name="Good" xfId="60" builtinId="26" customBuiltin="1"/>
    <cellStyle name="Good 2" xfId="61" xr:uid="{00000000-0005-0000-0000-00003C000000}"/>
    <cellStyle name="Heading 1" xfId="62" builtinId="16" customBuiltin="1"/>
    <cellStyle name="Heading 2" xfId="63" builtinId="17" customBuiltin="1"/>
    <cellStyle name="Heading 3" xfId="64" builtinId="18" customBuiltin="1"/>
    <cellStyle name="Heading 4" xfId="65" builtinId="19" customBuiltin="1"/>
    <cellStyle name="Hyperlink" xfId="66" builtinId="8"/>
    <cellStyle name="Hyperlink 2" xfId="67" xr:uid="{00000000-0005-0000-0000-000042000000}"/>
    <cellStyle name="Input" xfId="68" builtinId="20" customBuiltin="1"/>
    <cellStyle name="Input 2" xfId="69" xr:uid="{00000000-0005-0000-0000-000044000000}"/>
    <cellStyle name="Linked Cell" xfId="70" builtinId="24" customBuiltin="1"/>
    <cellStyle name="Linked Cell 2" xfId="71" xr:uid="{00000000-0005-0000-0000-000046000000}"/>
    <cellStyle name="Neutral" xfId="72" builtinId="28" customBuiltin="1"/>
    <cellStyle name="Neutral 2" xfId="73" xr:uid="{00000000-0005-0000-0000-000048000000}"/>
    <cellStyle name="Normal" xfId="0" builtinId="0"/>
    <cellStyle name="Normal 2" xfId="74" xr:uid="{00000000-0005-0000-0000-00004A000000}"/>
    <cellStyle name="Normal 2 2" xfId="75" xr:uid="{00000000-0005-0000-0000-00004B000000}"/>
    <cellStyle name="Normal 3" xfId="76" xr:uid="{00000000-0005-0000-0000-00004C000000}"/>
    <cellStyle name="Normal 6" xfId="86" xr:uid="{3324D23A-F8D7-4379-B6A5-32503BB32854}"/>
    <cellStyle name="Note" xfId="77" builtinId="10" customBuiltin="1"/>
    <cellStyle name="Note 2" xfId="78" xr:uid="{00000000-0005-0000-0000-00004E000000}"/>
    <cellStyle name="Output" xfId="79" builtinId="21" customBuiltin="1"/>
    <cellStyle name="Output 2" xfId="80" xr:uid="{00000000-0005-0000-0000-000050000000}"/>
    <cellStyle name="Title" xfId="81" builtinId="15" customBuiltin="1"/>
    <cellStyle name="Total" xfId="82" builtinId="25" customBuiltin="1"/>
    <cellStyle name="Total 2" xfId="83" xr:uid="{00000000-0005-0000-0000-000053000000}"/>
    <cellStyle name="Warning Text" xfId="84" builtinId="11" customBuiltin="1"/>
    <cellStyle name="Warning Text 2" xfId="85" xr:uid="{00000000-0005-0000-0000-000055000000}"/>
  </cellStyles>
  <dxfs count="4"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PTOResearchAnalysis@floridarevenue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17"/>
  <sheetViews>
    <sheetView tabSelected="1" workbookViewId="0"/>
  </sheetViews>
  <sheetFormatPr defaultRowHeight="14.25" x14ac:dyDescent="0.2"/>
  <cols>
    <col min="1" max="16384" width="9.140625" style="2"/>
  </cols>
  <sheetData>
    <row r="2" spans="1:8" ht="15" x14ac:dyDescent="0.25">
      <c r="A2" s="1" t="s">
        <v>0</v>
      </c>
    </row>
    <row r="3" spans="1:8" ht="15" x14ac:dyDescent="0.25">
      <c r="A3" s="1"/>
    </row>
    <row r="4" spans="1:8" ht="15" x14ac:dyDescent="0.25">
      <c r="A4" s="1"/>
      <c r="B4" s="62" t="s">
        <v>102</v>
      </c>
      <c r="C4" s="62"/>
      <c r="D4" s="62"/>
      <c r="E4" s="62"/>
      <c r="F4" s="62"/>
      <c r="G4" s="62"/>
      <c r="H4" s="62"/>
    </row>
    <row r="6" spans="1:8" x14ac:dyDescent="0.2">
      <c r="B6" s="62" t="s">
        <v>100</v>
      </c>
      <c r="C6" s="62"/>
      <c r="D6" s="62"/>
      <c r="E6" s="62"/>
      <c r="F6" s="62"/>
      <c r="G6" s="62"/>
      <c r="H6" s="62"/>
    </row>
    <row r="8" spans="1:8" x14ac:dyDescent="0.2">
      <c r="B8" s="62" t="s">
        <v>101</v>
      </c>
      <c r="C8" s="62"/>
      <c r="D8" s="62"/>
      <c r="E8" s="62"/>
      <c r="F8" s="62"/>
      <c r="G8" s="62"/>
      <c r="H8" s="62"/>
    </row>
    <row r="10" spans="1:8" x14ac:dyDescent="0.2">
      <c r="B10" s="63" t="s">
        <v>103</v>
      </c>
      <c r="C10" s="63"/>
      <c r="D10" s="63"/>
      <c r="E10" s="63"/>
      <c r="F10" s="63"/>
      <c r="G10" s="63"/>
      <c r="H10" s="63"/>
    </row>
    <row r="16" spans="1:8" x14ac:dyDescent="0.2">
      <c r="A16" s="4" t="s">
        <v>80</v>
      </c>
      <c r="B16" s="5"/>
      <c r="C16" s="5"/>
      <c r="D16" s="4" t="s">
        <v>81</v>
      </c>
      <c r="E16" s="5"/>
      <c r="F16" s="5"/>
      <c r="G16" s="5"/>
      <c r="H16" s="5"/>
    </row>
    <row r="17" spans="1:8" x14ac:dyDescent="0.2">
      <c r="A17" s="5"/>
      <c r="B17" s="5"/>
      <c r="C17" s="5"/>
      <c r="D17" s="3" t="s">
        <v>111</v>
      </c>
      <c r="E17" s="5"/>
      <c r="F17" s="5"/>
      <c r="G17" s="5"/>
      <c r="H17" s="5"/>
    </row>
  </sheetData>
  <mergeCells count="4">
    <mergeCell ref="B6:H6"/>
    <mergeCell ref="B10:H10"/>
    <mergeCell ref="B8:H8"/>
    <mergeCell ref="B4:H4"/>
  </mergeCells>
  <phoneticPr fontId="18" type="noConversion"/>
  <hyperlinks>
    <hyperlink ref="B6:H6" location="'Real Exemption Value by Type'!A1" display="Real Exemption Value by Property Category" xr:uid="{00000000-0004-0000-0000-000000000000}"/>
    <hyperlink ref="B10:H10" location="'3-Year Homestead Comparison'!A1" display="Homestead Comparison 2008 - 2010" xr:uid="{00000000-0004-0000-0000-000001000000}"/>
    <hyperlink ref="B8:H8" location="'Personal Property by Type'!A1" display="Personal Property Exemption Value by Property Type" xr:uid="{00000000-0004-0000-0000-000002000000}"/>
    <hyperlink ref="B4" location="'Total Exemption Value by Type'!A1" display="Total Exemption Value by Property Category" xr:uid="{00000000-0004-0000-0000-000003000000}"/>
    <hyperlink ref="D17" r:id="rId1" xr:uid="{00000000-0004-0000-0000-000004000000}"/>
  </hyperlinks>
  <pageMargins left="0.75" right="0.75" top="1" bottom="1" header="0.5" footer="0.5"/>
  <pageSetup orientation="portrait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Y77"/>
  <sheetViews>
    <sheetView zoomScaleNormal="100" workbookViewId="0">
      <pane xSplit="1" ySplit="4" topLeftCell="B5" activePane="bottomRight" state="frozen"/>
      <selection sqref="A1:XFD1048576"/>
      <selection pane="topRight" sqref="A1:XFD1048576"/>
      <selection pane="bottomLeft" sqref="A1:XFD1048576"/>
      <selection pane="bottomRight"/>
    </sheetView>
  </sheetViews>
  <sheetFormatPr defaultRowHeight="14.25" x14ac:dyDescent="0.2"/>
  <cols>
    <col min="1" max="1" width="26.140625" style="2" customWidth="1"/>
    <col min="2" max="2" width="23.140625" style="2" bestFit="1" customWidth="1"/>
    <col min="3" max="3" width="22" style="2" bestFit="1" customWidth="1"/>
    <col min="4" max="4" width="25.28515625" style="2" bestFit="1" customWidth="1"/>
    <col min="5" max="6" width="21.140625" style="2" bestFit="1" customWidth="1"/>
    <col min="7" max="7" width="20.140625" style="2" bestFit="1" customWidth="1"/>
    <col min="8" max="8" width="15.7109375" style="2" bestFit="1" customWidth="1"/>
    <col min="9" max="10" width="18.5703125" style="2" bestFit="1" customWidth="1"/>
    <col min="11" max="11" width="16.5703125" style="2" bestFit="1" customWidth="1"/>
    <col min="12" max="12" width="21.85546875" style="2" bestFit="1" customWidth="1"/>
    <col min="13" max="13" width="14.85546875" style="2" bestFit="1" customWidth="1"/>
    <col min="14" max="14" width="28" style="2" bestFit="1" customWidth="1"/>
    <col min="15" max="15" width="21.85546875" style="2" bestFit="1" customWidth="1"/>
    <col min="16" max="16" width="20.5703125" style="2" bestFit="1" customWidth="1"/>
    <col min="17" max="22" width="20.5703125" style="2" customWidth="1"/>
    <col min="23" max="23" width="24.85546875" style="2" bestFit="1" customWidth="1"/>
    <col min="24" max="24" width="22.28515625" style="2" bestFit="1" customWidth="1"/>
    <col min="25" max="25" width="23.140625" style="2" bestFit="1" customWidth="1"/>
    <col min="26" max="26" width="9.140625" style="2"/>
    <col min="27" max="28" width="9.140625" style="2" customWidth="1"/>
    <col min="29" max="16384" width="9.140625" style="2"/>
  </cols>
  <sheetData>
    <row r="1" spans="1:25" ht="23.25" x14ac:dyDescent="0.35">
      <c r="A1" s="49" t="s">
        <v>98</v>
      </c>
    </row>
    <row r="2" spans="1:25" ht="15" x14ac:dyDescent="0.25">
      <c r="A2" s="11">
        <v>2025</v>
      </c>
    </row>
    <row r="3" spans="1:25" ht="15" thickBot="1" x14ac:dyDescent="0.25">
      <c r="A3" s="39"/>
    </row>
    <row r="4" spans="1:25" s="58" customFormat="1" ht="51" x14ac:dyDescent="0.25">
      <c r="A4" s="50" t="s">
        <v>1</v>
      </c>
      <c r="B4" s="52" t="s">
        <v>88</v>
      </c>
      <c r="C4" s="52" t="s">
        <v>89</v>
      </c>
      <c r="D4" s="52" t="s">
        <v>90</v>
      </c>
      <c r="E4" s="52" t="s">
        <v>108</v>
      </c>
      <c r="F4" s="52" t="s">
        <v>91</v>
      </c>
      <c r="G4" s="52" t="s">
        <v>92</v>
      </c>
      <c r="H4" s="52" t="s">
        <v>93</v>
      </c>
      <c r="I4" s="52" t="s">
        <v>94</v>
      </c>
      <c r="J4" s="52" t="s">
        <v>71</v>
      </c>
      <c r="K4" s="52" t="s">
        <v>95</v>
      </c>
      <c r="L4" s="52" t="s">
        <v>96</v>
      </c>
      <c r="M4" s="52" t="s">
        <v>110</v>
      </c>
      <c r="N4" s="52" t="s">
        <v>72</v>
      </c>
      <c r="O4" s="52" t="s">
        <v>73</v>
      </c>
      <c r="P4" s="52" t="s">
        <v>97</v>
      </c>
      <c r="Q4" s="52" t="s">
        <v>105</v>
      </c>
      <c r="R4" s="52" t="s">
        <v>112</v>
      </c>
      <c r="S4" s="61" t="s">
        <v>118</v>
      </c>
      <c r="T4" s="61" t="s">
        <v>119</v>
      </c>
      <c r="U4" s="61" t="s">
        <v>120</v>
      </c>
      <c r="V4" s="61" t="s">
        <v>121</v>
      </c>
      <c r="W4" s="52" t="s">
        <v>74</v>
      </c>
      <c r="X4" s="52" t="s">
        <v>75</v>
      </c>
      <c r="Y4" s="53" t="s">
        <v>76</v>
      </c>
    </row>
    <row r="5" spans="1:25" x14ac:dyDescent="0.2">
      <c r="A5" s="40" t="s">
        <v>2</v>
      </c>
      <c r="B5" s="41">
        <v>1366862599</v>
      </c>
      <c r="C5" s="41">
        <v>1290013175</v>
      </c>
      <c r="D5" s="41">
        <v>49712270</v>
      </c>
      <c r="E5" s="41">
        <v>87751440</v>
      </c>
      <c r="F5" s="41">
        <v>8241365998</v>
      </c>
      <c r="G5" s="41">
        <v>1001249249</v>
      </c>
      <c r="H5" s="41">
        <v>19460653</v>
      </c>
      <c r="I5" s="41">
        <v>220190811</v>
      </c>
      <c r="J5" s="41">
        <v>1120008</v>
      </c>
      <c r="K5" s="41">
        <v>984683</v>
      </c>
      <c r="L5" s="41">
        <v>0</v>
      </c>
      <c r="M5" s="41">
        <v>33680</v>
      </c>
      <c r="N5" s="41">
        <v>0</v>
      </c>
      <c r="O5" s="41">
        <v>13669148</v>
      </c>
      <c r="P5" s="41">
        <v>94995</v>
      </c>
      <c r="Q5" s="41">
        <v>13254648</v>
      </c>
      <c r="R5" s="41">
        <v>0</v>
      </c>
      <c r="S5" s="41">
        <v>0</v>
      </c>
      <c r="T5" s="41">
        <v>1</v>
      </c>
      <c r="U5" s="41">
        <v>0</v>
      </c>
      <c r="V5" s="41">
        <v>0</v>
      </c>
      <c r="W5" s="41">
        <v>37393909014</v>
      </c>
      <c r="X5" s="41">
        <v>12305763357</v>
      </c>
      <c r="Y5" s="43">
        <v>25088145657</v>
      </c>
    </row>
    <row r="6" spans="1:25" x14ac:dyDescent="0.2">
      <c r="A6" s="40" t="s">
        <v>3</v>
      </c>
      <c r="B6" s="41">
        <v>164288294</v>
      </c>
      <c r="C6" s="41">
        <v>142884359</v>
      </c>
      <c r="D6" s="41">
        <v>20345990</v>
      </c>
      <c r="E6" s="41">
        <v>7299764</v>
      </c>
      <c r="F6" s="41">
        <v>307260812</v>
      </c>
      <c r="G6" s="41">
        <v>79157498</v>
      </c>
      <c r="H6" s="41">
        <v>3160000</v>
      </c>
      <c r="I6" s="41">
        <v>61545492</v>
      </c>
      <c r="J6" s="41">
        <v>385903</v>
      </c>
      <c r="K6" s="41">
        <v>0</v>
      </c>
      <c r="L6" s="41">
        <v>0</v>
      </c>
      <c r="M6" s="41">
        <v>0</v>
      </c>
      <c r="N6" s="41">
        <v>286682</v>
      </c>
      <c r="O6" s="41">
        <v>370785</v>
      </c>
      <c r="P6" s="41">
        <v>324585</v>
      </c>
      <c r="Q6" s="41">
        <v>0</v>
      </c>
      <c r="R6" s="41">
        <v>0</v>
      </c>
      <c r="S6" s="41">
        <v>0</v>
      </c>
      <c r="T6" s="41">
        <v>7011305</v>
      </c>
      <c r="U6" s="41">
        <v>0</v>
      </c>
      <c r="V6" s="41">
        <v>0</v>
      </c>
      <c r="W6" s="41">
        <v>2486987351</v>
      </c>
      <c r="X6" s="41">
        <v>787310164</v>
      </c>
      <c r="Y6" s="43">
        <v>1699677187</v>
      </c>
    </row>
    <row r="7" spans="1:25" x14ac:dyDescent="0.2">
      <c r="A7" s="40" t="s">
        <v>4</v>
      </c>
      <c r="B7" s="41">
        <v>1126840167</v>
      </c>
      <c r="C7" s="41">
        <v>969462722</v>
      </c>
      <c r="D7" s="41">
        <v>78795569</v>
      </c>
      <c r="E7" s="41">
        <v>92768780</v>
      </c>
      <c r="F7" s="41">
        <v>2832470999</v>
      </c>
      <c r="G7" s="41">
        <v>601769893</v>
      </c>
      <c r="H7" s="41">
        <v>17253394</v>
      </c>
      <c r="I7" s="41">
        <v>742803295</v>
      </c>
      <c r="J7" s="41">
        <v>11732</v>
      </c>
      <c r="K7" s="41">
        <v>0</v>
      </c>
      <c r="L7" s="41">
        <v>39933777</v>
      </c>
      <c r="M7" s="41">
        <v>0</v>
      </c>
      <c r="N7" s="41">
        <v>252849</v>
      </c>
      <c r="O7" s="41">
        <v>34926385</v>
      </c>
      <c r="P7" s="41">
        <v>1240280</v>
      </c>
      <c r="Q7" s="41">
        <v>33594867</v>
      </c>
      <c r="R7" s="41">
        <v>0</v>
      </c>
      <c r="S7" s="41">
        <v>0</v>
      </c>
      <c r="T7" s="41">
        <v>69574089</v>
      </c>
      <c r="U7" s="41">
        <v>0</v>
      </c>
      <c r="V7" s="41">
        <v>0</v>
      </c>
      <c r="W7" s="41">
        <v>38476377558</v>
      </c>
      <c r="X7" s="41">
        <v>6572124709</v>
      </c>
      <c r="Y7" s="43">
        <v>31904252849</v>
      </c>
    </row>
    <row r="8" spans="1:25" x14ac:dyDescent="0.2">
      <c r="A8" s="40" t="s">
        <v>5</v>
      </c>
      <c r="B8" s="41">
        <v>173995515</v>
      </c>
      <c r="C8" s="41">
        <v>132934319</v>
      </c>
      <c r="D8" s="41">
        <v>9864369</v>
      </c>
      <c r="E8" s="41">
        <v>10222432</v>
      </c>
      <c r="F8" s="41">
        <v>101025691</v>
      </c>
      <c r="G8" s="41">
        <v>57350697</v>
      </c>
      <c r="H8" s="41">
        <v>4008298</v>
      </c>
      <c r="I8" s="41">
        <v>38564516</v>
      </c>
      <c r="J8" s="41">
        <v>792984</v>
      </c>
      <c r="K8" s="41">
        <v>0</v>
      </c>
      <c r="L8" s="41">
        <v>0</v>
      </c>
      <c r="M8" s="41">
        <v>0</v>
      </c>
      <c r="N8" s="41">
        <v>28033</v>
      </c>
      <c r="O8" s="41">
        <v>1386778</v>
      </c>
      <c r="P8" s="41">
        <v>0</v>
      </c>
      <c r="Q8" s="41">
        <v>0</v>
      </c>
      <c r="R8" s="41">
        <v>0</v>
      </c>
      <c r="S8" s="41">
        <v>0</v>
      </c>
      <c r="T8" s="41">
        <v>0</v>
      </c>
      <c r="U8" s="41">
        <v>0</v>
      </c>
      <c r="V8" s="41">
        <v>0</v>
      </c>
      <c r="W8" s="41">
        <v>2107048791</v>
      </c>
      <c r="X8" s="41">
        <v>530173632</v>
      </c>
      <c r="Y8" s="43">
        <v>1576875159</v>
      </c>
    </row>
    <row r="9" spans="1:25" x14ac:dyDescent="0.2">
      <c r="A9" s="40" t="s">
        <v>6</v>
      </c>
      <c r="B9" s="41">
        <v>4320922805</v>
      </c>
      <c r="C9" s="41">
        <v>4082676735</v>
      </c>
      <c r="D9" s="41">
        <v>355396736</v>
      </c>
      <c r="E9" s="41">
        <v>170217979</v>
      </c>
      <c r="F9" s="41">
        <v>11038505413</v>
      </c>
      <c r="G9" s="41">
        <v>4435242985</v>
      </c>
      <c r="H9" s="41">
        <v>85330070</v>
      </c>
      <c r="I9" s="41">
        <v>2354997068</v>
      </c>
      <c r="J9" s="41">
        <v>1806650</v>
      </c>
      <c r="K9" s="41">
        <v>0</v>
      </c>
      <c r="L9" s="41">
        <v>188500258</v>
      </c>
      <c r="M9" s="41">
        <v>44730</v>
      </c>
      <c r="N9" s="41">
        <v>1094104</v>
      </c>
      <c r="O9" s="41">
        <v>90937249</v>
      </c>
      <c r="P9" s="41">
        <v>3272153</v>
      </c>
      <c r="Q9" s="41">
        <v>0</v>
      </c>
      <c r="R9" s="41">
        <v>274185368</v>
      </c>
      <c r="S9" s="41">
        <v>0</v>
      </c>
      <c r="T9" s="41">
        <v>0</v>
      </c>
      <c r="U9" s="41">
        <v>0</v>
      </c>
      <c r="V9" s="41">
        <v>0</v>
      </c>
      <c r="W9" s="41">
        <v>100475227871</v>
      </c>
      <c r="X9" s="41">
        <v>27403130303</v>
      </c>
      <c r="Y9" s="43">
        <v>73072097568</v>
      </c>
    </row>
    <row r="10" spans="1:25" x14ac:dyDescent="0.2">
      <c r="A10" s="40" t="s">
        <v>7</v>
      </c>
      <c r="B10" s="41">
        <v>10466475630</v>
      </c>
      <c r="C10" s="41">
        <v>9991981672</v>
      </c>
      <c r="D10" s="41">
        <v>1160618922</v>
      </c>
      <c r="E10" s="41">
        <v>839424085</v>
      </c>
      <c r="F10" s="41">
        <v>21032855810</v>
      </c>
      <c r="G10" s="41">
        <v>7691273453</v>
      </c>
      <c r="H10" s="41">
        <v>190530660</v>
      </c>
      <c r="I10" s="41">
        <v>1894818620</v>
      </c>
      <c r="J10" s="41">
        <v>0</v>
      </c>
      <c r="K10" s="41">
        <v>33612360</v>
      </c>
      <c r="L10" s="41">
        <v>0</v>
      </c>
      <c r="M10" s="41">
        <v>53740</v>
      </c>
      <c r="N10" s="41">
        <v>6877260</v>
      </c>
      <c r="O10" s="41">
        <v>23651844</v>
      </c>
      <c r="P10" s="41">
        <v>4760762</v>
      </c>
      <c r="Q10" s="41">
        <v>160228674</v>
      </c>
      <c r="R10" s="41">
        <v>0</v>
      </c>
      <c r="S10" s="41">
        <v>0</v>
      </c>
      <c r="T10" s="41">
        <v>321878441</v>
      </c>
      <c r="U10" s="41">
        <v>5502170</v>
      </c>
      <c r="V10" s="41">
        <v>0</v>
      </c>
      <c r="W10" s="41">
        <v>371903054375</v>
      </c>
      <c r="X10" s="41">
        <v>53497163492</v>
      </c>
      <c r="Y10" s="43">
        <v>318405890883</v>
      </c>
    </row>
    <row r="11" spans="1:25" x14ac:dyDescent="0.2">
      <c r="A11" s="40" t="s">
        <v>8</v>
      </c>
      <c r="B11" s="41">
        <v>81907552</v>
      </c>
      <c r="C11" s="41">
        <v>46317683</v>
      </c>
      <c r="D11" s="41">
        <v>10072637</v>
      </c>
      <c r="E11" s="41">
        <v>4487753</v>
      </c>
      <c r="F11" s="41">
        <v>43437374</v>
      </c>
      <c r="G11" s="41">
        <v>15645095</v>
      </c>
      <c r="H11" s="41">
        <v>1824502</v>
      </c>
      <c r="I11" s="41">
        <v>14238945</v>
      </c>
      <c r="J11" s="41">
        <v>520762</v>
      </c>
      <c r="K11" s="41">
        <v>0</v>
      </c>
      <c r="L11" s="41">
        <v>0</v>
      </c>
      <c r="M11" s="41">
        <v>0</v>
      </c>
      <c r="N11" s="41">
        <v>67689</v>
      </c>
      <c r="O11" s="41">
        <v>466519</v>
      </c>
      <c r="P11" s="41">
        <v>0</v>
      </c>
      <c r="Q11" s="41">
        <v>0</v>
      </c>
      <c r="R11" s="41">
        <v>258362660</v>
      </c>
      <c r="S11" s="41">
        <v>0</v>
      </c>
      <c r="T11" s="41">
        <v>0</v>
      </c>
      <c r="U11" s="41">
        <v>0</v>
      </c>
      <c r="V11" s="41">
        <v>0</v>
      </c>
      <c r="W11" s="41">
        <v>1188915963</v>
      </c>
      <c r="X11" s="41">
        <v>477349171</v>
      </c>
      <c r="Y11" s="43">
        <v>711566792</v>
      </c>
    </row>
    <row r="12" spans="1:25" x14ac:dyDescent="0.2">
      <c r="A12" s="40" t="s">
        <v>9</v>
      </c>
      <c r="B12" s="41">
        <v>1661585746</v>
      </c>
      <c r="C12" s="41">
        <v>1588964551</v>
      </c>
      <c r="D12" s="41">
        <v>245916259</v>
      </c>
      <c r="E12" s="41">
        <v>102947733</v>
      </c>
      <c r="F12" s="41">
        <v>1738815660</v>
      </c>
      <c r="G12" s="41">
        <v>531355319</v>
      </c>
      <c r="H12" s="41">
        <v>39299572</v>
      </c>
      <c r="I12" s="41">
        <v>572445232</v>
      </c>
      <c r="J12" s="41">
        <v>9136231</v>
      </c>
      <c r="K12" s="41">
        <v>0</v>
      </c>
      <c r="L12" s="41">
        <v>45776375</v>
      </c>
      <c r="M12" s="41">
        <v>42327</v>
      </c>
      <c r="N12" s="41">
        <v>0</v>
      </c>
      <c r="O12" s="41">
        <v>79554109</v>
      </c>
      <c r="P12" s="41">
        <v>121878</v>
      </c>
      <c r="Q12" s="41">
        <v>0</v>
      </c>
      <c r="R12" s="41">
        <v>52343996</v>
      </c>
      <c r="S12" s="41">
        <v>0</v>
      </c>
      <c r="T12" s="41">
        <v>12298908</v>
      </c>
      <c r="U12" s="41">
        <v>0</v>
      </c>
      <c r="V12" s="41">
        <v>0</v>
      </c>
      <c r="W12" s="41">
        <v>41175365077</v>
      </c>
      <c r="X12" s="41">
        <v>6668304988</v>
      </c>
      <c r="Y12" s="43">
        <v>34507060089</v>
      </c>
    </row>
    <row r="13" spans="1:25" x14ac:dyDescent="0.2">
      <c r="A13" s="40" t="s">
        <v>10</v>
      </c>
      <c r="B13" s="41">
        <v>1325567788</v>
      </c>
      <c r="C13" s="41">
        <v>1153269458</v>
      </c>
      <c r="D13" s="41"/>
      <c r="E13" s="41">
        <v>57914901</v>
      </c>
      <c r="F13" s="41">
        <v>1135829959</v>
      </c>
      <c r="G13" s="41">
        <v>348373578</v>
      </c>
      <c r="H13" s="41">
        <v>29275398</v>
      </c>
      <c r="I13" s="41">
        <v>474200220</v>
      </c>
      <c r="J13" s="41"/>
      <c r="K13" s="41"/>
      <c r="L13" s="41"/>
      <c r="M13" s="41">
        <v>22675</v>
      </c>
      <c r="N13" s="41"/>
      <c r="O13" s="41">
        <v>46389910</v>
      </c>
      <c r="P13" s="41">
        <v>38970</v>
      </c>
      <c r="Q13" s="41"/>
      <c r="R13" s="41">
        <v>71916197</v>
      </c>
      <c r="S13" s="41">
        <v>0</v>
      </c>
      <c r="T13" s="41">
        <v>0</v>
      </c>
      <c r="U13" s="41"/>
      <c r="V13" s="41">
        <v>0</v>
      </c>
      <c r="W13" s="41">
        <v>20731765786</v>
      </c>
      <c r="X13" s="41">
        <v>4642799054</v>
      </c>
      <c r="Y13" s="43">
        <v>16088966732</v>
      </c>
    </row>
    <row r="14" spans="1:25" x14ac:dyDescent="0.2">
      <c r="A14" s="40" t="s">
        <v>11</v>
      </c>
      <c r="B14" s="41">
        <v>1355488044</v>
      </c>
      <c r="C14" s="41">
        <v>1314592452</v>
      </c>
      <c r="D14" s="41">
        <v>88841911</v>
      </c>
      <c r="E14" s="41">
        <v>50757641</v>
      </c>
      <c r="F14" s="41">
        <v>1705307911</v>
      </c>
      <c r="G14" s="41">
        <v>788286699</v>
      </c>
      <c r="H14" s="41">
        <v>20790000</v>
      </c>
      <c r="I14" s="41">
        <v>1375274912</v>
      </c>
      <c r="J14" s="41">
        <v>3957102</v>
      </c>
      <c r="K14" s="41">
        <v>0</v>
      </c>
      <c r="L14" s="41">
        <v>0</v>
      </c>
      <c r="M14" s="41">
        <v>0</v>
      </c>
      <c r="N14" s="41">
        <v>1217982</v>
      </c>
      <c r="O14" s="41">
        <v>15099797</v>
      </c>
      <c r="P14" s="41">
        <v>8519594</v>
      </c>
      <c r="Q14" s="41">
        <v>0</v>
      </c>
      <c r="R14" s="41">
        <v>0</v>
      </c>
      <c r="S14" s="41">
        <v>0</v>
      </c>
      <c r="T14" s="41">
        <v>13462663</v>
      </c>
      <c r="U14" s="41">
        <v>0</v>
      </c>
      <c r="V14" s="41">
        <v>0</v>
      </c>
      <c r="W14" s="41">
        <v>26856094482</v>
      </c>
      <c r="X14" s="41">
        <v>6728134045</v>
      </c>
      <c r="Y14" s="43">
        <v>20127960437</v>
      </c>
    </row>
    <row r="15" spans="1:25" x14ac:dyDescent="0.2">
      <c r="A15" s="40" t="s">
        <v>12</v>
      </c>
      <c r="B15" s="41">
        <v>2729935755</v>
      </c>
      <c r="C15" s="41">
        <v>2692268187</v>
      </c>
      <c r="D15" s="41">
        <v>107805282</v>
      </c>
      <c r="E15" s="41">
        <v>160396453</v>
      </c>
      <c r="F15" s="41">
        <v>5167348083</v>
      </c>
      <c r="G15" s="41">
        <v>3018283335</v>
      </c>
      <c r="H15" s="41">
        <v>57740127</v>
      </c>
      <c r="I15" s="41">
        <v>484153369</v>
      </c>
      <c r="J15" s="41">
        <v>0</v>
      </c>
      <c r="K15" s="41">
        <v>0</v>
      </c>
      <c r="L15" s="41">
        <v>7652557</v>
      </c>
      <c r="M15" s="41">
        <v>0</v>
      </c>
      <c r="N15" s="41">
        <v>0</v>
      </c>
      <c r="O15" s="41">
        <v>77468822</v>
      </c>
      <c r="P15" s="41">
        <v>0</v>
      </c>
      <c r="Q15" s="41">
        <v>2739494</v>
      </c>
      <c r="R15" s="41">
        <v>1513262</v>
      </c>
      <c r="S15" s="41">
        <v>0</v>
      </c>
      <c r="T15" s="41">
        <v>334</v>
      </c>
      <c r="U15" s="41">
        <v>170</v>
      </c>
      <c r="V15" s="41">
        <v>350</v>
      </c>
      <c r="W15" s="41">
        <v>179033151618</v>
      </c>
      <c r="X15" s="41">
        <v>14507304726</v>
      </c>
      <c r="Y15" s="43">
        <v>164525846892</v>
      </c>
    </row>
    <row r="16" spans="1:25" x14ac:dyDescent="0.2">
      <c r="A16" s="40" t="s">
        <v>13</v>
      </c>
      <c r="B16" s="41">
        <v>418826750</v>
      </c>
      <c r="C16" s="41">
        <v>326243773</v>
      </c>
      <c r="D16" s="41">
        <v>47091255</v>
      </c>
      <c r="E16" s="41">
        <v>23529901</v>
      </c>
      <c r="F16" s="41">
        <v>509557544</v>
      </c>
      <c r="G16" s="41">
        <v>162096087</v>
      </c>
      <c r="H16" s="41">
        <v>7351273</v>
      </c>
      <c r="I16" s="41">
        <v>132183998</v>
      </c>
      <c r="J16" s="41">
        <v>4649909</v>
      </c>
      <c r="K16" s="41">
        <v>0</v>
      </c>
      <c r="L16" s="41">
        <v>22209854</v>
      </c>
      <c r="M16" s="41">
        <v>0</v>
      </c>
      <c r="N16" s="41">
        <v>0</v>
      </c>
      <c r="O16" s="41">
        <v>7370435</v>
      </c>
      <c r="P16" s="41">
        <v>0</v>
      </c>
      <c r="Q16" s="41">
        <v>1503020</v>
      </c>
      <c r="R16" s="41">
        <v>240927188</v>
      </c>
      <c r="S16" s="41">
        <v>0</v>
      </c>
      <c r="T16" s="41">
        <v>0</v>
      </c>
      <c r="U16" s="41">
        <v>0</v>
      </c>
      <c r="V16" s="41">
        <v>0</v>
      </c>
      <c r="W16" s="41">
        <v>6628083526</v>
      </c>
      <c r="X16" s="41">
        <v>1903540987</v>
      </c>
      <c r="Y16" s="43">
        <v>4724542539</v>
      </c>
    </row>
    <row r="17" spans="1:25" x14ac:dyDescent="0.2">
      <c r="A17" s="40" t="s">
        <v>106</v>
      </c>
      <c r="B17" s="41">
        <v>11325289703</v>
      </c>
      <c r="C17" s="41">
        <v>11063056844</v>
      </c>
      <c r="D17" s="41">
        <v>1535582937</v>
      </c>
      <c r="E17" s="41">
        <v>1119917685</v>
      </c>
      <c r="F17" s="41">
        <v>25334830388</v>
      </c>
      <c r="G17" s="41">
        <v>16225931712</v>
      </c>
      <c r="H17" s="41">
        <v>135425000</v>
      </c>
      <c r="I17" s="41">
        <v>1117058910</v>
      </c>
      <c r="J17" s="41">
        <v>15260728</v>
      </c>
      <c r="K17" s="41">
        <v>56188787</v>
      </c>
      <c r="L17" s="41"/>
      <c r="M17" s="41"/>
      <c r="N17" s="41">
        <v>3037717</v>
      </c>
      <c r="O17" s="41">
        <v>15019306</v>
      </c>
      <c r="P17" s="41">
        <v>1285563</v>
      </c>
      <c r="Q17" s="41">
        <v>336916209</v>
      </c>
      <c r="R17" s="41">
        <v>8832095</v>
      </c>
      <c r="S17" s="41">
        <v>0</v>
      </c>
      <c r="T17" s="41">
        <v>617156409</v>
      </c>
      <c r="U17" s="41"/>
      <c r="V17" s="41">
        <v>0</v>
      </c>
      <c r="W17" s="41">
        <v>581218088140</v>
      </c>
      <c r="X17" s="41">
        <v>68293633584</v>
      </c>
      <c r="Y17" s="43">
        <v>512924454556</v>
      </c>
    </row>
    <row r="18" spans="1:25" x14ac:dyDescent="0.2">
      <c r="A18" s="40" t="s">
        <v>14</v>
      </c>
      <c r="B18" s="41">
        <v>159297860</v>
      </c>
      <c r="C18" s="41">
        <v>128275389</v>
      </c>
      <c r="D18" s="41">
        <v>20482622</v>
      </c>
      <c r="E18" s="41">
        <v>20068875</v>
      </c>
      <c r="F18" s="41">
        <v>234357025</v>
      </c>
      <c r="G18" s="41">
        <v>149083962</v>
      </c>
      <c r="H18" s="41">
        <v>3358933</v>
      </c>
      <c r="I18" s="41">
        <v>28571012</v>
      </c>
      <c r="J18" s="41">
        <v>34451638</v>
      </c>
      <c r="K18" s="41">
        <v>0</v>
      </c>
      <c r="L18" s="41">
        <v>0</v>
      </c>
      <c r="M18" s="41">
        <v>89099</v>
      </c>
      <c r="N18" s="41">
        <v>0</v>
      </c>
      <c r="O18" s="41">
        <v>3314685</v>
      </c>
      <c r="P18" s="41">
        <v>0</v>
      </c>
      <c r="Q18" s="41">
        <v>0</v>
      </c>
      <c r="R18" s="41">
        <v>96902768</v>
      </c>
      <c r="S18" s="41">
        <v>0</v>
      </c>
      <c r="T18" s="41">
        <v>0</v>
      </c>
      <c r="U18" s="41">
        <v>0</v>
      </c>
      <c r="V18" s="41">
        <v>0</v>
      </c>
      <c r="W18" s="41">
        <v>3773770799</v>
      </c>
      <c r="X18" s="41">
        <v>878253868</v>
      </c>
      <c r="Y18" s="43">
        <v>2895516931</v>
      </c>
    </row>
    <row r="19" spans="1:25" x14ac:dyDescent="0.2">
      <c r="A19" s="40" t="s">
        <v>15</v>
      </c>
      <c r="B19" s="41">
        <v>117260968</v>
      </c>
      <c r="C19" s="41">
        <v>54414853</v>
      </c>
      <c r="D19" s="41">
        <v>0</v>
      </c>
      <c r="E19" s="41">
        <v>3792573</v>
      </c>
      <c r="F19" s="41">
        <v>165824006</v>
      </c>
      <c r="G19" s="41">
        <v>17039136</v>
      </c>
      <c r="H19" s="41">
        <v>2490266</v>
      </c>
      <c r="I19" s="41">
        <v>13999571</v>
      </c>
      <c r="J19" s="41">
        <v>1696636</v>
      </c>
      <c r="K19" s="41">
        <v>0</v>
      </c>
      <c r="L19" s="41">
        <v>0</v>
      </c>
      <c r="M19" s="41">
        <v>33587</v>
      </c>
      <c r="N19" s="41">
        <v>0</v>
      </c>
      <c r="O19" s="41">
        <v>217822</v>
      </c>
      <c r="P19" s="41">
        <v>46087</v>
      </c>
      <c r="Q19" s="41">
        <v>0</v>
      </c>
      <c r="R19" s="41">
        <v>0</v>
      </c>
      <c r="S19" s="41">
        <v>0</v>
      </c>
      <c r="T19" s="41">
        <v>0</v>
      </c>
      <c r="U19" s="41"/>
      <c r="V19" s="41">
        <v>0</v>
      </c>
      <c r="W19" s="41">
        <v>1212064087</v>
      </c>
      <c r="X19" s="41">
        <v>376815505</v>
      </c>
      <c r="Y19" s="43">
        <v>835248582</v>
      </c>
    </row>
    <row r="20" spans="1:25" x14ac:dyDescent="0.2">
      <c r="A20" s="40" t="s">
        <v>16</v>
      </c>
      <c r="B20" s="41">
        <v>5302040523</v>
      </c>
      <c r="C20" s="41">
        <v>5014411798</v>
      </c>
      <c r="D20" s="41">
        <v>286271981</v>
      </c>
      <c r="E20" s="41">
        <v>279097311</v>
      </c>
      <c r="F20" s="41">
        <v>13521596299</v>
      </c>
      <c r="G20" s="41">
        <v>7995512314</v>
      </c>
      <c r="H20" s="41">
        <v>75295433</v>
      </c>
      <c r="I20" s="41">
        <v>1752484520</v>
      </c>
      <c r="J20" s="41">
        <v>552775</v>
      </c>
      <c r="K20" s="41">
        <v>75897305</v>
      </c>
      <c r="L20" s="41">
        <v>713954</v>
      </c>
      <c r="M20" s="41">
        <v>4445</v>
      </c>
      <c r="N20" s="41">
        <v>1325737</v>
      </c>
      <c r="O20" s="41">
        <v>97076243</v>
      </c>
      <c r="P20" s="41">
        <v>25641978</v>
      </c>
      <c r="Q20" s="41">
        <v>26841412</v>
      </c>
      <c r="R20" s="41">
        <v>37514460</v>
      </c>
      <c r="S20" s="41">
        <v>0</v>
      </c>
      <c r="T20" s="41">
        <v>271185552</v>
      </c>
      <c r="U20" s="41">
        <v>1861007</v>
      </c>
      <c r="V20" s="41">
        <v>172625214</v>
      </c>
      <c r="W20" s="41">
        <v>152249955269</v>
      </c>
      <c r="X20" s="41">
        <v>34492278488</v>
      </c>
      <c r="Y20" s="43">
        <v>117757676781</v>
      </c>
    </row>
    <row r="21" spans="1:25" x14ac:dyDescent="0.2">
      <c r="A21" s="40" t="s">
        <v>17</v>
      </c>
      <c r="B21" s="41">
        <v>1885087447</v>
      </c>
      <c r="C21" s="41">
        <v>1720017463</v>
      </c>
      <c r="D21" s="41">
        <v>135587739</v>
      </c>
      <c r="E21" s="41">
        <v>105417900</v>
      </c>
      <c r="F21" s="41">
        <v>4126210044</v>
      </c>
      <c r="G21" s="41">
        <v>1731024629</v>
      </c>
      <c r="H21" s="41">
        <v>40249936</v>
      </c>
      <c r="I21" s="41">
        <v>790628063</v>
      </c>
      <c r="J21" s="41">
        <v>218273</v>
      </c>
      <c r="K21" s="41">
        <v>193001</v>
      </c>
      <c r="L21" s="41">
        <v>464041854</v>
      </c>
      <c r="M21" s="41">
        <v>3700</v>
      </c>
      <c r="N21" s="41">
        <v>2929789</v>
      </c>
      <c r="O21" s="41">
        <v>62655183</v>
      </c>
      <c r="P21" s="41">
        <v>1156652</v>
      </c>
      <c r="Q21" s="41">
        <v>48028323</v>
      </c>
      <c r="R21" s="41">
        <v>355469178</v>
      </c>
      <c r="S21" s="41">
        <v>0</v>
      </c>
      <c r="T21" s="41">
        <v>24322139</v>
      </c>
      <c r="U21" s="41">
        <v>188069</v>
      </c>
      <c r="V21" s="41">
        <v>0</v>
      </c>
      <c r="W21" s="41">
        <v>44493920240</v>
      </c>
      <c r="X21" s="41">
        <v>11468919174</v>
      </c>
      <c r="Y21" s="43">
        <v>33025001066</v>
      </c>
    </row>
    <row r="22" spans="1:25" x14ac:dyDescent="0.2">
      <c r="A22" s="40" t="s">
        <v>18</v>
      </c>
      <c r="B22" s="41">
        <v>1069926472</v>
      </c>
      <c r="C22" s="41">
        <v>1082756914</v>
      </c>
      <c r="D22" s="41">
        <v>220076184</v>
      </c>
      <c r="E22" s="41">
        <v>31289960</v>
      </c>
      <c r="F22" s="41">
        <v>759927053</v>
      </c>
      <c r="G22" s="41">
        <v>543901117</v>
      </c>
      <c r="H22" s="41">
        <v>21747111</v>
      </c>
      <c r="I22" s="41">
        <v>410620115</v>
      </c>
      <c r="J22" s="41">
        <v>6158166</v>
      </c>
      <c r="K22" s="41">
        <v>0</v>
      </c>
      <c r="L22" s="41">
        <v>0</v>
      </c>
      <c r="M22" s="41">
        <v>0</v>
      </c>
      <c r="N22" s="41">
        <v>797140</v>
      </c>
      <c r="O22" s="41">
        <v>69247207</v>
      </c>
      <c r="P22" s="41">
        <v>367540</v>
      </c>
      <c r="Q22" s="41">
        <v>7767253</v>
      </c>
      <c r="R22" s="41">
        <v>6944000</v>
      </c>
      <c r="S22" s="41">
        <v>0</v>
      </c>
      <c r="T22" s="41">
        <v>9822108</v>
      </c>
      <c r="U22" s="41">
        <v>0</v>
      </c>
      <c r="V22" s="41">
        <v>0</v>
      </c>
      <c r="W22" s="41">
        <v>22356800370</v>
      </c>
      <c r="X22" s="41">
        <v>4231526232</v>
      </c>
      <c r="Y22" s="43">
        <v>18125274138</v>
      </c>
    </row>
    <row r="23" spans="1:25" x14ac:dyDescent="0.2">
      <c r="A23" s="40" t="s">
        <v>19</v>
      </c>
      <c r="B23" s="41">
        <v>85232388</v>
      </c>
      <c r="C23" s="41">
        <v>65814321</v>
      </c>
      <c r="D23" s="41">
        <v>9564659</v>
      </c>
      <c r="E23" s="41">
        <v>4989752</v>
      </c>
      <c r="F23" s="41">
        <v>965022613</v>
      </c>
      <c r="G23" s="41">
        <v>37249002</v>
      </c>
      <c r="H23" s="41">
        <v>1527796</v>
      </c>
      <c r="I23" s="41">
        <v>16678247</v>
      </c>
      <c r="J23" s="41">
        <v>529049</v>
      </c>
      <c r="K23" s="41"/>
      <c r="L23" s="41"/>
      <c r="M23" s="41">
        <v>60382</v>
      </c>
      <c r="N23" s="41"/>
      <c r="O23" s="41">
        <v>14289761</v>
      </c>
      <c r="P23" s="41"/>
      <c r="Q23" s="41"/>
      <c r="R23" s="41"/>
      <c r="S23" s="41">
        <v>0</v>
      </c>
      <c r="T23" s="41">
        <v>0</v>
      </c>
      <c r="U23" s="41"/>
      <c r="V23" s="41">
        <v>0</v>
      </c>
      <c r="W23" s="41">
        <v>5005474680</v>
      </c>
      <c r="X23" s="41">
        <v>1200957970</v>
      </c>
      <c r="Y23" s="43">
        <v>3804516710</v>
      </c>
    </row>
    <row r="24" spans="1:25" x14ac:dyDescent="0.2">
      <c r="A24" s="40" t="s">
        <v>20</v>
      </c>
      <c r="B24" s="41">
        <v>251273069</v>
      </c>
      <c r="C24" s="41">
        <v>175442658</v>
      </c>
      <c r="D24" s="41">
        <v>9939764</v>
      </c>
      <c r="E24" s="41">
        <v>14143716</v>
      </c>
      <c r="F24" s="41">
        <v>436042111</v>
      </c>
      <c r="G24" s="41">
        <v>96206371</v>
      </c>
      <c r="H24" s="41">
        <v>3754064</v>
      </c>
      <c r="I24" s="41">
        <v>58671514</v>
      </c>
      <c r="J24" s="41">
        <v>2236803</v>
      </c>
      <c r="K24" s="41"/>
      <c r="L24" s="41"/>
      <c r="M24" s="41">
        <v>218561</v>
      </c>
      <c r="N24" s="41"/>
      <c r="O24" s="41">
        <v>1377109</v>
      </c>
      <c r="P24" s="41">
        <v>86941</v>
      </c>
      <c r="Q24" s="41"/>
      <c r="R24" s="41">
        <v>82272871</v>
      </c>
      <c r="S24" s="41">
        <v>0</v>
      </c>
      <c r="T24" s="41">
        <v>0</v>
      </c>
      <c r="U24" s="41"/>
      <c r="V24" s="41">
        <v>0</v>
      </c>
      <c r="W24" s="41">
        <v>3597229324</v>
      </c>
      <c r="X24" s="41">
        <v>1131665552</v>
      </c>
      <c r="Y24" s="43">
        <v>2465563772</v>
      </c>
    </row>
    <row r="25" spans="1:25" x14ac:dyDescent="0.2">
      <c r="A25" s="40" t="s">
        <v>21</v>
      </c>
      <c r="B25" s="41">
        <v>140275017</v>
      </c>
      <c r="C25" s="41">
        <v>104145731</v>
      </c>
      <c r="D25" s="41">
        <v>6488238</v>
      </c>
      <c r="E25" s="41">
        <v>6313497</v>
      </c>
      <c r="F25" s="41">
        <v>106942414</v>
      </c>
      <c r="G25" s="41">
        <v>31632666</v>
      </c>
      <c r="H25" s="41">
        <v>2814359</v>
      </c>
      <c r="I25" s="41">
        <v>31632217</v>
      </c>
      <c r="J25" s="41">
        <v>1861003</v>
      </c>
      <c r="K25" s="41">
        <v>0</v>
      </c>
      <c r="L25" s="41">
        <v>0</v>
      </c>
      <c r="M25" s="41">
        <v>1369</v>
      </c>
      <c r="N25" s="41">
        <v>0</v>
      </c>
      <c r="O25" s="41">
        <v>1700928</v>
      </c>
      <c r="P25" s="41">
        <v>0</v>
      </c>
      <c r="Q25" s="41">
        <v>6667620</v>
      </c>
      <c r="R25" s="41">
        <v>0</v>
      </c>
      <c r="S25" s="41">
        <v>0</v>
      </c>
      <c r="T25" s="41">
        <v>0</v>
      </c>
      <c r="U25" s="41">
        <v>0</v>
      </c>
      <c r="V25" s="41">
        <v>0</v>
      </c>
      <c r="W25" s="41">
        <v>1934616895</v>
      </c>
      <c r="X25" s="41">
        <v>440475059</v>
      </c>
      <c r="Y25" s="43">
        <v>1494141836</v>
      </c>
    </row>
    <row r="26" spans="1:25" x14ac:dyDescent="0.2">
      <c r="A26" s="40" t="s">
        <v>22</v>
      </c>
      <c r="B26" s="41">
        <v>68441698</v>
      </c>
      <c r="C26" s="41">
        <v>53036182</v>
      </c>
      <c r="D26" s="41">
        <v>3337627</v>
      </c>
      <c r="E26" s="41">
        <v>20024473</v>
      </c>
      <c r="F26" s="41">
        <v>995575463</v>
      </c>
      <c r="G26" s="41">
        <v>29963996</v>
      </c>
      <c r="H26" s="41">
        <v>1675907</v>
      </c>
      <c r="I26" s="41">
        <v>14032946</v>
      </c>
      <c r="J26" s="41">
        <v>8629783</v>
      </c>
      <c r="K26" s="41">
        <v>0</v>
      </c>
      <c r="L26" s="41">
        <v>0</v>
      </c>
      <c r="M26" s="41">
        <v>0</v>
      </c>
      <c r="N26" s="41">
        <v>0</v>
      </c>
      <c r="O26" s="41">
        <v>1389115</v>
      </c>
      <c r="P26" s="41">
        <v>0</v>
      </c>
      <c r="Q26" s="41">
        <v>0</v>
      </c>
      <c r="R26" s="41">
        <v>302514</v>
      </c>
      <c r="S26" s="41">
        <v>0</v>
      </c>
      <c r="T26" s="41">
        <v>0</v>
      </c>
      <c r="U26" s="41">
        <v>0</v>
      </c>
      <c r="V26" s="41">
        <v>0</v>
      </c>
      <c r="W26" s="41">
        <v>2343104877</v>
      </c>
      <c r="X26" s="41">
        <v>1196409704</v>
      </c>
      <c r="Y26" s="43">
        <v>1146695173</v>
      </c>
    </row>
    <row r="27" spans="1:25" x14ac:dyDescent="0.2">
      <c r="A27" s="40" t="s">
        <v>23</v>
      </c>
      <c r="B27" s="41">
        <v>102135642</v>
      </c>
      <c r="C27" s="41">
        <v>76882568</v>
      </c>
      <c r="D27" s="41">
        <v>5035628</v>
      </c>
      <c r="E27" s="41">
        <v>5755896</v>
      </c>
      <c r="F27" s="41">
        <v>579716068</v>
      </c>
      <c r="G27" s="41">
        <v>62859657</v>
      </c>
      <c r="H27" s="41">
        <v>1956801</v>
      </c>
      <c r="I27" s="41">
        <v>40907822</v>
      </c>
      <c r="J27" s="41">
        <v>719</v>
      </c>
      <c r="K27" s="41">
        <v>0</v>
      </c>
      <c r="L27" s="41">
        <v>0</v>
      </c>
      <c r="M27" s="41">
        <v>0</v>
      </c>
      <c r="N27" s="41">
        <v>376597</v>
      </c>
      <c r="O27" s="41">
        <v>8922074</v>
      </c>
      <c r="P27" s="41">
        <v>0</v>
      </c>
      <c r="Q27" s="41">
        <v>209580</v>
      </c>
      <c r="R27" s="41">
        <v>0</v>
      </c>
      <c r="S27" s="41">
        <v>0</v>
      </c>
      <c r="T27" s="41">
        <v>0</v>
      </c>
      <c r="U27" s="41">
        <v>0</v>
      </c>
      <c r="V27" s="41">
        <v>0</v>
      </c>
      <c r="W27" s="41">
        <v>4853915327</v>
      </c>
      <c r="X27" s="41">
        <v>884759052</v>
      </c>
      <c r="Y27" s="43">
        <v>3969156275</v>
      </c>
    </row>
    <row r="28" spans="1:25" x14ac:dyDescent="0.2">
      <c r="A28" s="40" t="s">
        <v>24</v>
      </c>
      <c r="B28" s="41">
        <v>70496467</v>
      </c>
      <c r="C28" s="41">
        <v>44429697</v>
      </c>
      <c r="D28" s="41">
        <v>7097131</v>
      </c>
      <c r="E28" s="41">
        <v>7763813</v>
      </c>
      <c r="F28" s="41">
        <v>174950968</v>
      </c>
      <c r="G28" s="41">
        <v>24113179</v>
      </c>
      <c r="H28" s="41">
        <v>1569600</v>
      </c>
      <c r="I28" s="41">
        <v>15689485</v>
      </c>
      <c r="J28" s="41">
        <v>405888</v>
      </c>
      <c r="K28" s="41">
        <v>0</v>
      </c>
      <c r="L28" s="41">
        <v>0</v>
      </c>
      <c r="M28" s="41">
        <v>0</v>
      </c>
      <c r="N28" s="41">
        <v>0</v>
      </c>
      <c r="O28" s="41">
        <v>203775</v>
      </c>
      <c r="P28" s="41">
        <v>0</v>
      </c>
      <c r="Q28" s="41">
        <v>0</v>
      </c>
      <c r="R28" s="41">
        <v>0</v>
      </c>
      <c r="S28" s="41">
        <v>0</v>
      </c>
      <c r="T28" s="41">
        <v>0</v>
      </c>
      <c r="U28" s="41">
        <v>0</v>
      </c>
      <c r="V28" s="41">
        <v>0</v>
      </c>
      <c r="W28" s="41">
        <v>1656029283</v>
      </c>
      <c r="X28" s="41">
        <v>346720003</v>
      </c>
      <c r="Y28" s="43">
        <v>1309309280</v>
      </c>
    </row>
    <row r="29" spans="1:25" x14ac:dyDescent="0.2">
      <c r="A29" s="40" t="s">
        <v>25</v>
      </c>
      <c r="B29" s="41">
        <v>113260938</v>
      </c>
      <c r="C29" s="41">
        <v>82945960</v>
      </c>
      <c r="D29" s="41">
        <v>7208862</v>
      </c>
      <c r="E29" s="41">
        <v>18980533</v>
      </c>
      <c r="F29" s="41">
        <v>240436077</v>
      </c>
      <c r="G29" s="41">
        <v>89755776</v>
      </c>
      <c r="H29" s="41">
        <v>2491147</v>
      </c>
      <c r="I29" s="41">
        <v>8019175</v>
      </c>
      <c r="J29" s="41">
        <v>3079409</v>
      </c>
      <c r="K29" s="41">
        <v>0</v>
      </c>
      <c r="L29" s="41">
        <v>0</v>
      </c>
      <c r="M29" s="41">
        <v>0</v>
      </c>
      <c r="N29" s="41">
        <v>0</v>
      </c>
      <c r="O29" s="41">
        <v>93709</v>
      </c>
      <c r="P29" s="41">
        <v>0</v>
      </c>
      <c r="Q29" s="41">
        <v>0</v>
      </c>
      <c r="R29" s="41">
        <v>0</v>
      </c>
      <c r="S29" s="41">
        <v>0</v>
      </c>
      <c r="T29" s="41">
        <v>0</v>
      </c>
      <c r="U29" s="41">
        <v>0</v>
      </c>
      <c r="V29" s="41">
        <v>0</v>
      </c>
      <c r="W29" s="41">
        <v>3514637890</v>
      </c>
      <c r="X29" s="41">
        <v>566271586</v>
      </c>
      <c r="Y29" s="43">
        <v>2948366304</v>
      </c>
    </row>
    <row r="30" spans="1:25" x14ac:dyDescent="0.2">
      <c r="A30" s="40" t="s">
        <v>26</v>
      </c>
      <c r="B30" s="41">
        <v>211533771</v>
      </c>
      <c r="C30" s="41">
        <v>167403361</v>
      </c>
      <c r="D30" s="41">
        <v>18550364</v>
      </c>
      <c r="E30" s="41">
        <v>19122200</v>
      </c>
      <c r="F30" s="41">
        <v>1485839641</v>
      </c>
      <c r="G30" s="41">
        <v>124557289</v>
      </c>
      <c r="H30" s="41">
        <v>3130932</v>
      </c>
      <c r="I30" s="41">
        <v>23993447</v>
      </c>
      <c r="J30" s="41">
        <v>13910570</v>
      </c>
      <c r="K30" s="41">
        <v>0</v>
      </c>
      <c r="L30" s="41">
        <v>2160854</v>
      </c>
      <c r="M30" s="41">
        <v>0</v>
      </c>
      <c r="N30" s="41">
        <v>0</v>
      </c>
      <c r="O30" s="41">
        <v>0</v>
      </c>
      <c r="P30" s="41">
        <v>101017</v>
      </c>
      <c r="Q30" s="41">
        <v>0</v>
      </c>
      <c r="R30" s="41">
        <v>194866102</v>
      </c>
      <c r="S30" s="41">
        <v>0</v>
      </c>
      <c r="T30" s="41">
        <v>0</v>
      </c>
      <c r="U30" s="41">
        <v>0</v>
      </c>
      <c r="V30" s="41">
        <v>0</v>
      </c>
      <c r="W30" s="41">
        <v>7018243127</v>
      </c>
      <c r="X30" s="41">
        <v>2265169548</v>
      </c>
      <c r="Y30" s="43">
        <v>4753073579</v>
      </c>
    </row>
    <row r="31" spans="1:25" x14ac:dyDescent="0.2">
      <c r="A31" s="40" t="s">
        <v>27</v>
      </c>
      <c r="B31" s="41">
        <v>1481795980</v>
      </c>
      <c r="C31" s="41">
        <v>1372342356</v>
      </c>
      <c r="D31" s="41">
        <v>218384165</v>
      </c>
      <c r="E31" s="41">
        <v>60990394</v>
      </c>
      <c r="F31" s="41">
        <v>1920553136</v>
      </c>
      <c r="G31" s="41">
        <v>391215022</v>
      </c>
      <c r="H31" s="41">
        <v>32911717</v>
      </c>
      <c r="I31" s="41">
        <v>609855121</v>
      </c>
      <c r="J31" s="41">
        <v>437168</v>
      </c>
      <c r="K31" s="41"/>
      <c r="L31" s="41"/>
      <c r="M31" s="41">
        <v>54303</v>
      </c>
      <c r="N31" s="41"/>
      <c r="O31" s="41">
        <v>6400789</v>
      </c>
      <c r="P31" s="41">
        <v>693751</v>
      </c>
      <c r="Q31" s="41">
        <v>15033515</v>
      </c>
      <c r="R31" s="41"/>
      <c r="S31" s="41">
        <v>0</v>
      </c>
      <c r="T31" s="41">
        <v>7949824</v>
      </c>
      <c r="U31" s="41"/>
      <c r="V31" s="41">
        <v>0</v>
      </c>
      <c r="W31" s="41">
        <v>24419170047</v>
      </c>
      <c r="X31" s="41">
        <v>6110667417</v>
      </c>
      <c r="Y31" s="43">
        <v>18308502630</v>
      </c>
    </row>
    <row r="32" spans="1:25" x14ac:dyDescent="0.2">
      <c r="A32" s="40" t="s">
        <v>28</v>
      </c>
      <c r="B32" s="41">
        <v>648637203</v>
      </c>
      <c r="C32" s="41">
        <v>555379403</v>
      </c>
      <c r="D32" s="41">
        <v>26442730</v>
      </c>
      <c r="E32" s="41">
        <v>110621174</v>
      </c>
      <c r="F32" s="41">
        <v>645820286</v>
      </c>
      <c r="G32" s="41">
        <v>528627560</v>
      </c>
      <c r="H32" s="41">
        <v>20323280</v>
      </c>
      <c r="I32" s="41">
        <v>165468117</v>
      </c>
      <c r="J32" s="41">
        <v>17208567</v>
      </c>
      <c r="K32" s="41">
        <v>0</v>
      </c>
      <c r="L32" s="41">
        <v>0</v>
      </c>
      <c r="M32" s="41">
        <v>12680</v>
      </c>
      <c r="N32" s="41">
        <v>0</v>
      </c>
      <c r="O32" s="41">
        <v>15438457</v>
      </c>
      <c r="P32" s="41">
        <v>0</v>
      </c>
      <c r="Q32" s="41">
        <v>0</v>
      </c>
      <c r="R32" s="41">
        <v>0</v>
      </c>
      <c r="S32" s="41">
        <v>0</v>
      </c>
      <c r="T32" s="41">
        <v>0</v>
      </c>
      <c r="U32" s="41">
        <v>0</v>
      </c>
      <c r="V32" s="41">
        <v>0</v>
      </c>
      <c r="W32" s="41">
        <v>11480512931</v>
      </c>
      <c r="X32" s="41">
        <v>2733979457</v>
      </c>
      <c r="Y32" s="43">
        <v>8746533474</v>
      </c>
    </row>
    <row r="33" spans="1:25" x14ac:dyDescent="0.2">
      <c r="A33" s="40" t="s">
        <v>29</v>
      </c>
      <c r="B33" s="41">
        <v>7562223067</v>
      </c>
      <c r="C33" s="41">
        <v>7245737344</v>
      </c>
      <c r="D33" s="41">
        <v>292042090</v>
      </c>
      <c r="E33" s="41">
        <v>394975894</v>
      </c>
      <c r="F33" s="41">
        <v>15365991272</v>
      </c>
      <c r="G33" s="41">
        <v>9209264661</v>
      </c>
      <c r="H33" s="41">
        <v>97194045</v>
      </c>
      <c r="I33" s="41">
        <v>4058583289</v>
      </c>
      <c r="J33" s="41">
        <v>1352510</v>
      </c>
      <c r="K33" s="41">
        <v>64785383</v>
      </c>
      <c r="L33" s="41">
        <v>42748455</v>
      </c>
      <c r="M33" s="41">
        <v>22080</v>
      </c>
      <c r="N33" s="41">
        <v>4352138</v>
      </c>
      <c r="O33" s="41">
        <v>43976062</v>
      </c>
      <c r="P33" s="41">
        <v>11441986</v>
      </c>
      <c r="Q33" s="41">
        <v>130142067</v>
      </c>
      <c r="R33" s="41">
        <v>0</v>
      </c>
      <c r="S33" s="41">
        <v>0</v>
      </c>
      <c r="T33" s="41">
        <v>60426128</v>
      </c>
      <c r="U33" s="41">
        <v>0</v>
      </c>
      <c r="V33" s="41">
        <v>0</v>
      </c>
      <c r="W33" s="41">
        <v>223889063897</v>
      </c>
      <c r="X33" s="41">
        <v>44524832343</v>
      </c>
      <c r="Y33" s="43">
        <v>179364231554</v>
      </c>
    </row>
    <row r="34" spans="1:25" x14ac:dyDescent="0.2">
      <c r="A34" s="40" t="s">
        <v>30</v>
      </c>
      <c r="B34" s="41">
        <v>121479682</v>
      </c>
      <c r="C34" s="41">
        <v>74928869</v>
      </c>
      <c r="D34" s="41">
        <v>19824309</v>
      </c>
      <c r="E34" s="41">
        <v>12291087</v>
      </c>
      <c r="F34" s="41">
        <v>84275615</v>
      </c>
      <c r="G34" s="41">
        <v>49930727</v>
      </c>
      <c r="H34" s="41">
        <v>2374863</v>
      </c>
      <c r="I34" s="41">
        <v>27844036</v>
      </c>
      <c r="J34" s="41"/>
      <c r="K34" s="41"/>
      <c r="L34" s="41"/>
      <c r="M34" s="41"/>
      <c r="N34" s="41"/>
      <c r="O34" s="41">
        <v>603202</v>
      </c>
      <c r="P34" s="41">
        <v>31093</v>
      </c>
      <c r="Q34" s="41"/>
      <c r="R34" s="41"/>
      <c r="S34" s="41">
        <v>0</v>
      </c>
      <c r="T34" s="41">
        <v>0</v>
      </c>
      <c r="U34" s="41"/>
      <c r="V34" s="41">
        <v>0</v>
      </c>
      <c r="W34" s="41">
        <v>1137143840</v>
      </c>
      <c r="X34" s="41">
        <v>393583483</v>
      </c>
      <c r="Y34" s="43">
        <v>743560357</v>
      </c>
    </row>
    <row r="35" spans="1:25" x14ac:dyDescent="0.2">
      <c r="A35" s="40" t="s">
        <v>31</v>
      </c>
      <c r="B35" s="41">
        <v>1269136200</v>
      </c>
      <c r="C35" s="41">
        <v>1224615671</v>
      </c>
      <c r="D35" s="41">
        <v>43377293</v>
      </c>
      <c r="E35" s="41">
        <v>49462317</v>
      </c>
      <c r="F35" s="41">
        <v>1030720711</v>
      </c>
      <c r="G35" s="41">
        <v>929515007</v>
      </c>
      <c r="H35" s="41">
        <v>24205990</v>
      </c>
      <c r="I35" s="41">
        <v>311983758</v>
      </c>
      <c r="J35" s="41">
        <v>2140259</v>
      </c>
      <c r="K35" s="41">
        <v>0</v>
      </c>
      <c r="L35" s="41">
        <v>0</v>
      </c>
      <c r="M35" s="41">
        <v>6800</v>
      </c>
      <c r="N35" s="41">
        <v>60650</v>
      </c>
      <c r="O35" s="41">
        <v>50925502</v>
      </c>
      <c r="P35" s="41">
        <v>57092</v>
      </c>
      <c r="Q35" s="41">
        <v>0</v>
      </c>
      <c r="R35" s="41">
        <v>0</v>
      </c>
      <c r="S35" s="41">
        <v>0</v>
      </c>
      <c r="T35" s="41">
        <v>0</v>
      </c>
      <c r="U35" s="41">
        <v>0</v>
      </c>
      <c r="V35" s="41">
        <v>0</v>
      </c>
      <c r="W35" s="41">
        <v>36694815437</v>
      </c>
      <c r="X35" s="41">
        <v>4936207250</v>
      </c>
      <c r="Y35" s="43">
        <v>31758608187</v>
      </c>
    </row>
    <row r="36" spans="1:25" x14ac:dyDescent="0.2">
      <c r="A36" s="40" t="s">
        <v>32</v>
      </c>
      <c r="B36" s="41">
        <v>260048034</v>
      </c>
      <c r="C36" s="41">
        <v>163405565</v>
      </c>
      <c r="D36" s="41">
        <v>13677193</v>
      </c>
      <c r="E36" s="41">
        <v>18847980</v>
      </c>
      <c r="F36" s="41">
        <v>473007540</v>
      </c>
      <c r="G36" s="41">
        <v>175237099</v>
      </c>
      <c r="H36" s="41">
        <v>6395284</v>
      </c>
      <c r="I36" s="41">
        <v>58505930</v>
      </c>
      <c r="J36" s="41">
        <v>189615</v>
      </c>
      <c r="K36" s="41">
        <v>0</v>
      </c>
      <c r="L36" s="41">
        <v>0</v>
      </c>
      <c r="M36" s="41">
        <v>84324</v>
      </c>
      <c r="N36" s="41">
        <v>143806</v>
      </c>
      <c r="O36" s="41">
        <v>1442054</v>
      </c>
      <c r="P36" s="41">
        <v>0</v>
      </c>
      <c r="Q36" s="41">
        <v>3513438</v>
      </c>
      <c r="R36" s="41">
        <v>0</v>
      </c>
      <c r="S36" s="41">
        <v>0</v>
      </c>
      <c r="T36" s="41">
        <v>0</v>
      </c>
      <c r="U36" s="41">
        <v>199520</v>
      </c>
      <c r="V36" s="41">
        <v>0</v>
      </c>
      <c r="W36" s="41">
        <v>3582128163</v>
      </c>
      <c r="X36" s="41">
        <v>1174497862</v>
      </c>
      <c r="Y36" s="43">
        <v>2407630301</v>
      </c>
    </row>
    <row r="37" spans="1:25" x14ac:dyDescent="0.2">
      <c r="A37" s="40" t="s">
        <v>33</v>
      </c>
      <c r="B37" s="41">
        <v>100084562</v>
      </c>
      <c r="C37" s="41">
        <v>78091859</v>
      </c>
      <c r="D37" s="41">
        <v>2575644</v>
      </c>
      <c r="E37" s="41">
        <v>13650660</v>
      </c>
      <c r="F37" s="41">
        <v>106345887</v>
      </c>
      <c r="G37" s="41">
        <v>33420568</v>
      </c>
      <c r="H37" s="41">
        <v>2839881</v>
      </c>
      <c r="I37" s="41">
        <v>18647532</v>
      </c>
      <c r="J37" s="41">
        <v>45047038</v>
      </c>
      <c r="K37" s="41">
        <v>0</v>
      </c>
      <c r="L37" s="41">
        <v>0</v>
      </c>
      <c r="M37" s="41">
        <v>14219</v>
      </c>
      <c r="N37" s="41">
        <v>301038</v>
      </c>
      <c r="O37" s="41">
        <v>225476</v>
      </c>
      <c r="P37" s="41">
        <v>0</v>
      </c>
      <c r="Q37" s="41">
        <v>0</v>
      </c>
      <c r="R37" s="41">
        <v>0</v>
      </c>
      <c r="S37" s="41">
        <v>0</v>
      </c>
      <c r="T37" s="41">
        <v>0</v>
      </c>
      <c r="U37" s="41">
        <v>0</v>
      </c>
      <c r="V37" s="41">
        <v>0</v>
      </c>
      <c r="W37" s="41">
        <v>1584322719</v>
      </c>
      <c r="X37" s="41">
        <v>401244364</v>
      </c>
      <c r="Y37" s="43">
        <v>1183078355</v>
      </c>
    </row>
    <row r="38" spans="1:25" x14ac:dyDescent="0.2">
      <c r="A38" s="40" t="s">
        <v>34</v>
      </c>
      <c r="B38" s="41">
        <v>43706514</v>
      </c>
      <c r="C38" s="41">
        <v>30792140</v>
      </c>
      <c r="D38" s="41">
        <v>819960</v>
      </c>
      <c r="E38" s="41">
        <v>2762756</v>
      </c>
      <c r="F38" s="41">
        <v>96083114</v>
      </c>
      <c r="G38" s="41">
        <v>17593199</v>
      </c>
      <c r="H38" s="41">
        <v>1036830</v>
      </c>
      <c r="I38" s="41">
        <v>7738437</v>
      </c>
      <c r="J38" s="41">
        <v>64693</v>
      </c>
      <c r="K38" s="41"/>
      <c r="L38" s="41"/>
      <c r="M38" s="41"/>
      <c r="N38" s="41"/>
      <c r="O38" s="41"/>
      <c r="P38" s="41"/>
      <c r="Q38" s="41"/>
      <c r="R38" s="41"/>
      <c r="S38" s="41">
        <v>0</v>
      </c>
      <c r="T38" s="41">
        <v>0</v>
      </c>
      <c r="U38" s="41">
        <v>0</v>
      </c>
      <c r="V38" s="41">
        <v>0</v>
      </c>
      <c r="W38" s="41">
        <v>592418283</v>
      </c>
      <c r="X38" s="41">
        <v>200597643</v>
      </c>
      <c r="Y38" s="43">
        <v>391820640</v>
      </c>
    </row>
    <row r="39" spans="1:25" x14ac:dyDescent="0.2">
      <c r="A39" s="40" t="s">
        <v>35</v>
      </c>
      <c r="B39" s="41">
        <v>2800598256</v>
      </c>
      <c r="C39" s="41">
        <v>2689786076</v>
      </c>
      <c r="D39" s="41">
        <v>300604873</v>
      </c>
      <c r="E39" s="41">
        <v>131424194</v>
      </c>
      <c r="F39" s="41">
        <v>1213140413</v>
      </c>
      <c r="G39" s="41">
        <v>1796849290</v>
      </c>
      <c r="H39" s="41">
        <v>44273100</v>
      </c>
      <c r="I39" s="41">
        <v>858173957</v>
      </c>
      <c r="J39" s="41">
        <v>25720332</v>
      </c>
      <c r="K39" s="41"/>
      <c r="L39" s="41"/>
      <c r="M39" s="41">
        <v>6250</v>
      </c>
      <c r="N39" s="41"/>
      <c r="O39" s="41">
        <v>37401705</v>
      </c>
      <c r="P39" s="41">
        <v>828625</v>
      </c>
      <c r="Q39" s="41">
        <v>15372303</v>
      </c>
      <c r="R39" s="41"/>
      <c r="S39" s="41">
        <v>0</v>
      </c>
      <c r="T39" s="41">
        <v>0</v>
      </c>
      <c r="U39" s="41"/>
      <c r="V39" s="41">
        <v>678559</v>
      </c>
      <c r="W39" s="41">
        <v>54764330769</v>
      </c>
      <c r="X39" s="41">
        <v>9914179374</v>
      </c>
      <c r="Y39" s="43">
        <v>44850151395</v>
      </c>
    </row>
    <row r="40" spans="1:25" x14ac:dyDescent="0.2">
      <c r="A40" s="40" t="s">
        <v>36</v>
      </c>
      <c r="B40" s="41">
        <v>5380730465</v>
      </c>
      <c r="C40" s="41">
        <v>5206628424</v>
      </c>
      <c r="D40" s="41">
        <v>328108395</v>
      </c>
      <c r="E40" s="41">
        <v>403387638</v>
      </c>
      <c r="F40" s="41">
        <v>6394753352</v>
      </c>
      <c r="G40" s="41">
        <v>3872325391</v>
      </c>
      <c r="H40" s="41">
        <v>100085758</v>
      </c>
      <c r="I40" s="41">
        <v>916685397</v>
      </c>
      <c r="J40" s="41">
        <v>4592522</v>
      </c>
      <c r="K40" s="41">
        <v>0</v>
      </c>
      <c r="L40" s="41">
        <v>0</v>
      </c>
      <c r="M40" s="41">
        <v>13694</v>
      </c>
      <c r="N40" s="41">
        <v>0</v>
      </c>
      <c r="O40" s="41">
        <v>127516914</v>
      </c>
      <c r="P40" s="41">
        <v>1019250</v>
      </c>
      <c r="Q40" s="41">
        <v>2466169</v>
      </c>
      <c r="R40" s="41">
        <v>2932471</v>
      </c>
      <c r="S40" s="41">
        <v>0</v>
      </c>
      <c r="T40" s="41">
        <v>233571879</v>
      </c>
      <c r="U40" s="41">
        <v>0</v>
      </c>
      <c r="V40" s="41">
        <v>0</v>
      </c>
      <c r="W40" s="41">
        <v>172295587579</v>
      </c>
      <c r="X40" s="41">
        <v>22741245840</v>
      </c>
      <c r="Y40" s="43">
        <v>149554341739</v>
      </c>
    </row>
    <row r="41" spans="1:25" x14ac:dyDescent="0.2">
      <c r="A41" s="40" t="s">
        <v>37</v>
      </c>
      <c r="B41" s="41">
        <v>1450027184</v>
      </c>
      <c r="C41" s="41">
        <v>1373676511</v>
      </c>
      <c r="D41" s="41">
        <v>35324786</v>
      </c>
      <c r="E41" s="41">
        <v>121822059</v>
      </c>
      <c r="F41" s="41">
        <v>7249429204</v>
      </c>
      <c r="G41" s="41">
        <v>1481553960</v>
      </c>
      <c r="H41" s="41">
        <v>22664557</v>
      </c>
      <c r="I41" s="41">
        <v>310739744</v>
      </c>
      <c r="J41" s="41">
        <v>125924339</v>
      </c>
      <c r="K41" s="41">
        <v>8119719</v>
      </c>
      <c r="L41" s="41">
        <v>2441598</v>
      </c>
      <c r="M41" s="41">
        <v>0</v>
      </c>
      <c r="N41" s="41">
        <v>2323615</v>
      </c>
      <c r="O41" s="41">
        <v>27207432</v>
      </c>
      <c r="P41" s="41">
        <v>343687</v>
      </c>
      <c r="Q41" s="41">
        <v>28548610</v>
      </c>
      <c r="R41" s="41">
        <v>27014373</v>
      </c>
      <c r="S41" s="41">
        <v>0</v>
      </c>
      <c r="T41" s="41">
        <v>7038342</v>
      </c>
      <c r="U41" s="41">
        <v>0</v>
      </c>
      <c r="V41" s="41">
        <v>0</v>
      </c>
      <c r="W41" s="41">
        <v>39638528568</v>
      </c>
      <c r="X41" s="41">
        <v>12267161378</v>
      </c>
      <c r="Y41" s="43">
        <v>27371367190</v>
      </c>
    </row>
    <row r="42" spans="1:25" x14ac:dyDescent="0.2">
      <c r="A42" s="40" t="s">
        <v>38</v>
      </c>
      <c r="B42" s="41">
        <v>334372024</v>
      </c>
      <c r="C42" s="41">
        <v>247807365</v>
      </c>
      <c r="D42" s="41">
        <v>37494981</v>
      </c>
      <c r="E42" s="41">
        <v>25950329</v>
      </c>
      <c r="F42" s="41">
        <v>281387554</v>
      </c>
      <c r="G42" s="41">
        <v>115050869</v>
      </c>
      <c r="H42" s="41">
        <v>6305000</v>
      </c>
      <c r="I42" s="41">
        <v>88497356</v>
      </c>
      <c r="J42" s="41">
        <v>5231746</v>
      </c>
      <c r="K42" s="41">
        <v>832629</v>
      </c>
      <c r="L42" s="41">
        <v>0</v>
      </c>
      <c r="M42" s="41">
        <v>49472</v>
      </c>
      <c r="N42" s="41">
        <v>0</v>
      </c>
      <c r="O42" s="41">
        <v>5822101</v>
      </c>
      <c r="P42" s="41">
        <v>56397</v>
      </c>
      <c r="Q42" s="41">
        <v>0</v>
      </c>
      <c r="R42" s="41">
        <v>77561124</v>
      </c>
      <c r="S42" s="41">
        <v>0</v>
      </c>
      <c r="T42" s="41">
        <v>0</v>
      </c>
      <c r="U42" s="41">
        <v>0</v>
      </c>
      <c r="V42" s="41">
        <v>0</v>
      </c>
      <c r="W42" s="41">
        <v>4629938735</v>
      </c>
      <c r="X42" s="41">
        <v>1226418947</v>
      </c>
      <c r="Y42" s="43">
        <v>3403519788</v>
      </c>
    </row>
    <row r="43" spans="1:25" x14ac:dyDescent="0.2">
      <c r="A43" s="40" t="s">
        <v>39</v>
      </c>
      <c r="B43" s="41">
        <v>37820391</v>
      </c>
      <c r="C43" s="41">
        <v>21825946</v>
      </c>
      <c r="D43" s="41">
        <v>2235015</v>
      </c>
      <c r="E43" s="41">
        <v>2221133</v>
      </c>
      <c r="F43" s="41">
        <v>347482627</v>
      </c>
      <c r="G43" s="41">
        <v>22997173</v>
      </c>
      <c r="H43" s="41">
        <v>467826</v>
      </c>
      <c r="I43" s="41">
        <v>7109956</v>
      </c>
      <c r="J43" s="41">
        <v>414180</v>
      </c>
      <c r="K43" s="41"/>
      <c r="L43" s="41">
        <v>1367</v>
      </c>
      <c r="M43" s="41"/>
      <c r="N43" s="41"/>
      <c r="O43" s="41"/>
      <c r="P43" s="41"/>
      <c r="Q43" s="41"/>
      <c r="R43" s="41">
        <v>818218</v>
      </c>
      <c r="S43" s="41">
        <v>0</v>
      </c>
      <c r="T43" s="41">
        <v>0</v>
      </c>
      <c r="U43" s="41">
        <v>0</v>
      </c>
      <c r="V43" s="41">
        <v>0</v>
      </c>
      <c r="W43" s="41">
        <v>836902197</v>
      </c>
      <c r="X43" s="41">
        <v>443393832</v>
      </c>
      <c r="Y43" s="43">
        <v>393508365</v>
      </c>
    </row>
    <row r="44" spans="1:25" x14ac:dyDescent="0.2">
      <c r="A44" s="40" t="s">
        <v>40</v>
      </c>
      <c r="B44" s="41">
        <v>105994177</v>
      </c>
      <c r="C44" s="41">
        <v>70803380</v>
      </c>
      <c r="D44" s="41">
        <v>10584461</v>
      </c>
      <c r="E44" s="41">
        <v>13413061</v>
      </c>
      <c r="F44" s="41">
        <v>89200020</v>
      </c>
      <c r="G44" s="41">
        <v>65924977</v>
      </c>
      <c r="H44" s="41">
        <v>2703021</v>
      </c>
      <c r="I44" s="41">
        <v>21253905</v>
      </c>
      <c r="J44" s="41">
        <v>8353353</v>
      </c>
      <c r="K44" s="41">
        <v>72346</v>
      </c>
      <c r="L44" s="41">
        <v>0</v>
      </c>
      <c r="M44" s="41">
        <v>8274</v>
      </c>
      <c r="N44" s="41">
        <v>261854</v>
      </c>
      <c r="O44" s="41">
        <v>602277</v>
      </c>
      <c r="P44" s="41">
        <v>563</v>
      </c>
      <c r="Q44" s="41">
        <v>1310828</v>
      </c>
      <c r="R44" s="41">
        <v>0</v>
      </c>
      <c r="S44" s="41">
        <v>0</v>
      </c>
      <c r="T44" s="41">
        <v>0</v>
      </c>
      <c r="U44" s="41">
        <v>0</v>
      </c>
      <c r="V44" s="41">
        <v>0</v>
      </c>
      <c r="W44" s="41">
        <v>1723651299</v>
      </c>
      <c r="X44" s="41">
        <v>390486497</v>
      </c>
      <c r="Y44" s="43">
        <v>1333164802</v>
      </c>
    </row>
    <row r="45" spans="1:25" x14ac:dyDescent="0.2">
      <c r="A45" s="40" t="s">
        <v>41</v>
      </c>
      <c r="B45" s="41">
        <v>2717382287</v>
      </c>
      <c r="C45" s="41">
        <v>2657643727</v>
      </c>
      <c r="D45" s="41">
        <v>67469747</v>
      </c>
      <c r="E45" s="41">
        <v>145901750</v>
      </c>
      <c r="F45" s="41">
        <v>2001364029</v>
      </c>
      <c r="G45" s="41">
        <v>1467342522</v>
      </c>
      <c r="H45" s="41">
        <v>60953121</v>
      </c>
      <c r="I45" s="41">
        <v>883716968</v>
      </c>
      <c r="J45" s="41">
        <v>0</v>
      </c>
      <c r="K45" s="41">
        <v>0</v>
      </c>
      <c r="L45" s="41">
        <v>59525403</v>
      </c>
      <c r="M45" s="41">
        <v>0</v>
      </c>
      <c r="N45" s="41">
        <v>934988</v>
      </c>
      <c r="O45" s="41">
        <v>72899936</v>
      </c>
      <c r="P45" s="41">
        <v>946262</v>
      </c>
      <c r="Q45" s="41">
        <v>0</v>
      </c>
      <c r="R45" s="41">
        <v>0</v>
      </c>
      <c r="S45" s="41">
        <v>0</v>
      </c>
      <c r="T45" s="41">
        <v>26827982</v>
      </c>
      <c r="U45" s="41">
        <v>0</v>
      </c>
      <c r="V45" s="41">
        <v>0</v>
      </c>
      <c r="W45" s="41">
        <v>85005458170</v>
      </c>
      <c r="X45" s="41">
        <v>10136080740</v>
      </c>
      <c r="Y45" s="43">
        <v>74869377430</v>
      </c>
    </row>
    <row r="46" spans="1:25" x14ac:dyDescent="0.2">
      <c r="A46" s="40" t="s">
        <v>42</v>
      </c>
      <c r="B46" s="41">
        <v>2868680203</v>
      </c>
      <c r="C46" s="41">
        <v>2546461103</v>
      </c>
      <c r="D46" s="41">
        <v>0</v>
      </c>
      <c r="E46" s="41">
        <v>130718776</v>
      </c>
      <c r="F46" s="41">
        <v>1708259607</v>
      </c>
      <c r="G46" s="41">
        <v>1944463498</v>
      </c>
      <c r="H46" s="41">
        <v>64122909</v>
      </c>
      <c r="I46" s="41">
        <v>871426163</v>
      </c>
      <c r="J46" s="41">
        <v>21046655</v>
      </c>
      <c r="K46" s="41">
        <v>0</v>
      </c>
      <c r="L46" s="41">
        <v>0</v>
      </c>
      <c r="M46" s="41">
        <v>36057</v>
      </c>
      <c r="N46" s="41">
        <v>2940791</v>
      </c>
      <c r="O46" s="41">
        <v>69625281</v>
      </c>
      <c r="P46" s="41">
        <v>615862</v>
      </c>
      <c r="Q46" s="41">
        <v>9010245</v>
      </c>
      <c r="R46" s="41">
        <v>1878222</v>
      </c>
      <c r="S46" s="41">
        <v>0</v>
      </c>
      <c r="T46" s="41">
        <v>12484115</v>
      </c>
      <c r="U46" s="41">
        <v>0</v>
      </c>
      <c r="V46" s="41">
        <v>0</v>
      </c>
      <c r="W46" s="41">
        <v>48268259959</v>
      </c>
      <c r="X46" s="41">
        <v>10239285372</v>
      </c>
      <c r="Y46" s="43">
        <v>38028974587</v>
      </c>
    </row>
    <row r="47" spans="1:25" x14ac:dyDescent="0.2">
      <c r="A47" s="40" t="s">
        <v>43</v>
      </c>
      <c r="B47" s="41">
        <v>1232141141</v>
      </c>
      <c r="C47" s="41">
        <v>1190514904</v>
      </c>
      <c r="D47" s="41">
        <v>59033412</v>
      </c>
      <c r="E47" s="41">
        <v>72726114</v>
      </c>
      <c r="F47" s="41">
        <v>1121043244</v>
      </c>
      <c r="G47" s="41">
        <v>815717630</v>
      </c>
      <c r="H47" s="41">
        <v>21011719</v>
      </c>
      <c r="I47" s="41">
        <v>242494989</v>
      </c>
      <c r="J47" s="41">
        <v>3202065</v>
      </c>
      <c r="K47" s="41">
        <v>0</v>
      </c>
      <c r="L47" s="41">
        <v>0</v>
      </c>
      <c r="M47" s="41">
        <v>0</v>
      </c>
      <c r="N47" s="41">
        <v>3046018</v>
      </c>
      <c r="O47" s="41">
        <v>28806048</v>
      </c>
      <c r="P47" s="41">
        <v>175895</v>
      </c>
      <c r="Q47" s="41">
        <v>19281089</v>
      </c>
      <c r="R47" s="41">
        <v>195286128</v>
      </c>
      <c r="S47" s="41">
        <v>0</v>
      </c>
      <c r="T47" s="41">
        <v>0</v>
      </c>
      <c r="U47" s="41">
        <v>0</v>
      </c>
      <c r="V47" s="41">
        <v>0</v>
      </c>
      <c r="W47" s="41">
        <v>44317673571</v>
      </c>
      <c r="X47" s="41">
        <v>5004480396</v>
      </c>
      <c r="Y47" s="43">
        <v>39313193175</v>
      </c>
    </row>
    <row r="48" spans="1:25" x14ac:dyDescent="0.2">
      <c r="A48" s="40" t="s">
        <v>44</v>
      </c>
      <c r="B48" s="41">
        <v>395101753</v>
      </c>
      <c r="C48" s="41">
        <v>404121934</v>
      </c>
      <c r="D48" s="41">
        <v>29385379</v>
      </c>
      <c r="E48" s="41">
        <v>86647787</v>
      </c>
      <c r="F48" s="41">
        <v>4479983300</v>
      </c>
      <c r="G48" s="41">
        <v>1065785649</v>
      </c>
      <c r="H48" s="41">
        <v>7620000</v>
      </c>
      <c r="I48" s="41">
        <v>249107618</v>
      </c>
      <c r="J48" s="41">
        <v>0</v>
      </c>
      <c r="K48" s="41">
        <v>0</v>
      </c>
      <c r="L48" s="41">
        <v>0</v>
      </c>
      <c r="M48" s="41">
        <v>0</v>
      </c>
      <c r="N48" s="41">
        <v>0</v>
      </c>
      <c r="O48" s="41">
        <v>10419157</v>
      </c>
      <c r="P48" s="41">
        <v>0</v>
      </c>
      <c r="Q48" s="41">
        <v>1124841</v>
      </c>
      <c r="R48" s="41">
        <v>0</v>
      </c>
      <c r="S48" s="41">
        <v>0</v>
      </c>
      <c r="T48" s="41">
        <v>0</v>
      </c>
      <c r="U48" s="41">
        <v>0</v>
      </c>
      <c r="V48" s="41">
        <v>0</v>
      </c>
      <c r="W48" s="41">
        <v>56802869111</v>
      </c>
      <c r="X48" s="41">
        <v>6729297418</v>
      </c>
      <c r="Y48" s="43">
        <v>50073571693</v>
      </c>
    </row>
    <row r="49" spans="1:25" x14ac:dyDescent="0.2">
      <c r="A49" s="40" t="s">
        <v>45</v>
      </c>
      <c r="B49" s="41">
        <v>746994688</v>
      </c>
      <c r="C49" s="41">
        <v>726332396</v>
      </c>
      <c r="D49" s="41">
        <v>34532208</v>
      </c>
      <c r="E49" s="41">
        <v>31145208</v>
      </c>
      <c r="F49" s="41">
        <v>1190452627</v>
      </c>
      <c r="G49" s="41">
        <v>399193857</v>
      </c>
      <c r="H49" s="41">
        <v>14371223</v>
      </c>
      <c r="I49" s="41">
        <v>568488838</v>
      </c>
      <c r="J49" s="41">
        <v>8741912</v>
      </c>
      <c r="K49" s="41">
        <v>0</v>
      </c>
      <c r="L49" s="41">
        <v>0</v>
      </c>
      <c r="M49" s="41">
        <v>0</v>
      </c>
      <c r="N49" s="41">
        <v>0</v>
      </c>
      <c r="O49" s="41">
        <v>18507316</v>
      </c>
      <c r="P49" s="41">
        <v>2476171</v>
      </c>
      <c r="Q49" s="41">
        <v>12433482</v>
      </c>
      <c r="R49" s="41">
        <v>0</v>
      </c>
      <c r="S49" s="41">
        <v>0</v>
      </c>
      <c r="T49" s="41">
        <v>0</v>
      </c>
      <c r="U49" s="41">
        <v>0</v>
      </c>
      <c r="V49" s="41">
        <v>0</v>
      </c>
      <c r="W49" s="41">
        <v>22001963829</v>
      </c>
      <c r="X49" s="41">
        <v>3753669926</v>
      </c>
      <c r="Y49" s="43">
        <v>18248293903</v>
      </c>
    </row>
    <row r="50" spans="1:25" x14ac:dyDescent="0.2">
      <c r="A50" s="40" t="s">
        <v>46</v>
      </c>
      <c r="B50" s="41">
        <v>1283469119</v>
      </c>
      <c r="C50" s="41">
        <v>1136507535</v>
      </c>
      <c r="D50" s="41">
        <v>71457707</v>
      </c>
      <c r="E50" s="41">
        <v>78722801</v>
      </c>
      <c r="F50" s="41">
        <v>2276614635</v>
      </c>
      <c r="G50" s="41">
        <v>419643289</v>
      </c>
      <c r="H50" s="41">
        <v>20447719</v>
      </c>
      <c r="I50" s="41">
        <v>1566274785</v>
      </c>
      <c r="J50" s="41">
        <v>710286</v>
      </c>
      <c r="K50" s="41">
        <v>0</v>
      </c>
      <c r="L50" s="41">
        <v>1965141</v>
      </c>
      <c r="M50" s="41">
        <v>0</v>
      </c>
      <c r="N50" s="41">
        <v>0</v>
      </c>
      <c r="O50" s="41">
        <v>69898003</v>
      </c>
      <c r="P50" s="41">
        <v>22636865</v>
      </c>
      <c r="Q50" s="41">
        <v>0</v>
      </c>
      <c r="R50" s="41">
        <v>191685939</v>
      </c>
      <c r="S50" s="41">
        <v>0</v>
      </c>
      <c r="T50" s="41">
        <v>0</v>
      </c>
      <c r="U50" s="41">
        <v>0</v>
      </c>
      <c r="V50" s="41">
        <v>0</v>
      </c>
      <c r="W50" s="41">
        <v>37902949255</v>
      </c>
      <c r="X50" s="41">
        <v>7140033824</v>
      </c>
      <c r="Y50" s="43">
        <v>30762915431</v>
      </c>
    </row>
    <row r="51" spans="1:25" x14ac:dyDescent="0.2">
      <c r="A51" s="40" t="s">
        <v>47</v>
      </c>
      <c r="B51" s="41">
        <v>226156947</v>
      </c>
      <c r="C51" s="41">
        <v>173690338</v>
      </c>
      <c r="D51" s="41">
        <v>19864863</v>
      </c>
      <c r="E51" s="41">
        <v>41555844</v>
      </c>
      <c r="F51" s="41">
        <v>549773861</v>
      </c>
      <c r="G51" s="41">
        <v>110732090</v>
      </c>
      <c r="H51" s="41">
        <v>4939590</v>
      </c>
      <c r="I51" s="41">
        <v>41039944</v>
      </c>
      <c r="J51" s="41">
        <v>10090015</v>
      </c>
      <c r="K51" s="41"/>
      <c r="L51" s="41">
        <v>318796829</v>
      </c>
      <c r="M51" s="41">
        <v>216165</v>
      </c>
      <c r="N51" s="41"/>
      <c r="O51" s="41">
        <v>2227673</v>
      </c>
      <c r="P51" s="41">
        <v>116439</v>
      </c>
      <c r="Q51" s="41"/>
      <c r="R51" s="41">
        <v>306908873</v>
      </c>
      <c r="S51" s="41">
        <v>0</v>
      </c>
      <c r="T51" s="41">
        <v>0</v>
      </c>
      <c r="U51" s="41"/>
      <c r="V51" s="41">
        <v>0</v>
      </c>
      <c r="W51" s="41">
        <v>6416913603</v>
      </c>
      <c r="X51" s="41">
        <v>1806109471</v>
      </c>
      <c r="Y51" s="43">
        <v>4610804132</v>
      </c>
    </row>
    <row r="52" spans="1:25" x14ac:dyDescent="0.2">
      <c r="A52" s="40" t="s">
        <v>48</v>
      </c>
      <c r="B52" s="41">
        <v>6444676389</v>
      </c>
      <c r="C52" s="41">
        <v>6096827363</v>
      </c>
      <c r="D52" s="41">
        <v>263796416</v>
      </c>
      <c r="E52" s="41">
        <v>509537209</v>
      </c>
      <c r="F52" s="41">
        <v>21279016733</v>
      </c>
      <c r="G52" s="41">
        <v>17927431059</v>
      </c>
      <c r="H52" s="41">
        <v>61924076</v>
      </c>
      <c r="I52" s="41">
        <v>1522248094</v>
      </c>
      <c r="J52" s="41">
        <v>12548628</v>
      </c>
      <c r="K52" s="41"/>
      <c r="L52" s="41">
        <v>268486708</v>
      </c>
      <c r="M52" s="41">
        <v>43904</v>
      </c>
      <c r="N52" s="41"/>
      <c r="O52" s="41">
        <v>437703927</v>
      </c>
      <c r="P52" s="41">
        <v>670739</v>
      </c>
      <c r="Q52" s="41">
        <v>12946542</v>
      </c>
      <c r="R52" s="41">
        <v>118401902</v>
      </c>
      <c r="S52" s="41">
        <v>0</v>
      </c>
      <c r="T52" s="41">
        <v>0</v>
      </c>
      <c r="U52" s="41"/>
      <c r="V52" s="41">
        <v>0</v>
      </c>
      <c r="W52" s="41">
        <v>290095721225</v>
      </c>
      <c r="X52" s="41">
        <v>54956259689</v>
      </c>
      <c r="Y52" s="43">
        <v>235139461536</v>
      </c>
    </row>
    <row r="53" spans="1:25" x14ac:dyDescent="0.2">
      <c r="A53" s="40" t="s">
        <v>49</v>
      </c>
      <c r="B53" s="41">
        <v>2160884144</v>
      </c>
      <c r="C53" s="41">
        <v>2050530898</v>
      </c>
      <c r="D53" s="41">
        <v>137785956</v>
      </c>
      <c r="E53" s="41">
        <v>144000263</v>
      </c>
      <c r="F53" s="41">
        <v>4020598316</v>
      </c>
      <c r="G53" s="41">
        <v>1749451978</v>
      </c>
      <c r="H53" s="41">
        <v>21296784</v>
      </c>
      <c r="I53" s="41">
        <v>986733689</v>
      </c>
      <c r="J53" s="41">
        <v>3609282</v>
      </c>
      <c r="K53" s="41">
        <v>0</v>
      </c>
      <c r="L53" s="41">
        <v>0</v>
      </c>
      <c r="M53" s="41">
        <v>6050</v>
      </c>
      <c r="N53" s="41">
        <v>1399460</v>
      </c>
      <c r="O53" s="41">
        <v>5634803</v>
      </c>
      <c r="P53" s="41">
        <v>287124</v>
      </c>
      <c r="Q53" s="41">
        <v>10822280</v>
      </c>
      <c r="R53" s="41">
        <v>0</v>
      </c>
      <c r="S53" s="41">
        <v>0</v>
      </c>
      <c r="T53" s="41">
        <v>96084051</v>
      </c>
      <c r="U53" s="41">
        <v>0</v>
      </c>
      <c r="V53" s="41">
        <v>0</v>
      </c>
      <c r="W53" s="41">
        <v>68882372023</v>
      </c>
      <c r="X53" s="41">
        <v>11293041027</v>
      </c>
      <c r="Y53" s="43">
        <v>57589330996</v>
      </c>
    </row>
    <row r="54" spans="1:25" x14ac:dyDescent="0.2">
      <c r="A54" s="40" t="s">
        <v>50</v>
      </c>
      <c r="B54" s="41">
        <v>9106063246</v>
      </c>
      <c r="C54" s="41">
        <v>8746931983</v>
      </c>
      <c r="D54" s="41">
        <v>367868731</v>
      </c>
      <c r="E54" s="41">
        <v>374599474</v>
      </c>
      <c r="F54" s="41">
        <v>17006497300</v>
      </c>
      <c r="G54" s="41">
        <v>7049623952</v>
      </c>
      <c r="H54" s="41">
        <v>183090941</v>
      </c>
      <c r="I54" s="41">
        <v>1496371938</v>
      </c>
      <c r="J54" s="41">
        <v>10747756</v>
      </c>
      <c r="K54" s="41">
        <v>91166970</v>
      </c>
      <c r="L54" s="41">
        <v>128102654</v>
      </c>
      <c r="M54" s="41">
        <v>61221</v>
      </c>
      <c r="N54" s="41">
        <v>8577324</v>
      </c>
      <c r="O54" s="41">
        <v>76787878</v>
      </c>
      <c r="P54" s="41">
        <v>1144802</v>
      </c>
      <c r="Q54" s="41">
        <v>0</v>
      </c>
      <c r="R54" s="41">
        <v>208113683</v>
      </c>
      <c r="S54" s="41">
        <v>0</v>
      </c>
      <c r="T54" s="41">
        <v>176045543</v>
      </c>
      <c r="U54" s="41">
        <v>0</v>
      </c>
      <c r="V54" s="41">
        <v>0</v>
      </c>
      <c r="W54" s="41">
        <v>387634800178</v>
      </c>
      <c r="X54" s="41">
        <v>44855749853</v>
      </c>
      <c r="Y54" s="43">
        <v>342779050325</v>
      </c>
    </row>
    <row r="55" spans="1:25" x14ac:dyDescent="0.2">
      <c r="A55" s="40" t="s">
        <v>51</v>
      </c>
      <c r="B55" s="41">
        <v>4174946117</v>
      </c>
      <c r="C55" s="41">
        <v>3809580686</v>
      </c>
      <c r="D55" s="41">
        <v>52917517</v>
      </c>
      <c r="E55" s="41">
        <v>118700461</v>
      </c>
      <c r="F55" s="41">
        <v>1634424011</v>
      </c>
      <c r="G55" s="41">
        <v>2474188292</v>
      </c>
      <c r="H55" s="41">
        <v>75722110</v>
      </c>
      <c r="I55" s="41">
        <v>1505858526</v>
      </c>
      <c r="J55" s="41">
        <v>9703562</v>
      </c>
      <c r="K55" s="41">
        <v>0</v>
      </c>
      <c r="L55" s="41">
        <v>0</v>
      </c>
      <c r="M55" s="41">
        <v>388279</v>
      </c>
      <c r="N55" s="41">
        <v>667931</v>
      </c>
      <c r="O55" s="41">
        <v>45065915</v>
      </c>
      <c r="P55" s="41">
        <v>1756497</v>
      </c>
      <c r="Q55" s="41">
        <v>0</v>
      </c>
      <c r="R55" s="41">
        <v>0</v>
      </c>
      <c r="S55" s="41">
        <v>0</v>
      </c>
      <c r="T55" s="41">
        <v>0</v>
      </c>
      <c r="U55" s="41">
        <v>0</v>
      </c>
      <c r="V55" s="41">
        <v>0</v>
      </c>
      <c r="W55" s="41">
        <v>74451591813</v>
      </c>
      <c r="X55" s="41">
        <v>13903919904</v>
      </c>
      <c r="Y55" s="43">
        <v>60547671909</v>
      </c>
    </row>
    <row r="56" spans="1:25" x14ac:dyDescent="0.2">
      <c r="A56" s="40" t="s">
        <v>52</v>
      </c>
      <c r="B56" s="41">
        <v>6217240616</v>
      </c>
      <c r="C56" s="41">
        <v>5849985620</v>
      </c>
      <c r="D56" s="41">
        <v>0</v>
      </c>
      <c r="E56" s="41">
        <v>319114674</v>
      </c>
      <c r="F56" s="41">
        <v>8917560727</v>
      </c>
      <c r="G56" s="41">
        <v>6807856596</v>
      </c>
      <c r="H56" s="41">
        <v>149835963</v>
      </c>
      <c r="I56" s="41">
        <v>1530224945</v>
      </c>
      <c r="J56" s="41">
        <v>0</v>
      </c>
      <c r="K56" s="41">
        <v>3532473</v>
      </c>
      <c r="L56" s="41">
        <v>27192115</v>
      </c>
      <c r="M56" s="41">
        <v>0</v>
      </c>
      <c r="N56" s="41">
        <v>117148</v>
      </c>
      <c r="O56" s="41">
        <v>138628871</v>
      </c>
      <c r="P56" s="41">
        <v>711063</v>
      </c>
      <c r="Q56" s="41">
        <v>0</v>
      </c>
      <c r="R56" s="41">
        <v>8953756</v>
      </c>
      <c r="S56" s="41">
        <v>0</v>
      </c>
      <c r="T56" s="41">
        <v>11189659</v>
      </c>
      <c r="U56" s="41">
        <v>0</v>
      </c>
      <c r="V56" s="41">
        <v>0</v>
      </c>
      <c r="W56" s="41">
        <v>170496320969</v>
      </c>
      <c r="X56" s="41">
        <v>29970954567</v>
      </c>
      <c r="Y56" s="43">
        <v>140525366402</v>
      </c>
    </row>
    <row r="57" spans="1:25" x14ac:dyDescent="0.2">
      <c r="A57" s="40" t="s">
        <v>53</v>
      </c>
      <c r="B57" s="41">
        <v>4252626633</v>
      </c>
      <c r="C57" s="41">
        <v>3785128732</v>
      </c>
      <c r="D57" s="41">
        <v>353846579</v>
      </c>
      <c r="E57" s="41">
        <v>403046816</v>
      </c>
      <c r="F57" s="41">
        <v>2190638238</v>
      </c>
      <c r="G57" s="41">
        <v>3694716753</v>
      </c>
      <c r="H57" s="41">
        <v>76552331</v>
      </c>
      <c r="I57" s="41">
        <v>952539257</v>
      </c>
      <c r="J57" s="41">
        <v>22058035</v>
      </c>
      <c r="K57" s="41">
        <v>0</v>
      </c>
      <c r="L57" s="41">
        <v>651451248</v>
      </c>
      <c r="M57" s="41">
        <v>154135</v>
      </c>
      <c r="N57" s="41">
        <v>1019396</v>
      </c>
      <c r="O57" s="41">
        <v>27061031</v>
      </c>
      <c r="P57" s="41">
        <v>1465697</v>
      </c>
      <c r="Q57" s="41">
        <v>13565020</v>
      </c>
      <c r="R57" s="41">
        <v>389423495</v>
      </c>
      <c r="S57" s="41">
        <v>0</v>
      </c>
      <c r="T57" s="41">
        <v>141461548</v>
      </c>
      <c r="U57" s="41">
        <v>0</v>
      </c>
      <c r="V57" s="41">
        <v>0</v>
      </c>
      <c r="W57" s="41">
        <v>89111162284</v>
      </c>
      <c r="X57" s="41">
        <v>16815293396</v>
      </c>
      <c r="Y57" s="43">
        <v>72295868888</v>
      </c>
    </row>
    <row r="58" spans="1:25" x14ac:dyDescent="0.2">
      <c r="A58" s="40" t="s">
        <v>54</v>
      </c>
      <c r="B58" s="41">
        <v>504710300</v>
      </c>
      <c r="C58" s="41">
        <v>360687266</v>
      </c>
      <c r="D58" s="41">
        <v>45239898</v>
      </c>
      <c r="E58" s="41">
        <v>27850713</v>
      </c>
      <c r="F58" s="41">
        <v>757098220</v>
      </c>
      <c r="G58" s="41">
        <v>269515866</v>
      </c>
      <c r="H58" s="41">
        <v>12038870</v>
      </c>
      <c r="I58" s="41">
        <v>97397815</v>
      </c>
      <c r="J58" s="41">
        <v>6450578</v>
      </c>
      <c r="K58" s="41">
        <v>0</v>
      </c>
      <c r="L58" s="41">
        <v>0</v>
      </c>
      <c r="M58" s="41">
        <v>37900</v>
      </c>
      <c r="N58" s="41">
        <v>0</v>
      </c>
      <c r="O58" s="41">
        <v>4392654</v>
      </c>
      <c r="P58" s="41">
        <v>60714</v>
      </c>
      <c r="Q58" s="41">
        <v>8624394</v>
      </c>
      <c r="R58" s="41">
        <v>363194962</v>
      </c>
      <c r="S58" s="41">
        <v>0</v>
      </c>
      <c r="T58" s="41">
        <v>0</v>
      </c>
      <c r="U58" s="41">
        <v>0</v>
      </c>
      <c r="V58" s="41">
        <v>0</v>
      </c>
      <c r="W58" s="41">
        <v>10153449708</v>
      </c>
      <c r="X58" s="41">
        <v>2457300150</v>
      </c>
      <c r="Y58" s="43">
        <v>7696149558</v>
      </c>
    </row>
    <row r="59" spans="1:25" x14ac:dyDescent="0.2">
      <c r="A59" s="40" t="s">
        <v>55</v>
      </c>
      <c r="B59" s="41">
        <v>2267967344</v>
      </c>
      <c r="C59" s="41">
        <v>2289085907</v>
      </c>
      <c r="D59" s="41">
        <v>121863437</v>
      </c>
      <c r="E59" s="41">
        <v>134355676</v>
      </c>
      <c r="F59" s="41">
        <v>2169218499</v>
      </c>
      <c r="G59" s="41">
        <v>1317254601</v>
      </c>
      <c r="H59" s="41">
        <v>39358948</v>
      </c>
      <c r="I59" s="41">
        <v>1432579805</v>
      </c>
      <c r="J59" s="41">
        <v>6719808</v>
      </c>
      <c r="K59" s="41">
        <v>2964731</v>
      </c>
      <c r="L59" s="41">
        <v>0</v>
      </c>
      <c r="M59" s="41">
        <v>0</v>
      </c>
      <c r="N59" s="41">
        <v>2286919</v>
      </c>
      <c r="O59" s="41">
        <v>60245630</v>
      </c>
      <c r="P59" s="41">
        <v>10605489</v>
      </c>
      <c r="Q59" s="41">
        <v>7443884</v>
      </c>
      <c r="R59" s="41">
        <v>0</v>
      </c>
      <c r="S59" s="41">
        <v>0</v>
      </c>
      <c r="T59" s="41">
        <v>35552292</v>
      </c>
      <c r="U59" s="41">
        <v>0</v>
      </c>
      <c r="V59" s="41">
        <v>0</v>
      </c>
      <c r="W59" s="41">
        <v>69016785962</v>
      </c>
      <c r="X59" s="41">
        <v>9861950678</v>
      </c>
      <c r="Y59" s="43">
        <v>59154835284</v>
      </c>
    </row>
    <row r="60" spans="1:25" x14ac:dyDescent="0.2">
      <c r="A60" s="40" t="s">
        <v>56</v>
      </c>
      <c r="B60" s="41">
        <v>2610688588</v>
      </c>
      <c r="C60" s="41">
        <v>2446541204</v>
      </c>
      <c r="D60" s="41">
        <v>194470097</v>
      </c>
      <c r="E60" s="41">
        <v>94215866</v>
      </c>
      <c r="F60" s="41">
        <v>2742763835</v>
      </c>
      <c r="G60" s="41">
        <v>779156973</v>
      </c>
      <c r="H60" s="41">
        <v>45219701</v>
      </c>
      <c r="I60" s="41">
        <v>720271690</v>
      </c>
      <c r="J60" s="41">
        <v>10258860</v>
      </c>
      <c r="K60" s="41">
        <v>181600</v>
      </c>
      <c r="L60" s="41">
        <v>208670545</v>
      </c>
      <c r="M60" s="41">
        <v>0</v>
      </c>
      <c r="N60" s="41">
        <v>0</v>
      </c>
      <c r="O60" s="41">
        <v>32541325</v>
      </c>
      <c r="P60" s="41">
        <v>1100650</v>
      </c>
      <c r="Q60" s="41">
        <v>0</v>
      </c>
      <c r="R60" s="41">
        <v>520849664</v>
      </c>
      <c r="S60" s="41">
        <v>0</v>
      </c>
      <c r="T60" s="41">
        <v>41923343</v>
      </c>
      <c r="U60" s="41">
        <v>280069</v>
      </c>
      <c r="V60" s="41">
        <v>10905800</v>
      </c>
      <c r="W60" s="41">
        <v>54755965381</v>
      </c>
      <c r="X60" s="41">
        <v>10406930598</v>
      </c>
      <c r="Y60" s="43">
        <v>44349034783</v>
      </c>
    </row>
    <row r="61" spans="1:25" x14ac:dyDescent="0.2">
      <c r="A61" s="40" t="s">
        <v>57</v>
      </c>
      <c r="B61" s="41">
        <v>1370201928</v>
      </c>
      <c r="C61" s="41">
        <v>1188656469</v>
      </c>
      <c r="D61" s="41">
        <v>100156247</v>
      </c>
      <c r="E61" s="41">
        <v>40252808</v>
      </c>
      <c r="F61" s="41">
        <v>1576924253</v>
      </c>
      <c r="G61" s="41">
        <v>374244435</v>
      </c>
      <c r="H61" s="41">
        <v>21695944</v>
      </c>
      <c r="I61" s="41">
        <v>1345005662</v>
      </c>
      <c r="J61" s="41">
        <v>155630</v>
      </c>
      <c r="K61" s="41">
        <v>0</v>
      </c>
      <c r="L61" s="41">
        <v>0</v>
      </c>
      <c r="M61" s="41">
        <v>0</v>
      </c>
      <c r="N61" s="41">
        <v>1367815</v>
      </c>
      <c r="O61" s="41">
        <v>78258673</v>
      </c>
      <c r="P61" s="41">
        <v>9197893</v>
      </c>
      <c r="Q61" s="41">
        <v>26526933</v>
      </c>
      <c r="R61" s="41">
        <v>24187145</v>
      </c>
      <c r="S61" s="41">
        <v>0</v>
      </c>
      <c r="T61" s="41">
        <v>0</v>
      </c>
      <c r="U61" s="41">
        <v>0</v>
      </c>
      <c r="V61" s="41">
        <v>0</v>
      </c>
      <c r="W61" s="41">
        <v>25342937642</v>
      </c>
      <c r="X61" s="41">
        <v>6156831835</v>
      </c>
      <c r="Y61" s="43">
        <v>19186105807</v>
      </c>
    </row>
    <row r="62" spans="1:25" x14ac:dyDescent="0.2">
      <c r="A62" s="40" t="s">
        <v>58</v>
      </c>
      <c r="B62" s="41">
        <v>3461814197</v>
      </c>
      <c r="C62" s="41">
        <v>3405074646</v>
      </c>
      <c r="D62" s="41">
        <v>18887402</v>
      </c>
      <c r="E62" s="41">
        <v>135260967</v>
      </c>
      <c r="F62" s="41">
        <v>5866062207</v>
      </c>
      <c r="G62" s="41">
        <v>2054138423</v>
      </c>
      <c r="H62" s="41">
        <v>93174432</v>
      </c>
      <c r="I62" s="41">
        <v>757219912</v>
      </c>
      <c r="J62" s="41">
        <v>125000</v>
      </c>
      <c r="K62" s="41">
        <v>2226099</v>
      </c>
      <c r="L62" s="41">
        <v>13053867</v>
      </c>
      <c r="M62" s="41">
        <v>8626</v>
      </c>
      <c r="N62" s="41">
        <v>0</v>
      </c>
      <c r="O62" s="41">
        <v>140243430</v>
      </c>
      <c r="P62" s="41">
        <v>1050983</v>
      </c>
      <c r="Q62" s="41">
        <v>0</v>
      </c>
      <c r="R62" s="41">
        <v>0</v>
      </c>
      <c r="S62" s="41">
        <v>0</v>
      </c>
      <c r="T62" s="41">
        <v>15585374</v>
      </c>
      <c r="U62" s="41">
        <v>0</v>
      </c>
      <c r="V62" s="41">
        <v>0</v>
      </c>
      <c r="W62" s="41">
        <v>125839137703</v>
      </c>
      <c r="X62" s="41">
        <v>15948340191</v>
      </c>
      <c r="Y62" s="43">
        <v>109890797512</v>
      </c>
    </row>
    <row r="63" spans="1:25" x14ac:dyDescent="0.2">
      <c r="A63" s="40" t="s">
        <v>59</v>
      </c>
      <c r="B63" s="41">
        <v>2696199837</v>
      </c>
      <c r="C63" s="41">
        <v>2682975305</v>
      </c>
      <c r="D63" s="41">
        <v>255839075</v>
      </c>
      <c r="E63" s="41">
        <v>164420104</v>
      </c>
      <c r="F63" s="41">
        <v>1561662695</v>
      </c>
      <c r="G63" s="41">
        <v>2234507021</v>
      </c>
      <c r="H63" s="41">
        <v>39445826</v>
      </c>
      <c r="I63" s="41">
        <v>557043677</v>
      </c>
      <c r="J63" s="41">
        <v>74835</v>
      </c>
      <c r="K63" s="41">
        <v>0</v>
      </c>
      <c r="L63" s="41">
        <v>0</v>
      </c>
      <c r="M63" s="41">
        <v>0</v>
      </c>
      <c r="N63" s="41">
        <v>2428866</v>
      </c>
      <c r="O63" s="41">
        <v>41682742</v>
      </c>
      <c r="P63" s="41">
        <v>106892</v>
      </c>
      <c r="Q63" s="41">
        <v>0</v>
      </c>
      <c r="R63" s="41">
        <v>4348134</v>
      </c>
      <c r="S63" s="41">
        <v>0</v>
      </c>
      <c r="T63" s="41">
        <v>36578535</v>
      </c>
      <c r="U63" s="41">
        <v>0</v>
      </c>
      <c r="V63" s="41">
        <v>0</v>
      </c>
      <c r="W63" s="41">
        <v>67552108829</v>
      </c>
      <c r="X63" s="41">
        <v>10240735009</v>
      </c>
      <c r="Y63" s="43">
        <v>57311373820</v>
      </c>
    </row>
    <row r="64" spans="1:25" x14ac:dyDescent="0.2">
      <c r="A64" s="40" t="s">
        <v>60</v>
      </c>
      <c r="B64" s="41">
        <v>1441725869</v>
      </c>
      <c r="C64" s="41">
        <v>1401881743</v>
      </c>
      <c r="D64" s="41">
        <v>29000800</v>
      </c>
      <c r="E64" s="41">
        <v>34854585</v>
      </c>
      <c r="F64" s="41">
        <v>501426960</v>
      </c>
      <c r="G64" s="41">
        <v>418317571</v>
      </c>
      <c r="H64" s="41">
        <v>42247250</v>
      </c>
      <c r="I64" s="41">
        <v>450236892</v>
      </c>
      <c r="J64" s="41">
        <v>0</v>
      </c>
      <c r="K64" s="41">
        <v>0</v>
      </c>
      <c r="L64" s="41">
        <v>0</v>
      </c>
      <c r="M64" s="41">
        <v>647610</v>
      </c>
      <c r="N64" s="41">
        <v>24104</v>
      </c>
      <c r="O64" s="41">
        <v>121145434</v>
      </c>
      <c r="P64" s="41">
        <v>551568</v>
      </c>
      <c r="Q64" s="41">
        <v>0</v>
      </c>
      <c r="R64" s="41">
        <v>0</v>
      </c>
      <c r="S64" s="41">
        <v>0</v>
      </c>
      <c r="T64" s="41">
        <v>0</v>
      </c>
      <c r="U64" s="41">
        <v>0</v>
      </c>
      <c r="V64" s="41">
        <v>0</v>
      </c>
      <c r="W64" s="41">
        <v>28800677427</v>
      </c>
      <c r="X64" s="41">
        <v>4442060386</v>
      </c>
      <c r="Y64" s="43">
        <v>24358617041</v>
      </c>
    </row>
    <row r="65" spans="1:25" x14ac:dyDescent="0.2">
      <c r="A65" s="40" t="s">
        <v>61</v>
      </c>
      <c r="B65" s="41">
        <v>266447063</v>
      </c>
      <c r="C65" s="41">
        <v>198325803</v>
      </c>
      <c r="D65" s="41">
        <v>15877794</v>
      </c>
      <c r="E65" s="41">
        <v>14812127</v>
      </c>
      <c r="F65" s="41">
        <v>141914514</v>
      </c>
      <c r="G65" s="41">
        <v>87366213</v>
      </c>
      <c r="H65" s="41">
        <v>5462818</v>
      </c>
      <c r="I65" s="41">
        <v>79207927</v>
      </c>
      <c r="J65" s="41">
        <v>11847743</v>
      </c>
      <c r="K65" s="41">
        <v>0</v>
      </c>
      <c r="L65" s="41">
        <v>0</v>
      </c>
      <c r="M65" s="41">
        <v>10972</v>
      </c>
      <c r="N65" s="41">
        <v>0</v>
      </c>
      <c r="O65" s="41">
        <v>303132</v>
      </c>
      <c r="P65" s="41">
        <v>132007</v>
      </c>
      <c r="Q65" s="41">
        <v>0</v>
      </c>
      <c r="R65" s="41">
        <v>0</v>
      </c>
      <c r="S65" s="41">
        <v>0</v>
      </c>
      <c r="T65" s="41">
        <v>0</v>
      </c>
      <c r="U65" s="41">
        <v>0</v>
      </c>
      <c r="V65" s="41">
        <v>0</v>
      </c>
      <c r="W65" s="41">
        <v>3969058709</v>
      </c>
      <c r="X65" s="41">
        <v>821708113</v>
      </c>
      <c r="Y65" s="43">
        <v>3147350596</v>
      </c>
    </row>
    <row r="66" spans="1:25" x14ac:dyDescent="0.2">
      <c r="A66" s="40" t="s">
        <v>62</v>
      </c>
      <c r="B66" s="41">
        <v>136334320</v>
      </c>
      <c r="C66" s="41">
        <v>84312884</v>
      </c>
      <c r="D66" s="41">
        <v>0</v>
      </c>
      <c r="E66" s="41">
        <v>11955818</v>
      </c>
      <c r="F66" s="41">
        <v>191754823</v>
      </c>
      <c r="G66" s="41">
        <v>54869020</v>
      </c>
      <c r="H66" s="41">
        <v>2100940</v>
      </c>
      <c r="I66" s="41">
        <v>23775520</v>
      </c>
      <c r="J66" s="41">
        <v>4199850</v>
      </c>
      <c r="K66" s="41">
        <v>0</v>
      </c>
      <c r="L66" s="41">
        <v>50408407</v>
      </c>
      <c r="M66" s="41">
        <v>20100</v>
      </c>
      <c r="N66" s="41">
        <v>0</v>
      </c>
      <c r="O66" s="41">
        <v>828605</v>
      </c>
      <c r="P66" s="41">
        <v>0</v>
      </c>
      <c r="Q66" s="41">
        <v>0</v>
      </c>
      <c r="R66" s="41">
        <v>0</v>
      </c>
      <c r="S66" s="41">
        <v>0</v>
      </c>
      <c r="T66" s="41">
        <v>0</v>
      </c>
      <c r="U66" s="41">
        <v>199520</v>
      </c>
      <c r="V66" s="41">
        <v>0</v>
      </c>
      <c r="W66" s="41">
        <v>2282890749</v>
      </c>
      <c r="X66" s="41">
        <v>560560287</v>
      </c>
      <c r="Y66" s="43">
        <v>1721898119</v>
      </c>
    </row>
    <row r="67" spans="1:25" x14ac:dyDescent="0.2">
      <c r="A67" s="40" t="s">
        <v>63</v>
      </c>
      <c r="B67" s="41">
        <v>72751412</v>
      </c>
      <c r="C67" s="41">
        <v>48046797</v>
      </c>
      <c r="D67" s="41">
        <v>2699137</v>
      </c>
      <c r="E67" s="41">
        <v>4253490</v>
      </c>
      <c r="F67" s="41">
        <v>120241776</v>
      </c>
      <c r="G67" s="41">
        <v>17487226</v>
      </c>
      <c r="H67" s="41">
        <v>1607558</v>
      </c>
      <c r="I67" s="41">
        <v>3899315</v>
      </c>
      <c r="J67" s="41"/>
      <c r="K67" s="41"/>
      <c r="L67" s="41"/>
      <c r="M67" s="41"/>
      <c r="N67" s="41"/>
      <c r="O67" s="41">
        <v>9498029</v>
      </c>
      <c r="P67" s="41">
        <v>47733</v>
      </c>
      <c r="Q67" s="41"/>
      <c r="R67" s="41"/>
      <c r="S67" s="41">
        <v>0</v>
      </c>
      <c r="T67" s="41">
        <v>0</v>
      </c>
      <c r="U67" s="41"/>
      <c r="V67" s="41">
        <v>0</v>
      </c>
      <c r="W67" s="41">
        <v>677156600</v>
      </c>
      <c r="X67" s="41">
        <v>280532473</v>
      </c>
      <c r="Y67" s="43">
        <v>396624127</v>
      </c>
    </row>
    <row r="68" spans="1:25" x14ac:dyDescent="0.2">
      <c r="A68" s="40" t="s">
        <v>64</v>
      </c>
      <c r="B68" s="41">
        <v>3810680787</v>
      </c>
      <c r="C68" s="41">
        <v>3655436632</v>
      </c>
      <c r="D68" s="41">
        <v>513385258</v>
      </c>
      <c r="E68" s="41">
        <v>245669368</v>
      </c>
      <c r="F68" s="41">
        <v>3995882103</v>
      </c>
      <c r="G68" s="41">
        <v>3549054077</v>
      </c>
      <c r="H68" s="41">
        <v>64472694</v>
      </c>
      <c r="I68" s="41">
        <v>1616599652</v>
      </c>
      <c r="J68" s="41">
        <v>25933777</v>
      </c>
      <c r="K68" s="41">
        <v>172082</v>
      </c>
      <c r="L68" s="41">
        <v>233815</v>
      </c>
      <c r="M68" s="41">
        <v>427706</v>
      </c>
      <c r="N68" s="41">
        <v>6728444</v>
      </c>
      <c r="O68" s="41">
        <v>97564155</v>
      </c>
      <c r="P68" s="41">
        <v>1170930</v>
      </c>
      <c r="Q68" s="41">
        <v>30281646</v>
      </c>
      <c r="R68" s="41">
        <v>131918417</v>
      </c>
      <c r="S68" s="41">
        <v>0</v>
      </c>
      <c r="T68" s="41">
        <v>26822770</v>
      </c>
      <c r="U68" s="41">
        <v>35163</v>
      </c>
      <c r="V68" s="41">
        <v>0</v>
      </c>
      <c r="W68" s="41">
        <v>83585806122</v>
      </c>
      <c r="X68" s="41">
        <v>17745611543</v>
      </c>
      <c r="Y68" s="43">
        <v>65840194579</v>
      </c>
    </row>
    <row r="69" spans="1:25" x14ac:dyDescent="0.2">
      <c r="A69" s="40" t="s">
        <v>65</v>
      </c>
      <c r="B69" s="41">
        <v>262498219</v>
      </c>
      <c r="C69" s="41">
        <v>219043988</v>
      </c>
      <c r="D69" s="41">
        <v>21226563</v>
      </c>
      <c r="E69" s="41">
        <v>13031766</v>
      </c>
      <c r="F69" s="41">
        <v>526614717</v>
      </c>
      <c r="G69" s="41">
        <v>52730963</v>
      </c>
      <c r="H69" s="41">
        <v>4132084</v>
      </c>
      <c r="I69" s="41">
        <v>70635758</v>
      </c>
      <c r="J69" s="41">
        <v>435171</v>
      </c>
      <c r="K69" s="41">
        <v>0</v>
      </c>
      <c r="L69" s="41">
        <v>0</v>
      </c>
      <c r="M69" s="41">
        <v>0</v>
      </c>
      <c r="N69" s="41">
        <v>349239</v>
      </c>
      <c r="O69" s="41">
        <v>3099224</v>
      </c>
      <c r="P69" s="41">
        <v>173158</v>
      </c>
      <c r="Q69" s="41">
        <v>0</v>
      </c>
      <c r="R69" s="41">
        <v>0</v>
      </c>
      <c r="S69" s="41">
        <v>0</v>
      </c>
      <c r="T69" s="41">
        <v>0</v>
      </c>
      <c r="U69" s="41">
        <v>0</v>
      </c>
      <c r="V69" s="41">
        <v>0</v>
      </c>
      <c r="W69" s="41">
        <v>3700925287</v>
      </c>
      <c r="X69" s="41">
        <v>1173970850</v>
      </c>
      <c r="Y69" s="43">
        <v>2526954437</v>
      </c>
    </row>
    <row r="70" spans="1:25" x14ac:dyDescent="0.2">
      <c r="A70" s="40" t="s">
        <v>66</v>
      </c>
      <c r="B70" s="41">
        <v>546155063</v>
      </c>
      <c r="C70" s="41">
        <v>466443423</v>
      </c>
      <c r="D70" s="41">
        <v>41422182</v>
      </c>
      <c r="E70" s="41">
        <v>62718366</v>
      </c>
      <c r="F70" s="41">
        <v>1635946516</v>
      </c>
      <c r="G70" s="41">
        <v>319446377</v>
      </c>
      <c r="H70" s="41">
        <v>8396601</v>
      </c>
      <c r="I70" s="41">
        <v>316835693</v>
      </c>
      <c r="J70" s="41">
        <v>5389529</v>
      </c>
      <c r="K70" s="41">
        <v>0</v>
      </c>
      <c r="L70" s="41">
        <v>0</v>
      </c>
      <c r="M70" s="41">
        <v>0</v>
      </c>
      <c r="N70" s="41">
        <v>0</v>
      </c>
      <c r="O70" s="41">
        <v>30822000</v>
      </c>
      <c r="P70" s="41">
        <v>772170</v>
      </c>
      <c r="Q70" s="41">
        <v>0</v>
      </c>
      <c r="R70" s="41">
        <v>0</v>
      </c>
      <c r="S70" s="41">
        <v>0</v>
      </c>
      <c r="T70" s="41">
        <v>0</v>
      </c>
      <c r="U70" s="41">
        <v>0</v>
      </c>
      <c r="V70" s="41">
        <v>0</v>
      </c>
      <c r="W70" s="41">
        <v>49998599909</v>
      </c>
      <c r="X70" s="41">
        <v>3434347920</v>
      </c>
      <c r="Y70" s="43">
        <v>46564251989</v>
      </c>
    </row>
    <row r="71" spans="1:25" x14ac:dyDescent="0.2">
      <c r="A71" s="40" t="s">
        <v>67</v>
      </c>
      <c r="B71" s="41">
        <v>156546352</v>
      </c>
      <c r="C71" s="41">
        <v>112588226</v>
      </c>
      <c r="D71" s="41">
        <v>17361252</v>
      </c>
      <c r="E71" s="41">
        <v>10375215</v>
      </c>
      <c r="F71" s="41">
        <v>166573336</v>
      </c>
      <c r="G71" s="41">
        <v>64122045</v>
      </c>
      <c r="H71" s="41">
        <v>3399678</v>
      </c>
      <c r="I71" s="41">
        <v>38211009</v>
      </c>
      <c r="J71" s="41">
        <v>688007</v>
      </c>
      <c r="K71" s="41">
        <v>0</v>
      </c>
      <c r="L71" s="41">
        <v>0</v>
      </c>
      <c r="M71" s="41">
        <v>0</v>
      </c>
      <c r="N71" s="41">
        <v>87683</v>
      </c>
      <c r="O71" s="41">
        <v>744980</v>
      </c>
      <c r="P71" s="41">
        <v>0</v>
      </c>
      <c r="Q71" s="41">
        <v>0</v>
      </c>
      <c r="R71" s="41">
        <v>0</v>
      </c>
      <c r="S71" s="41">
        <v>0</v>
      </c>
      <c r="T71" s="41">
        <v>0</v>
      </c>
      <c r="U71" s="41">
        <v>0</v>
      </c>
      <c r="V71" s="41">
        <v>0</v>
      </c>
      <c r="W71" s="41">
        <v>2059135728</v>
      </c>
      <c r="X71" s="41">
        <v>570697783</v>
      </c>
      <c r="Y71" s="43">
        <v>1488437945</v>
      </c>
    </row>
    <row r="72" spans="1:25" x14ac:dyDescent="0.2">
      <c r="A72" s="40"/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3"/>
    </row>
    <row r="73" spans="1:25" ht="15.75" thickBot="1" x14ac:dyDescent="0.3">
      <c r="A73" s="45" t="s">
        <v>68</v>
      </c>
      <c r="B73" s="46">
        <f t="shared" ref="B73:O73" si="0">SUM(B5:B71)</f>
        <v>129121986909</v>
      </c>
      <c r="C73" s="46">
        <f t="shared" si="0"/>
        <v>121653821246</v>
      </c>
      <c r="D73" s="46">
        <f t="shared" si="0"/>
        <v>8606568488</v>
      </c>
      <c r="E73" s="46">
        <f t="shared" si="0"/>
        <v>8076661768</v>
      </c>
      <c r="F73" s="46">
        <f>SUM(F5:F71)</f>
        <v>228609553237</v>
      </c>
      <c r="G73" s="46">
        <f t="shared" si="0"/>
        <v>122096778173</v>
      </c>
      <c r="H73" s="46">
        <f t="shared" si="0"/>
        <v>2281934214</v>
      </c>
      <c r="I73" s="46">
        <f t="shared" si="0"/>
        <v>40074936138</v>
      </c>
      <c r="J73" s="46">
        <f t="shared" si="0"/>
        <v>522786027</v>
      </c>
      <c r="K73" s="46">
        <f t="shared" si="0"/>
        <v>340930168</v>
      </c>
      <c r="L73" s="46">
        <f t="shared" si="0"/>
        <v>2544067635</v>
      </c>
      <c r="M73" s="46">
        <f t="shared" si="0"/>
        <v>2939116</v>
      </c>
      <c r="N73" s="46">
        <f t="shared" si="0"/>
        <v>57710806</v>
      </c>
      <c r="O73" s="46">
        <f t="shared" si="0"/>
        <v>2608996521</v>
      </c>
      <c r="P73" s="46">
        <f t="shared" ref="P73:Y73" si="1">SUM(P5:P71)</f>
        <v>119505042</v>
      </c>
      <c r="Q73" s="46">
        <f t="shared" si="1"/>
        <v>986198386</v>
      </c>
      <c r="R73" s="46">
        <f t="shared" si="1"/>
        <v>4255829165</v>
      </c>
      <c r="S73" s="46">
        <f t="shared" si="1"/>
        <v>0</v>
      </c>
      <c r="T73" s="46">
        <f t="shared" si="1"/>
        <v>2276253334</v>
      </c>
      <c r="U73" s="46">
        <f t="shared" si="1"/>
        <v>8265688</v>
      </c>
      <c r="V73" s="46">
        <f t="shared" si="1"/>
        <v>184209923</v>
      </c>
      <c r="W73" s="46">
        <f t="shared" si="1"/>
        <v>4150075037930</v>
      </c>
      <c r="X73" s="46">
        <f t="shared" si="1"/>
        <v>671961203039</v>
      </c>
      <c r="Y73" s="48">
        <f t="shared" si="1"/>
        <v>3478113402548</v>
      </c>
    </row>
    <row r="75" spans="1:25" x14ac:dyDescent="0.2">
      <c r="A75" s="2" t="s">
        <v>109</v>
      </c>
      <c r="Y75" s="29"/>
    </row>
    <row r="76" spans="1:25" x14ac:dyDescent="0.2">
      <c r="Y76" s="29"/>
    </row>
    <row r="77" spans="1:25" x14ac:dyDescent="0.2">
      <c r="A77" s="38" t="s">
        <v>116</v>
      </c>
      <c r="Y77" s="29"/>
    </row>
  </sheetData>
  <phoneticPr fontId="18" type="noConversion"/>
  <conditionalFormatting sqref="A4:Y73">
    <cfRule type="expression" dxfId="3" priority="1" stopIfTrue="1">
      <formula>MOD(ROW(),3)=1</formula>
    </cfRule>
  </conditionalFormatting>
  <pageMargins left="0.75" right="0.75" top="1" bottom="1" header="0.5" footer="0.5"/>
  <pageSetup scale="45" fitToWidth="2" fitToHeight="2" orientation="landscape" r:id="rId1"/>
  <headerFooter alignWithMargins="0"/>
  <rowBreaks count="1" manualBreakCount="1">
    <brk id="37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S75"/>
  <sheetViews>
    <sheetView zoomScaleNormal="100" workbookViewId="0">
      <pane xSplit="1" ySplit="4" topLeftCell="B5" activePane="bottomRight" state="frozen"/>
      <selection sqref="A1:XFD1048576"/>
      <selection pane="topRight" sqref="A1:XFD1048576"/>
      <selection pane="bottomLeft" sqref="A1:XFD1048576"/>
      <selection pane="bottomRight"/>
    </sheetView>
  </sheetViews>
  <sheetFormatPr defaultRowHeight="14.25" x14ac:dyDescent="0.2"/>
  <cols>
    <col min="1" max="1" width="17.7109375" style="2" customWidth="1"/>
    <col min="2" max="2" width="23.140625" style="2" bestFit="1" customWidth="1"/>
    <col min="3" max="3" width="22" style="2" bestFit="1" customWidth="1"/>
    <col min="4" max="4" width="25.28515625" style="2" bestFit="1" customWidth="1"/>
    <col min="5" max="5" width="21.42578125" style="2" bestFit="1" customWidth="1"/>
    <col min="6" max="6" width="20.140625" style="2" bestFit="1" customWidth="1"/>
    <col min="7" max="7" width="16.85546875" style="2" bestFit="1" customWidth="1"/>
    <col min="8" max="8" width="19" style="2" bestFit="1" customWidth="1"/>
    <col min="9" max="9" width="18.5703125" style="2" bestFit="1" customWidth="1"/>
    <col min="10" max="10" width="16.5703125" style="2" bestFit="1" customWidth="1"/>
    <col min="11" max="11" width="21.85546875" style="2" bestFit="1" customWidth="1"/>
    <col min="12" max="12" width="14.85546875" style="2" bestFit="1" customWidth="1"/>
    <col min="13" max="13" width="28" style="2" bestFit="1" customWidth="1"/>
    <col min="14" max="14" width="21.85546875" style="2" bestFit="1" customWidth="1"/>
    <col min="15" max="15" width="20.5703125" style="2" bestFit="1" customWidth="1"/>
    <col min="16" max="16" width="20.5703125" style="2" customWidth="1"/>
    <col min="17" max="17" width="24.85546875" style="2" bestFit="1" customWidth="1"/>
    <col min="18" max="18" width="22.28515625" style="2" bestFit="1" customWidth="1"/>
    <col min="19" max="19" width="23" style="2" bestFit="1" customWidth="1"/>
    <col min="20" max="16384" width="9.140625" style="2"/>
  </cols>
  <sheetData>
    <row r="1" spans="1:19" ht="23.25" x14ac:dyDescent="0.35">
      <c r="A1" s="6" t="s">
        <v>104</v>
      </c>
    </row>
    <row r="2" spans="1:19" ht="15" x14ac:dyDescent="0.25">
      <c r="A2" s="11">
        <v>2025</v>
      </c>
    </row>
    <row r="3" spans="1:19" ht="15" thickBot="1" x14ac:dyDescent="0.25">
      <c r="A3" s="39"/>
    </row>
    <row r="4" spans="1:19" s="58" customFormat="1" ht="51" x14ac:dyDescent="0.25">
      <c r="A4" s="50" t="s">
        <v>1</v>
      </c>
      <c r="B4" s="52" t="s">
        <v>88</v>
      </c>
      <c r="C4" s="52" t="s">
        <v>89</v>
      </c>
      <c r="D4" s="52" t="s">
        <v>90</v>
      </c>
      <c r="E4" s="52" t="s">
        <v>91</v>
      </c>
      <c r="F4" s="52" t="s">
        <v>92</v>
      </c>
      <c r="G4" s="52" t="s">
        <v>93</v>
      </c>
      <c r="H4" s="52" t="s">
        <v>94</v>
      </c>
      <c r="I4" s="52" t="s">
        <v>71</v>
      </c>
      <c r="J4" s="52" t="s">
        <v>95</v>
      </c>
      <c r="K4" s="52" t="s">
        <v>107</v>
      </c>
      <c r="L4" s="52" t="s">
        <v>110</v>
      </c>
      <c r="M4" s="52" t="s">
        <v>72</v>
      </c>
      <c r="N4" s="52" t="s">
        <v>73</v>
      </c>
      <c r="O4" s="52" t="s">
        <v>97</v>
      </c>
      <c r="P4" s="52" t="s">
        <v>105</v>
      </c>
      <c r="Q4" s="52" t="s">
        <v>74</v>
      </c>
      <c r="R4" s="52" t="s">
        <v>75</v>
      </c>
      <c r="S4" s="53" t="s">
        <v>76</v>
      </c>
    </row>
    <row r="5" spans="1:19" x14ac:dyDescent="0.2">
      <c r="A5" s="40" t="s">
        <v>2</v>
      </c>
      <c r="B5" s="41">
        <v>1366862599</v>
      </c>
      <c r="C5" s="41">
        <v>1290013175</v>
      </c>
      <c r="D5" s="41">
        <v>49712270</v>
      </c>
      <c r="E5" s="41">
        <v>5910816745</v>
      </c>
      <c r="F5" s="41">
        <v>818419629</v>
      </c>
      <c r="G5" s="41">
        <v>19460653</v>
      </c>
      <c r="H5" s="41">
        <v>220190811</v>
      </c>
      <c r="I5" s="41">
        <v>1120008</v>
      </c>
      <c r="J5" s="41">
        <v>984683</v>
      </c>
      <c r="K5" s="41"/>
      <c r="L5" s="41">
        <v>33680</v>
      </c>
      <c r="M5" s="41"/>
      <c r="N5" s="41">
        <v>13669148</v>
      </c>
      <c r="O5" s="41">
        <v>94995</v>
      </c>
      <c r="P5" s="41">
        <v>13254648</v>
      </c>
      <c r="Q5" s="41">
        <v>33048053350</v>
      </c>
      <c r="R5" s="41">
        <v>9704633044</v>
      </c>
      <c r="S5" s="43">
        <v>23343420306</v>
      </c>
    </row>
    <row r="6" spans="1:19" x14ac:dyDescent="0.2">
      <c r="A6" s="40" t="s">
        <v>3</v>
      </c>
      <c r="B6" s="41">
        <v>164288294</v>
      </c>
      <c r="C6" s="41">
        <v>142884359</v>
      </c>
      <c r="D6" s="41">
        <v>20345990</v>
      </c>
      <c r="E6" s="41">
        <v>301245534</v>
      </c>
      <c r="F6" s="41">
        <v>66463521</v>
      </c>
      <c r="G6" s="41">
        <v>3160000</v>
      </c>
      <c r="H6" s="41">
        <v>61545492</v>
      </c>
      <c r="I6" s="41">
        <v>385903</v>
      </c>
      <c r="J6" s="41"/>
      <c r="K6" s="41"/>
      <c r="L6" s="41"/>
      <c r="M6" s="41">
        <v>286682</v>
      </c>
      <c r="N6" s="41">
        <v>370785</v>
      </c>
      <c r="O6" s="41">
        <v>324585</v>
      </c>
      <c r="P6" s="41"/>
      <c r="Q6" s="41">
        <v>2160207703</v>
      </c>
      <c r="R6" s="41">
        <v>761301145</v>
      </c>
      <c r="S6" s="43">
        <v>1398906558</v>
      </c>
    </row>
    <row r="7" spans="1:19" x14ac:dyDescent="0.2">
      <c r="A7" s="40" t="s">
        <v>4</v>
      </c>
      <c r="B7" s="41">
        <v>1126840167</v>
      </c>
      <c r="C7" s="41">
        <v>969462722</v>
      </c>
      <c r="D7" s="41">
        <v>78795569</v>
      </c>
      <c r="E7" s="41">
        <v>2306467622</v>
      </c>
      <c r="F7" s="41">
        <v>583808603</v>
      </c>
      <c r="G7" s="41">
        <v>17253394</v>
      </c>
      <c r="H7" s="41">
        <v>742803295</v>
      </c>
      <c r="I7" s="41">
        <v>11732</v>
      </c>
      <c r="J7" s="41"/>
      <c r="K7" s="41">
        <v>18251086</v>
      </c>
      <c r="L7" s="41"/>
      <c r="M7" s="41">
        <v>252849</v>
      </c>
      <c r="N7" s="41">
        <v>34926385</v>
      </c>
      <c r="O7" s="41">
        <v>1240280</v>
      </c>
      <c r="P7" s="41">
        <v>33594867</v>
      </c>
      <c r="Q7" s="41">
        <v>35737798168</v>
      </c>
      <c r="R7" s="41">
        <v>5913708571</v>
      </c>
      <c r="S7" s="43">
        <v>29824089597</v>
      </c>
    </row>
    <row r="8" spans="1:19" x14ac:dyDescent="0.2">
      <c r="A8" s="40" t="s">
        <v>5</v>
      </c>
      <c r="B8" s="41">
        <v>173995515</v>
      </c>
      <c r="C8" s="41">
        <v>132934319</v>
      </c>
      <c r="D8" s="41">
        <v>9864369</v>
      </c>
      <c r="E8" s="41">
        <v>100165602</v>
      </c>
      <c r="F8" s="41">
        <v>57049168</v>
      </c>
      <c r="G8" s="41">
        <v>4008298</v>
      </c>
      <c r="H8" s="41">
        <v>38564516</v>
      </c>
      <c r="I8" s="41">
        <v>792984</v>
      </c>
      <c r="J8" s="41"/>
      <c r="K8" s="41"/>
      <c r="L8" s="41"/>
      <c r="M8" s="41">
        <v>28033</v>
      </c>
      <c r="N8" s="41">
        <v>1386778</v>
      </c>
      <c r="O8" s="41"/>
      <c r="P8" s="41"/>
      <c r="Q8" s="41">
        <v>1726792752</v>
      </c>
      <c r="R8" s="41">
        <v>518789582</v>
      </c>
      <c r="S8" s="43">
        <v>1208003170</v>
      </c>
    </row>
    <row r="9" spans="1:19" x14ac:dyDescent="0.2">
      <c r="A9" s="40" t="s">
        <v>6</v>
      </c>
      <c r="B9" s="41">
        <v>4320922805</v>
      </c>
      <c r="C9" s="41">
        <v>4082676735</v>
      </c>
      <c r="D9" s="41">
        <v>355396736</v>
      </c>
      <c r="E9" s="41">
        <v>4995298273</v>
      </c>
      <c r="F9" s="41">
        <v>3675556910</v>
      </c>
      <c r="G9" s="41">
        <v>85265000</v>
      </c>
      <c r="H9" s="41">
        <v>2354985748</v>
      </c>
      <c r="I9" s="41">
        <v>1806650</v>
      </c>
      <c r="J9" s="41"/>
      <c r="K9" s="41">
        <v>152214630</v>
      </c>
      <c r="L9" s="41">
        <v>44730</v>
      </c>
      <c r="M9" s="41">
        <v>1094104</v>
      </c>
      <c r="N9" s="41">
        <v>90937249</v>
      </c>
      <c r="O9" s="41">
        <v>3272153</v>
      </c>
      <c r="P9" s="41"/>
      <c r="Q9" s="41">
        <v>87456471550</v>
      </c>
      <c r="R9" s="41">
        <v>20119471723</v>
      </c>
      <c r="S9" s="43">
        <v>67336999827</v>
      </c>
    </row>
    <row r="10" spans="1:19" x14ac:dyDescent="0.2">
      <c r="A10" s="40" t="s">
        <v>7</v>
      </c>
      <c r="B10" s="41">
        <v>10466475630</v>
      </c>
      <c r="C10" s="41">
        <v>9991981672</v>
      </c>
      <c r="D10" s="41">
        <v>1160618922</v>
      </c>
      <c r="E10" s="41">
        <v>21013049150</v>
      </c>
      <c r="F10" s="41">
        <v>7493890560</v>
      </c>
      <c r="G10" s="41">
        <v>190530660</v>
      </c>
      <c r="H10" s="41">
        <v>1894818620</v>
      </c>
      <c r="I10" s="41"/>
      <c r="J10" s="41">
        <v>33612360</v>
      </c>
      <c r="K10" s="41"/>
      <c r="L10" s="41">
        <v>53740</v>
      </c>
      <c r="M10" s="41">
        <v>6877260</v>
      </c>
      <c r="N10" s="41">
        <v>23651844</v>
      </c>
      <c r="O10" s="41">
        <v>4760762</v>
      </c>
      <c r="P10" s="41">
        <v>160228674</v>
      </c>
      <c r="Q10" s="41">
        <v>358973520020</v>
      </c>
      <c r="R10" s="41">
        <v>52440549854</v>
      </c>
      <c r="S10" s="43">
        <v>306532970166</v>
      </c>
    </row>
    <row r="11" spans="1:19" x14ac:dyDescent="0.2">
      <c r="A11" s="40" t="s">
        <v>8</v>
      </c>
      <c r="B11" s="41">
        <v>81907552</v>
      </c>
      <c r="C11" s="41">
        <v>46317683</v>
      </c>
      <c r="D11" s="41">
        <v>10072637</v>
      </c>
      <c r="E11" s="41">
        <v>37638716</v>
      </c>
      <c r="F11" s="41">
        <v>15612513</v>
      </c>
      <c r="G11" s="41">
        <v>1824502</v>
      </c>
      <c r="H11" s="41">
        <v>14238945</v>
      </c>
      <c r="I11" s="41">
        <v>520762</v>
      </c>
      <c r="J11" s="41"/>
      <c r="K11" s="41"/>
      <c r="L11" s="41"/>
      <c r="M11" s="41">
        <v>67689</v>
      </c>
      <c r="N11" s="41">
        <v>466519</v>
      </c>
      <c r="O11" s="41"/>
      <c r="P11" s="41"/>
      <c r="Q11" s="41">
        <v>674562708</v>
      </c>
      <c r="R11" s="41">
        <v>208667518</v>
      </c>
      <c r="S11" s="43">
        <v>465895190</v>
      </c>
    </row>
    <row r="12" spans="1:19" x14ac:dyDescent="0.2">
      <c r="A12" s="40" t="s">
        <v>9</v>
      </c>
      <c r="B12" s="41">
        <v>1661585746</v>
      </c>
      <c r="C12" s="41">
        <v>1588964551</v>
      </c>
      <c r="D12" s="41">
        <v>245916259</v>
      </c>
      <c r="E12" s="41">
        <v>1540373760</v>
      </c>
      <c r="F12" s="41">
        <v>455367881</v>
      </c>
      <c r="G12" s="41">
        <v>39296072</v>
      </c>
      <c r="H12" s="41">
        <v>572433232</v>
      </c>
      <c r="I12" s="41">
        <v>9136231</v>
      </c>
      <c r="J12" s="41"/>
      <c r="K12" s="41">
        <v>40285811</v>
      </c>
      <c r="L12" s="41">
        <v>42327</v>
      </c>
      <c r="M12" s="41"/>
      <c r="N12" s="41">
        <v>79554109</v>
      </c>
      <c r="O12" s="41">
        <v>121878</v>
      </c>
      <c r="P12" s="41"/>
      <c r="Q12" s="41">
        <v>39109694708</v>
      </c>
      <c r="R12" s="41">
        <v>6233077857</v>
      </c>
      <c r="S12" s="43">
        <v>32876616851</v>
      </c>
    </row>
    <row r="13" spans="1:19" x14ac:dyDescent="0.2">
      <c r="A13" s="40" t="s">
        <v>10</v>
      </c>
      <c r="B13" s="41">
        <v>1325567788</v>
      </c>
      <c r="C13" s="41">
        <v>1153269458</v>
      </c>
      <c r="D13" s="41"/>
      <c r="E13" s="41">
        <v>1129613978</v>
      </c>
      <c r="F13" s="41">
        <v>347615412</v>
      </c>
      <c r="G13" s="41">
        <v>29275398</v>
      </c>
      <c r="H13" s="41">
        <v>474182380</v>
      </c>
      <c r="I13" s="41"/>
      <c r="J13" s="41"/>
      <c r="K13" s="41"/>
      <c r="L13" s="41">
        <v>22675</v>
      </c>
      <c r="M13" s="41"/>
      <c r="N13" s="41">
        <v>46389910</v>
      </c>
      <c r="O13" s="41">
        <v>38970</v>
      </c>
      <c r="P13" s="41"/>
      <c r="Q13" s="41">
        <v>18477271481</v>
      </c>
      <c r="R13" s="41">
        <v>4505975969</v>
      </c>
      <c r="S13" s="43">
        <v>13971295512</v>
      </c>
    </row>
    <row r="14" spans="1:19" x14ac:dyDescent="0.2">
      <c r="A14" s="40" t="s">
        <v>11</v>
      </c>
      <c r="B14" s="41">
        <v>1355488044</v>
      </c>
      <c r="C14" s="41">
        <v>1314592452</v>
      </c>
      <c r="D14" s="41">
        <v>88841911</v>
      </c>
      <c r="E14" s="41">
        <v>1102144209</v>
      </c>
      <c r="F14" s="41">
        <v>699689613</v>
      </c>
      <c r="G14" s="41">
        <v>20790000</v>
      </c>
      <c r="H14" s="41">
        <v>1375274912</v>
      </c>
      <c r="I14" s="41">
        <v>3957102</v>
      </c>
      <c r="J14" s="41"/>
      <c r="K14" s="41"/>
      <c r="L14" s="41"/>
      <c r="M14" s="41">
        <v>1217982</v>
      </c>
      <c r="N14" s="41">
        <v>15099797</v>
      </c>
      <c r="O14" s="41">
        <v>8519594</v>
      </c>
      <c r="P14" s="41"/>
      <c r="Q14" s="41">
        <v>24522787935</v>
      </c>
      <c r="R14" s="41">
        <v>5985615616</v>
      </c>
      <c r="S14" s="43">
        <v>18537172319</v>
      </c>
    </row>
    <row r="15" spans="1:19" x14ac:dyDescent="0.2">
      <c r="A15" s="40" t="s">
        <v>12</v>
      </c>
      <c r="B15" s="41">
        <v>2729935755</v>
      </c>
      <c r="C15" s="41">
        <v>2692268187</v>
      </c>
      <c r="D15" s="41">
        <v>107805282</v>
      </c>
      <c r="E15" s="41">
        <v>4982429269</v>
      </c>
      <c r="F15" s="41">
        <v>2903232665</v>
      </c>
      <c r="G15" s="41">
        <v>57740127</v>
      </c>
      <c r="H15" s="41">
        <v>484153369</v>
      </c>
      <c r="I15" s="41"/>
      <c r="J15" s="41"/>
      <c r="K15" s="41">
        <v>7652557</v>
      </c>
      <c r="L15" s="41"/>
      <c r="M15" s="41"/>
      <c r="N15" s="41">
        <v>77468822</v>
      </c>
      <c r="O15" s="41"/>
      <c r="P15" s="41">
        <v>2739494</v>
      </c>
      <c r="Q15" s="41">
        <v>175484677868</v>
      </c>
      <c r="R15" s="41">
        <v>14045425527</v>
      </c>
      <c r="S15" s="43">
        <v>161439252341</v>
      </c>
    </row>
    <row r="16" spans="1:19" x14ac:dyDescent="0.2">
      <c r="A16" s="40" t="s">
        <v>13</v>
      </c>
      <c r="B16" s="41">
        <v>418826750</v>
      </c>
      <c r="C16" s="41">
        <v>326243773</v>
      </c>
      <c r="D16" s="41">
        <v>47091255</v>
      </c>
      <c r="E16" s="41">
        <v>486587224</v>
      </c>
      <c r="F16" s="41">
        <v>153261054</v>
      </c>
      <c r="G16" s="41">
        <v>7351273</v>
      </c>
      <c r="H16" s="41">
        <v>132183998</v>
      </c>
      <c r="I16" s="41">
        <v>4649909</v>
      </c>
      <c r="J16" s="41"/>
      <c r="K16" s="41">
        <v>10883789</v>
      </c>
      <c r="L16" s="41"/>
      <c r="M16" s="41"/>
      <c r="N16" s="41">
        <v>7370435</v>
      </c>
      <c r="O16" s="41"/>
      <c r="P16" s="41">
        <v>1503020</v>
      </c>
      <c r="Q16" s="41">
        <v>5433072215</v>
      </c>
      <c r="R16" s="41">
        <v>1595952480</v>
      </c>
      <c r="S16" s="43">
        <v>3837119735</v>
      </c>
    </row>
    <row r="17" spans="1:19" x14ac:dyDescent="0.2">
      <c r="A17" s="40" t="s">
        <v>106</v>
      </c>
      <c r="B17" s="41">
        <v>11325289703</v>
      </c>
      <c r="C17" s="41">
        <v>11063056844</v>
      </c>
      <c r="D17" s="41">
        <v>1535582937</v>
      </c>
      <c r="E17" s="41">
        <v>25287893658</v>
      </c>
      <c r="F17" s="41">
        <v>14951838119</v>
      </c>
      <c r="G17" s="41">
        <v>135425000</v>
      </c>
      <c r="H17" s="41">
        <v>1117058910</v>
      </c>
      <c r="I17" s="41">
        <v>15260728</v>
      </c>
      <c r="J17" s="41">
        <v>56188787</v>
      </c>
      <c r="K17" s="41"/>
      <c r="L17" s="41"/>
      <c r="M17" s="41">
        <v>3037717</v>
      </c>
      <c r="N17" s="41">
        <v>15019306</v>
      </c>
      <c r="O17" s="41">
        <v>1285563</v>
      </c>
      <c r="P17" s="41">
        <v>336916209</v>
      </c>
      <c r="Q17" s="41">
        <v>557092881582</v>
      </c>
      <c r="R17" s="41">
        <v>65843853481</v>
      </c>
      <c r="S17" s="43">
        <v>491249028101</v>
      </c>
    </row>
    <row r="18" spans="1:19" x14ac:dyDescent="0.2">
      <c r="A18" s="40" t="s">
        <v>14</v>
      </c>
      <c r="B18" s="41">
        <v>159297860</v>
      </c>
      <c r="C18" s="41">
        <v>128275389</v>
      </c>
      <c r="D18" s="41">
        <v>20482622</v>
      </c>
      <c r="E18" s="41">
        <v>233880542</v>
      </c>
      <c r="F18" s="41">
        <v>148776470</v>
      </c>
      <c r="G18" s="41">
        <v>3358933</v>
      </c>
      <c r="H18" s="41">
        <v>28571012</v>
      </c>
      <c r="I18" s="41">
        <v>34451638</v>
      </c>
      <c r="J18" s="41"/>
      <c r="K18" s="41"/>
      <c r="L18" s="41">
        <v>89099</v>
      </c>
      <c r="M18" s="41"/>
      <c r="N18" s="41">
        <v>3314685</v>
      </c>
      <c r="O18" s="41"/>
      <c r="P18" s="41"/>
      <c r="Q18" s="41">
        <v>2878646340</v>
      </c>
      <c r="R18" s="41">
        <v>760498250</v>
      </c>
      <c r="S18" s="43">
        <v>2118148090</v>
      </c>
    </row>
    <row r="19" spans="1:19" x14ac:dyDescent="0.2">
      <c r="A19" s="40" t="s">
        <v>15</v>
      </c>
      <c r="B19" s="41">
        <v>117260968</v>
      </c>
      <c r="C19" s="41">
        <v>54414853</v>
      </c>
      <c r="D19" s="41"/>
      <c r="E19" s="41">
        <v>165824006</v>
      </c>
      <c r="F19" s="41">
        <v>17039136</v>
      </c>
      <c r="G19" s="41">
        <v>2490266</v>
      </c>
      <c r="H19" s="41">
        <v>13999571</v>
      </c>
      <c r="I19" s="41">
        <v>1696636</v>
      </c>
      <c r="J19" s="41"/>
      <c r="K19" s="41"/>
      <c r="L19" s="41">
        <v>33587</v>
      </c>
      <c r="M19" s="41"/>
      <c r="N19" s="41">
        <v>217822</v>
      </c>
      <c r="O19" s="41">
        <v>46087</v>
      </c>
      <c r="P19" s="41"/>
      <c r="Q19" s="41">
        <v>1087079916</v>
      </c>
      <c r="R19" s="41">
        <v>373022932</v>
      </c>
      <c r="S19" s="43">
        <v>714056984</v>
      </c>
    </row>
    <row r="20" spans="1:19" x14ac:dyDescent="0.2">
      <c r="A20" s="40" t="s">
        <v>16</v>
      </c>
      <c r="B20" s="41">
        <v>5302040523</v>
      </c>
      <c r="C20" s="41">
        <v>5014411798</v>
      </c>
      <c r="D20" s="41">
        <v>286271981</v>
      </c>
      <c r="E20" s="41">
        <v>6901804672</v>
      </c>
      <c r="F20" s="41">
        <v>7065712054</v>
      </c>
      <c r="G20" s="41">
        <v>75295433</v>
      </c>
      <c r="H20" s="41">
        <v>1752484520</v>
      </c>
      <c r="I20" s="41">
        <v>552775</v>
      </c>
      <c r="J20" s="41">
        <v>75897305</v>
      </c>
      <c r="K20" s="41">
        <v>713954</v>
      </c>
      <c r="L20" s="41">
        <v>4445</v>
      </c>
      <c r="M20" s="41">
        <v>1325737</v>
      </c>
      <c r="N20" s="41">
        <v>97076243</v>
      </c>
      <c r="O20" s="41">
        <v>25641978</v>
      </c>
      <c r="P20" s="41">
        <v>26841412</v>
      </c>
      <c r="Q20" s="41">
        <v>134924178114</v>
      </c>
      <c r="R20" s="41">
        <v>26626074830</v>
      </c>
      <c r="S20" s="43">
        <v>108298103284</v>
      </c>
    </row>
    <row r="21" spans="1:19" x14ac:dyDescent="0.2">
      <c r="A21" s="40" t="s">
        <v>17</v>
      </c>
      <c r="B21" s="41">
        <v>1885087447</v>
      </c>
      <c r="C21" s="41">
        <v>1720017463</v>
      </c>
      <c r="D21" s="41">
        <v>135587739</v>
      </c>
      <c r="E21" s="41">
        <v>4126210044</v>
      </c>
      <c r="F21" s="41">
        <v>1517802495</v>
      </c>
      <c r="G21" s="41">
        <v>40249936</v>
      </c>
      <c r="H21" s="41">
        <v>790628063</v>
      </c>
      <c r="I21" s="41">
        <v>218273</v>
      </c>
      <c r="J21" s="41">
        <v>193001</v>
      </c>
      <c r="K21" s="41">
        <v>441501962</v>
      </c>
      <c r="L21" s="41">
        <v>3700</v>
      </c>
      <c r="M21" s="41">
        <v>2929789</v>
      </c>
      <c r="N21" s="41">
        <v>62655183</v>
      </c>
      <c r="O21" s="41">
        <v>1156652</v>
      </c>
      <c r="P21" s="41">
        <v>48028323</v>
      </c>
      <c r="Q21" s="41">
        <v>39655275637</v>
      </c>
      <c r="R21" s="41">
        <v>10772270070</v>
      </c>
      <c r="S21" s="43">
        <v>28883005567</v>
      </c>
    </row>
    <row r="22" spans="1:19" x14ac:dyDescent="0.2">
      <c r="A22" s="40" t="s">
        <v>18</v>
      </c>
      <c r="B22" s="41">
        <v>1069926472</v>
      </c>
      <c r="C22" s="41">
        <v>1082756914</v>
      </c>
      <c r="D22" s="41">
        <v>220076184</v>
      </c>
      <c r="E22" s="41">
        <v>467930493</v>
      </c>
      <c r="F22" s="41">
        <v>301287953</v>
      </c>
      <c r="G22" s="41">
        <v>21710158</v>
      </c>
      <c r="H22" s="41">
        <v>410570607</v>
      </c>
      <c r="I22" s="41">
        <v>6158166</v>
      </c>
      <c r="J22" s="41"/>
      <c r="K22" s="41"/>
      <c r="L22" s="41"/>
      <c r="M22" s="41">
        <v>797140</v>
      </c>
      <c r="N22" s="41">
        <v>69247207</v>
      </c>
      <c r="O22" s="41">
        <v>367540</v>
      </c>
      <c r="P22" s="41">
        <v>7767253</v>
      </c>
      <c r="Q22" s="41">
        <v>21082567869</v>
      </c>
      <c r="R22" s="41">
        <v>3658596087</v>
      </c>
      <c r="S22" s="43">
        <v>17423971782</v>
      </c>
    </row>
    <row r="23" spans="1:19" x14ac:dyDescent="0.2">
      <c r="A23" s="40" t="s">
        <v>19</v>
      </c>
      <c r="B23" s="41">
        <v>85232388</v>
      </c>
      <c r="C23" s="41">
        <v>65814321</v>
      </c>
      <c r="D23" s="41">
        <v>9564659</v>
      </c>
      <c r="E23" s="41">
        <v>965022613</v>
      </c>
      <c r="F23" s="41">
        <v>37248871</v>
      </c>
      <c r="G23" s="41">
        <v>1527796</v>
      </c>
      <c r="H23" s="41">
        <v>16678247</v>
      </c>
      <c r="I23" s="41">
        <v>529049</v>
      </c>
      <c r="J23" s="41"/>
      <c r="K23" s="41"/>
      <c r="L23" s="41">
        <v>60382</v>
      </c>
      <c r="M23" s="41"/>
      <c r="N23" s="41">
        <v>14289761</v>
      </c>
      <c r="O23" s="41"/>
      <c r="P23" s="41"/>
      <c r="Q23" s="41">
        <v>4892948191</v>
      </c>
      <c r="R23" s="41">
        <v>1195968087</v>
      </c>
      <c r="S23" s="43">
        <v>3696980104</v>
      </c>
    </row>
    <row r="24" spans="1:19" x14ac:dyDescent="0.2">
      <c r="A24" s="40" t="s">
        <v>20</v>
      </c>
      <c r="B24" s="41">
        <v>251273069</v>
      </c>
      <c r="C24" s="41">
        <v>175442658</v>
      </c>
      <c r="D24" s="41">
        <v>9939764</v>
      </c>
      <c r="E24" s="41">
        <v>177578936</v>
      </c>
      <c r="F24" s="41">
        <v>95539518</v>
      </c>
      <c r="G24" s="41">
        <v>3748090</v>
      </c>
      <c r="H24" s="41">
        <v>58671514</v>
      </c>
      <c r="I24" s="41">
        <v>2236803</v>
      </c>
      <c r="J24" s="41"/>
      <c r="K24" s="41"/>
      <c r="L24" s="41">
        <v>218561</v>
      </c>
      <c r="M24" s="41"/>
      <c r="N24" s="41">
        <v>1377109</v>
      </c>
      <c r="O24" s="41">
        <v>86941</v>
      </c>
      <c r="P24" s="41"/>
      <c r="Q24" s="41">
        <v>2649570820</v>
      </c>
      <c r="R24" s="41">
        <v>776112963</v>
      </c>
      <c r="S24" s="43">
        <v>1873457857</v>
      </c>
    </row>
    <row r="25" spans="1:19" x14ac:dyDescent="0.2">
      <c r="A25" s="40" t="s">
        <v>21</v>
      </c>
      <c r="B25" s="41">
        <v>140275017</v>
      </c>
      <c r="C25" s="41">
        <v>104145731</v>
      </c>
      <c r="D25" s="41">
        <v>6488238</v>
      </c>
      <c r="E25" s="41">
        <v>106942414</v>
      </c>
      <c r="F25" s="41">
        <v>31240314</v>
      </c>
      <c r="G25" s="41">
        <v>2814359</v>
      </c>
      <c r="H25" s="41">
        <v>31632217</v>
      </c>
      <c r="I25" s="41">
        <v>1861003</v>
      </c>
      <c r="J25" s="41"/>
      <c r="K25" s="41"/>
      <c r="L25" s="41">
        <v>1369</v>
      </c>
      <c r="M25" s="41"/>
      <c r="N25" s="41">
        <v>1700928</v>
      </c>
      <c r="O25" s="41"/>
      <c r="P25" s="41">
        <v>6667620</v>
      </c>
      <c r="Q25" s="41">
        <v>1449499272</v>
      </c>
      <c r="R25" s="41">
        <v>433769210</v>
      </c>
      <c r="S25" s="43">
        <v>1015730062</v>
      </c>
    </row>
    <row r="26" spans="1:19" x14ac:dyDescent="0.2">
      <c r="A26" s="40" t="s">
        <v>22</v>
      </c>
      <c r="B26" s="41">
        <v>68441698</v>
      </c>
      <c r="C26" s="41">
        <v>53036182</v>
      </c>
      <c r="D26" s="41">
        <v>3337627</v>
      </c>
      <c r="E26" s="41">
        <v>984260166</v>
      </c>
      <c r="F26" s="41">
        <v>27530675</v>
      </c>
      <c r="G26" s="41">
        <v>1675907</v>
      </c>
      <c r="H26" s="41">
        <v>14032946</v>
      </c>
      <c r="I26" s="41">
        <v>8629783</v>
      </c>
      <c r="J26" s="41"/>
      <c r="K26" s="41"/>
      <c r="L26" s="41"/>
      <c r="M26" s="41"/>
      <c r="N26" s="41">
        <v>1389115</v>
      </c>
      <c r="O26" s="41"/>
      <c r="P26" s="41"/>
      <c r="Q26" s="41">
        <v>2117449900</v>
      </c>
      <c r="R26" s="41">
        <v>1162334099</v>
      </c>
      <c r="S26" s="43">
        <v>955115801</v>
      </c>
    </row>
    <row r="27" spans="1:19" x14ac:dyDescent="0.2">
      <c r="A27" s="40" t="s">
        <v>23</v>
      </c>
      <c r="B27" s="41">
        <v>102135642</v>
      </c>
      <c r="C27" s="41">
        <v>76882568</v>
      </c>
      <c r="D27" s="41">
        <v>5035628</v>
      </c>
      <c r="E27" s="41">
        <v>575388532</v>
      </c>
      <c r="F27" s="41">
        <v>62786810</v>
      </c>
      <c r="G27" s="41">
        <v>1956801</v>
      </c>
      <c r="H27" s="41">
        <v>40907822</v>
      </c>
      <c r="I27" s="41">
        <v>719</v>
      </c>
      <c r="J27" s="41"/>
      <c r="K27" s="41"/>
      <c r="L27" s="41"/>
      <c r="M27" s="41">
        <v>376597</v>
      </c>
      <c r="N27" s="41">
        <v>8922074</v>
      </c>
      <c r="O27" s="41"/>
      <c r="P27" s="41">
        <v>209580</v>
      </c>
      <c r="Q27" s="41">
        <v>4686636703</v>
      </c>
      <c r="R27" s="41">
        <v>874602773</v>
      </c>
      <c r="S27" s="43">
        <v>3812033930</v>
      </c>
    </row>
    <row r="28" spans="1:19" x14ac:dyDescent="0.2">
      <c r="A28" s="40" t="s">
        <v>24</v>
      </c>
      <c r="B28" s="41">
        <v>70496467</v>
      </c>
      <c r="C28" s="41">
        <v>44429697</v>
      </c>
      <c r="D28" s="41">
        <v>7097131</v>
      </c>
      <c r="E28" s="41">
        <v>174950968</v>
      </c>
      <c r="F28" s="41">
        <v>22971600</v>
      </c>
      <c r="G28" s="41">
        <v>1569600</v>
      </c>
      <c r="H28" s="41">
        <v>15689485</v>
      </c>
      <c r="I28" s="41">
        <v>405888</v>
      </c>
      <c r="J28" s="41"/>
      <c r="K28" s="41"/>
      <c r="L28" s="41"/>
      <c r="M28" s="41"/>
      <c r="N28" s="41">
        <v>203775</v>
      </c>
      <c r="O28" s="41"/>
      <c r="P28" s="41"/>
      <c r="Q28" s="41">
        <v>955679134</v>
      </c>
      <c r="R28" s="41">
        <v>337814611</v>
      </c>
      <c r="S28" s="43">
        <v>617864523</v>
      </c>
    </row>
    <row r="29" spans="1:19" x14ac:dyDescent="0.2">
      <c r="A29" s="40" t="s">
        <v>25</v>
      </c>
      <c r="B29" s="41">
        <v>113260938</v>
      </c>
      <c r="C29" s="41">
        <v>82945960</v>
      </c>
      <c r="D29" s="41">
        <v>7208862</v>
      </c>
      <c r="E29" s="41">
        <v>240436077</v>
      </c>
      <c r="F29" s="41">
        <v>84874390</v>
      </c>
      <c r="G29" s="41">
        <v>2491147</v>
      </c>
      <c r="H29" s="41">
        <v>8019175</v>
      </c>
      <c r="I29" s="41">
        <v>3079409</v>
      </c>
      <c r="J29" s="41"/>
      <c r="K29" s="41"/>
      <c r="L29" s="41"/>
      <c r="M29" s="41"/>
      <c r="N29" s="41">
        <v>93709</v>
      </c>
      <c r="O29" s="41"/>
      <c r="P29" s="41"/>
      <c r="Q29" s="41">
        <v>2288744908</v>
      </c>
      <c r="R29" s="41">
        <v>542409667</v>
      </c>
      <c r="S29" s="43">
        <v>1746335241</v>
      </c>
    </row>
    <row r="30" spans="1:19" x14ac:dyDescent="0.2">
      <c r="A30" s="40" t="s">
        <v>26</v>
      </c>
      <c r="B30" s="41">
        <v>211533771</v>
      </c>
      <c r="C30" s="41">
        <v>167403361</v>
      </c>
      <c r="D30" s="41">
        <v>18550364</v>
      </c>
      <c r="E30" s="41">
        <v>1433895781</v>
      </c>
      <c r="F30" s="41">
        <v>119399370</v>
      </c>
      <c r="G30" s="41">
        <v>3125932</v>
      </c>
      <c r="H30" s="41">
        <v>23993447</v>
      </c>
      <c r="I30" s="41">
        <v>13910570</v>
      </c>
      <c r="J30" s="41"/>
      <c r="K30" s="41">
        <v>2160854</v>
      </c>
      <c r="L30" s="41"/>
      <c r="M30" s="41"/>
      <c r="N30" s="41"/>
      <c r="O30" s="41">
        <v>101017</v>
      </c>
      <c r="P30" s="41"/>
      <c r="Q30" s="41">
        <v>5239025283</v>
      </c>
      <c r="R30" s="41">
        <v>1994074467</v>
      </c>
      <c r="S30" s="43">
        <v>3244950816</v>
      </c>
    </row>
    <row r="31" spans="1:19" x14ac:dyDescent="0.2">
      <c r="A31" s="40" t="s">
        <v>27</v>
      </c>
      <c r="B31" s="41">
        <v>1481795980</v>
      </c>
      <c r="C31" s="41">
        <v>1372342356</v>
      </c>
      <c r="D31" s="41">
        <v>218384165</v>
      </c>
      <c r="E31" s="41">
        <v>1332005159</v>
      </c>
      <c r="F31" s="41">
        <v>388236084</v>
      </c>
      <c r="G31" s="41">
        <v>32911717</v>
      </c>
      <c r="H31" s="41">
        <v>609855121</v>
      </c>
      <c r="I31" s="41">
        <v>437168</v>
      </c>
      <c r="J31" s="41"/>
      <c r="K31" s="41"/>
      <c r="L31" s="41">
        <v>54303</v>
      </c>
      <c r="M31" s="41"/>
      <c r="N31" s="41">
        <v>6400789</v>
      </c>
      <c r="O31" s="41">
        <v>693751</v>
      </c>
      <c r="P31" s="41">
        <v>15033515</v>
      </c>
      <c r="Q31" s="41">
        <v>22084864199</v>
      </c>
      <c r="R31" s="41">
        <v>5458150108</v>
      </c>
      <c r="S31" s="43">
        <v>16626714091</v>
      </c>
    </row>
    <row r="32" spans="1:19" x14ac:dyDescent="0.2">
      <c r="A32" s="40" t="s">
        <v>28</v>
      </c>
      <c r="B32" s="41">
        <v>648637203</v>
      </c>
      <c r="C32" s="41">
        <v>555379403</v>
      </c>
      <c r="D32" s="41">
        <v>26442730</v>
      </c>
      <c r="E32" s="41">
        <v>633080088</v>
      </c>
      <c r="F32" s="41">
        <v>519094135</v>
      </c>
      <c r="G32" s="41">
        <v>20235780</v>
      </c>
      <c r="H32" s="41">
        <v>165300617</v>
      </c>
      <c r="I32" s="41">
        <v>17208567</v>
      </c>
      <c r="J32" s="41">
        <v>0</v>
      </c>
      <c r="K32" s="41">
        <v>0</v>
      </c>
      <c r="L32" s="41">
        <v>12680</v>
      </c>
      <c r="M32" s="41">
        <v>0</v>
      </c>
      <c r="N32" s="41">
        <v>15438457</v>
      </c>
      <c r="O32" s="41">
        <v>0</v>
      </c>
      <c r="P32" s="41">
        <v>0</v>
      </c>
      <c r="Q32" s="41">
        <v>10545422981</v>
      </c>
      <c r="R32" s="41">
        <v>2600829660</v>
      </c>
      <c r="S32" s="43">
        <v>7944593321</v>
      </c>
    </row>
    <row r="33" spans="1:19" x14ac:dyDescent="0.2">
      <c r="A33" s="40" t="s">
        <v>29</v>
      </c>
      <c r="B33" s="41">
        <v>7562223067</v>
      </c>
      <c r="C33" s="41">
        <v>7245737344</v>
      </c>
      <c r="D33" s="41">
        <v>292042090</v>
      </c>
      <c r="E33" s="41">
        <v>14374411482</v>
      </c>
      <c r="F33" s="41">
        <v>7733295081</v>
      </c>
      <c r="G33" s="41">
        <v>97194045</v>
      </c>
      <c r="H33" s="41">
        <v>4058582289</v>
      </c>
      <c r="I33" s="41">
        <v>1352510</v>
      </c>
      <c r="J33" s="41">
        <v>64785383</v>
      </c>
      <c r="K33" s="41">
        <v>6123094</v>
      </c>
      <c r="L33" s="41">
        <v>22080</v>
      </c>
      <c r="M33" s="41">
        <v>4352138</v>
      </c>
      <c r="N33" s="41">
        <v>43976062</v>
      </c>
      <c r="O33" s="41">
        <v>11441986</v>
      </c>
      <c r="P33" s="41">
        <v>130142067</v>
      </c>
      <c r="Q33" s="41">
        <v>208940044443</v>
      </c>
      <c r="R33" s="41">
        <v>41625680718</v>
      </c>
      <c r="S33" s="43">
        <v>167314363725</v>
      </c>
    </row>
    <row r="34" spans="1:19" x14ac:dyDescent="0.2">
      <c r="A34" s="40" t="s">
        <v>30</v>
      </c>
      <c r="B34" s="41">
        <v>121479682</v>
      </c>
      <c r="C34" s="41">
        <v>74928869</v>
      </c>
      <c r="D34" s="41">
        <v>19824309</v>
      </c>
      <c r="E34" s="41">
        <v>77869954</v>
      </c>
      <c r="F34" s="41">
        <v>49266381</v>
      </c>
      <c r="G34" s="41">
        <v>2374863</v>
      </c>
      <c r="H34" s="41">
        <v>27844036</v>
      </c>
      <c r="I34" s="41"/>
      <c r="J34" s="41"/>
      <c r="K34" s="41"/>
      <c r="L34" s="41"/>
      <c r="M34" s="41"/>
      <c r="N34" s="41">
        <v>603202</v>
      </c>
      <c r="O34" s="41">
        <v>31093</v>
      </c>
      <c r="P34" s="41"/>
      <c r="Q34" s="41">
        <v>965881582</v>
      </c>
      <c r="R34" s="41">
        <v>374222389</v>
      </c>
      <c r="S34" s="43">
        <v>591659193</v>
      </c>
    </row>
    <row r="35" spans="1:19" x14ac:dyDescent="0.2">
      <c r="A35" s="40" t="s">
        <v>31</v>
      </c>
      <c r="B35" s="41">
        <v>1269136200</v>
      </c>
      <c r="C35" s="41">
        <v>1224615671</v>
      </c>
      <c r="D35" s="41">
        <v>43377293</v>
      </c>
      <c r="E35" s="41">
        <v>1020279735</v>
      </c>
      <c r="F35" s="41">
        <v>842902494</v>
      </c>
      <c r="G35" s="41">
        <v>24172190</v>
      </c>
      <c r="H35" s="41">
        <v>311967547</v>
      </c>
      <c r="I35" s="41">
        <v>2140259</v>
      </c>
      <c r="J35" s="41"/>
      <c r="K35" s="41"/>
      <c r="L35" s="41">
        <v>6800</v>
      </c>
      <c r="M35" s="41">
        <v>60650</v>
      </c>
      <c r="N35" s="41">
        <v>50925502</v>
      </c>
      <c r="O35" s="41">
        <v>57092</v>
      </c>
      <c r="P35" s="41"/>
      <c r="Q35" s="41">
        <v>35183213962</v>
      </c>
      <c r="R35" s="41">
        <v>4789641433</v>
      </c>
      <c r="S35" s="43">
        <v>30393572529</v>
      </c>
    </row>
    <row r="36" spans="1:19" x14ac:dyDescent="0.2">
      <c r="A36" s="40" t="s">
        <v>32</v>
      </c>
      <c r="B36" s="41">
        <v>260048034</v>
      </c>
      <c r="C36" s="41">
        <v>163405565</v>
      </c>
      <c r="D36" s="41">
        <v>13677193</v>
      </c>
      <c r="E36" s="41">
        <v>421322486</v>
      </c>
      <c r="F36" s="41">
        <v>174631187</v>
      </c>
      <c r="G36" s="41">
        <v>6395284</v>
      </c>
      <c r="H36" s="41">
        <v>58505930</v>
      </c>
      <c r="I36" s="41">
        <v>189615</v>
      </c>
      <c r="J36" s="41"/>
      <c r="K36" s="41"/>
      <c r="L36" s="41">
        <v>84324</v>
      </c>
      <c r="M36" s="41">
        <v>143806</v>
      </c>
      <c r="N36" s="41">
        <v>1442054</v>
      </c>
      <c r="O36" s="41"/>
      <c r="P36" s="41">
        <v>3513438</v>
      </c>
      <c r="Q36" s="41">
        <v>2987678528</v>
      </c>
      <c r="R36" s="41">
        <v>1103358916</v>
      </c>
      <c r="S36" s="43">
        <v>1884319612</v>
      </c>
    </row>
    <row r="37" spans="1:19" x14ac:dyDescent="0.2">
      <c r="A37" s="40" t="s">
        <v>33</v>
      </c>
      <c r="B37" s="41">
        <v>100084562</v>
      </c>
      <c r="C37" s="41">
        <v>78091859</v>
      </c>
      <c r="D37" s="41">
        <v>2575644</v>
      </c>
      <c r="E37" s="41">
        <v>99704649</v>
      </c>
      <c r="F37" s="41">
        <v>33159693</v>
      </c>
      <c r="G37" s="41">
        <v>2834881</v>
      </c>
      <c r="H37" s="41">
        <v>18647532</v>
      </c>
      <c r="I37" s="41">
        <v>45047038</v>
      </c>
      <c r="J37" s="41"/>
      <c r="K37" s="41"/>
      <c r="L37" s="41">
        <v>14219</v>
      </c>
      <c r="M37" s="41">
        <v>301038</v>
      </c>
      <c r="N37" s="41">
        <v>225476</v>
      </c>
      <c r="O37" s="41"/>
      <c r="P37" s="41"/>
      <c r="Q37" s="41">
        <v>1292301426</v>
      </c>
      <c r="R37" s="41">
        <v>380686591</v>
      </c>
      <c r="S37" s="43">
        <v>911614835</v>
      </c>
    </row>
    <row r="38" spans="1:19" x14ac:dyDescent="0.2">
      <c r="A38" s="40" t="s">
        <v>34</v>
      </c>
      <c r="B38" s="41">
        <v>43706514</v>
      </c>
      <c r="C38" s="41">
        <v>30792140</v>
      </c>
      <c r="D38" s="41">
        <v>819960</v>
      </c>
      <c r="E38" s="41">
        <v>91747288</v>
      </c>
      <c r="F38" s="41">
        <v>17494797</v>
      </c>
      <c r="G38" s="41">
        <v>1036830</v>
      </c>
      <c r="H38" s="41">
        <v>7738437</v>
      </c>
      <c r="I38" s="41">
        <v>64693</v>
      </c>
      <c r="J38" s="41"/>
      <c r="K38" s="41"/>
      <c r="L38" s="41"/>
      <c r="M38" s="41"/>
      <c r="N38" s="41"/>
      <c r="O38" s="41"/>
      <c r="P38" s="41"/>
      <c r="Q38" s="41">
        <v>513465074</v>
      </c>
      <c r="R38" s="41">
        <v>193400659</v>
      </c>
      <c r="S38" s="43">
        <v>320064415</v>
      </c>
    </row>
    <row r="39" spans="1:19" x14ac:dyDescent="0.2">
      <c r="A39" s="40" t="s">
        <v>35</v>
      </c>
      <c r="B39" s="41">
        <v>2800598256</v>
      </c>
      <c r="C39" s="41">
        <v>2689786076</v>
      </c>
      <c r="D39" s="41">
        <v>300604873</v>
      </c>
      <c r="E39" s="41">
        <v>1043287042</v>
      </c>
      <c r="F39" s="41">
        <v>1487772039</v>
      </c>
      <c r="G39" s="41">
        <v>44273100</v>
      </c>
      <c r="H39" s="41">
        <v>858173957</v>
      </c>
      <c r="I39" s="41">
        <v>25720332</v>
      </c>
      <c r="J39" s="41"/>
      <c r="K39" s="41"/>
      <c r="L39" s="41">
        <v>6250</v>
      </c>
      <c r="M39" s="41"/>
      <c r="N39" s="41">
        <v>37401705</v>
      </c>
      <c r="O39" s="41">
        <v>828625</v>
      </c>
      <c r="P39" s="41">
        <v>15372303</v>
      </c>
      <c r="Q39" s="41">
        <v>51949548543</v>
      </c>
      <c r="R39" s="41">
        <v>9303824558</v>
      </c>
      <c r="S39" s="43">
        <v>42645723985</v>
      </c>
    </row>
    <row r="40" spans="1:19" x14ac:dyDescent="0.2">
      <c r="A40" s="40" t="s">
        <v>36</v>
      </c>
      <c r="B40" s="41">
        <v>5380730465</v>
      </c>
      <c r="C40" s="41">
        <v>5206628424</v>
      </c>
      <c r="D40" s="41">
        <v>328108395</v>
      </c>
      <c r="E40" s="41">
        <v>6175656946</v>
      </c>
      <c r="F40" s="41">
        <v>3625313849</v>
      </c>
      <c r="G40" s="41">
        <v>99296971</v>
      </c>
      <c r="H40" s="41">
        <v>916529589</v>
      </c>
      <c r="I40" s="41">
        <v>4592522</v>
      </c>
      <c r="J40" s="41"/>
      <c r="K40" s="41"/>
      <c r="L40" s="41">
        <v>13694</v>
      </c>
      <c r="M40" s="41"/>
      <c r="N40" s="41">
        <v>127516914</v>
      </c>
      <c r="O40" s="41">
        <v>1019250</v>
      </c>
      <c r="P40" s="41">
        <v>2466169</v>
      </c>
      <c r="Q40" s="41">
        <v>164752595413</v>
      </c>
      <c r="R40" s="41">
        <v>21867873188</v>
      </c>
      <c r="S40" s="43">
        <v>142884722225</v>
      </c>
    </row>
    <row r="41" spans="1:19" x14ac:dyDescent="0.2">
      <c r="A41" s="40" t="s">
        <v>37</v>
      </c>
      <c r="B41" s="41">
        <v>1450027184</v>
      </c>
      <c r="C41" s="41">
        <v>1373676511</v>
      </c>
      <c r="D41" s="41">
        <v>35324786</v>
      </c>
      <c r="E41" s="41">
        <v>6353803031</v>
      </c>
      <c r="F41" s="41">
        <v>1452178519</v>
      </c>
      <c r="G41" s="41">
        <v>22664557</v>
      </c>
      <c r="H41" s="41">
        <v>310739244</v>
      </c>
      <c r="I41" s="41">
        <v>125924339</v>
      </c>
      <c r="J41" s="41">
        <v>8119719</v>
      </c>
      <c r="K41" s="41">
        <v>2441598</v>
      </c>
      <c r="L41" s="41"/>
      <c r="M41" s="41">
        <v>2323615</v>
      </c>
      <c r="N41" s="41">
        <v>27207432</v>
      </c>
      <c r="O41" s="41">
        <v>343687</v>
      </c>
      <c r="P41" s="41">
        <v>28548610</v>
      </c>
      <c r="Q41" s="41">
        <v>36973807497</v>
      </c>
      <c r="R41" s="41">
        <v>11193322832</v>
      </c>
      <c r="S41" s="43">
        <v>25780484665</v>
      </c>
    </row>
    <row r="42" spans="1:19" x14ac:dyDescent="0.2">
      <c r="A42" s="40" t="s">
        <v>38</v>
      </c>
      <c r="B42" s="41">
        <v>334372024</v>
      </c>
      <c r="C42" s="41">
        <v>247807365</v>
      </c>
      <c r="D42" s="41">
        <v>37494981</v>
      </c>
      <c r="E42" s="41">
        <v>281387554</v>
      </c>
      <c r="F42" s="41">
        <v>115050869</v>
      </c>
      <c r="G42" s="41">
        <v>6305000</v>
      </c>
      <c r="H42" s="41">
        <v>88497356</v>
      </c>
      <c r="I42" s="41">
        <v>5231746</v>
      </c>
      <c r="J42" s="41">
        <v>832629</v>
      </c>
      <c r="K42" s="41"/>
      <c r="L42" s="41">
        <v>49472</v>
      </c>
      <c r="M42" s="41"/>
      <c r="N42" s="41">
        <v>5822101</v>
      </c>
      <c r="O42" s="41">
        <v>56397</v>
      </c>
      <c r="P42" s="41"/>
      <c r="Q42" s="41">
        <v>4006853603</v>
      </c>
      <c r="R42" s="41">
        <v>1122907494</v>
      </c>
      <c r="S42" s="43">
        <v>2883946109</v>
      </c>
    </row>
    <row r="43" spans="1:19" x14ac:dyDescent="0.2">
      <c r="A43" s="40" t="s">
        <v>39</v>
      </c>
      <c r="B43" s="41">
        <v>37820391</v>
      </c>
      <c r="C43" s="41">
        <v>21825946</v>
      </c>
      <c r="D43" s="41">
        <v>2235015</v>
      </c>
      <c r="E43" s="41">
        <v>346911746</v>
      </c>
      <c r="F43" s="41">
        <v>22984241</v>
      </c>
      <c r="G43" s="41">
        <v>467826</v>
      </c>
      <c r="H43" s="41">
        <v>7109956</v>
      </c>
      <c r="I43" s="41">
        <v>414180</v>
      </c>
      <c r="J43" s="41"/>
      <c r="K43" s="41">
        <v>1367</v>
      </c>
      <c r="L43" s="41"/>
      <c r="M43" s="41"/>
      <c r="N43" s="41"/>
      <c r="O43" s="41"/>
      <c r="P43" s="41"/>
      <c r="Q43" s="41">
        <v>657634526</v>
      </c>
      <c r="R43" s="41">
        <v>439770668</v>
      </c>
      <c r="S43" s="43">
        <v>217863858</v>
      </c>
    </row>
    <row r="44" spans="1:19" x14ac:dyDescent="0.2">
      <c r="A44" s="40" t="s">
        <v>40</v>
      </c>
      <c r="B44" s="41">
        <v>105994177</v>
      </c>
      <c r="C44" s="41">
        <v>70803380</v>
      </c>
      <c r="D44" s="41">
        <v>10584461</v>
      </c>
      <c r="E44" s="41">
        <v>89200020</v>
      </c>
      <c r="F44" s="41">
        <v>65224083</v>
      </c>
      <c r="G44" s="41">
        <v>2703021</v>
      </c>
      <c r="H44" s="41">
        <v>21253905</v>
      </c>
      <c r="I44" s="41">
        <v>8353353</v>
      </c>
      <c r="J44" s="41">
        <v>72346</v>
      </c>
      <c r="K44" s="41"/>
      <c r="L44" s="41">
        <v>8274</v>
      </c>
      <c r="M44" s="41">
        <v>261854</v>
      </c>
      <c r="N44" s="41">
        <v>602277</v>
      </c>
      <c r="O44" s="41">
        <v>563</v>
      </c>
      <c r="P44" s="41">
        <v>1310828</v>
      </c>
      <c r="Q44" s="41">
        <v>1285816224</v>
      </c>
      <c r="R44" s="41">
        <v>376372542</v>
      </c>
      <c r="S44" s="43">
        <v>909443682</v>
      </c>
    </row>
    <row r="45" spans="1:19" x14ac:dyDescent="0.2">
      <c r="A45" s="40" t="s">
        <v>41</v>
      </c>
      <c r="B45" s="41">
        <v>2717382287</v>
      </c>
      <c r="C45" s="41">
        <v>2657643727</v>
      </c>
      <c r="D45" s="41">
        <v>67469747</v>
      </c>
      <c r="E45" s="41">
        <v>1996947174</v>
      </c>
      <c r="F45" s="41">
        <v>1414246818</v>
      </c>
      <c r="G45" s="41">
        <v>60892601</v>
      </c>
      <c r="H45" s="41">
        <v>883664322</v>
      </c>
      <c r="I45" s="41"/>
      <c r="J45" s="41"/>
      <c r="K45" s="41">
        <v>27483594</v>
      </c>
      <c r="L45" s="41"/>
      <c r="M45" s="41">
        <v>934988</v>
      </c>
      <c r="N45" s="41">
        <v>72899936</v>
      </c>
      <c r="O45" s="41">
        <v>946262</v>
      </c>
      <c r="P45" s="41"/>
      <c r="Q45" s="41">
        <v>79818586151</v>
      </c>
      <c r="R45" s="41">
        <v>9900511456</v>
      </c>
      <c r="S45" s="43">
        <v>69918074695</v>
      </c>
    </row>
    <row r="46" spans="1:19" x14ac:dyDescent="0.2">
      <c r="A46" s="40" t="s">
        <v>42</v>
      </c>
      <c r="B46" s="41">
        <v>2868680203</v>
      </c>
      <c r="C46" s="41">
        <v>2546461103</v>
      </c>
      <c r="D46" s="41"/>
      <c r="E46" s="41">
        <v>1685781211</v>
      </c>
      <c r="F46" s="41">
        <v>1876817965</v>
      </c>
      <c r="G46" s="41">
        <v>64122909</v>
      </c>
      <c r="H46" s="41">
        <v>871421389</v>
      </c>
      <c r="I46" s="41">
        <v>21046655</v>
      </c>
      <c r="J46" s="41"/>
      <c r="K46" s="41"/>
      <c r="L46" s="41">
        <v>36057</v>
      </c>
      <c r="M46" s="41">
        <v>2940791</v>
      </c>
      <c r="N46" s="41">
        <v>69625281</v>
      </c>
      <c r="O46" s="41">
        <v>615862</v>
      </c>
      <c r="P46" s="41">
        <v>9010245</v>
      </c>
      <c r="Q46" s="41">
        <v>45259588018</v>
      </c>
      <c r="R46" s="41">
        <v>10016559671</v>
      </c>
      <c r="S46" s="43">
        <v>35243028347</v>
      </c>
    </row>
    <row r="47" spans="1:19" x14ac:dyDescent="0.2">
      <c r="A47" s="40" t="s">
        <v>43</v>
      </c>
      <c r="B47" s="41">
        <v>1232141141</v>
      </c>
      <c r="C47" s="41">
        <v>1190514904</v>
      </c>
      <c r="D47" s="41">
        <v>59033412</v>
      </c>
      <c r="E47" s="41">
        <v>1094293783</v>
      </c>
      <c r="F47" s="41">
        <v>716137059</v>
      </c>
      <c r="G47" s="41">
        <v>21011719</v>
      </c>
      <c r="H47" s="41">
        <v>242494989</v>
      </c>
      <c r="I47" s="41">
        <v>3202065</v>
      </c>
      <c r="J47" s="41"/>
      <c r="K47" s="41"/>
      <c r="L47" s="41"/>
      <c r="M47" s="41">
        <v>3046018</v>
      </c>
      <c r="N47" s="41">
        <v>28806048</v>
      </c>
      <c r="O47" s="41">
        <v>175895</v>
      </c>
      <c r="P47" s="41">
        <v>19281089</v>
      </c>
      <c r="Q47" s="41">
        <v>40257661655</v>
      </c>
      <c r="R47" s="41">
        <v>4610138122</v>
      </c>
      <c r="S47" s="43">
        <v>35647523533</v>
      </c>
    </row>
    <row r="48" spans="1:19" x14ac:dyDescent="0.2">
      <c r="A48" s="40" t="s">
        <v>44</v>
      </c>
      <c r="B48" s="41">
        <v>395101753</v>
      </c>
      <c r="C48" s="41">
        <v>404121934</v>
      </c>
      <c r="D48" s="41">
        <v>29385379</v>
      </c>
      <c r="E48" s="41">
        <v>4297443894</v>
      </c>
      <c r="F48" s="41">
        <v>1017518422</v>
      </c>
      <c r="G48" s="41">
        <v>7620000</v>
      </c>
      <c r="H48" s="41">
        <v>249107618</v>
      </c>
      <c r="I48" s="41"/>
      <c r="J48" s="41"/>
      <c r="K48" s="41"/>
      <c r="L48" s="41"/>
      <c r="M48" s="41"/>
      <c r="N48" s="41">
        <v>10419157</v>
      </c>
      <c r="O48" s="41"/>
      <c r="P48" s="41">
        <v>1124841</v>
      </c>
      <c r="Q48" s="41">
        <v>55611259686</v>
      </c>
      <c r="R48" s="41">
        <v>6411842998</v>
      </c>
      <c r="S48" s="43">
        <v>49199416688</v>
      </c>
    </row>
    <row r="49" spans="1:19" x14ac:dyDescent="0.2">
      <c r="A49" s="40" t="s">
        <v>45</v>
      </c>
      <c r="B49" s="41">
        <v>746994688</v>
      </c>
      <c r="C49" s="41">
        <v>726332396</v>
      </c>
      <c r="D49" s="41">
        <v>34532208</v>
      </c>
      <c r="E49" s="41">
        <v>784118722</v>
      </c>
      <c r="F49" s="41">
        <v>350645636</v>
      </c>
      <c r="G49" s="41">
        <v>14371223</v>
      </c>
      <c r="H49" s="41">
        <v>568488838</v>
      </c>
      <c r="I49" s="41">
        <v>8741912</v>
      </c>
      <c r="J49" s="41"/>
      <c r="K49" s="41"/>
      <c r="L49" s="41"/>
      <c r="M49" s="41"/>
      <c r="N49" s="41">
        <v>18507316</v>
      </c>
      <c r="O49" s="41">
        <v>2476171</v>
      </c>
      <c r="P49" s="41">
        <v>12433482</v>
      </c>
      <c r="Q49" s="41">
        <v>20246804851</v>
      </c>
      <c r="R49" s="41">
        <v>3267642592</v>
      </c>
      <c r="S49" s="43">
        <v>16979162259</v>
      </c>
    </row>
    <row r="50" spans="1:19" x14ac:dyDescent="0.2">
      <c r="A50" s="40" t="s">
        <v>46</v>
      </c>
      <c r="B50" s="41">
        <v>1283469119</v>
      </c>
      <c r="C50" s="41">
        <v>1136507535</v>
      </c>
      <c r="D50" s="41">
        <v>71457707</v>
      </c>
      <c r="E50" s="41">
        <v>2275477855</v>
      </c>
      <c r="F50" s="41">
        <v>417823634</v>
      </c>
      <c r="G50" s="41">
        <v>20447719</v>
      </c>
      <c r="H50" s="41">
        <v>1566274785</v>
      </c>
      <c r="I50" s="41">
        <v>710286</v>
      </c>
      <c r="J50" s="41"/>
      <c r="K50" s="41">
        <v>161000</v>
      </c>
      <c r="L50" s="41"/>
      <c r="M50" s="41"/>
      <c r="N50" s="41">
        <v>69898003</v>
      </c>
      <c r="O50" s="41">
        <v>22636865</v>
      </c>
      <c r="P50" s="41"/>
      <c r="Q50" s="41">
        <v>36350715757</v>
      </c>
      <c r="R50" s="41">
        <v>6864864508</v>
      </c>
      <c r="S50" s="43">
        <v>29485851249</v>
      </c>
    </row>
    <row r="51" spans="1:19" x14ac:dyDescent="0.2">
      <c r="A51" s="40" t="s">
        <v>47</v>
      </c>
      <c r="B51" s="41">
        <v>226156947</v>
      </c>
      <c r="C51" s="41">
        <v>173690338</v>
      </c>
      <c r="D51" s="41">
        <v>19864863</v>
      </c>
      <c r="E51" s="41">
        <v>547493801</v>
      </c>
      <c r="F51" s="41">
        <v>108555765</v>
      </c>
      <c r="G51" s="41">
        <v>4939590</v>
      </c>
      <c r="H51" s="41">
        <v>41039944</v>
      </c>
      <c r="I51" s="41">
        <v>10090015</v>
      </c>
      <c r="J51" s="41"/>
      <c r="K51" s="41">
        <v>1968977</v>
      </c>
      <c r="L51" s="41">
        <v>216165</v>
      </c>
      <c r="M51" s="41"/>
      <c r="N51" s="41">
        <v>2227673</v>
      </c>
      <c r="O51" s="41">
        <v>116439</v>
      </c>
      <c r="P51" s="41"/>
      <c r="Q51" s="41">
        <v>4263128887</v>
      </c>
      <c r="R51" s="41">
        <v>1136360517</v>
      </c>
      <c r="S51" s="43">
        <v>3126768370</v>
      </c>
    </row>
    <row r="52" spans="1:19" x14ac:dyDescent="0.2">
      <c r="A52" s="40" t="s">
        <v>48</v>
      </c>
      <c r="B52" s="41">
        <v>6444676389</v>
      </c>
      <c r="C52" s="41">
        <v>6096827363</v>
      </c>
      <c r="D52" s="41">
        <v>263796416</v>
      </c>
      <c r="E52" s="41">
        <v>18057557098</v>
      </c>
      <c r="F52" s="41">
        <v>16604929854</v>
      </c>
      <c r="G52" s="41">
        <v>61924076</v>
      </c>
      <c r="H52" s="41">
        <v>1522248094</v>
      </c>
      <c r="I52" s="41">
        <v>12548628</v>
      </c>
      <c r="J52" s="41"/>
      <c r="K52" s="41">
        <v>131916852</v>
      </c>
      <c r="L52" s="41">
        <v>43904</v>
      </c>
      <c r="M52" s="41"/>
      <c r="N52" s="41">
        <v>437703927</v>
      </c>
      <c r="O52" s="41">
        <v>670739</v>
      </c>
      <c r="P52" s="41">
        <v>12946542</v>
      </c>
      <c r="Q52" s="41">
        <v>270369532112</v>
      </c>
      <c r="R52" s="41">
        <v>49647789882</v>
      </c>
      <c r="S52" s="43">
        <v>220721742230</v>
      </c>
    </row>
    <row r="53" spans="1:19" x14ac:dyDescent="0.2">
      <c r="A53" s="40" t="s">
        <v>49</v>
      </c>
      <c r="B53" s="41">
        <v>2160884144</v>
      </c>
      <c r="C53" s="41">
        <v>2050530898</v>
      </c>
      <c r="D53" s="41">
        <v>137785956</v>
      </c>
      <c r="E53" s="41">
        <v>2422214497</v>
      </c>
      <c r="F53" s="41">
        <v>1539536986</v>
      </c>
      <c r="G53" s="41">
        <v>21284562</v>
      </c>
      <c r="H53" s="41">
        <v>986729865</v>
      </c>
      <c r="I53" s="41">
        <v>3609282</v>
      </c>
      <c r="J53" s="41"/>
      <c r="K53" s="41"/>
      <c r="L53" s="41">
        <v>6050</v>
      </c>
      <c r="M53" s="41">
        <v>1399460</v>
      </c>
      <c r="N53" s="41">
        <v>5634803</v>
      </c>
      <c r="O53" s="41">
        <v>287124</v>
      </c>
      <c r="P53" s="41">
        <v>10822280</v>
      </c>
      <c r="Q53" s="41">
        <v>64766397142</v>
      </c>
      <c r="R53" s="41">
        <v>9340725907</v>
      </c>
      <c r="S53" s="43">
        <v>55425671235</v>
      </c>
    </row>
    <row r="54" spans="1:19" x14ac:dyDescent="0.2">
      <c r="A54" s="40" t="s">
        <v>50</v>
      </c>
      <c r="B54" s="41">
        <v>9106063246</v>
      </c>
      <c r="C54" s="41">
        <v>8746931983</v>
      </c>
      <c r="D54" s="41">
        <v>367868731</v>
      </c>
      <c r="E54" s="41">
        <v>16354610273</v>
      </c>
      <c r="F54" s="41">
        <v>6533779929</v>
      </c>
      <c r="G54" s="41">
        <v>183090941</v>
      </c>
      <c r="H54" s="41">
        <v>1496371938</v>
      </c>
      <c r="I54" s="41">
        <v>10747756</v>
      </c>
      <c r="J54" s="41">
        <v>91166970</v>
      </c>
      <c r="K54" s="41">
        <v>100531986</v>
      </c>
      <c r="L54" s="41">
        <v>61221</v>
      </c>
      <c r="M54" s="41">
        <v>8577324</v>
      </c>
      <c r="N54" s="41">
        <v>76787878</v>
      </c>
      <c r="O54" s="41">
        <v>1144802</v>
      </c>
      <c r="P54" s="41"/>
      <c r="Q54" s="41">
        <v>371675133963</v>
      </c>
      <c r="R54" s="41">
        <v>43077734978</v>
      </c>
      <c r="S54" s="43">
        <v>328597398985</v>
      </c>
    </row>
    <row r="55" spans="1:19" x14ac:dyDescent="0.2">
      <c r="A55" s="40" t="s">
        <v>51</v>
      </c>
      <c r="B55" s="41">
        <v>4174946117</v>
      </c>
      <c r="C55" s="41">
        <v>3809580686</v>
      </c>
      <c r="D55" s="41">
        <v>52917517</v>
      </c>
      <c r="E55" s="41">
        <v>770149010</v>
      </c>
      <c r="F55" s="41">
        <v>2319031607</v>
      </c>
      <c r="G55" s="41">
        <v>75722110</v>
      </c>
      <c r="H55" s="41">
        <v>1505858526</v>
      </c>
      <c r="I55" s="41">
        <v>9703562</v>
      </c>
      <c r="J55" s="41"/>
      <c r="K55" s="41"/>
      <c r="L55" s="41">
        <v>388279</v>
      </c>
      <c r="M55" s="41">
        <v>667931</v>
      </c>
      <c r="N55" s="41">
        <v>45065915</v>
      </c>
      <c r="O55" s="41">
        <v>1756497</v>
      </c>
      <c r="P55" s="41"/>
      <c r="Q55" s="41">
        <v>70344039688</v>
      </c>
      <c r="R55" s="41">
        <v>12765787757</v>
      </c>
      <c r="S55" s="43">
        <v>57578251931</v>
      </c>
    </row>
    <row r="56" spans="1:19" x14ac:dyDescent="0.2">
      <c r="A56" s="40" t="s">
        <v>52</v>
      </c>
      <c r="B56" s="41">
        <v>6217240616</v>
      </c>
      <c r="C56" s="41">
        <v>5849985620</v>
      </c>
      <c r="D56" s="41"/>
      <c r="E56" s="41">
        <v>8520403072</v>
      </c>
      <c r="F56" s="41">
        <v>6011038722</v>
      </c>
      <c r="G56" s="41">
        <v>149835963</v>
      </c>
      <c r="H56" s="41">
        <v>1530224945</v>
      </c>
      <c r="I56" s="41"/>
      <c r="J56" s="41">
        <v>3532473</v>
      </c>
      <c r="K56" s="41">
        <v>26991828</v>
      </c>
      <c r="L56" s="41"/>
      <c r="M56" s="41">
        <v>117148</v>
      </c>
      <c r="N56" s="41">
        <v>138628871</v>
      </c>
      <c r="O56" s="41">
        <v>711063</v>
      </c>
      <c r="P56" s="41"/>
      <c r="Q56" s="41">
        <v>162841927370</v>
      </c>
      <c r="R56" s="41">
        <v>28448710321</v>
      </c>
      <c r="S56" s="43">
        <v>134393217049</v>
      </c>
    </row>
    <row r="57" spans="1:19" x14ac:dyDescent="0.2">
      <c r="A57" s="40" t="s">
        <v>53</v>
      </c>
      <c r="B57" s="41">
        <v>4252626633</v>
      </c>
      <c r="C57" s="41">
        <v>3785128732</v>
      </c>
      <c r="D57" s="41">
        <v>353846579</v>
      </c>
      <c r="E57" s="41">
        <v>1583241087</v>
      </c>
      <c r="F57" s="41">
        <v>3474476408</v>
      </c>
      <c r="G57" s="41">
        <v>76456818</v>
      </c>
      <c r="H57" s="41">
        <v>952496121</v>
      </c>
      <c r="I57" s="41">
        <v>22058035</v>
      </c>
      <c r="J57" s="41"/>
      <c r="K57" s="41">
        <v>337993161</v>
      </c>
      <c r="L57" s="41">
        <v>154135</v>
      </c>
      <c r="M57" s="41">
        <v>1019396</v>
      </c>
      <c r="N57" s="41">
        <v>27061031</v>
      </c>
      <c r="O57" s="41">
        <v>1465697</v>
      </c>
      <c r="P57" s="41">
        <v>13565020</v>
      </c>
      <c r="Q57" s="41">
        <v>79453891369</v>
      </c>
      <c r="R57" s="41">
        <v>14881588853</v>
      </c>
      <c r="S57" s="43">
        <v>64572302516</v>
      </c>
    </row>
    <row r="58" spans="1:19" x14ac:dyDescent="0.2">
      <c r="A58" s="40" t="s">
        <v>54</v>
      </c>
      <c r="B58" s="41">
        <v>504710300</v>
      </c>
      <c r="C58" s="41">
        <v>360687266</v>
      </c>
      <c r="D58" s="41">
        <v>45239898</v>
      </c>
      <c r="E58" s="41">
        <v>632583450</v>
      </c>
      <c r="F58" s="41">
        <v>261601550</v>
      </c>
      <c r="G58" s="41">
        <v>12038370</v>
      </c>
      <c r="H58" s="41">
        <v>97387315</v>
      </c>
      <c r="I58" s="41">
        <v>6450578</v>
      </c>
      <c r="J58" s="41"/>
      <c r="K58" s="41"/>
      <c r="L58" s="41">
        <v>37900</v>
      </c>
      <c r="M58" s="41"/>
      <c r="N58" s="41">
        <v>4392654</v>
      </c>
      <c r="O58" s="41">
        <v>60714</v>
      </c>
      <c r="P58" s="41">
        <v>8624394</v>
      </c>
      <c r="Q58" s="41">
        <v>7119399121</v>
      </c>
      <c r="R58" s="41">
        <v>1933814389</v>
      </c>
      <c r="S58" s="43">
        <v>5185584732</v>
      </c>
    </row>
    <row r="59" spans="1:19" x14ac:dyDescent="0.2">
      <c r="A59" s="40" t="s">
        <v>55</v>
      </c>
      <c r="B59" s="41">
        <v>2267967344</v>
      </c>
      <c r="C59" s="41">
        <v>2289085907</v>
      </c>
      <c r="D59" s="41">
        <v>121863437</v>
      </c>
      <c r="E59" s="41">
        <v>2167104668</v>
      </c>
      <c r="F59" s="41">
        <v>1037488354</v>
      </c>
      <c r="G59" s="41">
        <v>39358948</v>
      </c>
      <c r="H59" s="41">
        <v>1432579805</v>
      </c>
      <c r="I59" s="41">
        <v>6719808</v>
      </c>
      <c r="J59" s="41">
        <v>2964731</v>
      </c>
      <c r="K59" s="41"/>
      <c r="L59" s="41"/>
      <c r="M59" s="41">
        <v>2286919</v>
      </c>
      <c r="N59" s="41">
        <v>60245630</v>
      </c>
      <c r="O59" s="41">
        <v>10605489</v>
      </c>
      <c r="P59" s="41">
        <v>7443884</v>
      </c>
      <c r="Q59" s="41">
        <v>66575430174</v>
      </c>
      <c r="R59" s="41">
        <v>9445714924</v>
      </c>
      <c r="S59" s="43">
        <v>57129715250</v>
      </c>
    </row>
    <row r="60" spans="1:19" x14ac:dyDescent="0.2">
      <c r="A60" s="40" t="s">
        <v>56</v>
      </c>
      <c r="B60" s="41">
        <v>2610688588</v>
      </c>
      <c r="C60" s="41">
        <v>2446541204</v>
      </c>
      <c r="D60" s="41">
        <v>194470097</v>
      </c>
      <c r="E60" s="41">
        <v>1778683736</v>
      </c>
      <c r="F60" s="41">
        <v>737531991</v>
      </c>
      <c r="G60" s="41">
        <v>45219701</v>
      </c>
      <c r="H60" s="41">
        <v>720271690</v>
      </c>
      <c r="I60" s="41">
        <v>10258860</v>
      </c>
      <c r="J60" s="41">
        <v>181600</v>
      </c>
      <c r="K60" s="41">
        <v>162519610</v>
      </c>
      <c r="L60" s="41"/>
      <c r="M60" s="41"/>
      <c r="N60" s="41">
        <v>32541325</v>
      </c>
      <c r="O60" s="41">
        <v>1100650</v>
      </c>
      <c r="P60" s="41"/>
      <c r="Q60" s="41">
        <v>48131214609</v>
      </c>
      <c r="R60" s="41">
        <v>8740009052</v>
      </c>
      <c r="S60" s="43">
        <v>39391205557</v>
      </c>
    </row>
    <row r="61" spans="1:19" x14ac:dyDescent="0.2">
      <c r="A61" s="40" t="s">
        <v>57</v>
      </c>
      <c r="B61" s="41">
        <v>1370201928</v>
      </c>
      <c r="C61" s="41">
        <v>1188656469</v>
      </c>
      <c r="D61" s="41">
        <v>100156247</v>
      </c>
      <c r="E61" s="41">
        <v>1576857747</v>
      </c>
      <c r="F61" s="41">
        <v>338432732</v>
      </c>
      <c r="G61" s="41">
        <v>21695944</v>
      </c>
      <c r="H61" s="41">
        <v>1345005662</v>
      </c>
      <c r="I61" s="41">
        <v>155630</v>
      </c>
      <c r="J61" s="41"/>
      <c r="K61" s="41"/>
      <c r="L61" s="41"/>
      <c r="M61" s="41">
        <v>1367815</v>
      </c>
      <c r="N61" s="41">
        <v>78258673</v>
      </c>
      <c r="O61" s="41">
        <v>9197893</v>
      </c>
      <c r="P61" s="41">
        <v>26526933</v>
      </c>
      <c r="Q61" s="41">
        <v>24202619298</v>
      </c>
      <c r="R61" s="41">
        <v>6056513673</v>
      </c>
      <c r="S61" s="43">
        <v>18146105625</v>
      </c>
    </row>
    <row r="62" spans="1:19" x14ac:dyDescent="0.2">
      <c r="A62" s="40" t="s">
        <v>58</v>
      </c>
      <c r="B62" s="41">
        <v>3461814197</v>
      </c>
      <c r="C62" s="41">
        <v>3405074646</v>
      </c>
      <c r="D62" s="41">
        <v>18887402</v>
      </c>
      <c r="E62" s="41">
        <v>5236521991</v>
      </c>
      <c r="F62" s="41">
        <v>1933435593</v>
      </c>
      <c r="G62" s="41">
        <v>93174432</v>
      </c>
      <c r="H62" s="41">
        <v>757219912</v>
      </c>
      <c r="I62" s="41">
        <v>125000</v>
      </c>
      <c r="J62" s="41">
        <v>2226099</v>
      </c>
      <c r="K62" s="41">
        <v>12015500</v>
      </c>
      <c r="L62" s="41">
        <v>8626</v>
      </c>
      <c r="M62" s="41"/>
      <c r="N62" s="41">
        <v>140243430</v>
      </c>
      <c r="O62" s="41">
        <v>1050983</v>
      </c>
      <c r="P62" s="41"/>
      <c r="Q62" s="41">
        <v>121822942665</v>
      </c>
      <c r="R62" s="41">
        <v>15061797811</v>
      </c>
      <c r="S62" s="43">
        <v>106761144854</v>
      </c>
    </row>
    <row r="63" spans="1:19" x14ac:dyDescent="0.2">
      <c r="A63" s="40" t="s">
        <v>59</v>
      </c>
      <c r="B63" s="41">
        <v>2696199837</v>
      </c>
      <c r="C63" s="41">
        <v>2682975305</v>
      </c>
      <c r="D63" s="41">
        <v>255839075</v>
      </c>
      <c r="E63" s="41">
        <v>1418995608</v>
      </c>
      <c r="F63" s="41">
        <v>1879238894</v>
      </c>
      <c r="G63" s="41">
        <v>39445826</v>
      </c>
      <c r="H63" s="41">
        <v>557043677</v>
      </c>
      <c r="I63" s="41">
        <v>74835</v>
      </c>
      <c r="J63" s="41"/>
      <c r="K63" s="41"/>
      <c r="L63" s="41"/>
      <c r="M63" s="41">
        <v>2428866</v>
      </c>
      <c r="N63" s="41">
        <v>41682742</v>
      </c>
      <c r="O63" s="41">
        <v>106892</v>
      </c>
      <c r="P63" s="41"/>
      <c r="Q63" s="41">
        <v>64024704999</v>
      </c>
      <c r="R63" s="41">
        <v>9574031557</v>
      </c>
      <c r="S63" s="43">
        <v>54450673442</v>
      </c>
    </row>
    <row r="64" spans="1:19" x14ac:dyDescent="0.2">
      <c r="A64" s="40" t="s">
        <v>60</v>
      </c>
      <c r="B64" s="41">
        <v>1441725869</v>
      </c>
      <c r="C64" s="41">
        <v>1401881743</v>
      </c>
      <c r="D64" s="41">
        <v>29000800</v>
      </c>
      <c r="E64" s="41">
        <v>498604200</v>
      </c>
      <c r="F64" s="41">
        <v>382131821</v>
      </c>
      <c r="G64" s="41">
        <v>42247250</v>
      </c>
      <c r="H64" s="41">
        <v>450236892</v>
      </c>
      <c r="I64" s="41"/>
      <c r="J64" s="41"/>
      <c r="K64" s="41"/>
      <c r="L64" s="41">
        <v>647610</v>
      </c>
      <c r="M64" s="41">
        <v>24104</v>
      </c>
      <c r="N64" s="41">
        <v>121145434</v>
      </c>
      <c r="O64" s="41">
        <v>551568</v>
      </c>
      <c r="P64" s="41"/>
      <c r="Q64" s="41">
        <v>27081307722</v>
      </c>
      <c r="R64" s="41">
        <v>4368197291</v>
      </c>
      <c r="S64" s="43">
        <v>22713110431</v>
      </c>
    </row>
    <row r="65" spans="1:19" x14ac:dyDescent="0.2">
      <c r="A65" s="40" t="s">
        <v>61</v>
      </c>
      <c r="B65" s="41">
        <v>266447063</v>
      </c>
      <c r="C65" s="41">
        <v>198325803</v>
      </c>
      <c r="D65" s="41">
        <v>15877794</v>
      </c>
      <c r="E65" s="41">
        <v>140743317</v>
      </c>
      <c r="F65" s="41">
        <v>87092656</v>
      </c>
      <c r="G65" s="41">
        <v>5462818</v>
      </c>
      <c r="H65" s="41">
        <v>79207927</v>
      </c>
      <c r="I65" s="41">
        <v>11847743</v>
      </c>
      <c r="J65" s="41"/>
      <c r="K65" s="41"/>
      <c r="L65" s="41">
        <v>10972</v>
      </c>
      <c r="M65" s="41"/>
      <c r="N65" s="41">
        <v>303132</v>
      </c>
      <c r="O65" s="41">
        <v>132007</v>
      </c>
      <c r="P65" s="41"/>
      <c r="Q65" s="41">
        <v>2843790078</v>
      </c>
      <c r="R65" s="41">
        <v>805451232</v>
      </c>
      <c r="S65" s="43">
        <v>2038338846</v>
      </c>
    </row>
    <row r="66" spans="1:19" x14ac:dyDescent="0.2">
      <c r="A66" s="40" t="s">
        <v>62</v>
      </c>
      <c r="B66" s="41">
        <v>136334320</v>
      </c>
      <c r="C66" s="41">
        <v>84304774</v>
      </c>
      <c r="D66" s="41"/>
      <c r="E66" s="41">
        <v>173257673</v>
      </c>
      <c r="F66" s="41">
        <v>52735650</v>
      </c>
      <c r="G66" s="41">
        <v>2100940</v>
      </c>
      <c r="H66" s="41">
        <v>23775520</v>
      </c>
      <c r="I66" s="41">
        <v>4199850</v>
      </c>
      <c r="J66" s="41"/>
      <c r="K66" s="41">
        <v>4691565</v>
      </c>
      <c r="L66" s="41">
        <v>20100</v>
      </c>
      <c r="M66" s="41"/>
      <c r="N66" s="41">
        <v>828605</v>
      </c>
      <c r="O66" s="41"/>
      <c r="P66" s="41"/>
      <c r="Q66" s="41">
        <v>1776550908</v>
      </c>
      <c r="R66" s="41">
        <v>482248997</v>
      </c>
      <c r="S66" s="43">
        <v>1294301911</v>
      </c>
    </row>
    <row r="67" spans="1:19" x14ac:dyDescent="0.2">
      <c r="A67" s="40" t="s">
        <v>63</v>
      </c>
      <c r="B67" s="41">
        <v>72751412</v>
      </c>
      <c r="C67" s="41">
        <v>48046797</v>
      </c>
      <c r="D67" s="41">
        <v>2699137</v>
      </c>
      <c r="E67" s="41">
        <v>105039609</v>
      </c>
      <c r="F67" s="41">
        <v>15957882</v>
      </c>
      <c r="G67" s="41">
        <v>1607558</v>
      </c>
      <c r="H67" s="41">
        <v>3899315</v>
      </c>
      <c r="I67" s="41"/>
      <c r="J67" s="41"/>
      <c r="K67" s="41"/>
      <c r="L67" s="41"/>
      <c r="M67" s="41"/>
      <c r="N67" s="41">
        <v>9498029</v>
      </c>
      <c r="O67" s="41">
        <v>47733</v>
      </c>
      <c r="P67" s="41"/>
      <c r="Q67" s="41">
        <v>565212676</v>
      </c>
      <c r="R67" s="41">
        <v>259547472</v>
      </c>
      <c r="S67" s="43">
        <v>305665204</v>
      </c>
    </row>
    <row r="68" spans="1:19" x14ac:dyDescent="0.2">
      <c r="A68" s="40" t="s">
        <v>64</v>
      </c>
      <c r="B68" s="41">
        <v>3810680787</v>
      </c>
      <c r="C68" s="41">
        <v>3655436632</v>
      </c>
      <c r="D68" s="41">
        <v>513385258</v>
      </c>
      <c r="E68" s="41">
        <v>3768757022</v>
      </c>
      <c r="F68" s="41">
        <v>3249514466</v>
      </c>
      <c r="G68" s="41">
        <v>64472694</v>
      </c>
      <c r="H68" s="41">
        <v>1616599652</v>
      </c>
      <c r="I68" s="41">
        <v>25933777</v>
      </c>
      <c r="J68" s="41">
        <v>172082</v>
      </c>
      <c r="K68" s="41">
        <v>233815</v>
      </c>
      <c r="L68" s="41">
        <v>427706</v>
      </c>
      <c r="M68" s="41">
        <v>6728444</v>
      </c>
      <c r="N68" s="41">
        <v>97564155</v>
      </c>
      <c r="O68" s="41">
        <v>1170930</v>
      </c>
      <c r="P68" s="41">
        <v>30281646</v>
      </c>
      <c r="Q68" s="41">
        <v>78125532559</v>
      </c>
      <c r="R68" s="41">
        <v>16841359066</v>
      </c>
      <c r="S68" s="43">
        <v>61284173493</v>
      </c>
    </row>
    <row r="69" spans="1:19" x14ac:dyDescent="0.2">
      <c r="A69" s="40" t="s">
        <v>65</v>
      </c>
      <c r="B69" s="41">
        <v>262498219</v>
      </c>
      <c r="C69" s="41">
        <v>219043988</v>
      </c>
      <c r="D69" s="41">
        <v>21226563</v>
      </c>
      <c r="E69" s="41">
        <v>514891665</v>
      </c>
      <c r="F69" s="41">
        <v>52406926</v>
      </c>
      <c r="G69" s="41">
        <v>4132084</v>
      </c>
      <c r="H69" s="41">
        <v>70635758</v>
      </c>
      <c r="I69" s="41">
        <v>435171</v>
      </c>
      <c r="J69" s="41"/>
      <c r="K69" s="41"/>
      <c r="L69" s="41"/>
      <c r="M69" s="41">
        <v>349239</v>
      </c>
      <c r="N69" s="41">
        <v>3099224</v>
      </c>
      <c r="O69" s="41">
        <v>173158</v>
      </c>
      <c r="P69" s="41"/>
      <c r="Q69" s="41">
        <v>3431297840</v>
      </c>
      <c r="R69" s="41">
        <v>1148891995</v>
      </c>
      <c r="S69" s="43">
        <v>2282405845</v>
      </c>
    </row>
    <row r="70" spans="1:19" x14ac:dyDescent="0.2">
      <c r="A70" s="40" t="s">
        <v>66</v>
      </c>
      <c r="B70" s="41">
        <v>546155063</v>
      </c>
      <c r="C70" s="41">
        <v>466443423</v>
      </c>
      <c r="D70" s="41">
        <v>41422182</v>
      </c>
      <c r="E70" s="41">
        <v>1634730381</v>
      </c>
      <c r="F70" s="41">
        <v>273452360</v>
      </c>
      <c r="G70" s="41">
        <v>8396601</v>
      </c>
      <c r="H70" s="41">
        <v>316835693</v>
      </c>
      <c r="I70" s="41">
        <v>5389529</v>
      </c>
      <c r="J70" s="41">
        <v>0</v>
      </c>
      <c r="K70" s="41">
        <v>0</v>
      </c>
      <c r="L70" s="41">
        <v>0</v>
      </c>
      <c r="M70" s="41">
        <v>0</v>
      </c>
      <c r="N70" s="41">
        <v>30822000</v>
      </c>
      <c r="O70" s="41">
        <v>772170</v>
      </c>
      <c r="P70" s="41">
        <v>0</v>
      </c>
      <c r="Q70" s="41">
        <v>48946578160</v>
      </c>
      <c r="R70" s="41">
        <v>3324419402</v>
      </c>
      <c r="S70" s="43">
        <v>45622158758</v>
      </c>
    </row>
    <row r="71" spans="1:19" x14ac:dyDescent="0.2">
      <c r="A71" s="40" t="s">
        <v>67</v>
      </c>
      <c r="B71" s="41">
        <v>156546352</v>
      </c>
      <c r="C71" s="41">
        <v>112588226</v>
      </c>
      <c r="D71" s="41">
        <v>17361252</v>
      </c>
      <c r="E71" s="41">
        <v>166573336</v>
      </c>
      <c r="F71" s="41">
        <v>64095429</v>
      </c>
      <c r="G71" s="41">
        <v>3399678</v>
      </c>
      <c r="H71" s="41">
        <v>38211009</v>
      </c>
      <c r="I71" s="41">
        <v>688007</v>
      </c>
      <c r="J71" s="41"/>
      <c r="K71" s="41"/>
      <c r="L71" s="41"/>
      <c r="M71" s="41">
        <v>87683</v>
      </c>
      <c r="N71" s="41">
        <v>744980</v>
      </c>
      <c r="O71" s="41"/>
      <c r="P71" s="41"/>
      <c r="Q71" s="41">
        <v>1725286747</v>
      </c>
      <c r="R71" s="41">
        <v>560295952</v>
      </c>
      <c r="S71" s="43">
        <v>1164990795</v>
      </c>
    </row>
    <row r="72" spans="1:19" x14ac:dyDescent="0.2">
      <c r="A72" s="40"/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3"/>
    </row>
    <row r="73" spans="1:19" ht="15.75" thickBot="1" x14ac:dyDescent="0.3">
      <c r="A73" s="45" t="s">
        <v>68</v>
      </c>
      <c r="B73" s="46">
        <f>SUM(B5:B71)</f>
        <v>129121986909</v>
      </c>
      <c r="C73" s="46">
        <f>SUM(C5:C71)</f>
        <v>121653813136</v>
      </c>
      <c r="D73" s="46">
        <f>SUM(D5:D71)</f>
        <v>8606568488</v>
      </c>
      <c r="E73" s="46">
        <f>SUM(E5:E71)</f>
        <v>198291592044</v>
      </c>
      <c r="F73" s="46">
        <f t="shared" ref="F73:S73" si="0">SUM(F5:F71)</f>
        <v>111030273865</v>
      </c>
      <c r="G73" s="46">
        <f t="shared" si="0"/>
        <v>2280733875</v>
      </c>
      <c r="H73" s="46">
        <f t="shared" si="0"/>
        <v>40074389571</v>
      </c>
      <c r="I73" s="46">
        <f t="shared" si="0"/>
        <v>522786027</v>
      </c>
      <c r="J73" s="46">
        <f t="shared" si="0"/>
        <v>340930168</v>
      </c>
      <c r="K73" s="46">
        <f t="shared" si="0"/>
        <v>1488738590</v>
      </c>
      <c r="L73" s="46">
        <f t="shared" si="0"/>
        <v>2939116</v>
      </c>
      <c r="M73" s="46">
        <f t="shared" si="0"/>
        <v>57710806</v>
      </c>
      <c r="N73" s="46">
        <f t="shared" si="0"/>
        <v>2608996521</v>
      </c>
      <c r="O73" s="46">
        <f t="shared" si="0"/>
        <v>119505042</v>
      </c>
      <c r="P73" s="46">
        <f>SUM(P5:P71)</f>
        <v>986198386</v>
      </c>
      <c r="Q73" s="46">
        <f t="shared" si="0"/>
        <v>3903574756333</v>
      </c>
      <c r="R73" s="46">
        <f t="shared" si="0"/>
        <v>617187162544</v>
      </c>
      <c r="S73" s="48">
        <f t="shared" si="0"/>
        <v>3286387593789</v>
      </c>
    </row>
    <row r="75" spans="1:19" x14ac:dyDescent="0.2">
      <c r="A75" s="38" t="s">
        <v>116</v>
      </c>
      <c r="S75" s="29"/>
    </row>
  </sheetData>
  <phoneticPr fontId="18" type="noConversion"/>
  <conditionalFormatting sqref="A4:S73">
    <cfRule type="expression" dxfId="2" priority="1" stopIfTrue="1">
      <formula>MOD(ROW(),3)=1</formula>
    </cfRule>
  </conditionalFormatting>
  <pageMargins left="0.75" right="0.75" top="1" bottom="1" header="0.5" footer="0.5"/>
  <pageSetup scale="59" fitToWidth="2" fitToHeight="2" orientation="landscape" r:id="rId1"/>
  <headerFooter alignWithMargins="0"/>
  <rowBreaks count="1" manualBreakCount="1">
    <brk id="37" max="16383" man="1"/>
  </rowBreaks>
  <ignoredErrors>
    <ignoredError sqref="R72:R73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75"/>
  <sheetViews>
    <sheetView zoomScaleNormal="100" workbookViewId="0">
      <pane ySplit="4" topLeftCell="A5" activePane="bottomLeft" state="frozen"/>
      <selection sqref="A1:XFD1048576"/>
      <selection pane="bottomLeft"/>
    </sheetView>
  </sheetViews>
  <sheetFormatPr defaultRowHeight="14.25" x14ac:dyDescent="0.2"/>
  <cols>
    <col min="1" max="1" width="17.7109375" style="2" customWidth="1"/>
    <col min="2" max="2" width="17.5703125" style="2" customWidth="1"/>
    <col min="3" max="3" width="20.5703125" style="2" bestFit="1" customWidth="1"/>
    <col min="4" max="4" width="18.5703125" style="2" bestFit="1" customWidth="1"/>
    <col min="5" max="5" width="13.7109375" style="2" bestFit="1" customWidth="1"/>
    <col min="6" max="6" width="14" style="2" bestFit="1" customWidth="1"/>
    <col min="7" max="7" width="19.42578125" style="2" bestFit="1" customWidth="1"/>
    <col min="8" max="8" width="20.42578125" style="2" bestFit="1" customWidth="1"/>
    <col min="9" max="9" width="20.42578125" style="2" customWidth="1"/>
    <col min="10" max="10" width="23.140625" style="2" customWidth="1"/>
    <col min="11" max="11" width="22.28515625" style="2" bestFit="1" customWidth="1"/>
    <col min="12" max="12" width="22.28515625" style="2" customWidth="1"/>
    <col min="13" max="13" width="9.140625" style="2"/>
    <col min="14" max="14" width="11.28515625" style="2" bestFit="1" customWidth="1"/>
    <col min="15" max="16384" width="9.140625" style="2"/>
  </cols>
  <sheetData>
    <row r="1" spans="1:14" ht="23.25" x14ac:dyDescent="0.35">
      <c r="A1" s="6" t="s">
        <v>99</v>
      </c>
    </row>
    <row r="2" spans="1:14" ht="15" x14ac:dyDescent="0.25">
      <c r="A2" s="11">
        <v>2025</v>
      </c>
    </row>
    <row r="3" spans="1:14" ht="15" thickBot="1" x14ac:dyDescent="0.25">
      <c r="A3" s="39"/>
    </row>
    <row r="4" spans="1:14" s="58" customFormat="1" ht="38.25" x14ac:dyDescent="0.25">
      <c r="A4" s="50" t="s">
        <v>1</v>
      </c>
      <c r="B4" s="55" t="s">
        <v>82</v>
      </c>
      <c r="C4" s="55" t="s">
        <v>83</v>
      </c>
      <c r="D4" s="55" t="s">
        <v>70</v>
      </c>
      <c r="E4" s="55" t="s">
        <v>84</v>
      </c>
      <c r="F4" s="55" t="s">
        <v>85</v>
      </c>
      <c r="G4" s="55" t="s">
        <v>86</v>
      </c>
      <c r="H4" s="55" t="s">
        <v>87</v>
      </c>
      <c r="I4" s="56" t="s">
        <v>112</v>
      </c>
      <c r="J4" s="56" t="s">
        <v>74</v>
      </c>
      <c r="K4" s="56" t="s">
        <v>75</v>
      </c>
      <c r="L4" s="57" t="s">
        <v>76</v>
      </c>
      <c r="M4" s="54"/>
    </row>
    <row r="5" spans="1:14" x14ac:dyDescent="0.2">
      <c r="A5" s="40" t="s">
        <v>2</v>
      </c>
      <c r="B5" s="41">
        <v>86088044</v>
      </c>
      <c r="C5" s="41">
        <v>2330549253</v>
      </c>
      <c r="D5" s="41">
        <v>182829620</v>
      </c>
      <c r="E5" s="41"/>
      <c r="F5" s="41"/>
      <c r="G5" s="41"/>
      <c r="H5" s="41"/>
      <c r="I5" s="42">
        <v>0</v>
      </c>
      <c r="J5" s="42">
        <v>4310056589</v>
      </c>
      <c r="K5" s="42">
        <v>2599466917</v>
      </c>
      <c r="L5" s="43">
        <v>1710589672</v>
      </c>
      <c r="M5" s="44"/>
      <c r="N5" s="29"/>
    </row>
    <row r="6" spans="1:14" x14ac:dyDescent="0.2">
      <c r="A6" s="40" t="s">
        <v>3</v>
      </c>
      <c r="B6" s="41">
        <v>6446811</v>
      </c>
      <c r="C6" s="41">
        <v>6015278</v>
      </c>
      <c r="D6" s="41">
        <v>12693977</v>
      </c>
      <c r="E6" s="41"/>
      <c r="F6" s="41"/>
      <c r="G6" s="41"/>
      <c r="H6" s="41"/>
      <c r="I6" s="42">
        <v>0</v>
      </c>
      <c r="J6" s="42">
        <v>313979575</v>
      </c>
      <c r="K6" s="42">
        <v>25156066</v>
      </c>
      <c r="L6" s="43">
        <v>288823509</v>
      </c>
      <c r="N6" s="29"/>
    </row>
    <row r="7" spans="1:14" x14ac:dyDescent="0.2">
      <c r="A7" s="40" t="s">
        <v>4</v>
      </c>
      <c r="B7" s="41">
        <v>92183465</v>
      </c>
      <c r="C7" s="41">
        <v>526003377</v>
      </c>
      <c r="D7" s="41">
        <v>17961290</v>
      </c>
      <c r="E7" s="41"/>
      <c r="F7" s="41"/>
      <c r="G7" s="41"/>
      <c r="H7" s="41">
        <v>21682691</v>
      </c>
      <c r="I7" s="42">
        <v>0</v>
      </c>
      <c r="J7" s="42">
        <v>2710437850</v>
      </c>
      <c r="K7" s="42">
        <v>657830823</v>
      </c>
      <c r="L7" s="43">
        <v>2052607027</v>
      </c>
      <c r="N7" s="29"/>
    </row>
    <row r="8" spans="1:14" x14ac:dyDescent="0.2">
      <c r="A8" s="40" t="s">
        <v>5</v>
      </c>
      <c r="B8" s="41">
        <v>8953069</v>
      </c>
      <c r="C8" s="41">
        <v>860089</v>
      </c>
      <c r="D8" s="41">
        <v>301529</v>
      </c>
      <c r="E8" s="41"/>
      <c r="F8" s="41"/>
      <c r="G8" s="41"/>
      <c r="H8" s="41"/>
      <c r="I8" s="42">
        <v>0</v>
      </c>
      <c r="J8" s="42">
        <v>360257134</v>
      </c>
      <c r="K8" s="42">
        <v>10114687</v>
      </c>
      <c r="L8" s="43">
        <v>350142447</v>
      </c>
      <c r="N8" s="29"/>
    </row>
    <row r="9" spans="1:14" x14ac:dyDescent="0.2">
      <c r="A9" s="40" t="s">
        <v>6</v>
      </c>
      <c r="B9" s="41">
        <v>168669645</v>
      </c>
      <c r="C9" s="41">
        <v>6043207140</v>
      </c>
      <c r="D9" s="41">
        <v>759686075</v>
      </c>
      <c r="E9" s="41">
        <v>65070</v>
      </c>
      <c r="F9" s="41">
        <v>11320</v>
      </c>
      <c r="G9" s="41"/>
      <c r="H9" s="41">
        <v>36285628</v>
      </c>
      <c r="I9" s="42">
        <v>274185368</v>
      </c>
      <c r="J9" s="42">
        <v>12872899950</v>
      </c>
      <c r="K9" s="42">
        <v>7282110246</v>
      </c>
      <c r="L9" s="43">
        <v>5590789704</v>
      </c>
      <c r="N9" s="29"/>
    </row>
    <row r="10" spans="1:14" x14ac:dyDescent="0.2">
      <c r="A10" s="40" t="s">
        <v>7</v>
      </c>
      <c r="B10" s="41">
        <v>837775178</v>
      </c>
      <c r="C10" s="41">
        <v>19806660</v>
      </c>
      <c r="D10" s="41">
        <v>197382893</v>
      </c>
      <c r="E10" s="41"/>
      <c r="F10" s="41"/>
      <c r="G10" s="41"/>
      <c r="H10" s="41"/>
      <c r="I10" s="42">
        <v>0</v>
      </c>
      <c r="J10" s="42">
        <v>12815812408</v>
      </c>
      <c r="K10" s="42">
        <v>1054964731</v>
      </c>
      <c r="L10" s="43">
        <v>11760847677</v>
      </c>
      <c r="N10" s="29"/>
    </row>
    <row r="11" spans="1:14" x14ac:dyDescent="0.2">
      <c r="A11" s="40" t="s">
        <v>8</v>
      </c>
      <c r="B11" s="41">
        <v>4487753</v>
      </c>
      <c r="C11" s="41">
        <v>5798658</v>
      </c>
      <c r="D11" s="41">
        <v>32582</v>
      </c>
      <c r="E11" s="41"/>
      <c r="F11" s="41"/>
      <c r="G11" s="41"/>
      <c r="H11" s="41"/>
      <c r="I11" s="42">
        <v>258362660</v>
      </c>
      <c r="J11" s="42">
        <v>514353255</v>
      </c>
      <c r="K11" s="42">
        <v>268681653</v>
      </c>
      <c r="L11" s="43">
        <v>245671602</v>
      </c>
      <c r="N11" s="29"/>
    </row>
    <row r="12" spans="1:14" x14ac:dyDescent="0.2">
      <c r="A12" s="40" t="s">
        <v>9</v>
      </c>
      <c r="B12" s="41">
        <v>102472638</v>
      </c>
      <c r="C12" s="41">
        <v>198441900</v>
      </c>
      <c r="D12" s="41">
        <v>75987438</v>
      </c>
      <c r="E12" s="41">
        <v>3500</v>
      </c>
      <c r="F12" s="41">
        <v>12000</v>
      </c>
      <c r="G12" s="41"/>
      <c r="H12" s="41">
        <v>5490564</v>
      </c>
      <c r="I12" s="42">
        <v>52343996</v>
      </c>
      <c r="J12" s="42">
        <v>2062477549</v>
      </c>
      <c r="K12" s="42">
        <v>434752036</v>
      </c>
      <c r="L12" s="43">
        <v>1627725513</v>
      </c>
      <c r="N12" s="29"/>
    </row>
    <row r="13" spans="1:14" x14ac:dyDescent="0.2">
      <c r="A13" s="40" t="s">
        <v>10</v>
      </c>
      <c r="B13" s="41">
        <v>57369641</v>
      </c>
      <c r="C13" s="41">
        <v>6215981</v>
      </c>
      <c r="D13" s="41">
        <v>758166</v>
      </c>
      <c r="E13" s="41"/>
      <c r="F13" s="41">
        <v>17840</v>
      </c>
      <c r="G13" s="41"/>
      <c r="H13" s="41"/>
      <c r="I13" s="42">
        <v>71916197</v>
      </c>
      <c r="J13" s="42">
        <v>2252801276</v>
      </c>
      <c r="K13" s="42">
        <v>136277825</v>
      </c>
      <c r="L13" s="43">
        <v>2116523451</v>
      </c>
      <c r="N13" s="29"/>
    </row>
    <row r="14" spans="1:14" x14ac:dyDescent="0.2">
      <c r="A14" s="40" t="s">
        <v>11</v>
      </c>
      <c r="B14" s="41">
        <v>49313323</v>
      </c>
      <c r="C14" s="41">
        <v>603163702</v>
      </c>
      <c r="D14" s="41">
        <v>88597086</v>
      </c>
      <c r="E14" s="41"/>
      <c r="F14" s="41"/>
      <c r="G14" s="41"/>
      <c r="H14" s="41"/>
      <c r="I14" s="42">
        <v>0</v>
      </c>
      <c r="J14" s="42">
        <v>2298977024</v>
      </c>
      <c r="K14" s="42">
        <v>741074111</v>
      </c>
      <c r="L14" s="43">
        <v>1557902913</v>
      </c>
      <c r="N14" s="29"/>
    </row>
    <row r="15" spans="1:14" x14ac:dyDescent="0.2">
      <c r="A15" s="40" t="s">
        <v>12</v>
      </c>
      <c r="B15" s="41">
        <v>160261706</v>
      </c>
      <c r="C15" s="41">
        <v>184918814</v>
      </c>
      <c r="D15" s="41">
        <v>115050670</v>
      </c>
      <c r="E15" s="41"/>
      <c r="F15" s="41"/>
      <c r="G15" s="41"/>
      <c r="H15" s="41"/>
      <c r="I15" s="42">
        <v>1513262</v>
      </c>
      <c r="J15" s="42">
        <v>3548257627</v>
      </c>
      <c r="K15" s="42">
        <v>461744452</v>
      </c>
      <c r="L15" s="43">
        <v>3086513175</v>
      </c>
      <c r="N15" s="29"/>
    </row>
    <row r="16" spans="1:14" x14ac:dyDescent="0.2">
      <c r="A16" s="40" t="s">
        <v>13</v>
      </c>
      <c r="B16" s="41">
        <v>22683240</v>
      </c>
      <c r="C16" s="41">
        <v>22970320</v>
      </c>
      <c r="D16" s="41">
        <v>8835033</v>
      </c>
      <c r="E16" s="41"/>
      <c r="F16" s="41"/>
      <c r="G16" s="41"/>
      <c r="H16" s="41">
        <v>11326065</v>
      </c>
      <c r="I16" s="42">
        <v>240927188</v>
      </c>
      <c r="J16" s="42">
        <v>1182344935</v>
      </c>
      <c r="K16" s="42">
        <v>306741846</v>
      </c>
      <c r="L16" s="43">
        <v>875603089</v>
      </c>
      <c r="N16" s="29"/>
    </row>
    <row r="17" spans="1:14" x14ac:dyDescent="0.2">
      <c r="A17" s="40" t="s">
        <v>106</v>
      </c>
      <c r="B17" s="41">
        <v>1118310863</v>
      </c>
      <c r="C17" s="41">
        <v>46936730</v>
      </c>
      <c r="D17" s="41">
        <v>1274093593</v>
      </c>
      <c r="E17" s="41"/>
      <c r="F17" s="41"/>
      <c r="G17" s="41"/>
      <c r="H17" s="41"/>
      <c r="I17" s="42">
        <v>8832095</v>
      </c>
      <c r="J17" s="42">
        <v>23910446668</v>
      </c>
      <c r="K17" s="42">
        <v>2448173281</v>
      </c>
      <c r="L17" s="43">
        <v>21462273387</v>
      </c>
      <c r="N17" s="29"/>
    </row>
    <row r="18" spans="1:14" x14ac:dyDescent="0.2">
      <c r="A18" s="40" t="s">
        <v>14</v>
      </c>
      <c r="B18" s="41">
        <v>19478356</v>
      </c>
      <c r="C18" s="41">
        <v>476483</v>
      </c>
      <c r="D18" s="41">
        <v>307492</v>
      </c>
      <c r="E18" s="41"/>
      <c r="F18" s="41"/>
      <c r="G18" s="41"/>
      <c r="H18" s="41"/>
      <c r="I18" s="42">
        <v>96902768</v>
      </c>
      <c r="J18" s="42">
        <v>890281422</v>
      </c>
      <c r="K18" s="42">
        <v>117165099</v>
      </c>
      <c r="L18" s="43">
        <v>773116323</v>
      </c>
      <c r="N18" s="29"/>
    </row>
    <row r="19" spans="1:14" x14ac:dyDescent="0.2">
      <c r="A19" s="40" t="s">
        <v>15</v>
      </c>
      <c r="B19" s="41">
        <v>3792573</v>
      </c>
      <c r="C19" s="41"/>
      <c r="D19" s="41"/>
      <c r="E19" s="41"/>
      <c r="F19" s="41"/>
      <c r="G19" s="41"/>
      <c r="H19" s="41"/>
      <c r="I19" s="42">
        <v>0</v>
      </c>
      <c r="J19" s="42">
        <v>124984171</v>
      </c>
      <c r="K19" s="42">
        <v>3792573</v>
      </c>
      <c r="L19" s="43">
        <v>121191598</v>
      </c>
      <c r="N19" s="29"/>
    </row>
    <row r="20" spans="1:14" x14ac:dyDescent="0.2">
      <c r="A20" s="40" t="s">
        <v>16</v>
      </c>
      <c r="B20" s="41">
        <v>277085362</v>
      </c>
      <c r="C20" s="41">
        <v>6619791627</v>
      </c>
      <c r="D20" s="41">
        <v>929800260</v>
      </c>
      <c r="E20" s="41">
        <v>0</v>
      </c>
      <c r="F20" s="41">
        <v>0</v>
      </c>
      <c r="G20" s="41">
        <v>0</v>
      </c>
      <c r="H20" s="41">
        <v>0</v>
      </c>
      <c r="I20" s="42">
        <v>37514460</v>
      </c>
      <c r="J20" s="42">
        <v>17103292299</v>
      </c>
      <c r="K20" s="42">
        <v>7864191709</v>
      </c>
      <c r="L20" s="43">
        <v>9239100590</v>
      </c>
      <c r="N20" s="29"/>
    </row>
    <row r="21" spans="1:14" x14ac:dyDescent="0.2">
      <c r="A21" s="40" t="s">
        <v>17</v>
      </c>
      <c r="B21" s="41">
        <v>104038294</v>
      </c>
      <c r="C21" s="41"/>
      <c r="D21" s="41">
        <v>213222134</v>
      </c>
      <c r="E21" s="41"/>
      <c r="F21" s="41"/>
      <c r="G21" s="41"/>
      <c r="H21" s="41">
        <v>22539892</v>
      </c>
      <c r="I21" s="42">
        <v>355469178</v>
      </c>
      <c r="J21" s="42">
        <v>4804569679</v>
      </c>
      <c r="K21" s="42">
        <v>695269498</v>
      </c>
      <c r="L21" s="43">
        <v>4109300181</v>
      </c>
      <c r="N21" s="29"/>
    </row>
    <row r="22" spans="1:14" x14ac:dyDescent="0.2">
      <c r="A22" s="40" t="s">
        <v>18</v>
      </c>
      <c r="B22" s="41">
        <v>30383478</v>
      </c>
      <c r="C22" s="41">
        <v>291996560</v>
      </c>
      <c r="D22" s="41">
        <v>242613164</v>
      </c>
      <c r="E22" s="41">
        <v>36953</v>
      </c>
      <c r="F22" s="41">
        <v>49508</v>
      </c>
      <c r="G22" s="41"/>
      <c r="H22" s="41"/>
      <c r="I22" s="42">
        <v>6944000</v>
      </c>
      <c r="J22" s="42">
        <v>1250065354</v>
      </c>
      <c r="K22" s="42">
        <v>572023663</v>
      </c>
      <c r="L22" s="43">
        <v>678041691</v>
      </c>
      <c r="N22" s="29"/>
    </row>
    <row r="23" spans="1:14" x14ac:dyDescent="0.2">
      <c r="A23" s="40" t="s">
        <v>19</v>
      </c>
      <c r="B23" s="41">
        <v>4989752</v>
      </c>
      <c r="C23" s="41"/>
      <c r="D23" s="41">
        <v>131</v>
      </c>
      <c r="E23" s="41"/>
      <c r="F23" s="41"/>
      <c r="G23" s="41"/>
      <c r="H23" s="41"/>
      <c r="I23" s="42"/>
      <c r="J23" s="42">
        <v>112526489</v>
      </c>
      <c r="K23" s="42">
        <v>4989883</v>
      </c>
      <c r="L23" s="43">
        <v>107536606</v>
      </c>
      <c r="N23" s="29"/>
    </row>
    <row r="24" spans="1:14" x14ac:dyDescent="0.2">
      <c r="A24" s="40" t="s">
        <v>20</v>
      </c>
      <c r="B24" s="41">
        <v>13503207</v>
      </c>
      <c r="C24" s="41">
        <v>258463175</v>
      </c>
      <c r="D24" s="41">
        <v>666853</v>
      </c>
      <c r="E24" s="41">
        <v>5974</v>
      </c>
      <c r="F24" s="41"/>
      <c r="G24" s="41"/>
      <c r="H24" s="41"/>
      <c r="I24" s="42">
        <v>82272871</v>
      </c>
      <c r="J24" s="42">
        <v>938013359</v>
      </c>
      <c r="K24" s="42">
        <v>354912080</v>
      </c>
      <c r="L24" s="43">
        <v>583101279</v>
      </c>
      <c r="N24" s="29"/>
    </row>
    <row r="25" spans="1:14" x14ac:dyDescent="0.2">
      <c r="A25" s="40" t="s">
        <v>21</v>
      </c>
      <c r="B25" s="41">
        <v>6313497</v>
      </c>
      <c r="C25" s="41"/>
      <c r="D25" s="41">
        <v>392352</v>
      </c>
      <c r="E25" s="41"/>
      <c r="F25" s="41"/>
      <c r="G25" s="41"/>
      <c r="H25" s="41"/>
      <c r="I25" s="42">
        <v>0</v>
      </c>
      <c r="J25" s="42">
        <v>485117623</v>
      </c>
      <c r="K25" s="42">
        <v>6705849</v>
      </c>
      <c r="L25" s="43">
        <v>478411774</v>
      </c>
      <c r="N25" s="29"/>
    </row>
    <row r="26" spans="1:14" x14ac:dyDescent="0.2">
      <c r="A26" s="40" t="s">
        <v>22</v>
      </c>
      <c r="B26" s="41">
        <v>19521467</v>
      </c>
      <c r="C26" s="41">
        <v>11315297</v>
      </c>
      <c r="D26" s="41">
        <v>2433321</v>
      </c>
      <c r="E26" s="41"/>
      <c r="F26" s="41"/>
      <c r="G26" s="41"/>
      <c r="H26" s="41"/>
      <c r="I26" s="42">
        <v>302514</v>
      </c>
      <c r="J26" s="42">
        <v>211850012</v>
      </c>
      <c r="K26" s="42">
        <v>33572599</v>
      </c>
      <c r="L26" s="43">
        <v>178277413</v>
      </c>
      <c r="N26" s="29"/>
    </row>
    <row r="27" spans="1:14" x14ac:dyDescent="0.2">
      <c r="A27" s="40" t="s">
        <v>23</v>
      </c>
      <c r="B27" s="41">
        <v>5755896</v>
      </c>
      <c r="C27" s="41">
        <v>4327536</v>
      </c>
      <c r="D27" s="41">
        <v>72847</v>
      </c>
      <c r="E27" s="41"/>
      <c r="F27" s="41"/>
      <c r="G27" s="41"/>
      <c r="H27" s="41"/>
      <c r="I27" s="42">
        <v>0</v>
      </c>
      <c r="J27" s="42">
        <v>167278624</v>
      </c>
      <c r="K27" s="42">
        <v>10156279</v>
      </c>
      <c r="L27" s="43">
        <v>157122345</v>
      </c>
      <c r="N27" s="29"/>
    </row>
    <row r="28" spans="1:14" x14ac:dyDescent="0.2">
      <c r="A28" s="40" t="s">
        <v>24</v>
      </c>
      <c r="B28" s="41">
        <v>6829614</v>
      </c>
      <c r="C28" s="41"/>
      <c r="D28" s="41">
        <v>1141579</v>
      </c>
      <c r="E28" s="41"/>
      <c r="F28" s="41"/>
      <c r="G28" s="41"/>
      <c r="H28" s="41"/>
      <c r="I28" s="42">
        <v>0</v>
      </c>
      <c r="J28" s="42">
        <v>679561332</v>
      </c>
      <c r="K28" s="42">
        <v>7971193</v>
      </c>
      <c r="L28" s="43">
        <v>671590139</v>
      </c>
      <c r="N28" s="29"/>
    </row>
    <row r="29" spans="1:14" x14ac:dyDescent="0.2">
      <c r="A29" s="40" t="s">
        <v>25</v>
      </c>
      <c r="B29" s="41">
        <v>18122899</v>
      </c>
      <c r="C29" s="41"/>
      <c r="D29" s="41">
        <v>4881386</v>
      </c>
      <c r="E29" s="41"/>
      <c r="F29" s="41"/>
      <c r="G29" s="41"/>
      <c r="H29" s="41"/>
      <c r="I29" s="42">
        <v>0</v>
      </c>
      <c r="J29" s="42">
        <v>1215984743</v>
      </c>
      <c r="K29" s="42">
        <v>23004285</v>
      </c>
      <c r="L29" s="43">
        <v>1192980458</v>
      </c>
      <c r="N29" s="29"/>
    </row>
    <row r="30" spans="1:14" x14ac:dyDescent="0.2">
      <c r="A30" s="40" t="s">
        <v>26</v>
      </c>
      <c r="B30" s="41">
        <v>18785137</v>
      </c>
      <c r="C30" s="41">
        <v>51943860</v>
      </c>
      <c r="D30" s="41">
        <v>5157919</v>
      </c>
      <c r="E30" s="41">
        <v>5000</v>
      </c>
      <c r="F30" s="41"/>
      <c r="G30" s="41"/>
      <c r="H30" s="41"/>
      <c r="I30" s="42">
        <v>194866102</v>
      </c>
      <c r="J30" s="42">
        <v>1774426554</v>
      </c>
      <c r="K30" s="42">
        <v>270758018</v>
      </c>
      <c r="L30" s="43">
        <v>1503668536</v>
      </c>
      <c r="N30" s="29"/>
    </row>
    <row r="31" spans="1:14" x14ac:dyDescent="0.2">
      <c r="A31" s="40" t="s">
        <v>27</v>
      </c>
      <c r="B31" s="41">
        <v>60062190</v>
      </c>
      <c r="C31" s="41">
        <v>588547977</v>
      </c>
      <c r="D31" s="41">
        <v>2978938</v>
      </c>
      <c r="E31" s="41"/>
      <c r="F31" s="41"/>
      <c r="G31" s="41"/>
      <c r="H31" s="41"/>
      <c r="I31" s="42"/>
      <c r="J31" s="42">
        <v>2321631203</v>
      </c>
      <c r="K31" s="42">
        <v>651589105</v>
      </c>
      <c r="L31" s="43">
        <v>1670042098</v>
      </c>
      <c r="N31" s="29"/>
    </row>
    <row r="32" spans="1:14" x14ac:dyDescent="0.2">
      <c r="A32" s="40" t="s">
        <v>28</v>
      </c>
      <c r="B32" s="41">
        <v>109318994</v>
      </c>
      <c r="C32" s="41">
        <v>12740198</v>
      </c>
      <c r="D32" s="41">
        <v>9533425</v>
      </c>
      <c r="E32" s="41">
        <v>87500</v>
      </c>
      <c r="F32" s="41">
        <v>167500</v>
      </c>
      <c r="G32" s="41">
        <v>0</v>
      </c>
      <c r="H32" s="41">
        <v>0</v>
      </c>
      <c r="I32" s="42">
        <v>0</v>
      </c>
      <c r="J32" s="42">
        <v>900340568</v>
      </c>
      <c r="K32" s="42">
        <v>131847617</v>
      </c>
      <c r="L32" s="43">
        <v>768492951</v>
      </c>
      <c r="N32" s="29"/>
    </row>
    <row r="33" spans="1:14" x14ac:dyDescent="0.2">
      <c r="A33" s="40" t="s">
        <v>29</v>
      </c>
      <c r="B33" s="41">
        <v>393053123</v>
      </c>
      <c r="C33" s="41">
        <v>991579790</v>
      </c>
      <c r="D33" s="41">
        <v>1475969580</v>
      </c>
      <c r="E33" s="41"/>
      <c r="F33" s="41">
        <v>1000</v>
      </c>
      <c r="G33" s="41"/>
      <c r="H33" s="41">
        <v>36625361</v>
      </c>
      <c r="I33" s="42">
        <v>0</v>
      </c>
      <c r="J33" s="42">
        <v>14813877120</v>
      </c>
      <c r="K33" s="42">
        <v>2897228854</v>
      </c>
      <c r="L33" s="43">
        <v>11916648266</v>
      </c>
      <c r="N33" s="29"/>
    </row>
    <row r="34" spans="1:14" x14ac:dyDescent="0.2">
      <c r="A34" s="40" t="s">
        <v>30</v>
      </c>
      <c r="B34" s="41">
        <v>11809160</v>
      </c>
      <c r="C34" s="41">
        <v>6405661</v>
      </c>
      <c r="D34" s="41">
        <v>664346</v>
      </c>
      <c r="E34" s="41"/>
      <c r="F34" s="41"/>
      <c r="G34" s="41"/>
      <c r="H34" s="41"/>
      <c r="I34" s="42"/>
      <c r="J34" s="42">
        <v>167526344</v>
      </c>
      <c r="K34" s="42">
        <v>18879167</v>
      </c>
      <c r="L34" s="43">
        <v>148647177</v>
      </c>
      <c r="N34" s="29"/>
    </row>
    <row r="35" spans="1:14" x14ac:dyDescent="0.2">
      <c r="A35" s="40" t="s">
        <v>31</v>
      </c>
      <c r="B35" s="41">
        <v>48371935</v>
      </c>
      <c r="C35" s="41">
        <v>10440976</v>
      </c>
      <c r="D35" s="41">
        <v>86612513</v>
      </c>
      <c r="E35" s="41">
        <v>33800</v>
      </c>
      <c r="F35" s="41">
        <v>16211</v>
      </c>
      <c r="G35" s="41"/>
      <c r="H35" s="41"/>
      <c r="I35" s="42">
        <v>0</v>
      </c>
      <c r="J35" s="42">
        <v>1460638944</v>
      </c>
      <c r="K35" s="42">
        <v>145475435</v>
      </c>
      <c r="L35" s="43">
        <v>1315163509</v>
      </c>
      <c r="N35" s="29"/>
    </row>
    <row r="36" spans="1:14" x14ac:dyDescent="0.2">
      <c r="A36" s="40" t="s">
        <v>32</v>
      </c>
      <c r="B36" s="41">
        <v>18088294</v>
      </c>
      <c r="C36" s="41">
        <v>51685054</v>
      </c>
      <c r="D36" s="41">
        <v>605912</v>
      </c>
      <c r="E36" s="41"/>
      <c r="F36" s="41"/>
      <c r="G36" s="41"/>
      <c r="H36" s="41"/>
      <c r="I36" s="42">
        <v>0</v>
      </c>
      <c r="J36" s="42">
        <v>569241907</v>
      </c>
      <c r="K36" s="42">
        <v>70379260</v>
      </c>
      <c r="L36" s="43">
        <v>498862647</v>
      </c>
      <c r="N36" s="29"/>
    </row>
    <row r="37" spans="1:14" x14ac:dyDescent="0.2">
      <c r="A37" s="40" t="s">
        <v>33</v>
      </c>
      <c r="B37" s="41">
        <v>13213714</v>
      </c>
      <c r="C37" s="41">
        <v>6641238</v>
      </c>
      <c r="D37" s="41">
        <v>260875</v>
      </c>
      <c r="E37" s="41">
        <v>5000</v>
      </c>
      <c r="F37" s="41"/>
      <c r="G37" s="41"/>
      <c r="H37" s="41"/>
      <c r="I37" s="42">
        <v>0</v>
      </c>
      <c r="J37" s="42">
        <v>288704658</v>
      </c>
      <c r="K37" s="42">
        <v>20120827</v>
      </c>
      <c r="L37" s="43">
        <v>268583831</v>
      </c>
      <c r="N37" s="29"/>
    </row>
    <row r="38" spans="1:14" x14ac:dyDescent="0.2">
      <c r="A38" s="40" t="s">
        <v>34</v>
      </c>
      <c r="B38" s="41">
        <v>2762756</v>
      </c>
      <c r="C38" s="41">
        <v>4335826</v>
      </c>
      <c r="D38" s="41">
        <v>98402</v>
      </c>
      <c r="E38" s="41"/>
      <c r="F38" s="41"/>
      <c r="G38" s="41"/>
      <c r="H38" s="41"/>
      <c r="I38" s="42"/>
      <c r="J38" s="42">
        <v>78953209</v>
      </c>
      <c r="K38" s="42">
        <v>7196984</v>
      </c>
      <c r="L38" s="43">
        <v>71756225</v>
      </c>
      <c r="N38" s="29"/>
    </row>
    <row r="39" spans="1:14" x14ac:dyDescent="0.2">
      <c r="A39" s="40" t="s">
        <v>35</v>
      </c>
      <c r="B39" s="41">
        <v>130547541</v>
      </c>
      <c r="C39" s="41">
        <v>169853371</v>
      </c>
      <c r="D39" s="41">
        <v>309077251</v>
      </c>
      <c r="E39" s="41"/>
      <c r="F39" s="41"/>
      <c r="G39" s="41"/>
      <c r="H39" s="41"/>
      <c r="I39" s="42"/>
      <c r="J39" s="42">
        <v>2809427663</v>
      </c>
      <c r="K39" s="42">
        <v>609478163</v>
      </c>
      <c r="L39" s="43">
        <v>2199949500</v>
      </c>
      <c r="N39" s="29"/>
    </row>
    <row r="40" spans="1:14" x14ac:dyDescent="0.2">
      <c r="A40" s="40" t="s">
        <v>36</v>
      </c>
      <c r="B40" s="41">
        <v>402854776</v>
      </c>
      <c r="C40" s="41">
        <v>219096406</v>
      </c>
      <c r="D40" s="41">
        <v>247011542</v>
      </c>
      <c r="E40" s="41">
        <v>788787</v>
      </c>
      <c r="F40" s="41">
        <v>155808</v>
      </c>
      <c r="G40" s="41"/>
      <c r="H40" s="41"/>
      <c r="I40" s="42">
        <v>2932471</v>
      </c>
      <c r="J40" s="42">
        <v>7537686793</v>
      </c>
      <c r="K40" s="42">
        <v>872839790</v>
      </c>
      <c r="L40" s="43">
        <v>6664847003</v>
      </c>
      <c r="N40" s="29"/>
    </row>
    <row r="41" spans="1:14" x14ac:dyDescent="0.2">
      <c r="A41" s="40" t="s">
        <v>37</v>
      </c>
      <c r="B41" s="41">
        <v>121281379</v>
      </c>
      <c r="C41" s="41">
        <v>895626173</v>
      </c>
      <c r="D41" s="41">
        <v>29375441</v>
      </c>
      <c r="E41" s="41"/>
      <c r="F41" s="41">
        <v>500</v>
      </c>
      <c r="G41" s="41"/>
      <c r="H41" s="41"/>
      <c r="I41" s="42">
        <v>27014373</v>
      </c>
      <c r="J41" s="42">
        <v>2658441666</v>
      </c>
      <c r="K41" s="42">
        <v>1073297866</v>
      </c>
      <c r="L41" s="43">
        <v>1585143800</v>
      </c>
      <c r="N41" s="29"/>
    </row>
    <row r="42" spans="1:14" x14ac:dyDescent="0.2">
      <c r="A42" s="40" t="s">
        <v>38</v>
      </c>
      <c r="B42" s="41">
        <v>25158499</v>
      </c>
      <c r="C42" s="41"/>
      <c r="D42" s="41"/>
      <c r="E42" s="41"/>
      <c r="F42" s="41"/>
      <c r="G42" s="41"/>
      <c r="H42" s="41"/>
      <c r="I42" s="42">
        <v>77561124</v>
      </c>
      <c r="J42" s="42">
        <v>619400055</v>
      </c>
      <c r="K42" s="42">
        <v>102719623</v>
      </c>
      <c r="L42" s="43">
        <v>516680432</v>
      </c>
      <c r="N42" s="29"/>
    </row>
    <row r="43" spans="1:14" x14ac:dyDescent="0.2">
      <c r="A43" s="40" t="s">
        <v>39</v>
      </c>
      <c r="B43" s="41">
        <v>2221133</v>
      </c>
      <c r="C43" s="41">
        <v>570881</v>
      </c>
      <c r="D43" s="41">
        <v>12932</v>
      </c>
      <c r="E43" s="41"/>
      <c r="F43" s="41"/>
      <c r="G43" s="41"/>
      <c r="H43" s="41"/>
      <c r="I43" s="42">
        <v>818218</v>
      </c>
      <c r="J43" s="42">
        <v>179139345</v>
      </c>
      <c r="K43" s="42">
        <v>3623164</v>
      </c>
      <c r="L43" s="43">
        <v>175516181</v>
      </c>
      <c r="N43" s="29"/>
    </row>
    <row r="44" spans="1:14" x14ac:dyDescent="0.2">
      <c r="A44" s="40" t="s">
        <v>40</v>
      </c>
      <c r="B44" s="41">
        <v>12805897</v>
      </c>
      <c r="C44" s="41"/>
      <c r="D44" s="41">
        <v>700894</v>
      </c>
      <c r="E44" s="41"/>
      <c r="F44" s="41"/>
      <c r="G44" s="41"/>
      <c r="H44" s="41"/>
      <c r="I44" s="42">
        <v>0</v>
      </c>
      <c r="J44" s="42">
        <v>429802001</v>
      </c>
      <c r="K44" s="42">
        <v>13506791</v>
      </c>
      <c r="L44" s="43">
        <v>416295210</v>
      </c>
      <c r="N44" s="29"/>
    </row>
    <row r="45" spans="1:14" x14ac:dyDescent="0.2">
      <c r="A45" s="40" t="s">
        <v>41</v>
      </c>
      <c r="B45" s="41">
        <v>145219555</v>
      </c>
      <c r="C45" s="41">
        <v>4416855</v>
      </c>
      <c r="D45" s="41">
        <v>53095704</v>
      </c>
      <c r="E45" s="41">
        <v>60520</v>
      </c>
      <c r="F45" s="41">
        <v>52646</v>
      </c>
      <c r="G45" s="41"/>
      <c r="H45" s="41">
        <v>32041809</v>
      </c>
      <c r="I45" s="42">
        <v>0</v>
      </c>
      <c r="J45" s="42">
        <v>5177933443</v>
      </c>
      <c r="K45" s="42">
        <v>234887089</v>
      </c>
      <c r="L45" s="43">
        <v>4943046354</v>
      </c>
      <c r="N45" s="29"/>
    </row>
    <row r="46" spans="1:14" x14ac:dyDescent="0.2">
      <c r="A46" s="40" t="s">
        <v>42</v>
      </c>
      <c r="B46" s="41">
        <v>129088328</v>
      </c>
      <c r="C46" s="41">
        <v>22478396</v>
      </c>
      <c r="D46" s="41">
        <v>67645533</v>
      </c>
      <c r="E46" s="41"/>
      <c r="F46" s="41">
        <v>4774</v>
      </c>
      <c r="G46" s="41"/>
      <c r="H46" s="41"/>
      <c r="I46" s="42">
        <v>1878222</v>
      </c>
      <c r="J46" s="42">
        <v>2978345969</v>
      </c>
      <c r="K46" s="42">
        <v>221095253</v>
      </c>
      <c r="L46" s="43">
        <v>2757250716</v>
      </c>
      <c r="N46" s="29"/>
    </row>
    <row r="47" spans="1:14" x14ac:dyDescent="0.2">
      <c r="A47" s="40" t="s">
        <v>43</v>
      </c>
      <c r="B47" s="41">
        <v>71107365</v>
      </c>
      <c r="C47" s="41">
        <v>26749461</v>
      </c>
      <c r="D47" s="41">
        <v>99580571</v>
      </c>
      <c r="E47" s="41"/>
      <c r="F47" s="41"/>
      <c r="G47" s="41"/>
      <c r="H47" s="41"/>
      <c r="I47" s="42">
        <v>195286128</v>
      </c>
      <c r="J47" s="42">
        <v>3956998290</v>
      </c>
      <c r="K47" s="42">
        <v>392723525</v>
      </c>
      <c r="L47" s="43">
        <v>3564274765</v>
      </c>
      <c r="N47" s="29"/>
    </row>
    <row r="48" spans="1:14" x14ac:dyDescent="0.2">
      <c r="A48" s="40" t="s">
        <v>44</v>
      </c>
      <c r="B48" s="41">
        <v>86647787</v>
      </c>
      <c r="C48" s="41">
        <v>182539406</v>
      </c>
      <c r="D48" s="41">
        <v>48267227</v>
      </c>
      <c r="E48" s="41"/>
      <c r="F48" s="41"/>
      <c r="G48" s="41"/>
      <c r="H48" s="41"/>
      <c r="I48" s="42">
        <v>0</v>
      </c>
      <c r="J48" s="42">
        <v>1191609425</v>
      </c>
      <c r="K48" s="42">
        <v>317454420</v>
      </c>
      <c r="L48" s="43">
        <v>874155005</v>
      </c>
      <c r="N48" s="29"/>
    </row>
    <row r="49" spans="1:14" x14ac:dyDescent="0.2">
      <c r="A49" s="40" t="s">
        <v>45</v>
      </c>
      <c r="B49" s="41">
        <v>29525864</v>
      </c>
      <c r="C49" s="41">
        <v>406333905</v>
      </c>
      <c r="D49" s="41">
        <v>48548221</v>
      </c>
      <c r="E49" s="41"/>
      <c r="F49" s="41"/>
      <c r="G49" s="41"/>
      <c r="H49" s="41"/>
      <c r="I49" s="42">
        <v>0</v>
      </c>
      <c r="J49" s="42">
        <v>1703658921</v>
      </c>
      <c r="K49" s="42">
        <v>484407990</v>
      </c>
      <c r="L49" s="43">
        <v>1219250931</v>
      </c>
      <c r="N49" s="29"/>
    </row>
    <row r="50" spans="1:14" x14ac:dyDescent="0.2">
      <c r="A50" s="40" t="s">
        <v>46</v>
      </c>
      <c r="B50" s="41">
        <v>78234288</v>
      </c>
      <c r="C50" s="41">
        <v>1136780</v>
      </c>
      <c r="D50" s="41">
        <v>1819655</v>
      </c>
      <c r="E50" s="41"/>
      <c r="F50" s="41"/>
      <c r="G50" s="41"/>
      <c r="H50" s="41">
        <v>1804141</v>
      </c>
      <c r="I50" s="42">
        <v>191685939</v>
      </c>
      <c r="J50" s="42">
        <v>1547631929</v>
      </c>
      <c r="K50" s="42">
        <v>274680803</v>
      </c>
      <c r="L50" s="43">
        <v>1272951126</v>
      </c>
      <c r="N50" s="29"/>
    </row>
    <row r="51" spans="1:14" x14ac:dyDescent="0.2">
      <c r="A51" s="40" t="s">
        <v>47</v>
      </c>
      <c r="B51" s="41">
        <v>40604955</v>
      </c>
      <c r="C51" s="41">
        <v>2280060</v>
      </c>
      <c r="D51" s="41">
        <v>2176325</v>
      </c>
      <c r="E51" s="41"/>
      <c r="F51" s="41"/>
      <c r="G51" s="41"/>
      <c r="H51" s="41">
        <v>316827852</v>
      </c>
      <c r="I51" s="42">
        <v>306908873</v>
      </c>
      <c r="J51" s="42">
        <v>2140879626</v>
      </c>
      <c r="K51" s="42">
        <v>668798065</v>
      </c>
      <c r="L51" s="43">
        <v>1472081561</v>
      </c>
      <c r="N51" s="29"/>
    </row>
    <row r="52" spans="1:14" x14ac:dyDescent="0.2">
      <c r="A52" s="40" t="s">
        <v>48</v>
      </c>
      <c r="B52" s="41">
        <v>507828696</v>
      </c>
      <c r="C52" s="41">
        <v>3221459635</v>
      </c>
      <c r="D52" s="41">
        <v>1322501205</v>
      </c>
      <c r="E52" s="41"/>
      <c r="F52" s="41"/>
      <c r="G52" s="41"/>
      <c r="H52" s="41">
        <v>136569856</v>
      </c>
      <c r="I52" s="42">
        <v>118401902</v>
      </c>
      <c r="J52" s="42">
        <v>19599136411</v>
      </c>
      <c r="K52" s="42">
        <v>5306761294</v>
      </c>
      <c r="L52" s="43">
        <v>14292375117</v>
      </c>
      <c r="N52" s="29"/>
    </row>
    <row r="53" spans="1:14" x14ac:dyDescent="0.2">
      <c r="A53" s="40" t="s">
        <v>49</v>
      </c>
      <c r="B53" s="41">
        <v>143307450</v>
      </c>
      <c r="C53" s="41">
        <v>1598383819</v>
      </c>
      <c r="D53" s="41">
        <v>209914992</v>
      </c>
      <c r="E53" s="41">
        <v>12222</v>
      </c>
      <c r="F53" s="41">
        <v>3824</v>
      </c>
      <c r="G53" s="41"/>
      <c r="H53" s="41"/>
      <c r="I53" s="42">
        <v>0</v>
      </c>
      <c r="J53" s="42">
        <v>4108736278</v>
      </c>
      <c r="K53" s="42">
        <v>1951622307</v>
      </c>
      <c r="L53" s="43">
        <v>2157113971</v>
      </c>
      <c r="N53" s="29"/>
    </row>
    <row r="54" spans="1:14" x14ac:dyDescent="0.2">
      <c r="A54" s="40" t="s">
        <v>50</v>
      </c>
      <c r="B54" s="41">
        <v>372560970</v>
      </c>
      <c r="C54" s="41">
        <v>651887027</v>
      </c>
      <c r="D54" s="41">
        <v>515844023</v>
      </c>
      <c r="E54" s="41"/>
      <c r="F54" s="41"/>
      <c r="G54" s="41"/>
      <c r="H54" s="41">
        <v>27570668</v>
      </c>
      <c r="I54" s="42">
        <v>208113683</v>
      </c>
      <c r="J54" s="42">
        <v>15712503998</v>
      </c>
      <c r="K54" s="42">
        <v>1775976371</v>
      </c>
      <c r="L54" s="43">
        <v>13936527627</v>
      </c>
      <c r="N54" s="29"/>
    </row>
    <row r="55" spans="1:14" x14ac:dyDescent="0.2">
      <c r="A55" s="40" t="s">
        <v>51</v>
      </c>
      <c r="B55" s="41">
        <v>117372058</v>
      </c>
      <c r="C55" s="41">
        <v>864275001</v>
      </c>
      <c r="D55" s="41">
        <v>155156685</v>
      </c>
      <c r="E55" s="41"/>
      <c r="F55" s="41"/>
      <c r="G55" s="41"/>
      <c r="H55" s="41"/>
      <c r="I55" s="42">
        <v>0</v>
      </c>
      <c r="J55" s="42">
        <v>4083241834</v>
      </c>
      <c r="K55" s="42">
        <v>1136803744</v>
      </c>
      <c r="L55" s="43">
        <v>2946438090</v>
      </c>
      <c r="N55" s="29"/>
    </row>
    <row r="56" spans="1:14" x14ac:dyDescent="0.2">
      <c r="A56" s="40" t="s">
        <v>52</v>
      </c>
      <c r="B56" s="41">
        <v>318114389</v>
      </c>
      <c r="C56" s="41">
        <v>397157655</v>
      </c>
      <c r="D56" s="41">
        <v>796817874</v>
      </c>
      <c r="E56" s="41"/>
      <c r="F56" s="41"/>
      <c r="G56" s="41"/>
      <c r="H56" s="41">
        <v>200287</v>
      </c>
      <c r="I56" s="42">
        <v>8953756</v>
      </c>
      <c r="J56" s="42">
        <v>7640235282</v>
      </c>
      <c r="K56" s="42">
        <v>1521243961</v>
      </c>
      <c r="L56" s="43">
        <v>6118991321</v>
      </c>
      <c r="N56" s="29"/>
    </row>
    <row r="57" spans="1:14" x14ac:dyDescent="0.2">
      <c r="A57" s="40" t="s">
        <v>53</v>
      </c>
      <c r="B57" s="41">
        <v>400874360</v>
      </c>
      <c r="C57" s="41">
        <v>607397151</v>
      </c>
      <c r="D57" s="41">
        <v>220240345</v>
      </c>
      <c r="E57" s="41">
        <v>95513</v>
      </c>
      <c r="F57" s="41">
        <v>43136</v>
      </c>
      <c r="G57" s="41"/>
      <c r="H57" s="41">
        <v>313458087</v>
      </c>
      <c r="I57" s="42">
        <v>389423495</v>
      </c>
      <c r="J57" s="42">
        <v>9521638976</v>
      </c>
      <c r="K57" s="42">
        <v>1931532087</v>
      </c>
      <c r="L57" s="43">
        <v>7590106889</v>
      </c>
      <c r="N57" s="29"/>
    </row>
    <row r="58" spans="1:14" x14ac:dyDescent="0.2">
      <c r="A58" s="40" t="s">
        <v>54</v>
      </c>
      <c r="B58" s="41">
        <v>26521483</v>
      </c>
      <c r="C58" s="41">
        <v>124514770</v>
      </c>
      <c r="D58" s="41">
        <v>7914316</v>
      </c>
      <c r="E58" s="41">
        <v>500</v>
      </c>
      <c r="F58" s="41">
        <v>10500</v>
      </c>
      <c r="G58" s="41"/>
      <c r="H58" s="41"/>
      <c r="I58" s="42">
        <v>363194962</v>
      </c>
      <c r="J58" s="42">
        <v>3006983108</v>
      </c>
      <c r="K58" s="42">
        <v>522156531</v>
      </c>
      <c r="L58" s="43">
        <v>2484826577</v>
      </c>
      <c r="N58" s="29"/>
    </row>
    <row r="59" spans="1:14" x14ac:dyDescent="0.2">
      <c r="A59" s="40" t="s">
        <v>55</v>
      </c>
      <c r="B59" s="41">
        <v>133316409</v>
      </c>
      <c r="C59" s="41">
        <v>2113831</v>
      </c>
      <c r="D59" s="41">
        <v>279766247</v>
      </c>
      <c r="E59" s="41"/>
      <c r="F59" s="41"/>
      <c r="G59" s="41"/>
      <c r="H59" s="41"/>
      <c r="I59" s="42">
        <v>0</v>
      </c>
      <c r="J59" s="42">
        <v>2404488569</v>
      </c>
      <c r="K59" s="42">
        <v>415196487</v>
      </c>
      <c r="L59" s="43">
        <v>1989292082</v>
      </c>
      <c r="N59" s="29"/>
    </row>
    <row r="60" spans="1:14" x14ac:dyDescent="0.2">
      <c r="A60" s="40" t="s">
        <v>56</v>
      </c>
      <c r="B60" s="41">
        <v>92941878</v>
      </c>
      <c r="C60" s="41">
        <v>964080099</v>
      </c>
      <c r="D60" s="41">
        <v>41624982</v>
      </c>
      <c r="E60" s="41"/>
      <c r="F60" s="41"/>
      <c r="G60" s="41"/>
      <c r="H60" s="41">
        <v>46150935</v>
      </c>
      <c r="I60" s="42">
        <v>520849664</v>
      </c>
      <c r="J60" s="42">
        <v>6548888442</v>
      </c>
      <c r="K60" s="42">
        <v>1665647558</v>
      </c>
      <c r="L60" s="43">
        <v>4883240884</v>
      </c>
      <c r="N60" s="29"/>
    </row>
    <row r="61" spans="1:14" x14ac:dyDescent="0.2">
      <c r="A61" s="40" t="s">
        <v>57</v>
      </c>
      <c r="B61" s="41">
        <v>39769829</v>
      </c>
      <c r="C61" s="41">
        <v>66506</v>
      </c>
      <c r="D61" s="41">
        <v>35811703</v>
      </c>
      <c r="E61" s="41"/>
      <c r="F61" s="41"/>
      <c r="G61" s="41"/>
      <c r="H61" s="41"/>
      <c r="I61" s="42">
        <v>24187145</v>
      </c>
      <c r="J61" s="42">
        <v>1135959662</v>
      </c>
      <c r="K61" s="42">
        <v>99835183</v>
      </c>
      <c r="L61" s="43">
        <v>1036124479</v>
      </c>
      <c r="N61" s="29"/>
    </row>
    <row r="62" spans="1:14" x14ac:dyDescent="0.2">
      <c r="A62" s="40" t="s">
        <v>58</v>
      </c>
      <c r="B62" s="41">
        <v>134925021</v>
      </c>
      <c r="C62" s="41">
        <v>629540216</v>
      </c>
      <c r="D62" s="41">
        <v>120702830</v>
      </c>
      <c r="E62" s="41"/>
      <c r="F62" s="41"/>
      <c r="G62" s="41"/>
      <c r="H62" s="41">
        <v>1038367</v>
      </c>
      <c r="I62" s="42">
        <v>0</v>
      </c>
      <c r="J62" s="42">
        <v>4015246691</v>
      </c>
      <c r="K62" s="42">
        <v>886206434</v>
      </c>
      <c r="L62" s="43">
        <v>3129040257</v>
      </c>
      <c r="N62" s="29"/>
    </row>
    <row r="63" spans="1:14" x14ac:dyDescent="0.2">
      <c r="A63" s="40" t="s">
        <v>59</v>
      </c>
      <c r="B63" s="41">
        <v>163658860</v>
      </c>
      <c r="C63" s="41">
        <v>142667087</v>
      </c>
      <c r="D63" s="41">
        <v>355268127</v>
      </c>
      <c r="E63" s="41"/>
      <c r="F63" s="41"/>
      <c r="G63" s="41"/>
      <c r="H63" s="41"/>
      <c r="I63" s="42">
        <v>4348134</v>
      </c>
      <c r="J63" s="42">
        <v>3514400190</v>
      </c>
      <c r="K63" s="42">
        <v>665942208</v>
      </c>
      <c r="L63" s="43">
        <v>2848457982</v>
      </c>
      <c r="N63" s="29"/>
    </row>
    <row r="64" spans="1:14" x14ac:dyDescent="0.2">
      <c r="A64" s="40" t="s">
        <v>60</v>
      </c>
      <c r="B64" s="41">
        <v>33702480</v>
      </c>
      <c r="C64" s="41">
        <v>2822760</v>
      </c>
      <c r="D64" s="41">
        <v>36185750</v>
      </c>
      <c r="E64" s="41"/>
      <c r="F64" s="41"/>
      <c r="G64" s="41"/>
      <c r="H64" s="41"/>
      <c r="I64" s="42">
        <v>0</v>
      </c>
      <c r="J64" s="42">
        <v>1701081726</v>
      </c>
      <c r="K64" s="42">
        <v>72710990</v>
      </c>
      <c r="L64" s="43">
        <v>1628370736</v>
      </c>
      <c r="N64" s="29"/>
    </row>
    <row r="65" spans="1:14" x14ac:dyDescent="0.2">
      <c r="A65" s="40" t="s">
        <v>61</v>
      </c>
      <c r="B65" s="41">
        <v>14331741</v>
      </c>
      <c r="C65" s="41">
        <v>1171197</v>
      </c>
      <c r="D65" s="41">
        <v>273557</v>
      </c>
      <c r="E65" s="41"/>
      <c r="F65" s="41"/>
      <c r="G65" s="41"/>
      <c r="H65" s="41"/>
      <c r="I65" s="42">
        <v>0</v>
      </c>
      <c r="J65" s="42">
        <v>1120825917</v>
      </c>
      <c r="K65" s="42">
        <v>15776495</v>
      </c>
      <c r="L65" s="43">
        <v>1105049422</v>
      </c>
      <c r="N65" s="29"/>
    </row>
    <row r="66" spans="1:14" x14ac:dyDescent="0.2">
      <c r="A66" s="40" t="s">
        <v>62</v>
      </c>
      <c r="B66" s="41">
        <v>11765150</v>
      </c>
      <c r="C66" s="41">
        <v>18497150</v>
      </c>
      <c r="D66" s="41">
        <v>2133370</v>
      </c>
      <c r="E66" s="41"/>
      <c r="F66" s="41"/>
      <c r="G66" s="41"/>
      <c r="H66" s="41">
        <v>45716842</v>
      </c>
      <c r="I66" s="42">
        <v>0</v>
      </c>
      <c r="J66" s="42">
        <v>504179262</v>
      </c>
      <c r="K66" s="42">
        <v>78112512</v>
      </c>
      <c r="L66" s="43">
        <v>426066750</v>
      </c>
      <c r="N66" s="29"/>
    </row>
    <row r="67" spans="1:14" x14ac:dyDescent="0.2">
      <c r="A67" s="40" t="s">
        <v>63</v>
      </c>
      <c r="B67" s="41">
        <v>4253490</v>
      </c>
      <c r="C67" s="41">
        <v>15202167</v>
      </c>
      <c r="D67" s="41">
        <v>1529344</v>
      </c>
      <c r="E67" s="41"/>
      <c r="F67" s="41"/>
      <c r="G67" s="41"/>
      <c r="H67" s="41"/>
      <c r="I67" s="42"/>
      <c r="J67" s="42">
        <v>111943924</v>
      </c>
      <c r="K67" s="42">
        <v>20985001</v>
      </c>
      <c r="L67" s="43">
        <v>90958923</v>
      </c>
      <c r="N67" s="29"/>
    </row>
    <row r="68" spans="1:14" x14ac:dyDescent="0.2">
      <c r="A68" s="40" t="s">
        <v>64</v>
      </c>
      <c r="B68" s="41">
        <v>244068753</v>
      </c>
      <c r="C68" s="41">
        <v>227125081</v>
      </c>
      <c r="D68" s="41">
        <v>299539611</v>
      </c>
      <c r="E68" s="41"/>
      <c r="F68" s="41"/>
      <c r="G68" s="41"/>
      <c r="H68" s="41"/>
      <c r="I68" s="42">
        <v>131918417</v>
      </c>
      <c r="J68" s="42">
        <v>5390539582</v>
      </c>
      <c r="K68" s="42">
        <v>902651862</v>
      </c>
      <c r="L68" s="43">
        <v>4487887720</v>
      </c>
      <c r="N68" s="29"/>
    </row>
    <row r="69" spans="1:14" x14ac:dyDescent="0.2">
      <c r="A69" s="40" t="s">
        <v>65</v>
      </c>
      <c r="B69" s="41">
        <v>13031766</v>
      </c>
      <c r="C69" s="41">
        <v>11723052</v>
      </c>
      <c r="D69" s="41">
        <v>324037</v>
      </c>
      <c r="E69" s="41"/>
      <c r="F69" s="41"/>
      <c r="G69" s="41"/>
      <c r="H69" s="41"/>
      <c r="I69" s="42">
        <v>0</v>
      </c>
      <c r="J69" s="42">
        <v>269627447</v>
      </c>
      <c r="K69" s="42">
        <v>25078855</v>
      </c>
      <c r="L69" s="43">
        <v>244548592</v>
      </c>
      <c r="N69" s="29"/>
    </row>
    <row r="70" spans="1:14" x14ac:dyDescent="0.2">
      <c r="A70" s="40" t="s">
        <v>66</v>
      </c>
      <c r="B70" s="41">
        <v>62259344</v>
      </c>
      <c r="C70" s="41">
        <v>1216135</v>
      </c>
      <c r="D70" s="41">
        <v>45994017</v>
      </c>
      <c r="E70" s="41">
        <v>0</v>
      </c>
      <c r="F70" s="41">
        <v>0</v>
      </c>
      <c r="G70" s="41">
        <v>0</v>
      </c>
      <c r="H70" s="41">
        <v>0</v>
      </c>
      <c r="I70" s="42">
        <v>0</v>
      </c>
      <c r="J70" s="42">
        <v>1048261422</v>
      </c>
      <c r="K70" s="42">
        <v>109469496</v>
      </c>
      <c r="L70" s="43">
        <v>938791926</v>
      </c>
      <c r="N70" s="29"/>
    </row>
    <row r="71" spans="1:14" x14ac:dyDescent="0.2">
      <c r="A71" s="40" t="s">
        <v>67</v>
      </c>
      <c r="B71" s="41">
        <v>9989282</v>
      </c>
      <c r="C71" s="41"/>
      <c r="D71" s="41">
        <v>26616</v>
      </c>
      <c r="E71" s="41"/>
      <c r="F71" s="41"/>
      <c r="G71" s="41"/>
      <c r="H71" s="41"/>
      <c r="I71" s="42">
        <v>0</v>
      </c>
      <c r="J71" s="42">
        <v>331616425</v>
      </c>
      <c r="K71" s="42">
        <v>10015898</v>
      </c>
      <c r="L71" s="43">
        <v>321600527</v>
      </c>
      <c r="N71" s="29"/>
    </row>
    <row r="72" spans="1:14" x14ac:dyDescent="0.2">
      <c r="A72" s="40"/>
      <c r="B72" s="41"/>
      <c r="C72" s="41"/>
      <c r="D72" s="41"/>
      <c r="E72" s="41"/>
      <c r="F72" s="41"/>
      <c r="G72" s="41"/>
      <c r="H72" s="41"/>
      <c r="I72" s="42"/>
      <c r="J72" s="42"/>
      <c r="K72" s="42"/>
      <c r="L72" s="43"/>
      <c r="N72" s="29"/>
    </row>
    <row r="73" spans="1:14" ht="15.75" thickBot="1" x14ac:dyDescent="0.3">
      <c r="A73" s="45" t="s">
        <v>68</v>
      </c>
      <c r="B73" s="46">
        <f>SUM(B5:B71)</f>
        <v>8020185850</v>
      </c>
      <c r="C73" s="46">
        <f t="shared" ref="C73:J73" si="0">SUM(C5:C71)</f>
        <v>30317961193</v>
      </c>
      <c r="D73" s="46">
        <f t="shared" si="0"/>
        <v>11066504308</v>
      </c>
      <c r="E73" s="46">
        <f>SUM(E5:E71)</f>
        <v>1200339</v>
      </c>
      <c r="F73" s="46">
        <f t="shared" si="0"/>
        <v>546567</v>
      </c>
      <c r="G73" s="46">
        <f t="shared" si="0"/>
        <v>0</v>
      </c>
      <c r="H73" s="46">
        <f>SUM(H5:H71)</f>
        <v>1055329045</v>
      </c>
      <c r="I73" s="46">
        <f>SUM(I5:I71)</f>
        <v>4255829165</v>
      </c>
      <c r="J73" s="46">
        <f t="shared" si="0"/>
        <v>244212457726</v>
      </c>
      <c r="K73" s="47">
        <f>SUM(K5:K71)</f>
        <v>54717556467</v>
      </c>
      <c r="L73" s="48">
        <f>SUM(L5:L71)</f>
        <v>189494901259</v>
      </c>
      <c r="N73" s="29"/>
    </row>
    <row r="75" spans="1:14" x14ac:dyDescent="0.2">
      <c r="A75" s="38" t="s">
        <v>116</v>
      </c>
    </row>
  </sheetData>
  <phoneticPr fontId="18" type="noConversion"/>
  <conditionalFormatting sqref="A4:L73">
    <cfRule type="expression" dxfId="1" priority="1" stopIfTrue="1">
      <formula>MOD(ROW(),3)=1</formula>
    </cfRule>
  </conditionalFormatting>
  <pageMargins left="0.75" right="0.75" top="1" bottom="1" header="0.5" footer="0.5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75"/>
  <sheetViews>
    <sheetView zoomScaleNormal="100" workbookViewId="0">
      <pane ySplit="4" topLeftCell="A5" activePane="bottomLeft" state="frozen"/>
      <selection sqref="A1:XFD1048576"/>
      <selection pane="bottomLeft"/>
    </sheetView>
  </sheetViews>
  <sheetFormatPr defaultRowHeight="14.25" x14ac:dyDescent="0.2"/>
  <cols>
    <col min="1" max="1" width="17.7109375" style="2" customWidth="1"/>
    <col min="2" max="2" width="9.28515625" style="7" bestFit="1" customWidth="1"/>
    <col min="3" max="3" width="19.7109375" style="2" bestFit="1" customWidth="1"/>
    <col min="4" max="4" width="16.42578125" style="8" bestFit="1" customWidth="1"/>
    <col min="5" max="5" width="21.42578125" style="2" bestFit="1" customWidth="1"/>
    <col min="6" max="6" width="16.42578125" style="10" customWidth="1"/>
    <col min="7" max="7" width="21.140625" style="2" bestFit="1" customWidth="1"/>
    <col min="8" max="8" width="19.7109375" style="2" customWidth="1"/>
    <col min="9" max="9" width="16.42578125" style="10" customWidth="1"/>
    <col min="10" max="10" width="19.140625" style="2" bestFit="1" customWidth="1"/>
    <col min="11" max="11" width="16.42578125" style="10" customWidth="1"/>
    <col min="12" max="12" width="20.5703125" style="2" bestFit="1" customWidth="1"/>
    <col min="13" max="13" width="20.5703125" style="2" customWidth="1"/>
    <col min="14" max="14" width="16.42578125" style="10" customWidth="1"/>
    <col min="15" max="15" width="20.7109375" style="2" bestFit="1" customWidth="1"/>
    <col min="16" max="16" width="16.42578125" style="10" customWidth="1"/>
    <col min="17" max="17" width="20.28515625" style="2" bestFit="1" customWidth="1"/>
    <col min="18" max="18" width="14" style="2" bestFit="1" customWidth="1"/>
    <col min="19" max="16384" width="9.140625" style="2"/>
  </cols>
  <sheetData>
    <row r="1" spans="1:18" ht="23.25" x14ac:dyDescent="0.35">
      <c r="A1" s="6" t="s">
        <v>125</v>
      </c>
      <c r="E1" s="9"/>
    </row>
    <row r="2" spans="1:18" ht="15.75" thickBot="1" x14ac:dyDescent="0.3">
      <c r="A2" s="11">
        <v>2025</v>
      </c>
    </row>
    <row r="3" spans="1:18" ht="15.75" thickBot="1" x14ac:dyDescent="0.3">
      <c r="C3" s="12"/>
      <c r="D3" s="13"/>
      <c r="E3" s="14" t="s">
        <v>77</v>
      </c>
      <c r="F3" s="15"/>
      <c r="G3" s="16"/>
      <c r="H3" s="17"/>
      <c r="I3" s="18"/>
      <c r="J3" s="19" t="s">
        <v>78</v>
      </c>
      <c r="K3" s="20"/>
      <c r="L3" s="21"/>
      <c r="M3" s="22"/>
      <c r="N3" s="15"/>
      <c r="O3" s="14" t="s">
        <v>79</v>
      </c>
      <c r="P3" s="15"/>
      <c r="Q3" s="16"/>
    </row>
    <row r="4" spans="1:18" s="54" customFormat="1" ht="25.5" x14ac:dyDescent="0.25">
      <c r="A4" s="50" t="s">
        <v>1</v>
      </c>
      <c r="B4" s="59" t="s">
        <v>69</v>
      </c>
      <c r="C4" s="50" t="s">
        <v>117</v>
      </c>
      <c r="D4" s="51" t="s">
        <v>123</v>
      </c>
      <c r="E4" s="52" t="s">
        <v>122</v>
      </c>
      <c r="F4" s="51" t="s">
        <v>124</v>
      </c>
      <c r="G4" s="53" t="s">
        <v>115</v>
      </c>
      <c r="H4" s="50" t="s">
        <v>117</v>
      </c>
      <c r="I4" s="51" t="s">
        <v>123</v>
      </c>
      <c r="J4" s="52" t="s">
        <v>122</v>
      </c>
      <c r="K4" s="51" t="s">
        <v>124</v>
      </c>
      <c r="L4" s="53" t="s">
        <v>115</v>
      </c>
      <c r="M4" s="50" t="s">
        <v>117</v>
      </c>
      <c r="N4" s="51" t="s">
        <v>123</v>
      </c>
      <c r="O4" s="52" t="s">
        <v>122</v>
      </c>
      <c r="P4" s="51" t="s">
        <v>124</v>
      </c>
      <c r="Q4" s="53" t="s">
        <v>115</v>
      </c>
    </row>
    <row r="5" spans="1:18" x14ac:dyDescent="0.2">
      <c r="A5" s="23" t="s">
        <v>2</v>
      </c>
      <c r="B5" s="60" t="s">
        <v>113</v>
      </c>
      <c r="C5" s="24">
        <v>1366862599</v>
      </c>
      <c r="D5" s="25">
        <f>((C5-E5)/E5)</f>
        <v>9.7418009963442017E-3</v>
      </c>
      <c r="E5" s="26">
        <v>1353675363</v>
      </c>
      <c r="F5" s="25">
        <f>((E5-G5)/G5)</f>
        <v>8.9339060098808706E-3</v>
      </c>
      <c r="G5" s="27">
        <v>1341688841</v>
      </c>
      <c r="H5" s="24">
        <v>1290013175</v>
      </c>
      <c r="I5" s="25">
        <f t="shared" ref="I5:I36" si="0">((H5-J5)/J5)</f>
        <v>4.8379747639058904E-2</v>
      </c>
      <c r="J5" s="26">
        <v>1230482731</v>
      </c>
      <c r="K5" s="25">
        <f t="shared" ref="K5:K36" si="1">((J5-L5)/L5)</f>
        <v>2.3860496358109554E-2</v>
      </c>
      <c r="L5" s="27">
        <v>1201807019</v>
      </c>
      <c r="M5" s="24">
        <f t="shared" ref="M5:M36" si="2">C5+H5</f>
        <v>2656875774</v>
      </c>
      <c r="N5" s="25">
        <f t="shared" ref="N5:N36" si="3">((M5-O5)/O5)</f>
        <v>2.8139795382039038E-2</v>
      </c>
      <c r="O5" s="26">
        <f t="shared" ref="O5:O36" si="4">E5+J5</f>
        <v>2584158094</v>
      </c>
      <c r="P5" s="25">
        <f t="shared" ref="P5:P36" si="5">((O5-Q5)/Q5)</f>
        <v>1.5986750613386096E-2</v>
      </c>
      <c r="Q5" s="28">
        <f t="shared" ref="Q5:Q36" si="6">G5+L5</f>
        <v>2543495860</v>
      </c>
      <c r="R5" s="29"/>
    </row>
    <row r="6" spans="1:18" x14ac:dyDescent="0.2">
      <c r="A6" s="23" t="s">
        <v>3</v>
      </c>
      <c r="B6" s="60" t="s">
        <v>113</v>
      </c>
      <c r="C6" s="24">
        <v>164288294</v>
      </c>
      <c r="D6" s="25">
        <f t="shared" ref="D6:F69" si="7">((C6-E6)/E6)</f>
        <v>8.2542754208725904E-3</v>
      </c>
      <c r="E6" s="26">
        <v>162943315</v>
      </c>
      <c r="F6" s="25">
        <f t="shared" si="7"/>
        <v>2.0460537735689475E-2</v>
      </c>
      <c r="G6" s="27">
        <v>159676253</v>
      </c>
      <c r="H6" s="24">
        <v>142884359</v>
      </c>
      <c r="I6" s="25">
        <f t="shared" si="0"/>
        <v>5.6797470011734914E-2</v>
      </c>
      <c r="J6" s="26">
        <v>135205054</v>
      </c>
      <c r="K6" s="25">
        <f t="shared" si="1"/>
        <v>4.9874146382114404E-2</v>
      </c>
      <c r="L6" s="27">
        <v>128782154</v>
      </c>
      <c r="M6" s="24">
        <f t="shared" si="2"/>
        <v>307172653</v>
      </c>
      <c r="N6" s="25">
        <f t="shared" si="3"/>
        <v>3.0267762424016482E-2</v>
      </c>
      <c r="O6" s="26">
        <f t="shared" si="4"/>
        <v>298148369</v>
      </c>
      <c r="P6" s="25">
        <f t="shared" si="5"/>
        <v>3.3592232934989481E-2</v>
      </c>
      <c r="Q6" s="28">
        <f t="shared" si="6"/>
        <v>288458407</v>
      </c>
    </row>
    <row r="7" spans="1:18" x14ac:dyDescent="0.2">
      <c r="A7" s="23" t="s">
        <v>4</v>
      </c>
      <c r="B7" s="60" t="s">
        <v>113</v>
      </c>
      <c r="C7" s="24">
        <v>1126840167</v>
      </c>
      <c r="D7" s="25">
        <f t="shared" si="7"/>
        <v>2.6523301563979584E-2</v>
      </c>
      <c r="E7" s="26">
        <v>1097724879</v>
      </c>
      <c r="F7" s="25">
        <f t="shared" si="7"/>
        <v>3.5591955809291795E-2</v>
      </c>
      <c r="G7" s="27">
        <v>1059997495</v>
      </c>
      <c r="H7" s="24">
        <v>969462722</v>
      </c>
      <c r="I7" s="25">
        <f t="shared" si="0"/>
        <v>5.5951529126766576E-2</v>
      </c>
      <c r="J7" s="26">
        <v>918093961</v>
      </c>
      <c r="K7" s="25">
        <f t="shared" si="1"/>
        <v>4.8016945580900409E-2</v>
      </c>
      <c r="L7" s="27">
        <v>876029691</v>
      </c>
      <c r="M7" s="24">
        <f t="shared" si="2"/>
        <v>2096302889</v>
      </c>
      <c r="N7" s="25">
        <f t="shared" si="3"/>
        <v>3.9926231168669897E-2</v>
      </c>
      <c r="O7" s="26">
        <f t="shared" si="4"/>
        <v>2015818840</v>
      </c>
      <c r="P7" s="25">
        <f t="shared" si="5"/>
        <v>4.1214118570750274E-2</v>
      </c>
      <c r="Q7" s="28">
        <f t="shared" si="6"/>
        <v>1936027186</v>
      </c>
    </row>
    <row r="8" spans="1:18" x14ac:dyDescent="0.2">
      <c r="A8" s="23" t="s">
        <v>5</v>
      </c>
      <c r="B8" s="60" t="s">
        <v>114</v>
      </c>
      <c r="C8" s="24">
        <v>173995515</v>
      </c>
      <c r="D8" s="25">
        <f t="shared" si="7"/>
        <v>1.0662420675331116E-2</v>
      </c>
      <c r="E8" s="26">
        <v>172159874</v>
      </c>
      <c r="F8" s="25">
        <f t="shared" si="7"/>
        <v>1.6987862516254407E-2</v>
      </c>
      <c r="G8" s="27">
        <v>169284099</v>
      </c>
      <c r="H8" s="24">
        <v>132934319</v>
      </c>
      <c r="I8" s="25">
        <f t="shared" si="0"/>
        <v>6.0756647373885912E-2</v>
      </c>
      <c r="J8" s="26">
        <v>125320279</v>
      </c>
      <c r="K8" s="25">
        <f t="shared" si="1"/>
        <v>5.7158176526666458E-2</v>
      </c>
      <c r="L8" s="27">
        <v>118544492</v>
      </c>
      <c r="M8" s="24">
        <f t="shared" si="2"/>
        <v>306929834</v>
      </c>
      <c r="N8" s="25">
        <f t="shared" si="3"/>
        <v>3.1765752789565088E-2</v>
      </c>
      <c r="O8" s="26">
        <f t="shared" si="4"/>
        <v>297480153</v>
      </c>
      <c r="P8" s="25">
        <f t="shared" si="5"/>
        <v>3.3532325494377312E-2</v>
      </c>
      <c r="Q8" s="28">
        <f t="shared" si="6"/>
        <v>287828591</v>
      </c>
    </row>
    <row r="9" spans="1:18" x14ac:dyDescent="0.2">
      <c r="A9" s="23" t="s">
        <v>6</v>
      </c>
      <c r="B9" s="60" t="s">
        <v>113</v>
      </c>
      <c r="C9" s="24">
        <v>4320922805</v>
      </c>
      <c r="D9" s="25">
        <f t="shared" si="7"/>
        <v>1.0448137382019653E-2</v>
      </c>
      <c r="E9" s="26">
        <v>4276244020</v>
      </c>
      <c r="F9" s="25">
        <f t="shared" si="7"/>
        <v>1.8175665233039991E-2</v>
      </c>
      <c r="G9" s="27">
        <v>4199907900</v>
      </c>
      <c r="H9" s="24">
        <v>4082676735</v>
      </c>
      <c r="I9" s="25">
        <f t="shared" si="0"/>
        <v>5.1009835527955391E-2</v>
      </c>
      <c r="J9" s="26">
        <v>3884527620</v>
      </c>
      <c r="K9" s="25">
        <f t="shared" si="1"/>
        <v>3.3874323311843015E-2</v>
      </c>
      <c r="L9" s="27">
        <v>3757253210</v>
      </c>
      <c r="M9" s="24">
        <f t="shared" si="2"/>
        <v>8403599540</v>
      </c>
      <c r="N9" s="25">
        <f t="shared" si="3"/>
        <v>2.975550728680848E-2</v>
      </c>
      <c r="O9" s="26">
        <f t="shared" si="4"/>
        <v>8160771640</v>
      </c>
      <c r="P9" s="25">
        <f t="shared" si="5"/>
        <v>2.5588338250951914E-2</v>
      </c>
      <c r="Q9" s="28">
        <f t="shared" si="6"/>
        <v>7957161110</v>
      </c>
    </row>
    <row r="10" spans="1:18" x14ac:dyDescent="0.2">
      <c r="A10" s="23" t="s">
        <v>7</v>
      </c>
      <c r="B10" s="60" t="s">
        <v>113</v>
      </c>
      <c r="C10" s="24">
        <v>10466475630</v>
      </c>
      <c r="D10" s="25">
        <f t="shared" si="7"/>
        <v>-2.9704633543929312E-3</v>
      </c>
      <c r="E10" s="26">
        <v>10497658540</v>
      </c>
      <c r="F10" s="25">
        <f t="shared" si="7"/>
        <v>5.825023930848436E-3</v>
      </c>
      <c r="G10" s="27">
        <v>10436863560</v>
      </c>
      <c r="H10" s="24">
        <v>9991981672</v>
      </c>
      <c r="I10" s="25">
        <f t="shared" si="0"/>
        <v>3.4144094752016067E-2</v>
      </c>
      <c r="J10" s="26">
        <v>9662078740</v>
      </c>
      <c r="K10" s="25">
        <f t="shared" si="1"/>
        <v>1.7399045611657671E-2</v>
      </c>
      <c r="L10" s="27">
        <v>9496842740</v>
      </c>
      <c r="M10" s="24">
        <f t="shared" si="2"/>
        <v>20458457302</v>
      </c>
      <c r="N10" s="25">
        <f t="shared" si="3"/>
        <v>1.4817654508640501E-2</v>
      </c>
      <c r="O10" s="26">
        <f t="shared" si="4"/>
        <v>20159737280</v>
      </c>
      <c r="P10" s="25">
        <f t="shared" si="5"/>
        <v>1.1339134659569053E-2</v>
      </c>
      <c r="Q10" s="28">
        <f t="shared" si="6"/>
        <v>19933706300</v>
      </c>
    </row>
    <row r="11" spans="1:18" x14ac:dyDescent="0.2">
      <c r="A11" s="23" t="s">
        <v>8</v>
      </c>
      <c r="B11" s="60" t="s">
        <v>114</v>
      </c>
      <c r="C11" s="24">
        <v>81907552</v>
      </c>
      <c r="D11" s="25">
        <f t="shared" si="7"/>
        <v>5.4905154834147237E-3</v>
      </c>
      <c r="E11" s="26">
        <v>81460293</v>
      </c>
      <c r="F11" s="25">
        <f t="shared" si="7"/>
        <v>1.5232622096021093E-2</v>
      </c>
      <c r="G11" s="27">
        <v>80238057</v>
      </c>
      <c r="H11" s="24">
        <v>46317683</v>
      </c>
      <c r="I11" s="25">
        <f t="shared" si="0"/>
        <v>6.0430578788930905E-2</v>
      </c>
      <c r="J11" s="26">
        <v>43678185</v>
      </c>
      <c r="K11" s="25">
        <f t="shared" si="1"/>
        <v>5.6580469372479784E-2</v>
      </c>
      <c r="L11" s="27">
        <v>41339194</v>
      </c>
      <c r="M11" s="24">
        <f t="shared" si="2"/>
        <v>128225235</v>
      </c>
      <c r="N11" s="25">
        <f t="shared" si="3"/>
        <v>2.4666729604942133E-2</v>
      </c>
      <c r="O11" s="26">
        <f t="shared" si="4"/>
        <v>125138478</v>
      </c>
      <c r="P11" s="25">
        <f t="shared" si="5"/>
        <v>2.9291886193412945E-2</v>
      </c>
      <c r="Q11" s="28">
        <f t="shared" si="6"/>
        <v>121577251</v>
      </c>
    </row>
    <row r="12" spans="1:18" x14ac:dyDescent="0.2">
      <c r="A12" s="23" t="s">
        <v>9</v>
      </c>
      <c r="B12" s="60" t="s">
        <v>113</v>
      </c>
      <c r="C12" s="24">
        <v>1661585746</v>
      </c>
      <c r="D12" s="25">
        <f t="shared" si="7"/>
        <v>2.8117197879144577E-2</v>
      </c>
      <c r="E12" s="26">
        <v>1616144297</v>
      </c>
      <c r="F12" s="25">
        <f t="shared" si="7"/>
        <v>2.9623574727316599E-2</v>
      </c>
      <c r="G12" s="27">
        <v>1569645778</v>
      </c>
      <c r="H12" s="24">
        <v>1588964551</v>
      </c>
      <c r="I12" s="25">
        <f t="shared" si="0"/>
        <v>6.8864504937852164E-2</v>
      </c>
      <c r="J12" s="26">
        <v>1486591185</v>
      </c>
      <c r="K12" s="25">
        <f t="shared" si="1"/>
        <v>5.9221415515441037E-2</v>
      </c>
      <c r="L12" s="27">
        <v>1403475386</v>
      </c>
      <c r="M12" s="24">
        <f t="shared" si="2"/>
        <v>3250550297</v>
      </c>
      <c r="N12" s="25">
        <f t="shared" si="3"/>
        <v>4.7640160064408611E-2</v>
      </c>
      <c r="O12" s="26">
        <f t="shared" si="4"/>
        <v>3102735482</v>
      </c>
      <c r="P12" s="25">
        <f t="shared" si="5"/>
        <v>4.3595370269275714E-2</v>
      </c>
      <c r="Q12" s="28">
        <f t="shared" si="6"/>
        <v>2973121164</v>
      </c>
    </row>
    <row r="13" spans="1:18" x14ac:dyDescent="0.2">
      <c r="A13" s="23" t="s">
        <v>10</v>
      </c>
      <c r="B13" s="60" t="s">
        <v>113</v>
      </c>
      <c r="C13" s="24">
        <v>1325567788</v>
      </c>
      <c r="D13" s="25">
        <f t="shared" si="7"/>
        <v>1.7820114475588025E-2</v>
      </c>
      <c r="E13" s="26">
        <v>1302359591</v>
      </c>
      <c r="F13" s="25">
        <f t="shared" si="7"/>
        <v>2.5847701963999103E-2</v>
      </c>
      <c r="G13" s="27">
        <v>1269544776</v>
      </c>
      <c r="H13" s="24">
        <v>1153269458</v>
      </c>
      <c r="I13" s="25">
        <f t="shared" si="0"/>
        <v>6.7795429069189894E-2</v>
      </c>
      <c r="J13" s="26">
        <v>1080047195</v>
      </c>
      <c r="K13" s="25">
        <f t="shared" si="1"/>
        <v>5.7699600622933944E-2</v>
      </c>
      <c r="L13" s="27">
        <v>1021128489</v>
      </c>
      <c r="M13" s="24">
        <f t="shared" si="2"/>
        <v>2478837246</v>
      </c>
      <c r="N13" s="25">
        <f t="shared" si="3"/>
        <v>4.0476068388767591E-2</v>
      </c>
      <c r="O13" s="26">
        <f t="shared" si="4"/>
        <v>2382406786</v>
      </c>
      <c r="P13" s="25">
        <f t="shared" si="5"/>
        <v>4.0046532345589671E-2</v>
      </c>
      <c r="Q13" s="28">
        <f t="shared" si="6"/>
        <v>2290673265</v>
      </c>
    </row>
    <row r="14" spans="1:18" x14ac:dyDescent="0.2">
      <c r="A14" s="23" t="s">
        <v>11</v>
      </c>
      <c r="B14" s="60" t="s">
        <v>113</v>
      </c>
      <c r="C14" s="24">
        <v>1355488044</v>
      </c>
      <c r="D14" s="25">
        <f t="shared" si="7"/>
        <v>4.6412262202057313E-3</v>
      </c>
      <c r="E14" s="26">
        <v>1349225981</v>
      </c>
      <c r="F14" s="25">
        <f t="shared" si="7"/>
        <v>1.4585028648244127E-2</v>
      </c>
      <c r="G14" s="27">
        <v>1329830367</v>
      </c>
      <c r="H14" s="24">
        <v>1314592452</v>
      </c>
      <c r="I14" s="25">
        <f t="shared" si="0"/>
        <v>4.0728281734702353E-2</v>
      </c>
      <c r="J14" s="26">
        <v>1263146659</v>
      </c>
      <c r="K14" s="25">
        <f t="shared" si="1"/>
        <v>2.4365705870861495E-2</v>
      </c>
      <c r="L14" s="27">
        <v>1233101276</v>
      </c>
      <c r="M14" s="24">
        <f t="shared" si="2"/>
        <v>2670080496</v>
      </c>
      <c r="N14" s="25">
        <f t="shared" si="3"/>
        <v>2.2090208386197154E-2</v>
      </c>
      <c r="O14" s="26">
        <f t="shared" si="4"/>
        <v>2612372640</v>
      </c>
      <c r="P14" s="25">
        <f t="shared" si="5"/>
        <v>1.9290798151029735E-2</v>
      </c>
      <c r="Q14" s="28">
        <f t="shared" si="6"/>
        <v>2562931643</v>
      </c>
    </row>
    <row r="15" spans="1:18" x14ac:dyDescent="0.2">
      <c r="A15" s="23" t="s">
        <v>12</v>
      </c>
      <c r="B15" s="60" t="s">
        <v>113</v>
      </c>
      <c r="C15" s="24">
        <v>2729935755</v>
      </c>
      <c r="D15" s="25">
        <f t="shared" si="7"/>
        <v>1.483028815633265E-2</v>
      </c>
      <c r="E15" s="26">
        <v>2690041662</v>
      </c>
      <c r="F15" s="25">
        <f t="shared" si="7"/>
        <v>2.1865188493972534E-2</v>
      </c>
      <c r="G15" s="27">
        <v>2632481948</v>
      </c>
      <c r="H15" s="24">
        <v>2692268187</v>
      </c>
      <c r="I15" s="25">
        <f t="shared" si="0"/>
        <v>4.3489743657527689E-2</v>
      </c>
      <c r="J15" s="26">
        <v>2580061954</v>
      </c>
      <c r="K15" s="25">
        <f t="shared" si="1"/>
        <v>2.7874069869010316E-2</v>
      </c>
      <c r="L15" s="27">
        <v>2510095380</v>
      </c>
      <c r="M15" s="24">
        <f t="shared" si="2"/>
        <v>5422203942</v>
      </c>
      <c r="N15" s="25">
        <f t="shared" si="3"/>
        <v>2.8860974486009043E-2</v>
      </c>
      <c r="O15" s="26">
        <f t="shared" si="4"/>
        <v>5270103616</v>
      </c>
      <c r="P15" s="25">
        <f t="shared" si="5"/>
        <v>2.4798127449761898E-2</v>
      </c>
      <c r="Q15" s="28">
        <f t="shared" si="6"/>
        <v>5142577328</v>
      </c>
    </row>
    <row r="16" spans="1:18" x14ac:dyDescent="0.2">
      <c r="A16" s="23" t="s">
        <v>13</v>
      </c>
      <c r="B16" s="60" t="s">
        <v>113</v>
      </c>
      <c r="C16" s="24">
        <v>418826750</v>
      </c>
      <c r="D16" s="25">
        <f t="shared" si="7"/>
        <v>7.8297062155173649E-3</v>
      </c>
      <c r="E16" s="26">
        <v>415572936</v>
      </c>
      <c r="F16" s="25">
        <f t="shared" si="7"/>
        <v>1.7895735670611375E-2</v>
      </c>
      <c r="G16" s="27">
        <v>408266703</v>
      </c>
      <c r="H16" s="24">
        <v>326243773</v>
      </c>
      <c r="I16" s="25">
        <f t="shared" si="0"/>
        <v>5.4657541294809139E-2</v>
      </c>
      <c r="J16" s="26">
        <v>309336216</v>
      </c>
      <c r="K16" s="25">
        <f t="shared" si="1"/>
        <v>4.3748215536163926E-2</v>
      </c>
      <c r="L16" s="27">
        <v>296370534</v>
      </c>
      <c r="M16" s="24">
        <f t="shared" si="2"/>
        <v>745070523</v>
      </c>
      <c r="N16" s="25">
        <f t="shared" si="3"/>
        <v>2.7812272674962724E-2</v>
      </c>
      <c r="O16" s="26">
        <f t="shared" si="4"/>
        <v>724909152</v>
      </c>
      <c r="P16" s="25">
        <f t="shared" si="5"/>
        <v>2.8769292815559788E-2</v>
      </c>
      <c r="Q16" s="28">
        <f t="shared" si="6"/>
        <v>704637237</v>
      </c>
    </row>
    <row r="17" spans="1:17" x14ac:dyDescent="0.2">
      <c r="A17" s="23" t="s">
        <v>106</v>
      </c>
      <c r="B17" s="60" t="s">
        <v>113</v>
      </c>
      <c r="C17" s="24">
        <v>11325289703</v>
      </c>
      <c r="D17" s="25">
        <f t="shared" si="7"/>
        <v>2.265947726060401E-3</v>
      </c>
      <c r="E17" s="26">
        <v>11299685207</v>
      </c>
      <c r="F17" s="25">
        <f t="shared" si="7"/>
        <v>9.1205807789975345E-3</v>
      </c>
      <c r="G17" s="27">
        <v>11197556984</v>
      </c>
      <c r="H17" s="24">
        <v>11063056844</v>
      </c>
      <c r="I17" s="25">
        <f t="shared" si="0"/>
        <v>3.6459686908389285E-2</v>
      </c>
      <c r="J17" s="26">
        <v>10673890151</v>
      </c>
      <c r="K17" s="25">
        <f t="shared" si="1"/>
        <v>1.6779761788673998E-2</v>
      </c>
      <c r="L17" s="27">
        <v>10497740565</v>
      </c>
      <c r="M17" s="24">
        <f t="shared" si="2"/>
        <v>22388346547</v>
      </c>
      <c r="N17" s="25">
        <f t="shared" si="3"/>
        <v>1.8875908096084724E-2</v>
      </c>
      <c r="O17" s="26">
        <f t="shared" si="4"/>
        <v>21973575358</v>
      </c>
      <c r="P17" s="25">
        <f t="shared" si="5"/>
        <v>1.2826641735219097E-2</v>
      </c>
      <c r="Q17" s="28">
        <f t="shared" si="6"/>
        <v>21695297549</v>
      </c>
    </row>
    <row r="18" spans="1:17" x14ac:dyDescent="0.2">
      <c r="A18" s="23" t="s">
        <v>14</v>
      </c>
      <c r="B18" s="60" t="s">
        <v>113</v>
      </c>
      <c r="C18" s="24">
        <v>159297860</v>
      </c>
      <c r="D18" s="25">
        <f t="shared" si="7"/>
        <v>1.3440520348196375E-2</v>
      </c>
      <c r="E18" s="26">
        <v>157185209</v>
      </c>
      <c r="F18" s="25">
        <f t="shared" si="7"/>
        <v>1.3620739909590967E-2</v>
      </c>
      <c r="G18" s="27">
        <v>155073000</v>
      </c>
      <c r="H18" s="24">
        <v>128275389</v>
      </c>
      <c r="I18" s="25">
        <f t="shared" si="0"/>
        <v>7.3432259345334414E-2</v>
      </c>
      <c r="J18" s="26">
        <v>119500218</v>
      </c>
      <c r="K18" s="25">
        <f t="shared" si="1"/>
        <v>0.10145413802199844</v>
      </c>
      <c r="L18" s="27">
        <v>108493140</v>
      </c>
      <c r="M18" s="24">
        <f t="shared" si="2"/>
        <v>287573249</v>
      </c>
      <c r="N18" s="25">
        <f t="shared" si="3"/>
        <v>3.9350905170730227E-2</v>
      </c>
      <c r="O18" s="26">
        <f t="shared" si="4"/>
        <v>276685427</v>
      </c>
      <c r="P18" s="25">
        <f t="shared" si="5"/>
        <v>4.9776071387622099E-2</v>
      </c>
      <c r="Q18" s="28">
        <f t="shared" si="6"/>
        <v>263566140</v>
      </c>
    </row>
    <row r="19" spans="1:17" x14ac:dyDescent="0.2">
      <c r="A19" s="23" t="s">
        <v>15</v>
      </c>
      <c r="B19" s="60" t="s">
        <v>114</v>
      </c>
      <c r="C19" s="24">
        <v>117260968</v>
      </c>
      <c r="D19" s="25">
        <f t="shared" si="7"/>
        <v>1.8451600693316104E-2</v>
      </c>
      <c r="E19" s="26">
        <v>115136515</v>
      </c>
      <c r="F19" s="25">
        <f t="shared" si="7"/>
        <v>2.4630845630721779E-2</v>
      </c>
      <c r="G19" s="27">
        <v>112368777</v>
      </c>
      <c r="H19" s="24">
        <v>54414853</v>
      </c>
      <c r="I19" s="25">
        <f t="shared" si="0"/>
        <v>0.12042458513241255</v>
      </c>
      <c r="J19" s="26">
        <v>48566279</v>
      </c>
      <c r="K19" s="25">
        <f t="shared" si="1"/>
        <v>0.12783934175767153</v>
      </c>
      <c r="L19" s="27">
        <v>43061345</v>
      </c>
      <c r="M19" s="24">
        <f t="shared" si="2"/>
        <v>171675821</v>
      </c>
      <c r="N19" s="25">
        <f t="shared" si="3"/>
        <v>4.8704281736327605E-2</v>
      </c>
      <c r="O19" s="26">
        <f t="shared" si="4"/>
        <v>163702794</v>
      </c>
      <c r="P19" s="25">
        <f t="shared" si="5"/>
        <v>5.3224380792804116E-2</v>
      </c>
      <c r="Q19" s="28">
        <f t="shared" si="6"/>
        <v>155430122</v>
      </c>
    </row>
    <row r="20" spans="1:17" x14ac:dyDescent="0.2">
      <c r="A20" s="23" t="s">
        <v>16</v>
      </c>
      <c r="B20" s="60" t="s">
        <v>113</v>
      </c>
      <c r="C20" s="24">
        <v>5302040523</v>
      </c>
      <c r="D20" s="25">
        <f t="shared" si="7"/>
        <v>1.1470730608300374E-2</v>
      </c>
      <c r="E20" s="26">
        <v>5241911963</v>
      </c>
      <c r="F20" s="25">
        <f t="shared" si="7"/>
        <v>1.7514803840904383E-2</v>
      </c>
      <c r="G20" s="27">
        <v>5151681276</v>
      </c>
      <c r="H20" s="24">
        <v>5014411798</v>
      </c>
      <c r="I20" s="25">
        <f t="shared" si="0"/>
        <v>5.1709804193542958E-2</v>
      </c>
      <c r="J20" s="26">
        <v>4767866362</v>
      </c>
      <c r="K20" s="25">
        <f t="shared" si="1"/>
        <v>3.1599788067461325E-2</v>
      </c>
      <c r="L20" s="27">
        <v>4621817896</v>
      </c>
      <c r="M20" s="24">
        <f t="shared" si="2"/>
        <v>10316452321</v>
      </c>
      <c r="N20" s="25">
        <f t="shared" si="3"/>
        <v>3.0637441314166167E-2</v>
      </c>
      <c r="O20" s="26">
        <f t="shared" si="4"/>
        <v>10009778325</v>
      </c>
      <c r="P20" s="25">
        <f t="shared" si="5"/>
        <v>2.4175492200062161E-2</v>
      </c>
      <c r="Q20" s="28">
        <f t="shared" si="6"/>
        <v>9773499172</v>
      </c>
    </row>
    <row r="21" spans="1:17" x14ac:dyDescent="0.2">
      <c r="A21" s="23" t="s">
        <v>17</v>
      </c>
      <c r="B21" s="60" t="s">
        <v>113</v>
      </c>
      <c r="C21" s="24">
        <v>1885087447</v>
      </c>
      <c r="D21" s="25">
        <f t="shared" si="7"/>
        <v>1.0725512456166097E-2</v>
      </c>
      <c r="E21" s="26">
        <v>1865083471</v>
      </c>
      <c r="F21" s="25">
        <f t="shared" si="7"/>
        <v>1.5385011478024561E-2</v>
      </c>
      <c r="G21" s="27">
        <v>1836823914</v>
      </c>
      <c r="H21" s="24">
        <v>1720017463</v>
      </c>
      <c r="I21" s="25">
        <f t="shared" si="0"/>
        <v>5.5929159792333233E-2</v>
      </c>
      <c r="J21" s="26">
        <v>1628913689</v>
      </c>
      <c r="K21" s="25">
        <f t="shared" si="1"/>
        <v>3.6305651518825401E-2</v>
      </c>
      <c r="L21" s="27">
        <v>1571846768</v>
      </c>
      <c r="M21" s="24">
        <f t="shared" si="2"/>
        <v>3605104910</v>
      </c>
      <c r="N21" s="25">
        <f t="shared" si="3"/>
        <v>3.1799610850284724E-2</v>
      </c>
      <c r="O21" s="26">
        <f t="shared" si="4"/>
        <v>3493997160</v>
      </c>
      <c r="P21" s="25">
        <f t="shared" si="5"/>
        <v>2.5032185846106912E-2</v>
      </c>
      <c r="Q21" s="28">
        <f t="shared" si="6"/>
        <v>3408670682</v>
      </c>
    </row>
    <row r="22" spans="1:17" x14ac:dyDescent="0.2">
      <c r="A22" s="23" t="s">
        <v>18</v>
      </c>
      <c r="B22" s="60" t="s">
        <v>113</v>
      </c>
      <c r="C22" s="24">
        <v>1069926472</v>
      </c>
      <c r="D22" s="25">
        <f t="shared" si="7"/>
        <v>3.8887526520288221E-2</v>
      </c>
      <c r="E22" s="26">
        <v>1029877099</v>
      </c>
      <c r="F22" s="25">
        <f t="shared" si="7"/>
        <v>4.8948047578835911E-2</v>
      </c>
      <c r="G22" s="27">
        <v>981818977</v>
      </c>
      <c r="H22" s="24">
        <v>1082756914</v>
      </c>
      <c r="I22" s="25">
        <f t="shared" si="0"/>
        <v>7.1321287751725998E-2</v>
      </c>
      <c r="J22" s="26">
        <v>1010674320</v>
      </c>
      <c r="K22" s="25">
        <f t="shared" si="1"/>
        <v>5.245746658997337E-2</v>
      </c>
      <c r="L22" s="27">
        <v>960299444</v>
      </c>
      <c r="M22" s="24">
        <f t="shared" si="2"/>
        <v>2152683386</v>
      </c>
      <c r="N22" s="25">
        <f t="shared" si="3"/>
        <v>5.4951796830952582E-2</v>
      </c>
      <c r="O22" s="26">
        <f t="shared" si="4"/>
        <v>2040551419</v>
      </c>
      <c r="P22" s="25">
        <f t="shared" si="5"/>
        <v>5.0683314125261572E-2</v>
      </c>
      <c r="Q22" s="28">
        <f t="shared" si="6"/>
        <v>1942118421</v>
      </c>
    </row>
    <row r="23" spans="1:17" x14ac:dyDescent="0.2">
      <c r="A23" s="23" t="s">
        <v>19</v>
      </c>
      <c r="B23" s="60" t="s">
        <v>114</v>
      </c>
      <c r="C23" s="24">
        <v>85232388</v>
      </c>
      <c r="D23" s="25">
        <f t="shared" si="7"/>
        <v>1.8691588449945871E-2</v>
      </c>
      <c r="E23" s="26">
        <v>83668491</v>
      </c>
      <c r="F23" s="25">
        <f t="shared" si="7"/>
        <v>2.4722478849729924E-2</v>
      </c>
      <c r="G23" s="27">
        <v>81649903</v>
      </c>
      <c r="H23" s="24">
        <v>65814321</v>
      </c>
      <c r="I23" s="25">
        <f t="shared" si="0"/>
        <v>6.7586246699982491E-2</v>
      </c>
      <c r="J23" s="26">
        <v>61647779</v>
      </c>
      <c r="K23" s="25">
        <f t="shared" si="1"/>
        <v>5.6204454146379756E-2</v>
      </c>
      <c r="L23" s="27">
        <v>58367278</v>
      </c>
      <c r="M23" s="24">
        <f t="shared" si="2"/>
        <v>151046709</v>
      </c>
      <c r="N23" s="25">
        <f t="shared" si="3"/>
        <v>3.9434256054053686E-2</v>
      </c>
      <c r="O23" s="26">
        <f t="shared" si="4"/>
        <v>145316270</v>
      </c>
      <c r="P23" s="25">
        <f t="shared" si="5"/>
        <v>3.7845991200179924E-2</v>
      </c>
      <c r="Q23" s="28">
        <f t="shared" si="6"/>
        <v>140017181</v>
      </c>
    </row>
    <row r="24" spans="1:17" x14ac:dyDescent="0.2">
      <c r="A24" s="23" t="s">
        <v>20</v>
      </c>
      <c r="B24" s="60" t="s">
        <v>114</v>
      </c>
      <c r="C24" s="24">
        <v>251273069</v>
      </c>
      <c r="D24" s="25">
        <f t="shared" si="7"/>
        <v>-3.3390846527588439E-3</v>
      </c>
      <c r="E24" s="26">
        <v>252114902</v>
      </c>
      <c r="F24" s="25">
        <f t="shared" si="7"/>
        <v>1.6447261223386907E-2</v>
      </c>
      <c r="G24" s="27">
        <v>248035399</v>
      </c>
      <c r="H24" s="24">
        <v>175442658</v>
      </c>
      <c r="I24" s="25">
        <f t="shared" si="0"/>
        <v>5.6069398744147604E-2</v>
      </c>
      <c r="J24" s="26">
        <v>166127963</v>
      </c>
      <c r="K24" s="25">
        <f t="shared" si="1"/>
        <v>6.0877164276138762E-2</v>
      </c>
      <c r="L24" s="27">
        <v>156594909</v>
      </c>
      <c r="M24" s="24">
        <f t="shared" si="2"/>
        <v>426715727</v>
      </c>
      <c r="N24" s="25">
        <f t="shared" si="3"/>
        <v>2.0258234411243334E-2</v>
      </c>
      <c r="O24" s="26">
        <f t="shared" si="4"/>
        <v>418242865</v>
      </c>
      <c r="P24" s="25">
        <f t="shared" si="5"/>
        <v>3.3641960898292377E-2</v>
      </c>
      <c r="Q24" s="28">
        <f t="shared" si="6"/>
        <v>404630308</v>
      </c>
    </row>
    <row r="25" spans="1:17" x14ac:dyDescent="0.2">
      <c r="A25" s="23" t="s">
        <v>21</v>
      </c>
      <c r="B25" s="60" t="s">
        <v>114</v>
      </c>
      <c r="C25" s="24">
        <v>140275017</v>
      </c>
      <c r="D25" s="25">
        <f t="shared" si="7"/>
        <v>2.1280602066155795E-2</v>
      </c>
      <c r="E25" s="26">
        <v>137352082</v>
      </c>
      <c r="F25" s="25">
        <f t="shared" si="7"/>
        <v>3.609866931493546E-2</v>
      </c>
      <c r="G25" s="27">
        <v>132566604</v>
      </c>
      <c r="H25" s="24">
        <v>104145731</v>
      </c>
      <c r="I25" s="25">
        <f t="shared" si="0"/>
        <v>8.7576957055908441E-2</v>
      </c>
      <c r="J25" s="26">
        <v>95759413</v>
      </c>
      <c r="K25" s="25">
        <f t="shared" si="1"/>
        <v>7.5801341818749701E-2</v>
      </c>
      <c r="L25" s="27">
        <v>89012171</v>
      </c>
      <c r="M25" s="24">
        <f t="shared" si="2"/>
        <v>244420748</v>
      </c>
      <c r="N25" s="25">
        <f t="shared" si="3"/>
        <v>4.8514351469454563E-2</v>
      </c>
      <c r="O25" s="26">
        <f t="shared" si="4"/>
        <v>233111495</v>
      </c>
      <c r="P25" s="25">
        <f t="shared" si="5"/>
        <v>5.2047945476727184E-2</v>
      </c>
      <c r="Q25" s="28">
        <f t="shared" si="6"/>
        <v>221578775</v>
      </c>
    </row>
    <row r="26" spans="1:17" x14ac:dyDescent="0.2">
      <c r="A26" s="23" t="s">
        <v>22</v>
      </c>
      <c r="B26" s="60" t="s">
        <v>114</v>
      </c>
      <c r="C26" s="24">
        <v>68441698</v>
      </c>
      <c r="D26" s="25">
        <f t="shared" si="7"/>
        <v>3.6914662693023053E-3</v>
      </c>
      <c r="E26" s="26">
        <v>68189977</v>
      </c>
      <c r="F26" s="25">
        <f t="shared" si="7"/>
        <v>4.8429671993462001E-2</v>
      </c>
      <c r="G26" s="27">
        <v>65040106</v>
      </c>
      <c r="H26" s="24">
        <v>53036182</v>
      </c>
      <c r="I26" s="25">
        <f t="shared" si="0"/>
        <v>6.4736803369789278E-2</v>
      </c>
      <c r="J26" s="26">
        <v>49811542</v>
      </c>
      <c r="K26" s="25">
        <f t="shared" si="1"/>
        <v>0.10081857836057452</v>
      </c>
      <c r="L26" s="27">
        <v>45249547</v>
      </c>
      <c r="M26" s="24">
        <f t="shared" si="2"/>
        <v>121477880</v>
      </c>
      <c r="N26" s="25">
        <f t="shared" si="3"/>
        <v>2.9460307201638652E-2</v>
      </c>
      <c r="O26" s="26">
        <f t="shared" si="4"/>
        <v>118001519</v>
      </c>
      <c r="P26" s="25">
        <f t="shared" si="5"/>
        <v>6.9923748876061842E-2</v>
      </c>
      <c r="Q26" s="28">
        <f t="shared" si="6"/>
        <v>110289653</v>
      </c>
    </row>
    <row r="27" spans="1:17" x14ac:dyDescent="0.2">
      <c r="A27" s="23" t="s">
        <v>23</v>
      </c>
      <c r="B27" s="60" t="s">
        <v>114</v>
      </c>
      <c r="C27" s="24">
        <v>102135642</v>
      </c>
      <c r="D27" s="25">
        <f t="shared" si="7"/>
        <v>3.1057339500733951E-2</v>
      </c>
      <c r="E27" s="26">
        <v>99059129</v>
      </c>
      <c r="F27" s="25">
        <f t="shared" si="7"/>
        <v>3.1158466445479531E-2</v>
      </c>
      <c r="G27" s="27">
        <v>96065864</v>
      </c>
      <c r="H27" s="24">
        <v>76882568</v>
      </c>
      <c r="I27" s="25">
        <f t="shared" si="0"/>
        <v>8.3681201280815395E-2</v>
      </c>
      <c r="J27" s="26">
        <v>70945743</v>
      </c>
      <c r="K27" s="25">
        <f t="shared" si="1"/>
        <v>7.6879365152223864E-2</v>
      </c>
      <c r="L27" s="27">
        <v>65880864</v>
      </c>
      <c r="M27" s="24">
        <f t="shared" si="2"/>
        <v>179018210</v>
      </c>
      <c r="N27" s="25">
        <f t="shared" si="3"/>
        <v>5.301811585729143E-2</v>
      </c>
      <c r="O27" s="26">
        <f t="shared" si="4"/>
        <v>170004872</v>
      </c>
      <c r="P27" s="25">
        <f t="shared" si="5"/>
        <v>4.9757992023154674E-2</v>
      </c>
      <c r="Q27" s="28">
        <f t="shared" si="6"/>
        <v>161946728</v>
      </c>
    </row>
    <row r="28" spans="1:17" x14ac:dyDescent="0.2">
      <c r="A28" s="23" t="s">
        <v>24</v>
      </c>
      <c r="B28" s="60" t="s">
        <v>113</v>
      </c>
      <c r="C28" s="24">
        <v>70496467</v>
      </c>
      <c r="D28" s="25">
        <f t="shared" si="7"/>
        <v>3.1883920988565483E-3</v>
      </c>
      <c r="E28" s="26">
        <v>70272411</v>
      </c>
      <c r="F28" s="25">
        <f t="shared" si="7"/>
        <v>1.6748839590375542E-2</v>
      </c>
      <c r="G28" s="27">
        <v>69114818</v>
      </c>
      <c r="H28" s="24">
        <v>44429697</v>
      </c>
      <c r="I28" s="25">
        <f t="shared" si="0"/>
        <v>8.8494282181143788E-2</v>
      </c>
      <c r="J28" s="26">
        <v>40817575</v>
      </c>
      <c r="K28" s="25">
        <f t="shared" si="1"/>
        <v>7.1068965667444972E-2</v>
      </c>
      <c r="L28" s="27">
        <v>38109194</v>
      </c>
      <c r="M28" s="24">
        <f t="shared" si="2"/>
        <v>114926164</v>
      </c>
      <c r="N28" s="25">
        <f t="shared" si="3"/>
        <v>3.4532167462871043E-2</v>
      </c>
      <c r="O28" s="26">
        <f t="shared" si="4"/>
        <v>111089986</v>
      </c>
      <c r="P28" s="25">
        <f t="shared" si="5"/>
        <v>3.6055114221989752E-2</v>
      </c>
      <c r="Q28" s="28">
        <f t="shared" si="6"/>
        <v>107224012</v>
      </c>
    </row>
    <row r="29" spans="1:17" x14ac:dyDescent="0.2">
      <c r="A29" s="23" t="s">
        <v>25</v>
      </c>
      <c r="B29" s="60" t="s">
        <v>113</v>
      </c>
      <c r="C29" s="24">
        <v>113260938</v>
      </c>
      <c r="D29" s="25">
        <f t="shared" si="7"/>
        <v>1.655133087106643E-2</v>
      </c>
      <c r="E29" s="26">
        <v>111416841</v>
      </c>
      <c r="F29" s="25">
        <f t="shared" si="7"/>
        <v>6.8288735477626972E-3</v>
      </c>
      <c r="G29" s="27">
        <v>110661150</v>
      </c>
      <c r="H29" s="24">
        <v>82945960</v>
      </c>
      <c r="I29" s="25">
        <f t="shared" si="0"/>
        <v>9.9490540593670032E-2</v>
      </c>
      <c r="J29" s="26">
        <v>75440358</v>
      </c>
      <c r="K29" s="25">
        <f t="shared" si="1"/>
        <v>5.93423228531492E-2</v>
      </c>
      <c r="L29" s="27">
        <v>71214334</v>
      </c>
      <c r="M29" s="24">
        <f t="shared" si="2"/>
        <v>196206898</v>
      </c>
      <c r="N29" s="25">
        <f t="shared" si="3"/>
        <v>5.0036600409492385E-2</v>
      </c>
      <c r="O29" s="26">
        <f t="shared" si="4"/>
        <v>186857199</v>
      </c>
      <c r="P29" s="25">
        <f t="shared" si="5"/>
        <v>2.7390799960702785E-2</v>
      </c>
      <c r="Q29" s="28">
        <f t="shared" si="6"/>
        <v>181875484</v>
      </c>
    </row>
    <row r="30" spans="1:17" x14ac:dyDescent="0.2">
      <c r="A30" s="23" t="s">
        <v>26</v>
      </c>
      <c r="B30" s="60" t="s">
        <v>113</v>
      </c>
      <c r="C30" s="24">
        <v>211533771</v>
      </c>
      <c r="D30" s="25">
        <f t="shared" si="7"/>
        <v>5.0144261573270357E-2</v>
      </c>
      <c r="E30" s="26">
        <v>201433059</v>
      </c>
      <c r="F30" s="25">
        <f t="shared" si="7"/>
        <v>5.1421376615442944E-2</v>
      </c>
      <c r="G30" s="27">
        <v>191581666</v>
      </c>
      <c r="H30" s="24">
        <v>167403361</v>
      </c>
      <c r="I30" s="25">
        <f t="shared" si="0"/>
        <v>0.12122044444553989</v>
      </c>
      <c r="J30" s="26">
        <v>149304592</v>
      </c>
      <c r="K30" s="25">
        <f t="shared" si="1"/>
        <v>0.10662577697767826</v>
      </c>
      <c r="L30" s="27">
        <v>134918773</v>
      </c>
      <c r="M30" s="24">
        <f t="shared" si="2"/>
        <v>378937132</v>
      </c>
      <c r="N30" s="25">
        <f t="shared" si="3"/>
        <v>8.0400495696996047E-2</v>
      </c>
      <c r="O30" s="26">
        <f t="shared" si="4"/>
        <v>350737651</v>
      </c>
      <c r="P30" s="25">
        <f t="shared" si="5"/>
        <v>7.4233321321812984E-2</v>
      </c>
      <c r="Q30" s="28">
        <f t="shared" si="6"/>
        <v>326500439</v>
      </c>
    </row>
    <row r="31" spans="1:17" x14ac:dyDescent="0.2">
      <c r="A31" s="23" t="s">
        <v>27</v>
      </c>
      <c r="B31" s="60" t="s">
        <v>113</v>
      </c>
      <c r="C31" s="24">
        <v>1481795980</v>
      </c>
      <c r="D31" s="25">
        <f t="shared" si="7"/>
        <v>1.7414868676764627E-2</v>
      </c>
      <c r="E31" s="26">
        <v>1456432401</v>
      </c>
      <c r="F31" s="25">
        <f t="shared" si="7"/>
        <v>2.8116688622735812E-2</v>
      </c>
      <c r="G31" s="27">
        <v>1416602237</v>
      </c>
      <c r="H31" s="24">
        <v>1372342356</v>
      </c>
      <c r="I31" s="25">
        <f t="shared" si="0"/>
        <v>6.0722450935958926E-2</v>
      </c>
      <c r="J31" s="26">
        <v>1293780814</v>
      </c>
      <c r="K31" s="25">
        <f t="shared" si="1"/>
        <v>4.9764202245990916E-2</v>
      </c>
      <c r="L31" s="27">
        <v>1232448974</v>
      </c>
      <c r="M31" s="24">
        <f t="shared" si="2"/>
        <v>2854138336</v>
      </c>
      <c r="N31" s="25">
        <f t="shared" si="3"/>
        <v>3.7788023282405762E-2</v>
      </c>
      <c r="O31" s="26">
        <f t="shared" si="4"/>
        <v>2750213215</v>
      </c>
      <c r="P31" s="25">
        <f t="shared" si="5"/>
        <v>3.8188013723529333E-2</v>
      </c>
      <c r="Q31" s="28">
        <f t="shared" si="6"/>
        <v>2649051211</v>
      </c>
    </row>
    <row r="32" spans="1:17" x14ac:dyDescent="0.2">
      <c r="A32" s="23" t="s">
        <v>28</v>
      </c>
      <c r="B32" s="60" t="s">
        <v>113</v>
      </c>
      <c r="C32" s="24">
        <v>648637203</v>
      </c>
      <c r="D32" s="25">
        <f t="shared" si="7"/>
        <v>3.5990329907806566E-3</v>
      </c>
      <c r="E32" s="26">
        <v>646311108</v>
      </c>
      <c r="F32" s="25">
        <f t="shared" si="7"/>
        <v>1.9202909911650013E-2</v>
      </c>
      <c r="G32" s="27">
        <v>634133892</v>
      </c>
      <c r="H32" s="24">
        <v>555379403</v>
      </c>
      <c r="I32" s="25">
        <f t="shared" si="0"/>
        <v>5.6726529286171785E-2</v>
      </c>
      <c r="J32" s="26">
        <v>525565875</v>
      </c>
      <c r="K32" s="25">
        <f t="shared" si="1"/>
        <v>5.0630418581904438E-2</v>
      </c>
      <c r="L32" s="27">
        <v>500238586</v>
      </c>
      <c r="M32" s="24">
        <f t="shared" si="2"/>
        <v>1204016606</v>
      </c>
      <c r="N32" s="25">
        <f t="shared" si="3"/>
        <v>2.7425765217883796E-2</v>
      </c>
      <c r="O32" s="26">
        <f t="shared" si="4"/>
        <v>1171876983</v>
      </c>
      <c r="P32" s="25">
        <f t="shared" si="5"/>
        <v>3.3061896094414941E-2</v>
      </c>
      <c r="Q32" s="28">
        <f t="shared" si="6"/>
        <v>1134372478</v>
      </c>
    </row>
    <row r="33" spans="1:17" x14ac:dyDescent="0.2">
      <c r="A33" s="23" t="s">
        <v>29</v>
      </c>
      <c r="B33" s="60" t="s">
        <v>113</v>
      </c>
      <c r="C33" s="24">
        <v>7562223067</v>
      </c>
      <c r="D33" s="25">
        <f t="shared" si="7"/>
        <v>3.6770379588047237E-3</v>
      </c>
      <c r="E33" s="26">
        <v>7534518357</v>
      </c>
      <c r="F33" s="25">
        <f t="shared" si="7"/>
        <v>1.5221192101831581E-2</v>
      </c>
      <c r="G33" s="27">
        <v>7421553466</v>
      </c>
      <c r="H33" s="24">
        <v>7245737344</v>
      </c>
      <c r="I33" s="25">
        <f t="shared" si="0"/>
        <v>3.9448754485166805E-2</v>
      </c>
      <c r="J33" s="26">
        <v>6970749941</v>
      </c>
      <c r="K33" s="25">
        <f t="shared" si="1"/>
        <v>2.6791938400099177E-2</v>
      </c>
      <c r="L33" s="27">
        <v>6788863138</v>
      </c>
      <c r="M33" s="24">
        <f t="shared" si="2"/>
        <v>14807960411</v>
      </c>
      <c r="N33" s="25">
        <f t="shared" si="3"/>
        <v>2.0867736244612276E-2</v>
      </c>
      <c r="O33" s="26">
        <f t="shared" si="4"/>
        <v>14505268298</v>
      </c>
      <c r="P33" s="25">
        <f t="shared" si="5"/>
        <v>2.0748983102789827E-2</v>
      </c>
      <c r="Q33" s="28">
        <f t="shared" si="6"/>
        <v>14210416604</v>
      </c>
    </row>
    <row r="34" spans="1:17" x14ac:dyDescent="0.2">
      <c r="A34" s="23" t="s">
        <v>30</v>
      </c>
      <c r="B34" s="60" t="s">
        <v>114</v>
      </c>
      <c r="C34" s="24">
        <v>121479682</v>
      </c>
      <c r="D34" s="25">
        <f t="shared" si="7"/>
        <v>1.1403807598954461E-2</v>
      </c>
      <c r="E34" s="26">
        <v>120109971</v>
      </c>
      <c r="F34" s="25">
        <f t="shared" si="7"/>
        <v>1.5963143950855352E-2</v>
      </c>
      <c r="G34" s="27">
        <v>118222764</v>
      </c>
      <c r="H34" s="24">
        <v>74928869</v>
      </c>
      <c r="I34" s="25">
        <f t="shared" si="0"/>
        <v>8.8455318263807814E-2</v>
      </c>
      <c r="J34" s="26">
        <v>68839637</v>
      </c>
      <c r="K34" s="25">
        <f t="shared" si="1"/>
        <v>6.820506697148844E-2</v>
      </c>
      <c r="L34" s="27">
        <v>64444215</v>
      </c>
      <c r="M34" s="24">
        <f t="shared" si="2"/>
        <v>196408551</v>
      </c>
      <c r="N34" s="25">
        <f t="shared" si="3"/>
        <v>3.9475832095931099E-2</v>
      </c>
      <c r="O34" s="26">
        <f t="shared" si="4"/>
        <v>188949608</v>
      </c>
      <c r="P34" s="25">
        <f t="shared" si="5"/>
        <v>3.4393895571021627E-2</v>
      </c>
      <c r="Q34" s="28">
        <f t="shared" si="6"/>
        <v>182666979</v>
      </c>
    </row>
    <row r="35" spans="1:17" x14ac:dyDescent="0.2">
      <c r="A35" s="23" t="s">
        <v>31</v>
      </c>
      <c r="B35" s="60" t="s">
        <v>113</v>
      </c>
      <c r="C35" s="24">
        <v>1269136200</v>
      </c>
      <c r="D35" s="25">
        <f t="shared" si="7"/>
        <v>1.2477312860285222E-2</v>
      </c>
      <c r="E35" s="26">
        <v>1253495939</v>
      </c>
      <c r="F35" s="25">
        <f t="shared" si="7"/>
        <v>2.1236538829616916E-2</v>
      </c>
      <c r="G35" s="27">
        <v>1227429583</v>
      </c>
      <c r="H35" s="24">
        <v>1224615671</v>
      </c>
      <c r="I35" s="25">
        <f t="shared" si="0"/>
        <v>5.0303025312492734E-2</v>
      </c>
      <c r="J35" s="26">
        <v>1165964147</v>
      </c>
      <c r="K35" s="25">
        <f t="shared" si="1"/>
        <v>3.3650097906252167E-2</v>
      </c>
      <c r="L35" s="27">
        <v>1128006614</v>
      </c>
      <c r="M35" s="24">
        <f t="shared" si="2"/>
        <v>2493751871</v>
      </c>
      <c r="N35" s="25">
        <f t="shared" si="3"/>
        <v>3.0705935357182825E-2</v>
      </c>
      <c r="O35" s="26">
        <f t="shared" si="4"/>
        <v>2419460086</v>
      </c>
      <c r="P35" s="25">
        <f t="shared" si="5"/>
        <v>2.7181330184848137E-2</v>
      </c>
      <c r="Q35" s="28">
        <f t="shared" si="6"/>
        <v>2355436197</v>
      </c>
    </row>
    <row r="36" spans="1:17" x14ac:dyDescent="0.2">
      <c r="A36" s="23" t="s">
        <v>32</v>
      </c>
      <c r="B36" s="60" t="s">
        <v>114</v>
      </c>
      <c r="C36" s="24">
        <v>260048034</v>
      </c>
      <c r="D36" s="25">
        <f t="shared" si="7"/>
        <v>1.1790693663653828E-2</v>
      </c>
      <c r="E36" s="26">
        <v>257017618</v>
      </c>
      <c r="F36" s="25">
        <f t="shared" si="7"/>
        <v>1.3694691797041218E-2</v>
      </c>
      <c r="G36" s="27">
        <v>253545392</v>
      </c>
      <c r="H36" s="24">
        <v>163405565</v>
      </c>
      <c r="I36" s="25">
        <f t="shared" si="0"/>
        <v>7.5586788636950814E-2</v>
      </c>
      <c r="J36" s="26">
        <v>151922250</v>
      </c>
      <c r="K36" s="25">
        <f t="shared" si="1"/>
        <v>5.8518092298553953E-2</v>
      </c>
      <c r="L36" s="27">
        <v>143523527</v>
      </c>
      <c r="M36" s="24">
        <f t="shared" si="2"/>
        <v>423453599</v>
      </c>
      <c r="N36" s="25">
        <f t="shared" si="3"/>
        <v>3.5491112840091196E-2</v>
      </c>
      <c r="O36" s="26">
        <f t="shared" si="4"/>
        <v>408939868</v>
      </c>
      <c r="P36" s="25">
        <f t="shared" si="5"/>
        <v>2.9896444752957357E-2</v>
      </c>
      <c r="Q36" s="28">
        <f t="shared" si="6"/>
        <v>397068919</v>
      </c>
    </row>
    <row r="37" spans="1:17" x14ac:dyDescent="0.2">
      <c r="A37" s="23" t="s">
        <v>33</v>
      </c>
      <c r="B37" s="60" t="s">
        <v>114</v>
      </c>
      <c r="C37" s="24">
        <v>100084562</v>
      </c>
      <c r="D37" s="25">
        <f t="shared" si="7"/>
        <v>9.950383302494991E-3</v>
      </c>
      <c r="E37" s="26">
        <v>99098494</v>
      </c>
      <c r="F37" s="25">
        <f t="shared" si="7"/>
        <v>1.6359347133344127E-2</v>
      </c>
      <c r="G37" s="27">
        <v>97503402</v>
      </c>
      <c r="H37" s="24">
        <v>78091859</v>
      </c>
      <c r="I37" s="25">
        <f t="shared" ref="I37:I68" si="8">((H37-J37)/J37)</f>
        <v>6.671952555674289E-2</v>
      </c>
      <c r="J37" s="26">
        <v>73207490</v>
      </c>
      <c r="K37" s="25">
        <f t="shared" ref="K37:K68" si="9">((J37-L37)/L37)</f>
        <v>4.5397183011383464E-2</v>
      </c>
      <c r="L37" s="27">
        <v>70028398</v>
      </c>
      <c r="M37" s="24">
        <f t="shared" ref="M37:M71" si="10">C37+H37</f>
        <v>178176421</v>
      </c>
      <c r="N37" s="25">
        <f t="shared" ref="N37:N68" si="11">((M37-O37)/O37)</f>
        <v>3.4069838224538969E-2</v>
      </c>
      <c r="O37" s="26">
        <f t="shared" ref="O37:O71" si="12">E37+J37</f>
        <v>172305984</v>
      </c>
      <c r="P37" s="25">
        <f t="shared" ref="P37:P68" si="13">((O37-Q37)/Q37)</f>
        <v>2.8497180833728285E-2</v>
      </c>
      <c r="Q37" s="28">
        <f t="shared" ref="Q37:Q71" si="14">G37+L37</f>
        <v>167531800</v>
      </c>
    </row>
    <row r="38" spans="1:17" x14ac:dyDescent="0.2">
      <c r="A38" s="23" t="s">
        <v>34</v>
      </c>
      <c r="B38" s="60" t="s">
        <v>114</v>
      </c>
      <c r="C38" s="24">
        <v>43706514</v>
      </c>
      <c r="D38" s="25">
        <f t="shared" si="7"/>
        <v>2.6566373161765872E-2</v>
      </c>
      <c r="E38" s="26">
        <v>42575439</v>
      </c>
      <c r="F38" s="25">
        <f t="shared" si="7"/>
        <v>2.6804023612173211E-2</v>
      </c>
      <c r="G38" s="27">
        <v>41464036</v>
      </c>
      <c r="H38" s="24">
        <v>30792140</v>
      </c>
      <c r="I38" s="25">
        <f t="shared" si="8"/>
        <v>9.2112565678255848E-2</v>
      </c>
      <c r="J38" s="26">
        <v>28195024</v>
      </c>
      <c r="K38" s="25">
        <f t="shared" si="9"/>
        <v>5.6332146660663246E-2</v>
      </c>
      <c r="L38" s="27">
        <v>26691438</v>
      </c>
      <c r="M38" s="24">
        <f t="shared" si="10"/>
        <v>74498654</v>
      </c>
      <c r="N38" s="25">
        <f t="shared" si="11"/>
        <v>5.2680042519998777E-2</v>
      </c>
      <c r="O38" s="26">
        <f t="shared" si="12"/>
        <v>70770463</v>
      </c>
      <c r="P38" s="25">
        <f t="shared" si="13"/>
        <v>3.8367996677713664E-2</v>
      </c>
      <c r="Q38" s="28">
        <f t="shared" si="14"/>
        <v>68155474</v>
      </c>
    </row>
    <row r="39" spans="1:17" x14ac:dyDescent="0.2">
      <c r="A39" s="23" t="s">
        <v>35</v>
      </c>
      <c r="B39" s="60" t="s">
        <v>113</v>
      </c>
      <c r="C39" s="24">
        <v>2800598256</v>
      </c>
      <c r="D39" s="25">
        <f t="shared" si="7"/>
        <v>2.6496757081002787E-2</v>
      </c>
      <c r="E39" s="26">
        <v>2728306969</v>
      </c>
      <c r="F39" s="25">
        <f t="shared" si="7"/>
        <v>5.2852775646495674E-2</v>
      </c>
      <c r="G39" s="27">
        <v>2591347083</v>
      </c>
      <c r="H39" s="24">
        <v>2689786076</v>
      </c>
      <c r="I39" s="25">
        <f t="shared" si="8"/>
        <v>6.4316432889579958E-2</v>
      </c>
      <c r="J39" s="26">
        <v>2527242832</v>
      </c>
      <c r="K39" s="25">
        <f t="shared" si="9"/>
        <v>6.5602230722709959E-2</v>
      </c>
      <c r="L39" s="27">
        <v>2371656852</v>
      </c>
      <c r="M39" s="24">
        <f t="shared" si="10"/>
        <v>5490384332</v>
      </c>
      <c r="N39" s="25">
        <f t="shared" si="11"/>
        <v>4.468315207579554E-2</v>
      </c>
      <c r="O39" s="26">
        <f t="shared" si="12"/>
        <v>5255549801</v>
      </c>
      <c r="P39" s="25">
        <f t="shared" si="13"/>
        <v>5.8945322194269026E-2</v>
      </c>
      <c r="Q39" s="28">
        <f t="shared" si="14"/>
        <v>4963003935</v>
      </c>
    </row>
    <row r="40" spans="1:17" x14ac:dyDescent="0.2">
      <c r="A40" s="23" t="s">
        <v>36</v>
      </c>
      <c r="B40" s="60" t="s">
        <v>113</v>
      </c>
      <c r="C40" s="24">
        <v>5380730465</v>
      </c>
      <c r="D40" s="25">
        <f t="shared" si="7"/>
        <v>1.7628982445836227E-2</v>
      </c>
      <c r="E40" s="26">
        <v>5287516922</v>
      </c>
      <c r="F40" s="25">
        <f t="shared" si="7"/>
        <v>3.3533828663499854E-2</v>
      </c>
      <c r="G40" s="27">
        <v>5115959222</v>
      </c>
      <c r="H40" s="24">
        <v>5206628424</v>
      </c>
      <c r="I40" s="25">
        <f t="shared" si="8"/>
        <v>5.7260002792571783E-2</v>
      </c>
      <c r="J40" s="26">
        <v>4924643333</v>
      </c>
      <c r="K40" s="25">
        <f t="shared" si="9"/>
        <v>5.6632770412661668E-2</v>
      </c>
      <c r="L40" s="27">
        <v>4660695249</v>
      </c>
      <c r="M40" s="24">
        <f t="shared" si="10"/>
        <v>10587358889</v>
      </c>
      <c r="N40" s="25">
        <f t="shared" si="11"/>
        <v>3.6740378590935069E-2</v>
      </c>
      <c r="O40" s="26">
        <f t="shared" si="12"/>
        <v>10212160255</v>
      </c>
      <c r="P40" s="25">
        <f t="shared" si="13"/>
        <v>4.4545481820168542E-2</v>
      </c>
      <c r="Q40" s="28">
        <f t="shared" si="14"/>
        <v>9776654471</v>
      </c>
    </row>
    <row r="41" spans="1:17" x14ac:dyDescent="0.2">
      <c r="A41" s="23" t="s">
        <v>37</v>
      </c>
      <c r="B41" s="60" t="s">
        <v>113</v>
      </c>
      <c r="C41" s="24">
        <v>1450027184</v>
      </c>
      <c r="D41" s="25">
        <f t="shared" si="7"/>
        <v>-1.2159754000331926E-3</v>
      </c>
      <c r="E41" s="26">
        <v>1451792528</v>
      </c>
      <c r="F41" s="25">
        <f t="shared" si="7"/>
        <v>6.5100054459140974E-3</v>
      </c>
      <c r="G41" s="27">
        <v>1442402480</v>
      </c>
      <c r="H41" s="24">
        <v>1373676511</v>
      </c>
      <c r="I41" s="25">
        <f t="shared" si="8"/>
        <v>3.3848056701914285E-2</v>
      </c>
      <c r="J41" s="26">
        <v>1328702513</v>
      </c>
      <c r="K41" s="25">
        <f t="shared" si="9"/>
        <v>1.5531763495858891E-2</v>
      </c>
      <c r="L41" s="27">
        <v>1308381048</v>
      </c>
      <c r="M41" s="24">
        <f t="shared" si="10"/>
        <v>2823703695</v>
      </c>
      <c r="N41" s="25">
        <f t="shared" si="11"/>
        <v>1.5539914066690832E-2</v>
      </c>
      <c r="O41" s="26">
        <f t="shared" si="12"/>
        <v>2780495041</v>
      </c>
      <c r="P41" s="25">
        <f t="shared" si="13"/>
        <v>1.0801109101304754E-2</v>
      </c>
      <c r="Q41" s="28">
        <f t="shared" si="14"/>
        <v>2750783528</v>
      </c>
    </row>
    <row r="42" spans="1:17" x14ac:dyDescent="0.2">
      <c r="A42" s="23" t="s">
        <v>38</v>
      </c>
      <c r="B42" s="60" t="s">
        <v>114</v>
      </c>
      <c r="C42" s="24">
        <v>334372024</v>
      </c>
      <c r="D42" s="25">
        <f t="shared" si="7"/>
        <v>2.1961666482632973E-2</v>
      </c>
      <c r="E42" s="26">
        <v>327186464</v>
      </c>
      <c r="F42" s="25">
        <f t="shared" si="7"/>
        <v>3.1717649627762821E-2</v>
      </c>
      <c r="G42" s="27">
        <v>317127912</v>
      </c>
      <c r="H42" s="24">
        <v>247807365</v>
      </c>
      <c r="I42" s="25">
        <f t="shared" si="8"/>
        <v>9.0618227615584232E-2</v>
      </c>
      <c r="J42" s="26">
        <v>227217333</v>
      </c>
      <c r="K42" s="25">
        <f t="shared" si="9"/>
        <v>9.2032690311638701E-2</v>
      </c>
      <c r="L42" s="27">
        <v>208068252</v>
      </c>
      <c r="M42" s="24">
        <f t="shared" si="10"/>
        <v>582179389</v>
      </c>
      <c r="N42" s="25">
        <f t="shared" si="11"/>
        <v>5.0099931043581937E-2</v>
      </c>
      <c r="O42" s="26">
        <f t="shared" si="12"/>
        <v>554403797</v>
      </c>
      <c r="P42" s="25">
        <f t="shared" si="13"/>
        <v>5.5612807179604609E-2</v>
      </c>
      <c r="Q42" s="28">
        <f t="shared" si="14"/>
        <v>525196164</v>
      </c>
    </row>
    <row r="43" spans="1:17" x14ac:dyDescent="0.2">
      <c r="A43" s="23" t="s">
        <v>39</v>
      </c>
      <c r="B43" s="60" t="s">
        <v>114</v>
      </c>
      <c r="C43" s="24">
        <v>37820391</v>
      </c>
      <c r="D43" s="25">
        <f t="shared" si="7"/>
        <v>1.4841248136072481E-3</v>
      </c>
      <c r="E43" s="26">
        <v>37764344</v>
      </c>
      <c r="F43" s="25">
        <f t="shared" si="7"/>
        <v>8.3408445106068277E-3</v>
      </c>
      <c r="G43" s="27">
        <v>37451963</v>
      </c>
      <c r="H43" s="24">
        <v>21825946</v>
      </c>
      <c r="I43" s="25">
        <f t="shared" si="8"/>
        <v>5.4081274088274914E-2</v>
      </c>
      <c r="J43" s="26">
        <v>20706132</v>
      </c>
      <c r="K43" s="25">
        <f t="shared" si="9"/>
        <v>3.7575934204495363E-2</v>
      </c>
      <c r="L43" s="27">
        <v>19956257</v>
      </c>
      <c r="M43" s="24">
        <f t="shared" si="10"/>
        <v>59646337</v>
      </c>
      <c r="N43" s="25">
        <f t="shared" si="11"/>
        <v>2.0110337394893107E-2</v>
      </c>
      <c r="O43" s="26">
        <f t="shared" si="12"/>
        <v>58470476</v>
      </c>
      <c r="P43" s="25">
        <f t="shared" si="13"/>
        <v>1.8503552278750324E-2</v>
      </c>
      <c r="Q43" s="28">
        <f t="shared" si="14"/>
        <v>57408220</v>
      </c>
    </row>
    <row r="44" spans="1:17" x14ac:dyDescent="0.2">
      <c r="A44" s="23" t="s">
        <v>40</v>
      </c>
      <c r="B44" s="60" t="s">
        <v>114</v>
      </c>
      <c r="C44" s="24">
        <v>105994177</v>
      </c>
      <c r="D44" s="25">
        <f t="shared" si="7"/>
        <v>2.0314961193846407E-2</v>
      </c>
      <c r="E44" s="26">
        <v>103883782</v>
      </c>
      <c r="F44" s="25">
        <f t="shared" si="7"/>
        <v>5.2003873073745302E-3</v>
      </c>
      <c r="G44" s="27">
        <v>103346341</v>
      </c>
      <c r="H44" s="24">
        <v>70803380</v>
      </c>
      <c r="I44" s="25">
        <f t="shared" si="8"/>
        <v>8.9806144440074481E-2</v>
      </c>
      <c r="J44" s="26">
        <v>64968784</v>
      </c>
      <c r="K44" s="25">
        <f t="shared" si="9"/>
        <v>6.2529172262344071E-2</v>
      </c>
      <c r="L44" s="27">
        <v>61145412</v>
      </c>
      <c r="M44" s="24">
        <f t="shared" si="10"/>
        <v>176797557</v>
      </c>
      <c r="N44" s="25">
        <f t="shared" si="11"/>
        <v>4.7052829508081033E-2</v>
      </c>
      <c r="O44" s="26">
        <f t="shared" si="12"/>
        <v>168852566</v>
      </c>
      <c r="P44" s="25">
        <f t="shared" si="13"/>
        <v>2.6510830606808599E-2</v>
      </c>
      <c r="Q44" s="28">
        <f t="shared" si="14"/>
        <v>164491753</v>
      </c>
    </row>
    <row r="45" spans="1:17" x14ac:dyDescent="0.2">
      <c r="A45" s="23" t="s">
        <v>41</v>
      </c>
      <c r="B45" s="60" t="s">
        <v>113</v>
      </c>
      <c r="C45" s="24">
        <v>2717382287</v>
      </c>
      <c r="D45" s="25">
        <f t="shared" si="7"/>
        <v>2.8646159598004733E-2</v>
      </c>
      <c r="E45" s="26">
        <v>2641707512</v>
      </c>
      <c r="F45" s="25">
        <f t="shared" si="7"/>
        <v>3.9620063767996913E-2</v>
      </c>
      <c r="G45" s="27">
        <v>2541031675</v>
      </c>
      <c r="H45" s="24">
        <v>2657643727</v>
      </c>
      <c r="I45" s="25">
        <f t="shared" si="8"/>
        <v>6.5653974184826505E-2</v>
      </c>
      <c r="J45" s="26">
        <v>2493908709</v>
      </c>
      <c r="K45" s="25">
        <f t="shared" si="9"/>
        <v>5.1226952267299335E-2</v>
      </c>
      <c r="L45" s="27">
        <v>2372378965</v>
      </c>
      <c r="M45" s="24">
        <f t="shared" si="10"/>
        <v>5375026014</v>
      </c>
      <c r="N45" s="25">
        <f t="shared" si="11"/>
        <v>4.6617539687064558E-2</v>
      </c>
      <c r="O45" s="26">
        <f t="shared" si="12"/>
        <v>5135616221</v>
      </c>
      <c r="P45" s="25">
        <f t="shared" si="13"/>
        <v>4.5224304923962143E-2</v>
      </c>
      <c r="Q45" s="28">
        <f t="shared" si="14"/>
        <v>4913410640</v>
      </c>
    </row>
    <row r="46" spans="1:17" x14ac:dyDescent="0.2">
      <c r="A46" s="23" t="s">
        <v>42</v>
      </c>
      <c r="B46" s="60" t="s">
        <v>113</v>
      </c>
      <c r="C46" s="24">
        <v>2868680203</v>
      </c>
      <c r="D46" s="25">
        <f t="shared" si="7"/>
        <v>2.9350080369142422E-2</v>
      </c>
      <c r="E46" s="26">
        <v>2786884907</v>
      </c>
      <c r="F46" s="25">
        <f t="shared" si="7"/>
        <v>4.1429897996745887E-2</v>
      </c>
      <c r="G46" s="27">
        <v>2676017764</v>
      </c>
      <c r="H46" s="24">
        <v>2546461103</v>
      </c>
      <c r="I46" s="25">
        <f t="shared" si="8"/>
        <v>7.9024580947369194E-2</v>
      </c>
      <c r="J46" s="26">
        <v>2359965795</v>
      </c>
      <c r="K46" s="25">
        <f t="shared" si="9"/>
        <v>6.9429183093703301E-2</v>
      </c>
      <c r="L46" s="27">
        <v>2206752754</v>
      </c>
      <c r="M46" s="24">
        <f t="shared" si="10"/>
        <v>5415141306</v>
      </c>
      <c r="N46" s="25">
        <f t="shared" si="11"/>
        <v>5.2127139397252331E-2</v>
      </c>
      <c r="O46" s="26">
        <f t="shared" si="12"/>
        <v>5146850702</v>
      </c>
      <c r="P46" s="25">
        <f t="shared" si="13"/>
        <v>5.4084086693504528E-2</v>
      </c>
      <c r="Q46" s="28">
        <f t="shared" si="14"/>
        <v>4882770518</v>
      </c>
    </row>
    <row r="47" spans="1:17" x14ac:dyDescent="0.2">
      <c r="A47" s="23" t="s">
        <v>43</v>
      </c>
      <c r="B47" s="60" t="s">
        <v>113</v>
      </c>
      <c r="C47" s="24">
        <v>1232141141</v>
      </c>
      <c r="D47" s="25">
        <f t="shared" si="7"/>
        <v>4.0833830019247064E-3</v>
      </c>
      <c r="E47" s="26">
        <v>1227130298</v>
      </c>
      <c r="F47" s="25">
        <f t="shared" si="7"/>
        <v>9.7890338726507736E-3</v>
      </c>
      <c r="G47" s="27">
        <v>1215234328</v>
      </c>
      <c r="H47" s="24">
        <v>1190514904</v>
      </c>
      <c r="I47" s="25">
        <f t="shared" si="8"/>
        <v>4.1279610876100659E-2</v>
      </c>
      <c r="J47" s="26">
        <v>1143319135</v>
      </c>
      <c r="K47" s="25">
        <f t="shared" si="9"/>
        <v>1.8922510962840776E-2</v>
      </c>
      <c r="L47" s="27">
        <v>1122086442</v>
      </c>
      <c r="M47" s="24">
        <f t="shared" si="10"/>
        <v>2422656045</v>
      </c>
      <c r="N47" s="25">
        <f t="shared" si="11"/>
        <v>2.2023929839299804E-2</v>
      </c>
      <c r="O47" s="26">
        <f t="shared" si="12"/>
        <v>2370449433</v>
      </c>
      <c r="P47" s="25">
        <f t="shared" si="13"/>
        <v>1.4173776841079455E-2</v>
      </c>
      <c r="Q47" s="28">
        <f t="shared" si="14"/>
        <v>2337320770</v>
      </c>
    </row>
    <row r="48" spans="1:17" x14ac:dyDescent="0.2">
      <c r="A48" s="23" t="s">
        <v>44</v>
      </c>
      <c r="B48" s="60" t="s">
        <v>113</v>
      </c>
      <c r="C48" s="24">
        <v>395101753</v>
      </c>
      <c r="D48" s="25">
        <f t="shared" si="7"/>
        <v>-1.360158733993538E-2</v>
      </c>
      <c r="E48" s="26">
        <v>400549867</v>
      </c>
      <c r="F48" s="25">
        <f t="shared" si="7"/>
        <v>-8.8979081137079835E-4</v>
      </c>
      <c r="G48" s="27">
        <v>400906590</v>
      </c>
      <c r="H48" s="24">
        <v>404121934</v>
      </c>
      <c r="I48" s="25">
        <f t="shared" si="8"/>
        <v>1.5746274128942042E-2</v>
      </c>
      <c r="J48" s="26">
        <v>397857166</v>
      </c>
      <c r="K48" s="25">
        <f t="shared" si="9"/>
        <v>2.2429407590271663E-3</v>
      </c>
      <c r="L48" s="27">
        <v>396966793</v>
      </c>
      <c r="M48" s="24">
        <f t="shared" si="10"/>
        <v>799223687</v>
      </c>
      <c r="N48" s="25">
        <f t="shared" si="11"/>
        <v>1.022854216265402E-3</v>
      </c>
      <c r="O48" s="26">
        <f t="shared" si="12"/>
        <v>798407033</v>
      </c>
      <c r="P48" s="25">
        <f t="shared" si="13"/>
        <v>6.6884045936396405E-4</v>
      </c>
      <c r="Q48" s="28">
        <f t="shared" si="14"/>
        <v>797873383</v>
      </c>
    </row>
    <row r="49" spans="1:17" x14ac:dyDescent="0.2">
      <c r="A49" s="23" t="s">
        <v>45</v>
      </c>
      <c r="B49" s="60" t="s">
        <v>113</v>
      </c>
      <c r="C49" s="24">
        <v>746994688</v>
      </c>
      <c r="D49" s="25">
        <f t="shared" si="7"/>
        <v>2.2997064973159811E-2</v>
      </c>
      <c r="E49" s="26">
        <v>730202181</v>
      </c>
      <c r="F49" s="25">
        <f t="shared" si="7"/>
        <v>4.5781290915157785E-2</v>
      </c>
      <c r="G49" s="27">
        <v>698236034</v>
      </c>
      <c r="H49" s="24">
        <v>726332396</v>
      </c>
      <c r="I49" s="25">
        <f t="shared" si="8"/>
        <v>6.2208560567835962E-2</v>
      </c>
      <c r="J49" s="26">
        <v>683794523</v>
      </c>
      <c r="K49" s="25">
        <f t="shared" si="9"/>
        <v>5.9501594991868453E-2</v>
      </c>
      <c r="L49" s="27">
        <v>645392632</v>
      </c>
      <c r="M49" s="24">
        <f t="shared" si="10"/>
        <v>1473327084</v>
      </c>
      <c r="N49" s="25">
        <f t="shared" si="11"/>
        <v>4.1959348159838428E-2</v>
      </c>
      <c r="O49" s="26">
        <f t="shared" si="12"/>
        <v>1413996704</v>
      </c>
      <c r="P49" s="25">
        <f t="shared" si="13"/>
        <v>5.2371640900968991E-2</v>
      </c>
      <c r="Q49" s="28">
        <f t="shared" si="14"/>
        <v>1343628666</v>
      </c>
    </row>
    <row r="50" spans="1:17" x14ac:dyDescent="0.2">
      <c r="A50" s="23" t="s">
        <v>46</v>
      </c>
      <c r="B50" s="60" t="s">
        <v>113</v>
      </c>
      <c r="C50" s="24">
        <v>1283469119</v>
      </c>
      <c r="D50" s="25">
        <f t="shared" si="7"/>
        <v>9.3428416248670418E-2</v>
      </c>
      <c r="E50" s="26">
        <v>1173802601</v>
      </c>
      <c r="F50" s="25">
        <f t="shared" si="7"/>
        <v>-5.6117827337620177E-2</v>
      </c>
      <c r="G50" s="27">
        <v>1243590180</v>
      </c>
      <c r="H50" s="24">
        <v>1136507535</v>
      </c>
      <c r="I50" s="25">
        <f t="shared" si="8"/>
        <v>2.4103177639891903E-2</v>
      </c>
      <c r="J50" s="26">
        <v>1109758821</v>
      </c>
      <c r="K50" s="25">
        <f t="shared" si="9"/>
        <v>5.7546198224692757E-3</v>
      </c>
      <c r="L50" s="27">
        <v>1103409121</v>
      </c>
      <c r="M50" s="24">
        <f t="shared" si="10"/>
        <v>2419976654</v>
      </c>
      <c r="N50" s="25">
        <f t="shared" si="11"/>
        <v>5.9737929834409335E-2</v>
      </c>
      <c r="O50" s="26">
        <f t="shared" si="12"/>
        <v>2283561422</v>
      </c>
      <c r="P50" s="25">
        <f t="shared" si="13"/>
        <v>-2.7029355727958948E-2</v>
      </c>
      <c r="Q50" s="28">
        <f t="shared" si="14"/>
        <v>2346999301</v>
      </c>
    </row>
    <row r="51" spans="1:17" x14ac:dyDescent="0.2">
      <c r="A51" s="23" t="s">
        <v>47</v>
      </c>
      <c r="B51" s="60" t="s">
        <v>113</v>
      </c>
      <c r="C51" s="24">
        <v>226156947</v>
      </c>
      <c r="D51" s="25">
        <f t="shared" si="7"/>
        <v>2.0216078240514197E-2</v>
      </c>
      <c r="E51" s="26">
        <v>221675537</v>
      </c>
      <c r="F51" s="25">
        <f t="shared" si="7"/>
        <v>2.0884771873966181E-2</v>
      </c>
      <c r="G51" s="27">
        <v>217140605</v>
      </c>
      <c r="H51" s="24">
        <v>173690338</v>
      </c>
      <c r="I51" s="25">
        <f t="shared" si="8"/>
        <v>8.2149881784591955E-2</v>
      </c>
      <c r="J51" s="26">
        <v>160504881</v>
      </c>
      <c r="K51" s="25">
        <f t="shared" si="9"/>
        <v>7.524523571482504E-2</v>
      </c>
      <c r="L51" s="27">
        <v>149272813</v>
      </c>
      <c r="M51" s="24">
        <f t="shared" si="10"/>
        <v>399847285</v>
      </c>
      <c r="N51" s="25">
        <f t="shared" si="11"/>
        <v>4.6226510223765574E-2</v>
      </c>
      <c r="O51" s="26">
        <f t="shared" si="12"/>
        <v>382180418</v>
      </c>
      <c r="P51" s="25">
        <f t="shared" si="13"/>
        <v>4.3030629407790955E-2</v>
      </c>
      <c r="Q51" s="28">
        <f t="shared" si="14"/>
        <v>366413418</v>
      </c>
    </row>
    <row r="52" spans="1:17" x14ac:dyDescent="0.2">
      <c r="A52" s="23" t="s">
        <v>48</v>
      </c>
      <c r="B52" s="60" t="s">
        <v>113</v>
      </c>
      <c r="C52" s="24">
        <v>6444676389</v>
      </c>
      <c r="D52" s="25">
        <f t="shared" si="7"/>
        <v>4.0832986159341722E-2</v>
      </c>
      <c r="E52" s="26">
        <v>6191844873</v>
      </c>
      <c r="F52" s="25">
        <f t="shared" si="7"/>
        <v>1.1775611642210098E-2</v>
      </c>
      <c r="G52" s="27">
        <v>6119780712</v>
      </c>
      <c r="H52" s="24">
        <v>6096827363</v>
      </c>
      <c r="I52" s="25">
        <f t="shared" si="8"/>
        <v>5.6052591342371165E-2</v>
      </c>
      <c r="J52" s="26">
        <v>5773223240</v>
      </c>
      <c r="K52" s="25">
        <f t="shared" si="9"/>
        <v>2.0997542749363055E-2</v>
      </c>
      <c r="L52" s="27">
        <v>5654492786</v>
      </c>
      <c r="M52" s="24">
        <f t="shared" si="10"/>
        <v>12541503752</v>
      </c>
      <c r="N52" s="25">
        <f t="shared" si="11"/>
        <v>4.8176544718011673E-2</v>
      </c>
      <c r="O52" s="26">
        <f t="shared" si="12"/>
        <v>11965068113</v>
      </c>
      <c r="P52" s="25">
        <f t="shared" si="13"/>
        <v>1.6204364119145758E-2</v>
      </c>
      <c r="Q52" s="28">
        <f t="shared" si="14"/>
        <v>11774273498</v>
      </c>
    </row>
    <row r="53" spans="1:17" x14ac:dyDescent="0.2">
      <c r="A53" s="23" t="s">
        <v>49</v>
      </c>
      <c r="B53" s="60" t="s">
        <v>113</v>
      </c>
      <c r="C53" s="24">
        <v>2160884144</v>
      </c>
      <c r="D53" s="25">
        <f t="shared" si="7"/>
        <v>4.3036460132883397E-2</v>
      </c>
      <c r="E53" s="26">
        <v>2071724457</v>
      </c>
      <c r="F53" s="25">
        <f t="shared" si="7"/>
        <v>4.9826013649372954E-2</v>
      </c>
      <c r="G53" s="27">
        <v>1973397906</v>
      </c>
      <c r="H53" s="24">
        <v>2050530898</v>
      </c>
      <c r="I53" s="25">
        <f t="shared" si="8"/>
        <v>7.6392275919959063E-2</v>
      </c>
      <c r="J53" s="26">
        <v>1905003356</v>
      </c>
      <c r="K53" s="25">
        <f t="shared" si="9"/>
        <v>5.5414731529768911E-2</v>
      </c>
      <c r="L53" s="27">
        <v>1804980828</v>
      </c>
      <c r="M53" s="24">
        <f t="shared" si="10"/>
        <v>4211415042</v>
      </c>
      <c r="N53" s="25">
        <f t="shared" si="11"/>
        <v>5.9015160211066724E-2</v>
      </c>
      <c r="O53" s="26">
        <f t="shared" si="12"/>
        <v>3976727813</v>
      </c>
      <c r="P53" s="25">
        <f t="shared" si="13"/>
        <v>5.2495817112017444E-2</v>
      </c>
      <c r="Q53" s="28">
        <f t="shared" si="14"/>
        <v>3778378734</v>
      </c>
    </row>
    <row r="54" spans="1:17" x14ac:dyDescent="0.2">
      <c r="A54" s="23" t="s">
        <v>50</v>
      </c>
      <c r="B54" s="60" t="s">
        <v>113</v>
      </c>
      <c r="C54" s="24">
        <v>9106063246</v>
      </c>
      <c r="D54" s="25">
        <f t="shared" si="7"/>
        <v>-1.6830379663535384E-4</v>
      </c>
      <c r="E54" s="26">
        <v>9107596089</v>
      </c>
      <c r="F54" s="25">
        <f t="shared" si="7"/>
        <v>1.0848266633028181E-2</v>
      </c>
      <c r="G54" s="27">
        <v>9009854782</v>
      </c>
      <c r="H54" s="24">
        <v>8746931983</v>
      </c>
      <c r="I54" s="25">
        <f t="shared" si="8"/>
        <v>3.6251335357416897E-2</v>
      </c>
      <c r="J54" s="26">
        <v>8440936754</v>
      </c>
      <c r="K54" s="25">
        <f t="shared" si="9"/>
        <v>2.192499877591754E-2</v>
      </c>
      <c r="L54" s="27">
        <v>8259839777</v>
      </c>
      <c r="M54" s="24">
        <f t="shared" si="10"/>
        <v>17852995229</v>
      </c>
      <c r="N54" s="25">
        <f t="shared" si="11"/>
        <v>1.7349734517632234E-2</v>
      </c>
      <c r="O54" s="26">
        <f t="shared" si="12"/>
        <v>17548532843</v>
      </c>
      <c r="P54" s="25">
        <f t="shared" si="13"/>
        <v>1.6146103976962641E-2</v>
      </c>
      <c r="Q54" s="28">
        <f t="shared" si="14"/>
        <v>17269694559</v>
      </c>
    </row>
    <row r="55" spans="1:17" x14ac:dyDescent="0.2">
      <c r="A55" s="23" t="s">
        <v>51</v>
      </c>
      <c r="B55" s="60" t="s">
        <v>113</v>
      </c>
      <c r="C55" s="24">
        <v>4174946117</v>
      </c>
      <c r="D55" s="25">
        <f t="shared" si="7"/>
        <v>3.2205351929759908E-2</v>
      </c>
      <c r="E55" s="26">
        <v>4044685594</v>
      </c>
      <c r="F55" s="25">
        <f t="shared" si="7"/>
        <v>4.2328152825419366E-2</v>
      </c>
      <c r="G55" s="27">
        <v>3880433991</v>
      </c>
      <c r="H55" s="24">
        <v>3809580686</v>
      </c>
      <c r="I55" s="25">
        <f t="shared" si="8"/>
        <v>7.9659188001450373E-2</v>
      </c>
      <c r="J55" s="26">
        <v>3528503002</v>
      </c>
      <c r="K55" s="25">
        <f t="shared" si="9"/>
        <v>6.7026915331112838E-2</v>
      </c>
      <c r="L55" s="27">
        <v>3306854730</v>
      </c>
      <c r="M55" s="24">
        <f t="shared" si="10"/>
        <v>7984526803</v>
      </c>
      <c r="N55" s="25">
        <f t="shared" si="11"/>
        <v>5.431506185086428E-2</v>
      </c>
      <c r="O55" s="26">
        <f t="shared" si="12"/>
        <v>7573188596</v>
      </c>
      <c r="P55" s="25">
        <f t="shared" si="13"/>
        <v>5.3691995685726121E-2</v>
      </c>
      <c r="Q55" s="28">
        <f t="shared" si="14"/>
        <v>7187288721</v>
      </c>
    </row>
    <row r="56" spans="1:17" x14ac:dyDescent="0.2">
      <c r="A56" s="23" t="s">
        <v>52</v>
      </c>
      <c r="B56" s="60" t="s">
        <v>113</v>
      </c>
      <c r="C56" s="24">
        <v>6217240616</v>
      </c>
      <c r="D56" s="25">
        <f t="shared" si="7"/>
        <v>-5.3394642034322749E-3</v>
      </c>
      <c r="E56" s="26">
        <v>6250615554</v>
      </c>
      <c r="F56" s="25">
        <f t="shared" si="7"/>
        <v>1.1916596973784439E-3</v>
      </c>
      <c r="G56" s="27">
        <v>6243175813</v>
      </c>
      <c r="H56" s="24">
        <v>5849985620</v>
      </c>
      <c r="I56" s="25">
        <f t="shared" si="8"/>
        <v>3.1551124768984244E-2</v>
      </c>
      <c r="J56" s="26">
        <v>5671057381</v>
      </c>
      <c r="K56" s="25">
        <f t="shared" si="9"/>
        <v>1.4973828252769092E-2</v>
      </c>
      <c r="L56" s="27">
        <v>5587392722</v>
      </c>
      <c r="M56" s="24">
        <f t="shared" si="10"/>
        <v>12067226236</v>
      </c>
      <c r="N56" s="25">
        <f t="shared" si="11"/>
        <v>1.2209133885285538E-2</v>
      </c>
      <c r="O56" s="26">
        <f t="shared" si="12"/>
        <v>11921672935</v>
      </c>
      <c r="P56" s="25">
        <f t="shared" si="13"/>
        <v>7.700762624422766E-3</v>
      </c>
      <c r="Q56" s="28">
        <f t="shared" si="14"/>
        <v>11830568535</v>
      </c>
    </row>
    <row r="57" spans="1:17" x14ac:dyDescent="0.2">
      <c r="A57" s="23" t="s">
        <v>53</v>
      </c>
      <c r="B57" s="60" t="s">
        <v>113</v>
      </c>
      <c r="C57" s="24">
        <v>4252626633</v>
      </c>
      <c r="D57" s="25">
        <f t="shared" si="7"/>
        <v>3.37487194051821E-2</v>
      </c>
      <c r="E57" s="26">
        <v>4113791440</v>
      </c>
      <c r="F57" s="25">
        <f t="shared" si="7"/>
        <v>3.8065560777074715E-2</v>
      </c>
      <c r="G57" s="27">
        <v>3962939910</v>
      </c>
      <c r="H57" s="24">
        <v>3785128732</v>
      </c>
      <c r="I57" s="25">
        <f t="shared" si="8"/>
        <v>8.4707434982167429E-2</v>
      </c>
      <c r="J57" s="26">
        <v>3489538847</v>
      </c>
      <c r="K57" s="25">
        <f t="shared" si="9"/>
        <v>6.6867691040982502E-2</v>
      </c>
      <c r="L57" s="27">
        <v>3270826248</v>
      </c>
      <c r="M57" s="24">
        <f t="shared" si="10"/>
        <v>8037755365</v>
      </c>
      <c r="N57" s="25">
        <f t="shared" si="11"/>
        <v>5.713615765748991E-2</v>
      </c>
      <c r="O57" s="26">
        <f t="shared" si="12"/>
        <v>7603330287</v>
      </c>
      <c r="P57" s="25">
        <f t="shared" si="13"/>
        <v>5.1088758044976326E-2</v>
      </c>
      <c r="Q57" s="28">
        <f t="shared" si="14"/>
        <v>7233766158</v>
      </c>
    </row>
    <row r="58" spans="1:17" x14ac:dyDescent="0.2">
      <c r="A58" s="23" t="s">
        <v>54</v>
      </c>
      <c r="B58" s="60" t="s">
        <v>113</v>
      </c>
      <c r="C58" s="24">
        <v>504710300</v>
      </c>
      <c r="D58" s="25">
        <f t="shared" si="7"/>
        <v>1.4795260136259671E-2</v>
      </c>
      <c r="E58" s="26">
        <v>497351850</v>
      </c>
      <c r="F58" s="25">
        <f t="shared" si="7"/>
        <v>2.4410346160387539E-2</v>
      </c>
      <c r="G58" s="27">
        <v>485500612</v>
      </c>
      <c r="H58" s="24">
        <v>360687266</v>
      </c>
      <c r="I58" s="25">
        <f t="shared" si="8"/>
        <v>7.9473552898004882E-2</v>
      </c>
      <c r="J58" s="26">
        <v>334132564</v>
      </c>
      <c r="K58" s="25">
        <f t="shared" si="9"/>
        <v>8.4358662851450536E-2</v>
      </c>
      <c r="L58" s="27">
        <v>308138419</v>
      </c>
      <c r="M58" s="24">
        <f t="shared" si="10"/>
        <v>865397566</v>
      </c>
      <c r="N58" s="25">
        <f t="shared" si="11"/>
        <v>4.078627503894499E-2</v>
      </c>
      <c r="O58" s="26">
        <f t="shared" si="12"/>
        <v>831484414</v>
      </c>
      <c r="P58" s="25">
        <f t="shared" si="13"/>
        <v>4.7685889329704599E-2</v>
      </c>
      <c r="Q58" s="28">
        <f t="shared" si="14"/>
        <v>793639031</v>
      </c>
    </row>
    <row r="59" spans="1:17" x14ac:dyDescent="0.2">
      <c r="A59" s="23" t="s">
        <v>55</v>
      </c>
      <c r="B59" s="60" t="s">
        <v>113</v>
      </c>
      <c r="C59" s="24">
        <v>2267967344</v>
      </c>
      <c r="D59" s="25">
        <f t="shared" si="7"/>
        <v>3.1046085680506947E-2</v>
      </c>
      <c r="E59" s="26">
        <v>2199676014</v>
      </c>
      <c r="F59" s="25">
        <f t="shared" si="7"/>
        <v>3.5813237417202833E-2</v>
      </c>
      <c r="G59" s="27">
        <v>2123622227</v>
      </c>
      <c r="H59" s="24">
        <v>2289085907</v>
      </c>
      <c r="I59" s="25">
        <f t="shared" si="8"/>
        <v>6.3954901836969391E-2</v>
      </c>
      <c r="J59" s="26">
        <v>2151487721</v>
      </c>
      <c r="K59" s="25">
        <f t="shared" si="9"/>
        <v>4.0155159740510385E-2</v>
      </c>
      <c r="L59" s="27">
        <v>2068429600</v>
      </c>
      <c r="M59" s="24">
        <f t="shared" si="10"/>
        <v>4557053251</v>
      </c>
      <c r="N59" s="25">
        <f t="shared" si="11"/>
        <v>4.7318264386113709E-2</v>
      </c>
      <c r="O59" s="26">
        <f t="shared" si="12"/>
        <v>4351163735</v>
      </c>
      <c r="P59" s="25">
        <f t="shared" si="13"/>
        <v>3.795561566658083E-2</v>
      </c>
      <c r="Q59" s="28">
        <f t="shared" si="14"/>
        <v>4192051827</v>
      </c>
    </row>
    <row r="60" spans="1:17" x14ac:dyDescent="0.2">
      <c r="A60" s="23" t="s">
        <v>56</v>
      </c>
      <c r="B60" s="60" t="s">
        <v>113</v>
      </c>
      <c r="C60" s="24">
        <v>2610688588</v>
      </c>
      <c r="D60" s="25">
        <f t="shared" si="7"/>
        <v>3.4375012003856217E-2</v>
      </c>
      <c r="E60" s="26">
        <v>2523928515</v>
      </c>
      <c r="F60" s="25">
        <f t="shared" si="7"/>
        <v>4.2904568727270324E-2</v>
      </c>
      <c r="G60" s="27">
        <v>2420095367</v>
      </c>
      <c r="H60" s="24">
        <v>2446541204</v>
      </c>
      <c r="I60" s="25">
        <f t="shared" si="8"/>
        <v>7.2301319118833793E-2</v>
      </c>
      <c r="J60" s="26">
        <v>2281579963</v>
      </c>
      <c r="K60" s="25">
        <f t="shared" si="9"/>
        <v>5.5030427870052835E-2</v>
      </c>
      <c r="L60" s="27">
        <v>2162572664</v>
      </c>
      <c r="M60" s="24">
        <f t="shared" si="10"/>
        <v>5057229792</v>
      </c>
      <c r="N60" s="25">
        <f t="shared" si="11"/>
        <v>5.2381827053765526E-2</v>
      </c>
      <c r="O60" s="26">
        <f t="shared" si="12"/>
        <v>4805508478</v>
      </c>
      <c r="P60" s="25">
        <f t="shared" si="13"/>
        <v>4.8626792404025218E-2</v>
      </c>
      <c r="Q60" s="28">
        <f t="shared" si="14"/>
        <v>4582668031</v>
      </c>
    </row>
    <row r="61" spans="1:17" x14ac:dyDescent="0.2">
      <c r="A61" s="23" t="s">
        <v>57</v>
      </c>
      <c r="B61" s="60" t="s">
        <v>113</v>
      </c>
      <c r="C61" s="24">
        <v>1370201928</v>
      </c>
      <c r="D61" s="25">
        <f t="shared" si="7"/>
        <v>2.2961090886023855E-2</v>
      </c>
      <c r="E61" s="26">
        <v>1339446769</v>
      </c>
      <c r="F61" s="25">
        <f t="shared" si="7"/>
        <v>2.5432403349375233E-2</v>
      </c>
      <c r="G61" s="27">
        <v>1306226295</v>
      </c>
      <c r="H61" s="24">
        <v>1188656469</v>
      </c>
      <c r="I61" s="25">
        <f t="shared" si="8"/>
        <v>4.2589719194378726E-2</v>
      </c>
      <c r="J61" s="26">
        <v>1140099933</v>
      </c>
      <c r="K61" s="25">
        <f t="shared" si="9"/>
        <v>1.8134942795239632E-2</v>
      </c>
      <c r="L61" s="27">
        <v>1119792559</v>
      </c>
      <c r="M61" s="24">
        <f t="shared" si="10"/>
        <v>2558858397</v>
      </c>
      <c r="N61" s="25">
        <f t="shared" si="11"/>
        <v>3.1986368692320764E-2</v>
      </c>
      <c r="O61" s="26">
        <f t="shared" si="12"/>
        <v>2479546702</v>
      </c>
      <c r="P61" s="25">
        <f t="shared" si="13"/>
        <v>2.2064069251458505E-2</v>
      </c>
      <c r="Q61" s="28">
        <f t="shared" si="14"/>
        <v>2426018854</v>
      </c>
    </row>
    <row r="62" spans="1:17" x14ac:dyDescent="0.2">
      <c r="A62" s="23" t="s">
        <v>58</v>
      </c>
      <c r="B62" s="60" t="s">
        <v>113</v>
      </c>
      <c r="C62" s="24">
        <v>3461814197</v>
      </c>
      <c r="D62" s="25">
        <f t="shared" si="7"/>
        <v>1.2476483207511877E-2</v>
      </c>
      <c r="E62" s="26">
        <v>3419155165</v>
      </c>
      <c r="F62" s="25">
        <f t="shared" si="7"/>
        <v>1.8166864111996125E-2</v>
      </c>
      <c r="G62" s="27">
        <v>3358148144</v>
      </c>
      <c r="H62" s="24">
        <v>3405074646</v>
      </c>
      <c r="I62" s="25">
        <f t="shared" si="8"/>
        <v>4.4238603109715113E-2</v>
      </c>
      <c r="J62" s="26">
        <v>3260820502</v>
      </c>
      <c r="K62" s="25">
        <f t="shared" si="9"/>
        <v>2.4517222261866718E-2</v>
      </c>
      <c r="L62" s="27">
        <v>3182787396</v>
      </c>
      <c r="M62" s="24">
        <f t="shared" si="10"/>
        <v>6866888843</v>
      </c>
      <c r="N62" s="25">
        <f t="shared" si="11"/>
        <v>2.7981116297081266E-2</v>
      </c>
      <c r="O62" s="26">
        <f t="shared" si="12"/>
        <v>6679975667</v>
      </c>
      <c r="P62" s="25">
        <f t="shared" si="13"/>
        <v>2.1256917477587619E-2</v>
      </c>
      <c r="Q62" s="28">
        <f t="shared" si="14"/>
        <v>6540935540</v>
      </c>
    </row>
    <row r="63" spans="1:17" x14ac:dyDescent="0.2">
      <c r="A63" s="23" t="s">
        <v>59</v>
      </c>
      <c r="B63" s="60" t="s">
        <v>113</v>
      </c>
      <c r="C63" s="24">
        <v>2696199837</v>
      </c>
      <c r="D63" s="25">
        <f t="shared" si="7"/>
        <v>4.7112209530192403E-3</v>
      </c>
      <c r="E63" s="26">
        <v>2683557007</v>
      </c>
      <c r="F63" s="25">
        <f t="shared" si="7"/>
        <v>1.1359246628070821E-2</v>
      </c>
      <c r="G63" s="27">
        <v>2653416198</v>
      </c>
      <c r="H63" s="24">
        <v>2682975305</v>
      </c>
      <c r="I63" s="25">
        <f t="shared" si="8"/>
        <v>3.8896617962361588E-2</v>
      </c>
      <c r="J63" s="26">
        <v>2582523861</v>
      </c>
      <c r="K63" s="25">
        <f t="shared" si="9"/>
        <v>2.0026308046377769E-2</v>
      </c>
      <c r="L63" s="27">
        <v>2531820837</v>
      </c>
      <c r="M63" s="24">
        <f t="shared" si="10"/>
        <v>5379175142</v>
      </c>
      <c r="N63" s="25">
        <f t="shared" si="11"/>
        <v>2.1475985051280073E-2</v>
      </c>
      <c r="O63" s="26">
        <f t="shared" si="12"/>
        <v>5266080868</v>
      </c>
      <c r="P63" s="25">
        <f t="shared" si="13"/>
        <v>1.5591154744577651E-2</v>
      </c>
      <c r="Q63" s="28">
        <f t="shared" si="14"/>
        <v>5185237035</v>
      </c>
    </row>
    <row r="64" spans="1:17" x14ac:dyDescent="0.2">
      <c r="A64" s="23" t="s">
        <v>60</v>
      </c>
      <c r="B64" s="60" t="s">
        <v>113</v>
      </c>
      <c r="C64" s="24">
        <v>1441725869</v>
      </c>
      <c r="D64" s="25">
        <f t="shared" si="7"/>
        <v>2.5754131638711191E-2</v>
      </c>
      <c r="E64" s="26">
        <v>1405527723</v>
      </c>
      <c r="F64" s="25">
        <f t="shared" si="7"/>
        <v>2.0470452778804254E-2</v>
      </c>
      <c r="G64" s="27">
        <v>1377333091</v>
      </c>
      <c r="H64" s="24">
        <v>1401881743</v>
      </c>
      <c r="I64" s="25">
        <f t="shared" si="8"/>
        <v>6.0102078686327567E-2</v>
      </c>
      <c r="J64" s="26">
        <v>1322402598</v>
      </c>
      <c r="K64" s="25">
        <f t="shared" si="9"/>
        <v>2.6013093358435473E-2</v>
      </c>
      <c r="L64" s="27">
        <v>1288874973</v>
      </c>
      <c r="M64" s="24">
        <f t="shared" si="10"/>
        <v>2843607612</v>
      </c>
      <c r="N64" s="25">
        <f t="shared" si="11"/>
        <v>4.2404782156457432E-2</v>
      </c>
      <c r="O64" s="26">
        <f t="shared" si="12"/>
        <v>2727930321</v>
      </c>
      <c r="P64" s="25">
        <f t="shared" si="13"/>
        <v>2.3149827589749573E-2</v>
      </c>
      <c r="Q64" s="28">
        <f t="shared" si="14"/>
        <v>2666208064</v>
      </c>
    </row>
    <row r="65" spans="1:17" x14ac:dyDescent="0.2">
      <c r="A65" s="23" t="s">
        <v>61</v>
      </c>
      <c r="B65" s="60" t="s">
        <v>114</v>
      </c>
      <c r="C65" s="24">
        <v>266447063</v>
      </c>
      <c r="D65" s="25">
        <f t="shared" si="7"/>
        <v>6.762153407161936E-3</v>
      </c>
      <c r="E65" s="26">
        <v>264657409</v>
      </c>
      <c r="F65" s="25">
        <f t="shared" si="7"/>
        <v>2.0586372677738364E-2</v>
      </c>
      <c r="G65" s="27">
        <v>259318972</v>
      </c>
      <c r="H65" s="24">
        <v>198325803</v>
      </c>
      <c r="I65" s="25">
        <f t="shared" si="8"/>
        <v>7.4607235964300564E-2</v>
      </c>
      <c r="J65" s="26">
        <v>184556549</v>
      </c>
      <c r="K65" s="25">
        <f t="shared" si="9"/>
        <v>6.9839880593527151E-2</v>
      </c>
      <c r="L65" s="27">
        <v>172508571</v>
      </c>
      <c r="M65" s="24">
        <f t="shared" si="10"/>
        <v>464772866</v>
      </c>
      <c r="N65" s="25">
        <f t="shared" si="11"/>
        <v>3.4635851631306613E-2</v>
      </c>
      <c r="O65" s="26">
        <f t="shared" si="12"/>
        <v>449213958</v>
      </c>
      <c r="P65" s="25">
        <f t="shared" si="13"/>
        <v>4.0262404012520341E-2</v>
      </c>
      <c r="Q65" s="28">
        <f t="shared" si="14"/>
        <v>431827543</v>
      </c>
    </row>
    <row r="66" spans="1:17" x14ac:dyDescent="0.2">
      <c r="A66" s="23" t="s">
        <v>62</v>
      </c>
      <c r="B66" s="60" t="s">
        <v>113</v>
      </c>
      <c r="C66" s="24">
        <v>136334320</v>
      </c>
      <c r="D66" s="25">
        <f t="shared" si="7"/>
        <v>7.9569666509229364E-3</v>
      </c>
      <c r="E66" s="26">
        <v>135258076</v>
      </c>
      <c r="F66" s="25">
        <f t="shared" si="7"/>
        <v>2.2086039876597414E-2</v>
      </c>
      <c r="G66" s="27">
        <v>132335313</v>
      </c>
      <c r="H66" s="24">
        <v>84312884</v>
      </c>
      <c r="I66" s="25">
        <f t="shared" si="8"/>
        <v>4.6947982186375303E-2</v>
      </c>
      <c r="J66" s="26">
        <v>80532066</v>
      </c>
      <c r="K66" s="25">
        <f t="shared" si="9"/>
        <v>7.2516360615577966E-2</v>
      </c>
      <c r="L66" s="27">
        <v>75087028</v>
      </c>
      <c r="M66" s="24">
        <f t="shared" si="10"/>
        <v>220647204</v>
      </c>
      <c r="N66" s="25">
        <f t="shared" si="11"/>
        <v>2.2508266387813027E-2</v>
      </c>
      <c r="O66" s="26">
        <f t="shared" si="12"/>
        <v>215790142</v>
      </c>
      <c r="P66" s="25">
        <f t="shared" si="13"/>
        <v>4.0341850157789898E-2</v>
      </c>
      <c r="Q66" s="28">
        <f t="shared" si="14"/>
        <v>207422341</v>
      </c>
    </row>
    <row r="67" spans="1:17" x14ac:dyDescent="0.2">
      <c r="A67" s="23" t="s">
        <v>63</v>
      </c>
      <c r="B67" s="60" t="s">
        <v>113</v>
      </c>
      <c r="C67" s="24">
        <v>72751412</v>
      </c>
      <c r="D67" s="25">
        <f t="shared" si="7"/>
        <v>1.6330074690777973E-2</v>
      </c>
      <c r="E67" s="26">
        <v>71582465</v>
      </c>
      <c r="F67" s="25">
        <f t="shared" si="7"/>
        <v>1.371129726050203E-2</v>
      </c>
      <c r="G67" s="27">
        <v>70614252</v>
      </c>
      <c r="H67" s="24">
        <v>48046797</v>
      </c>
      <c r="I67" s="25">
        <f t="shared" si="8"/>
        <v>8.2136213072117437E-2</v>
      </c>
      <c r="J67" s="26">
        <v>44399953</v>
      </c>
      <c r="K67" s="25">
        <f t="shared" si="9"/>
        <v>5.7659361623289683E-2</v>
      </c>
      <c r="L67" s="27">
        <v>41979445</v>
      </c>
      <c r="M67" s="24">
        <f t="shared" si="10"/>
        <v>120798209</v>
      </c>
      <c r="N67" s="25">
        <f t="shared" si="11"/>
        <v>4.1521733061298999E-2</v>
      </c>
      <c r="O67" s="26">
        <f t="shared" si="12"/>
        <v>115982418</v>
      </c>
      <c r="P67" s="25">
        <f t="shared" si="13"/>
        <v>3.0096897875198113E-2</v>
      </c>
      <c r="Q67" s="28">
        <f t="shared" si="14"/>
        <v>112593697</v>
      </c>
    </row>
    <row r="68" spans="1:17" x14ac:dyDescent="0.2">
      <c r="A68" s="23" t="s">
        <v>64</v>
      </c>
      <c r="B68" s="60" t="s">
        <v>113</v>
      </c>
      <c r="C68" s="24">
        <v>3810680787</v>
      </c>
      <c r="D68" s="25">
        <f t="shared" si="7"/>
        <v>1.3706535442238928E-2</v>
      </c>
      <c r="E68" s="26">
        <v>3759155785</v>
      </c>
      <c r="F68" s="25">
        <f t="shared" si="7"/>
        <v>2.0116089539797762E-2</v>
      </c>
      <c r="G68" s="27">
        <v>3685027443</v>
      </c>
      <c r="H68" s="24">
        <v>3655436632</v>
      </c>
      <c r="I68" s="25">
        <f t="shared" si="8"/>
        <v>5.3962427792937098E-2</v>
      </c>
      <c r="J68" s="26">
        <v>3468279832</v>
      </c>
      <c r="K68" s="25">
        <f t="shared" si="9"/>
        <v>3.5459051960912182E-2</v>
      </c>
      <c r="L68" s="27">
        <v>3349509404</v>
      </c>
      <c r="M68" s="24">
        <f t="shared" si="10"/>
        <v>7466117419</v>
      </c>
      <c r="N68" s="25">
        <f t="shared" si="11"/>
        <v>3.3024410682896299E-2</v>
      </c>
      <c r="O68" s="26">
        <f t="shared" si="12"/>
        <v>7227435617</v>
      </c>
      <c r="P68" s="25">
        <f t="shared" si="13"/>
        <v>2.7421673124402642E-2</v>
      </c>
      <c r="Q68" s="28">
        <f t="shared" si="14"/>
        <v>7034536847</v>
      </c>
    </row>
    <row r="69" spans="1:17" x14ac:dyDescent="0.2">
      <c r="A69" s="23" t="s">
        <v>65</v>
      </c>
      <c r="B69" s="60" t="s">
        <v>114</v>
      </c>
      <c r="C69" s="24">
        <v>262498219</v>
      </c>
      <c r="D69" s="25">
        <f t="shared" si="7"/>
        <v>2.998274208064439E-2</v>
      </c>
      <c r="E69" s="26">
        <v>254856910</v>
      </c>
      <c r="F69" s="25">
        <f t="shared" si="7"/>
        <v>3.655404196512628E-2</v>
      </c>
      <c r="G69" s="27">
        <v>245869390</v>
      </c>
      <c r="H69" s="24">
        <v>219043988</v>
      </c>
      <c r="I69" s="25">
        <f>((H69-J69)/J69)</f>
        <v>7.1914304164846607E-2</v>
      </c>
      <c r="J69" s="26">
        <v>204348414</v>
      </c>
      <c r="K69" s="25">
        <f>((J69-L69)/L69)</f>
        <v>6.1003017160858812E-2</v>
      </c>
      <c r="L69" s="27">
        <v>192599277</v>
      </c>
      <c r="M69" s="24">
        <f t="shared" si="10"/>
        <v>481542207</v>
      </c>
      <c r="N69" s="25">
        <f>((M69-O69)/O69)</f>
        <v>4.8642473927414658E-2</v>
      </c>
      <c r="O69" s="26">
        <f t="shared" si="12"/>
        <v>459205324</v>
      </c>
      <c r="P69" s="25">
        <f>((O69-Q69)/Q69)</f>
        <v>4.7293361101216382E-2</v>
      </c>
      <c r="Q69" s="28">
        <f t="shared" si="14"/>
        <v>438468667</v>
      </c>
    </row>
    <row r="70" spans="1:17" x14ac:dyDescent="0.2">
      <c r="A70" s="23" t="s">
        <v>66</v>
      </c>
      <c r="B70" s="60" t="s">
        <v>113</v>
      </c>
      <c r="C70" s="24">
        <v>546155063</v>
      </c>
      <c r="D70" s="25">
        <f t="shared" ref="D70:F73" si="15">((C70-E70)/E70)</f>
        <v>4.4902682322492067E-2</v>
      </c>
      <c r="E70" s="26">
        <v>522685100</v>
      </c>
      <c r="F70" s="25">
        <f t="shared" si="15"/>
        <v>4.3048925906862053E-2</v>
      </c>
      <c r="G70" s="27">
        <v>501112735</v>
      </c>
      <c r="H70" s="24">
        <v>466443423</v>
      </c>
      <c r="I70" s="25">
        <f>((H70-J70)/J70)</f>
        <v>8.4339129302433327E-2</v>
      </c>
      <c r="J70" s="26">
        <v>430163784</v>
      </c>
      <c r="K70" s="25">
        <f>((J70-L70)/L70)</f>
        <v>5.6886260029471475E-2</v>
      </c>
      <c r="L70" s="27">
        <v>407010480</v>
      </c>
      <c r="M70" s="24">
        <f t="shared" si="10"/>
        <v>1012598486</v>
      </c>
      <c r="N70" s="25">
        <f>((M70-O70)/O70)</f>
        <v>6.2706272739886007E-2</v>
      </c>
      <c r="O70" s="26">
        <f t="shared" si="12"/>
        <v>952848884</v>
      </c>
      <c r="P70" s="25">
        <f>((O70-Q70)/Q70)</f>
        <v>4.9250661431444631E-2</v>
      </c>
      <c r="Q70" s="28">
        <f t="shared" si="14"/>
        <v>908123215</v>
      </c>
    </row>
    <row r="71" spans="1:17" x14ac:dyDescent="0.2">
      <c r="A71" s="23" t="s">
        <v>67</v>
      </c>
      <c r="B71" s="60" t="s">
        <v>114</v>
      </c>
      <c r="C71" s="24">
        <v>156546352</v>
      </c>
      <c r="D71" s="25">
        <f t="shared" si="15"/>
        <v>2.4340574304184012E-2</v>
      </c>
      <c r="E71" s="26">
        <v>152826468</v>
      </c>
      <c r="F71" s="25">
        <f t="shared" si="15"/>
        <v>2.8298461459582386E-2</v>
      </c>
      <c r="G71" s="27">
        <v>148620730</v>
      </c>
      <c r="H71" s="24">
        <v>112588226</v>
      </c>
      <c r="I71" s="25">
        <f>((H71-J71)/J71)</f>
        <v>9.4416494375248253E-2</v>
      </c>
      <c r="J71" s="26">
        <v>102875118</v>
      </c>
      <c r="K71" s="25">
        <f>((J71-L71)/L71)</f>
        <v>8.1580094449300519E-2</v>
      </c>
      <c r="L71" s="27">
        <v>95115580</v>
      </c>
      <c r="M71" s="24">
        <f t="shared" si="10"/>
        <v>269134578</v>
      </c>
      <c r="N71" s="25">
        <f>((M71-O71)/O71)</f>
        <v>5.2533862656604716E-2</v>
      </c>
      <c r="O71" s="26">
        <f t="shared" si="12"/>
        <v>255701586</v>
      </c>
      <c r="P71" s="25">
        <f>((O71-Q71)/Q71)</f>
        <v>4.9091068950703323E-2</v>
      </c>
      <c r="Q71" s="28">
        <f t="shared" si="14"/>
        <v>243736310</v>
      </c>
    </row>
    <row r="72" spans="1:17" x14ac:dyDescent="0.2">
      <c r="A72" s="23"/>
      <c r="B72" s="60"/>
      <c r="C72" s="24"/>
      <c r="D72" s="30"/>
      <c r="E72" s="26"/>
      <c r="F72" s="30"/>
      <c r="G72" s="27"/>
      <c r="H72" s="24"/>
      <c r="I72" s="30"/>
      <c r="J72" s="26"/>
      <c r="K72" s="30"/>
      <c r="L72" s="27"/>
      <c r="M72" s="24"/>
      <c r="N72" s="30"/>
      <c r="O72" s="26"/>
      <c r="P72" s="30"/>
      <c r="Q72" s="28"/>
    </row>
    <row r="73" spans="1:17" ht="15.75" thickBot="1" x14ac:dyDescent="0.3">
      <c r="A73" s="31" t="s">
        <v>68</v>
      </c>
      <c r="B73" s="32"/>
      <c r="C73" s="33">
        <f>SUM(C5:C71)</f>
        <v>129121986909</v>
      </c>
      <c r="D73" s="34">
        <f t="shared" si="15"/>
        <v>1.442822266867002E-2</v>
      </c>
      <c r="E73" s="33">
        <f>SUM(E5:E71)</f>
        <v>127285483609</v>
      </c>
      <c r="F73" s="34">
        <f t="shared" si="15"/>
        <v>1.9470246403824245E-2</v>
      </c>
      <c r="G73" s="36">
        <f>SUM(G5:G71)</f>
        <v>124854535047</v>
      </c>
      <c r="H73" s="33">
        <f>SUM(H5:H71)</f>
        <v>121653821246</v>
      </c>
      <c r="I73" s="34">
        <f>((H73-J73)/J73)</f>
        <v>5.0595440424274302E-2</v>
      </c>
      <c r="J73" s="35">
        <f>SUM(J5:J71)</f>
        <v>115795116336</v>
      </c>
      <c r="K73" s="34">
        <f>((J73-L73)/L73)</f>
        <v>3.3807463137111117E-2</v>
      </c>
      <c r="L73" s="36">
        <f>SUM(L5:L71)</f>
        <v>112008396597</v>
      </c>
      <c r="M73" s="33">
        <f>SUM(M5:M71)</f>
        <v>250775808155</v>
      </c>
      <c r="N73" s="34">
        <f>((M73-O73)/O73)</f>
        <v>3.1657023274342486E-2</v>
      </c>
      <c r="O73" s="35">
        <f>SUM(O5:O71)</f>
        <v>243080599945</v>
      </c>
      <c r="P73" s="34">
        <f>((O73-Q73)/Q73)</f>
        <v>2.6250069007610802E-2</v>
      </c>
      <c r="Q73" s="37">
        <f>SUM(Q5:Q71)</f>
        <v>236862931644</v>
      </c>
    </row>
    <row r="75" spans="1:17" x14ac:dyDescent="0.2">
      <c r="A75" s="38" t="s">
        <v>116</v>
      </c>
    </row>
  </sheetData>
  <phoneticPr fontId="0" type="noConversion"/>
  <conditionalFormatting sqref="A4:Q73">
    <cfRule type="expression" dxfId="0" priority="1" stopIfTrue="1">
      <formula>MOD(ROW(),3)=1</formula>
    </cfRule>
  </conditionalFormatting>
  <pageMargins left="0.7" right="0.7" top="0.75" bottom="0.75" header="0.3" footer="0.3"/>
  <pageSetup scale="65" fitToWidth="3" orientation="landscape" r:id="rId1"/>
  <headerFooter alignWithMargins="0"/>
  <rowBreaks count="1" manualBreakCount="1">
    <brk id="37" max="16383" man="1"/>
  </rowBreaks>
  <ignoredErrors>
    <ignoredError sqref="Q5:Q16 J73 O72:O73 O5:O28 O66:O71 O29:O65 G73 L73 N5:N73 P5:P73" formula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1166BEE4B88A42947F6C3C78DF4222" ma:contentTypeVersion="3" ma:contentTypeDescription="Create a new document." ma:contentTypeScope="" ma:versionID="56528aa3969daa96996fae423c61dab6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ff328a1cd662c37536c074f55b1464a7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4" nillable="true" ma:displayName="Scheduling Start Date" ma:description="Scheduling Start Date is a site column created by the Publishing feature. It is used to specify the date and time on which this page will first appear to site visitors." ma:hidden="true" ma:internalName="PublishingStartDate">
      <xsd:simpleType>
        <xsd:restriction base="dms:Unknown"/>
      </xsd:simpleType>
    </xsd:element>
    <xsd:element name="PublishingExpirationDate" ma:index="5" nillable="true" ma:displayName="Scheduling End Date" ma:description="Scheduling End Date is a site column created by the Publishing feature. It is used to specify the date and time on which this page will no longer appear to site visitors." ma:hidden="tru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FFFC3A0D-5E98-4F7F-A47E-316A90F27186}"/>
</file>

<file path=customXml/itemProps2.xml><?xml version="1.0" encoding="utf-8"?>
<ds:datastoreItem xmlns:ds="http://schemas.openxmlformats.org/officeDocument/2006/customXml" ds:itemID="{B728AAEE-3151-4F26-A1F5-ECEBBC805951}"/>
</file>

<file path=customXml/itemProps3.xml><?xml version="1.0" encoding="utf-8"?>
<ds:datastoreItem xmlns:ds="http://schemas.openxmlformats.org/officeDocument/2006/customXml" ds:itemID="{25AD9375-8E6B-43C7-895E-495B1279455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Report Index</vt:lpstr>
      <vt:lpstr>Total Exemption Value by Type</vt:lpstr>
      <vt:lpstr>Real Exemption Value by Type</vt:lpstr>
      <vt:lpstr>Personal Property by Type</vt:lpstr>
      <vt:lpstr>3-Year Homestead Comparison</vt:lpstr>
    </vt:vector>
  </TitlesOfParts>
  <Company>Florida Dept. of Revenue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Florida Dept. of Revenue</dc:creator>
  <cp:lastModifiedBy>Allison Kever</cp:lastModifiedBy>
  <cp:lastPrinted>2011-08-03T19:54:02Z</cp:lastPrinted>
  <dcterms:created xsi:type="dcterms:W3CDTF">2011-02-09T19:53:54Z</dcterms:created>
  <dcterms:modified xsi:type="dcterms:W3CDTF">2025-12-01T19:45:32Z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0x010100211166BEE4B88A42947F6C3C78DF4222</vt:lpwstr>
  </property>
</Properties>
</file>