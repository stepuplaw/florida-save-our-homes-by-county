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5 Data Book\Final\Drafts\"/>
    </mc:Choice>
  </mc:AlternateContent>
  <xr:revisionPtr revIDLastSave="0" documentId="13_ncr:1_{76AFED9B-D4F7-42A0-B433-1628CC240AF9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Report Index" sheetId="7" r:id="rId1"/>
    <sheet name="State Summary by Type" sheetId="6" r:id="rId2"/>
    <sheet name="Parcel Ct by Type" sheetId="1" r:id="rId3"/>
    <sheet name="Just Value by Type " sheetId="4" r:id="rId4"/>
    <sheet name="Taxable Value by Type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6" l="1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C17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C12" i="6"/>
  <c r="U73" i="5" l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T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C73" i="5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D73" i="4"/>
  <c r="C73" i="4"/>
  <c r="U15" i="6"/>
  <c r="U6" i="6"/>
  <c r="U73" i="4" l="1"/>
  <c r="U73" i="1"/>
  <c r="I10" i="6"/>
</calcChain>
</file>

<file path=xl/sharedStrings.xml><?xml version="1.0" encoding="utf-8"?>
<sst xmlns="http://schemas.openxmlformats.org/spreadsheetml/2006/main" count="528" uniqueCount="113">
  <si>
    <t>County</t>
  </si>
  <si>
    <t>Status</t>
  </si>
  <si>
    <t>Vacant Residential</t>
  </si>
  <si>
    <t>Cooperatives</t>
  </si>
  <si>
    <t>Vacant Industrial</t>
  </si>
  <si>
    <t>Industrial</t>
  </si>
  <si>
    <t>Agricultural</t>
  </si>
  <si>
    <t>Institutional</t>
  </si>
  <si>
    <t>Government</t>
  </si>
  <si>
    <t>Total Real Property</t>
  </si>
  <si>
    <t>Mobile Homes</t>
  </si>
  <si>
    <t>Statewide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</si>
  <si>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</si>
  <si>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</si>
  <si>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</si>
  <si>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</si>
  <si>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</si>
  <si>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</si>
  <si>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</si>
  <si>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</si>
  <si>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</si>
  <si>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</si>
  <si>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</si>
  <si>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</si>
  <si>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</si>
  <si>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</si>
  <si>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</si>
  <si>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</si>
  <si>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</si>
  <si>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</si>
  <si>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</si>
  <si>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</si>
  <si>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</si>
  <si>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</si>
  <si>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</si>
  <si>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</si>
  <si>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</si>
  <si>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</si>
  <si>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</si>
  <si>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</si>
  <si>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</si>
  <si>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</si>
  <si>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</si>
  <si>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</si>
  <si>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</si>
  <si>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</si>
  <si>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</si>
  <si>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</si>
  <si>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</si>
  <si>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</si>
  <si>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</si>
  <si>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</si>
  <si>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</si>
  <si>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</si>
  <si>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</si>
  <si>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</si>
  <si>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</si>
  <si>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</si>
  <si>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</si>
  <si>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</si>
  <si>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</si>
  <si>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</si>
  <si>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</si>
  <si>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</si>
  <si>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</si>
  <si>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</si>
  <si>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</si>
  <si>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</si>
  <si>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</si>
  <si>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</si>
  <si>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</si>
  <si>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</si>
  <si>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</si>
  <si>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</si>
  <si>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</si>
  <si>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</si>
  <si>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</si>
  <si>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</si>
  <si>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Number of Parcels</t>
  </si>
  <si>
    <t>Real Property Just Value</t>
  </si>
  <si>
    <t>Real Property Taxable Value</t>
  </si>
  <si>
    <t>Pct of Total Just Value</t>
  </si>
  <si>
    <t>Pct of Total Taxable Value</t>
  </si>
  <si>
    <t>Pct of Total Parcels</t>
  </si>
  <si>
    <t>State Summary by Property Type</t>
  </si>
  <si>
    <t>Parcel Count by Property Type</t>
  </si>
  <si>
    <t>Just Value by Property Type</t>
  </si>
  <si>
    <t>Taxable Value by Property Type</t>
  </si>
  <si>
    <t>Condominiums</t>
  </si>
  <si>
    <t>Multi Family (Less Than 10)</t>
  </si>
  <si>
    <t>Multi Family (More Than 10)</t>
  </si>
  <si>
    <t>Single Family Residential</t>
  </si>
  <si>
    <t>Improved Commercial</t>
  </si>
  <si>
    <t>Misc.</t>
  </si>
  <si>
    <t>Retirement Homes &amp; Misc. Residential</t>
  </si>
  <si>
    <t>Vacant Commercial</t>
  </si>
  <si>
    <t>Leasehold Interest</t>
  </si>
  <si>
    <t>Non-Agricultural  Acreage</t>
  </si>
  <si>
    <t xml:space="preserve">Contact Information: </t>
  </si>
  <si>
    <t xml:space="preserve">Property Tax Oversight, Research &amp; Analysis  </t>
  </si>
  <si>
    <t>* As Reported by County Property Appraiser</t>
  </si>
  <si>
    <t>Parcel Count Reports*</t>
  </si>
  <si>
    <t>Average Just Value Per Parcel</t>
  </si>
  <si>
    <t>Average Taxable Value Per Parcel</t>
  </si>
  <si>
    <t>Miami-Dade</t>
  </si>
  <si>
    <t>PTOResearchAnalysis@dor.state.fl.us</t>
  </si>
  <si>
    <t>R-NVAB</t>
  </si>
  <si>
    <t>R-Final</t>
  </si>
  <si>
    <t>Final</t>
  </si>
  <si>
    <t>Pct increase in parcels from 2023</t>
  </si>
  <si>
    <t>Pct Increase in Just Value  from 2023</t>
  </si>
  <si>
    <t>Pct Increase in Taxable Value  from 2023</t>
  </si>
  <si>
    <t>Data Extract: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</si>
</sst>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u/>
      <sz val="11"/>
      <color indexed="12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1" fontId="4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/>
    <xf numFmtId="0" fontId="9" fillId="0" borderId="0" xfId="3" applyFont="1" applyAlignment="1" applyProtection="1"/>
    <xf numFmtId="0" fontId="1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/>
    <xf numFmtId="3" fontId="15" fillId="0" borderId="0" xfId="0" applyNumberFormat="1" applyFont="1"/>
    <xf numFmtId="0" fontId="15" fillId="3" borderId="0" xfId="0" applyFont="1" applyFill="1"/>
    <xf numFmtId="0" fontId="15" fillId="0" borderId="0" xfId="0" applyFont="1" applyAlignment="1">
      <alignment horizontal="center"/>
    </xf>
    <xf numFmtId="10" fontId="15" fillId="0" borderId="0" xfId="4" applyNumberFormat="1" applyFont="1"/>
    <xf numFmtId="2" fontId="15" fillId="0" borderId="0" xfId="2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4" xfId="0" applyFont="1" applyBorder="1"/>
    <xf numFmtId="0" fontId="8" fillId="0" borderId="5" xfId="0" applyFont="1" applyBorder="1" applyAlignment="1">
      <alignment horizontal="center"/>
    </xf>
    <xf numFmtId="3" fontId="8" fillId="0" borderId="5" xfId="0" applyNumberFormat="1" applyFont="1" applyBorder="1"/>
    <xf numFmtId="3" fontId="8" fillId="0" borderId="6" xfId="0" applyNumberFormat="1" applyFont="1" applyBorder="1"/>
    <xf numFmtId="0" fontId="7" fillId="2" borderId="7" xfId="0" applyFont="1" applyFill="1" applyBorder="1"/>
    <xf numFmtId="0" fontId="7" fillId="2" borderId="8" xfId="0" applyFont="1" applyFill="1" applyBorder="1" applyAlignment="1">
      <alignment horizontal="center"/>
    </xf>
    <xf numFmtId="3" fontId="7" fillId="2" borderId="8" xfId="0" applyNumberFormat="1" applyFont="1" applyFill="1" applyBorder="1"/>
    <xf numFmtId="3" fontId="8" fillId="0" borderId="0" xfId="0" applyNumberFormat="1" applyFont="1"/>
    <xf numFmtId="3" fontId="7" fillId="0" borderId="9" xfId="0" applyNumberFormat="1" applyFont="1" applyBorder="1"/>
    <xf numFmtId="0" fontId="14" fillId="0" borderId="0" xfId="0" applyFont="1" applyAlignment="1">
      <alignment horizontal="left"/>
    </xf>
    <xf numFmtId="0" fontId="11" fillId="0" borderId="0" xfId="0" applyFont="1" applyAlignment="1">
      <alignment horizontal="center" wrapText="1"/>
    </xf>
    <xf numFmtId="0" fontId="11" fillId="0" borderId="4" xfId="0" applyFont="1" applyBorder="1" applyAlignment="1">
      <alignment wrapText="1"/>
    </xf>
    <xf numFmtId="0" fontId="11" fillId="2" borderId="4" xfId="0" applyFont="1" applyFill="1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5" xfId="0" applyFont="1" applyFill="1" applyBorder="1"/>
    <xf numFmtId="0" fontId="8" fillId="2" borderId="10" xfId="0" applyFont="1" applyFill="1" applyBorder="1"/>
    <xf numFmtId="0" fontId="8" fillId="2" borderId="6" xfId="0" applyFont="1" applyFill="1" applyBorder="1"/>
    <xf numFmtId="0" fontId="11" fillId="3" borderId="4" xfId="0" applyFont="1" applyFill="1" applyBorder="1" applyAlignment="1">
      <alignment wrapText="1"/>
    </xf>
    <xf numFmtId="0" fontId="11" fillId="0" borderId="7" xfId="0" applyFont="1" applyBorder="1" applyAlignment="1">
      <alignment wrapText="1"/>
    </xf>
    <xf numFmtId="0" fontId="8" fillId="0" borderId="8" xfId="0" applyFont="1" applyBorder="1" applyAlignment="1">
      <alignment horizontal="center"/>
    </xf>
    <xf numFmtId="0" fontId="11" fillId="0" borderId="0" xfId="0" applyFont="1" applyAlignment="1">
      <alignment wrapText="1"/>
    </xf>
    <xf numFmtId="9" fontId="8" fillId="0" borderId="0" xfId="4" applyFont="1"/>
    <xf numFmtId="1" fontId="8" fillId="0" borderId="0" xfId="4" applyNumberFormat="1" applyFont="1"/>
    <xf numFmtId="0" fontId="16" fillId="0" borderId="0" xfId="0" applyFont="1" applyAlignment="1">
      <alignment horizontal="center" vertical="center" wrapText="1"/>
    </xf>
    <xf numFmtId="0" fontId="9" fillId="0" borderId="0" xfId="3" applyFont="1" applyAlignment="1" applyProtection="1">
      <alignment horizontal="left"/>
    </xf>
    <xf numFmtId="3" fontId="8" fillId="0" borderId="5" xfId="0" applyNumberFormat="1" applyFont="1" applyFill="1" applyBorder="1"/>
    <xf numFmtId="3" fontId="8" fillId="0" borderId="6" xfId="0" applyNumberFormat="1" applyFont="1" applyFill="1" applyBorder="1"/>
    <xf numFmtId="10" fontId="8" fillId="0" borderId="5" xfId="4" applyNumberFormat="1" applyFont="1" applyFill="1" applyBorder="1"/>
    <xf numFmtId="10" fontId="8" fillId="0" borderId="11" xfId="4" applyNumberFormat="1" applyFont="1" applyFill="1" applyBorder="1"/>
    <xf numFmtId="10" fontId="8" fillId="0" borderId="6" xfId="4" applyNumberFormat="1" applyFont="1" applyFill="1" applyBorder="1"/>
    <xf numFmtId="164" fontId="8" fillId="0" borderId="5" xfId="2" applyNumberFormat="1" applyFont="1" applyFill="1" applyBorder="1"/>
    <xf numFmtId="43" fontId="8" fillId="0" borderId="8" xfId="2" applyFont="1" applyFill="1" applyBorder="1"/>
  </cellXfs>
  <cellStyles count="5">
    <cellStyle name="AccountingNoDecimals" xfId="1" xr:uid="{00000000-0005-0000-0000-000000000000}"/>
    <cellStyle name="Comma" xfId="2" builtinId="3"/>
    <cellStyle name="Hyperlink" xfId="3" builtinId="8"/>
    <cellStyle name="Normal" xfId="0" builtinId="0"/>
    <cellStyle name="Percent" xfId="4" builtinId="5"/>
  </cellStyles>
  <dxfs count="3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dor.state.fl.u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17"/>
  <sheetViews>
    <sheetView tabSelected="1" workbookViewId="0"/>
  </sheetViews>
  <sheetFormatPr defaultRowHeight="14.25" x14ac:dyDescent="0.2"/>
  <cols>
    <col min="1" max="16384" width="9.140625" style="3"/>
  </cols>
  <sheetData>
    <row r="2" spans="1:8" ht="15" x14ac:dyDescent="0.25">
      <c r="A2" s="2" t="s">
        <v>101</v>
      </c>
    </row>
    <row r="4" spans="1:8" x14ac:dyDescent="0.2">
      <c r="B4" s="44" t="s">
        <v>84</v>
      </c>
      <c r="C4" s="44"/>
      <c r="D4" s="44"/>
      <c r="E4" s="44"/>
      <c r="F4" s="44"/>
      <c r="G4" s="44"/>
      <c r="H4" s="44"/>
    </row>
    <row r="6" spans="1:8" x14ac:dyDescent="0.2">
      <c r="B6" s="44" t="s">
        <v>85</v>
      </c>
      <c r="C6" s="44"/>
      <c r="D6" s="44"/>
      <c r="E6" s="44"/>
      <c r="F6" s="44"/>
      <c r="G6" s="44"/>
      <c r="H6" s="44"/>
    </row>
    <row r="8" spans="1:8" x14ac:dyDescent="0.2">
      <c r="B8" s="44" t="s">
        <v>86</v>
      </c>
      <c r="C8" s="44"/>
      <c r="D8" s="44"/>
      <c r="E8" s="44"/>
      <c r="F8" s="44"/>
      <c r="G8" s="44"/>
      <c r="H8" s="44"/>
    </row>
    <row r="10" spans="1:8" x14ac:dyDescent="0.2">
      <c r="B10" s="44" t="s">
        <v>87</v>
      </c>
      <c r="C10" s="44"/>
      <c r="D10" s="44"/>
      <c r="E10" s="44"/>
      <c r="F10" s="44"/>
      <c r="G10" s="44"/>
      <c r="H10" s="44"/>
    </row>
    <row r="14" spans="1:8" x14ac:dyDescent="0.2">
      <c r="A14" s="3" t="s">
        <v>100</v>
      </c>
    </row>
    <row r="16" spans="1:8" x14ac:dyDescent="0.2">
      <c r="A16" s="4" t="s">
        <v>98</v>
      </c>
      <c r="B16" s="5"/>
      <c r="C16" s="5"/>
      <c r="D16" s="4" t="s">
        <v>99</v>
      </c>
      <c r="E16" s="5"/>
      <c r="F16" s="5"/>
      <c r="G16" s="5"/>
      <c r="H16" s="5"/>
    </row>
    <row r="17" spans="1:8" x14ac:dyDescent="0.2">
      <c r="A17" s="5"/>
      <c r="B17" s="5"/>
      <c r="C17" s="5"/>
      <c r="D17" s="7" t="s">
        <v>105</v>
      </c>
      <c r="E17" s="5"/>
      <c r="F17" s="5"/>
      <c r="G17" s="5"/>
      <c r="H17" s="5"/>
    </row>
  </sheetData>
  <mergeCells count="4">
    <mergeCell ref="B4:H4"/>
    <mergeCell ref="B6:H6"/>
    <mergeCell ref="B8:H8"/>
    <mergeCell ref="B10:H10"/>
  </mergeCells>
  <phoneticPr fontId="2" type="noConversion"/>
  <hyperlinks>
    <hyperlink ref="B4:H4" location="'State Summary by Type'!A1" display="State Summary by Property Type" xr:uid="{00000000-0004-0000-0000-000000000000}"/>
    <hyperlink ref="B6:H6" location="'Parcel Ct by Type'!A1" display="Parcel Count by Property Type" xr:uid="{00000000-0004-0000-0000-000001000000}"/>
    <hyperlink ref="B8:H8" location="'Just Value by Type '!A1" display="Just Value by Property Type" xr:uid="{00000000-0004-0000-0000-000002000000}"/>
    <hyperlink ref="B10:H10" location="'Taxable Value by Type '!A1" display="Taxable Value by Property Type" xr:uid="{00000000-0004-0000-0000-000003000000}"/>
    <hyperlink ref="D17" r:id="rId1" xr:uid="{00000000-0004-0000-0000-000004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53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23.28515625" defaultRowHeight="14.25" x14ac:dyDescent="0.2"/>
  <cols>
    <col min="1" max="1" width="43.140625" style="40" customWidth="1"/>
    <col min="2" max="2" width="23.28515625" style="18"/>
    <col min="3" max="21" width="23.28515625" style="3"/>
    <col min="22" max="16384" width="23.28515625" style="12"/>
  </cols>
  <sheetData>
    <row r="1" spans="1:21" ht="23.25" x14ac:dyDescent="0.35">
      <c r="A1" s="6" t="s">
        <v>84</v>
      </c>
    </row>
    <row r="2" spans="1:21" ht="15" x14ac:dyDescent="0.25">
      <c r="A2" s="29">
        <v>2025</v>
      </c>
    </row>
    <row r="3" spans="1:21" ht="15" thickBot="1" x14ac:dyDescent="0.25">
      <c r="A3" s="30"/>
    </row>
    <row r="4" spans="1:21" s="43" customFormat="1" ht="25.5" x14ac:dyDescent="0.25">
      <c r="A4" s="8" t="s">
        <v>11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29.25" customHeight="1" x14ac:dyDescent="0.2">
      <c r="A5" s="31" t="s">
        <v>78</v>
      </c>
      <c r="B5" s="21" t="s">
        <v>108</v>
      </c>
      <c r="C5" s="45">
        <v>1310464</v>
      </c>
      <c r="D5" s="45">
        <v>6056931</v>
      </c>
      <c r="E5" s="45">
        <v>440167</v>
      </c>
      <c r="F5" s="45">
        <v>1616307</v>
      </c>
      <c r="G5" s="45">
        <v>158784</v>
      </c>
      <c r="H5" s="45">
        <v>15998</v>
      </c>
      <c r="I5" s="45">
        <v>46731</v>
      </c>
      <c r="J5" s="45">
        <v>173445</v>
      </c>
      <c r="K5" s="45">
        <v>87137</v>
      </c>
      <c r="L5" s="45">
        <v>258155</v>
      </c>
      <c r="M5" s="45">
        <v>14189</v>
      </c>
      <c r="N5" s="45">
        <v>82461</v>
      </c>
      <c r="O5" s="45">
        <v>236556</v>
      </c>
      <c r="P5" s="45">
        <v>47698</v>
      </c>
      <c r="Q5" s="45">
        <v>252857</v>
      </c>
      <c r="R5" s="45">
        <v>1964</v>
      </c>
      <c r="S5" s="45">
        <v>158133</v>
      </c>
      <c r="T5" s="45">
        <v>99189</v>
      </c>
      <c r="U5" s="46">
        <v>11057166</v>
      </c>
    </row>
    <row r="6" spans="1:21" ht="29.25" customHeight="1" x14ac:dyDescent="0.2">
      <c r="A6" s="31" t="s">
        <v>83</v>
      </c>
      <c r="B6" s="21" t="s">
        <v>108</v>
      </c>
      <c r="C6" s="47">
        <v>1.7913245679818605E-2</v>
      </c>
      <c r="D6" s="47">
        <v>0.55574288736814514</v>
      </c>
      <c r="E6" s="47">
        <v>1.095114778278271E-2</v>
      </c>
      <c r="F6" s="47">
        <v>0.1214135716106419</v>
      </c>
      <c r="G6" s="47">
        <v>1.5739166335878574E-2</v>
      </c>
      <c r="H6" s="47">
        <v>4.306329387630943E-2</v>
      </c>
      <c r="I6" s="47">
        <v>1.7346330123518727E-3</v>
      </c>
      <c r="J6" s="47">
        <v>2.5061624105403935E-3</v>
      </c>
      <c r="K6" s="47">
        <v>8.0229070028652941E-3</v>
      </c>
      <c r="L6" s="47">
        <v>9.1747526035865681E-2</v>
      </c>
      <c r="M6" s="47">
        <v>1.3726290787087531E-3</v>
      </c>
      <c r="N6" s="47">
        <v>3.5038318301118809E-2</v>
      </c>
      <c r="O6" s="47">
        <v>2.5177455826099746E-2</v>
      </c>
      <c r="P6" s="47">
        <v>1.7709980421533128E-2</v>
      </c>
      <c r="Q6" s="47">
        <v>4.5782688974941477E-2</v>
      </c>
      <c r="R6" s="47">
        <v>1.6171491221780882E-3</v>
      </c>
      <c r="S6" s="47">
        <v>2.1298338182061307E-3</v>
      </c>
      <c r="T6" s="48">
        <v>2.3374033420142269E-3</v>
      </c>
      <c r="U6" s="49">
        <f>U5/$U$5</f>
        <v>1</v>
      </c>
    </row>
    <row r="7" spans="1:21" ht="29.25" customHeight="1" x14ac:dyDescent="0.2">
      <c r="A7" s="31" t="s">
        <v>109</v>
      </c>
      <c r="B7" s="21" t="s">
        <v>108</v>
      </c>
      <c r="C7" s="47">
        <v>-2.6299188845191113E-2</v>
      </c>
      <c r="D7" s="47">
        <v>2.2127101611425282E-2</v>
      </c>
      <c r="E7" s="47">
        <v>4.9520774067461915E-3</v>
      </c>
      <c r="F7" s="47">
        <v>2.3043660791857157E-3</v>
      </c>
      <c r="G7" s="47">
        <v>8.9595485912539186E-3</v>
      </c>
      <c r="H7" s="47">
        <v>2.6697471441406773E-2</v>
      </c>
      <c r="I7" s="47">
        <v>-2.7754083012587083E-2</v>
      </c>
      <c r="J7" s="47">
        <v>3.1882488726009406E-2</v>
      </c>
      <c r="K7" s="47">
        <v>-4.1940939842749492E-3</v>
      </c>
      <c r="L7" s="47">
        <v>2.0922613502267762E-3</v>
      </c>
      <c r="M7" s="47">
        <v>-2.2324812237304537E-2</v>
      </c>
      <c r="N7" s="47">
        <v>1.4654854189737998E-2</v>
      </c>
      <c r="O7" s="47">
        <v>-1.974483596597798E-3</v>
      </c>
      <c r="P7" s="47">
        <v>-7.4496420842350419E-3</v>
      </c>
      <c r="Q7" s="47">
        <v>1.6408401165711961E-2</v>
      </c>
      <c r="R7" s="47">
        <v>1.2893243940175436E-2</v>
      </c>
      <c r="S7" s="47">
        <v>5.6280525030525386E-3</v>
      </c>
      <c r="T7" s="47">
        <v>-1.5376521273005261E-2</v>
      </c>
      <c r="U7" s="49">
        <v>1.0151426341269421E-2</v>
      </c>
    </row>
    <row r="8" spans="1:21" ht="26.25" customHeight="1" x14ac:dyDescent="0.2">
      <c r="A8" s="32"/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5"/>
      <c r="U8" s="36"/>
    </row>
    <row r="9" spans="1:21" ht="29.25" customHeight="1" x14ac:dyDescent="0.2">
      <c r="A9" s="31" t="s">
        <v>79</v>
      </c>
      <c r="B9" s="21" t="s">
        <v>108</v>
      </c>
      <c r="C9" s="45">
        <v>92162803715</v>
      </c>
      <c r="D9" s="45">
        <v>2859270930573</v>
      </c>
      <c r="E9" s="45">
        <v>56343138569</v>
      </c>
      <c r="F9" s="45">
        <v>624667096555</v>
      </c>
      <c r="G9" s="45">
        <v>80977268083</v>
      </c>
      <c r="H9" s="45">
        <v>221558614881</v>
      </c>
      <c r="I9" s="45">
        <v>8924604993</v>
      </c>
      <c r="J9" s="45">
        <v>12894087339</v>
      </c>
      <c r="K9" s="45">
        <v>41277477937</v>
      </c>
      <c r="L9" s="45">
        <v>472036691983</v>
      </c>
      <c r="M9" s="45">
        <v>7062111837</v>
      </c>
      <c r="N9" s="45">
        <v>180270494237</v>
      </c>
      <c r="O9" s="45">
        <v>129536822127</v>
      </c>
      <c r="P9" s="45">
        <v>91117013553</v>
      </c>
      <c r="Q9" s="45">
        <v>235549774338</v>
      </c>
      <c r="R9" s="45">
        <v>8320155922</v>
      </c>
      <c r="S9" s="45">
        <v>10957894490</v>
      </c>
      <c r="T9" s="45">
        <v>12025829895</v>
      </c>
      <c r="U9" s="46">
        <v>5144952811027</v>
      </c>
    </row>
    <row r="10" spans="1:21" ht="29.25" customHeight="1" x14ac:dyDescent="0.2">
      <c r="A10" s="31" t="s">
        <v>81</v>
      </c>
      <c r="B10" s="21" t="s">
        <v>108</v>
      </c>
      <c r="C10" s="47">
        <v>1.7913245679818605E-2</v>
      </c>
      <c r="D10" s="47">
        <v>0.55574288736814514</v>
      </c>
      <c r="E10" s="47">
        <v>1.095114778278271E-2</v>
      </c>
      <c r="F10" s="47">
        <v>0.1214135716106419</v>
      </c>
      <c r="G10" s="47">
        <v>1.5739166335878574E-2</v>
      </c>
      <c r="H10" s="47">
        <v>4.306329387630943E-2</v>
      </c>
      <c r="I10" s="47">
        <f t="shared" ref="D10:U10" si="0">I9/$U$9</f>
        <v>1.7346330123518727E-3</v>
      </c>
      <c r="J10" s="47">
        <v>1.7346330123518727E-3</v>
      </c>
      <c r="K10" s="47">
        <v>2.5061624105403935E-3</v>
      </c>
      <c r="L10" s="47">
        <v>8.0229070028652941E-3</v>
      </c>
      <c r="M10" s="47">
        <v>9.1747526035865681E-2</v>
      </c>
      <c r="N10" s="47">
        <v>1.3726290787087531E-3</v>
      </c>
      <c r="O10" s="47">
        <v>3.5038318301118809E-2</v>
      </c>
      <c r="P10" s="47">
        <v>2.5177455826099746E-2</v>
      </c>
      <c r="Q10" s="47">
        <v>1.7709980421533128E-2</v>
      </c>
      <c r="R10" s="47">
        <v>4.5782688974941477E-2</v>
      </c>
      <c r="S10" s="47">
        <v>1.6171491221780882E-3</v>
      </c>
      <c r="T10" s="48">
        <v>2.1298338182061307E-3</v>
      </c>
      <c r="U10" s="49">
        <v>2.3374033420142269E-3</v>
      </c>
    </row>
    <row r="11" spans="1:21" ht="23.25" customHeight="1" x14ac:dyDescent="0.2">
      <c r="A11" s="31" t="s">
        <v>110</v>
      </c>
      <c r="B11" s="21" t="s">
        <v>108</v>
      </c>
      <c r="C11" s="47">
        <v>3.4003321586308699E-2</v>
      </c>
      <c r="D11" s="47">
        <v>3.6266253045107888E-2</v>
      </c>
      <c r="E11" s="47">
        <v>4.5011273409241381E-2</v>
      </c>
      <c r="F11" s="47">
        <v>-7.5122039422770293E-3</v>
      </c>
      <c r="G11" s="47">
        <v>5.6020003988122458E-2</v>
      </c>
      <c r="H11" s="47">
        <v>8.2128560259707051E-2</v>
      </c>
      <c r="I11" s="47">
        <v>-6.7008127579072374E-3</v>
      </c>
      <c r="J11" s="47">
        <v>5.0121207965662329E-2</v>
      </c>
      <c r="K11" s="47">
        <v>7.7690031377259272E-2</v>
      </c>
      <c r="L11" s="47">
        <v>6.8097763353520024E-2</v>
      </c>
      <c r="M11" s="47">
        <v>-2.150308928758593E-2</v>
      </c>
      <c r="N11" s="47">
        <v>0.13396669521105942</v>
      </c>
      <c r="O11" s="47">
        <v>6.5215786424699385E-2</v>
      </c>
      <c r="P11" s="47">
        <v>7.9998462698388062E-2</v>
      </c>
      <c r="Q11" s="47">
        <v>3.3486980731168625E-2</v>
      </c>
      <c r="R11" s="47">
        <v>0.1261481334055492</v>
      </c>
      <c r="S11" s="47">
        <v>8.5567857665201252E-2</v>
      </c>
      <c r="T11" s="48">
        <v>1.3300831046375583E-2</v>
      </c>
      <c r="U11" s="49">
        <v>4.0643166743416836E-2</v>
      </c>
    </row>
    <row r="12" spans="1:21" s="14" customFormat="1" ht="29.25" customHeight="1" x14ac:dyDescent="0.2">
      <c r="A12" s="37" t="s">
        <v>102</v>
      </c>
      <c r="B12" s="21" t="s">
        <v>108</v>
      </c>
      <c r="C12" s="50">
        <f>C9/C5</f>
        <v>70328.375075545759</v>
      </c>
      <c r="D12" s="50">
        <f t="shared" ref="D12:U12" si="1">D9/D5</f>
        <v>472065.95726003812</v>
      </c>
      <c r="E12" s="50">
        <f t="shared" si="1"/>
        <v>128004.00431881536</v>
      </c>
      <c r="F12" s="50">
        <f t="shared" si="1"/>
        <v>386477.99988182937</v>
      </c>
      <c r="G12" s="50">
        <f t="shared" si="1"/>
        <v>509983.80241712014</v>
      </c>
      <c r="H12" s="50">
        <f t="shared" si="1"/>
        <v>13849144.573134141</v>
      </c>
      <c r="I12" s="50">
        <f t="shared" si="1"/>
        <v>190978.25839378571</v>
      </c>
      <c r="J12" s="50">
        <f t="shared" si="1"/>
        <v>74341.072610914125</v>
      </c>
      <c r="K12" s="50">
        <f t="shared" si="1"/>
        <v>473707.81570400635</v>
      </c>
      <c r="L12" s="50">
        <f t="shared" si="1"/>
        <v>1828501.0632488234</v>
      </c>
      <c r="M12" s="50">
        <f t="shared" si="1"/>
        <v>497717.37522024103</v>
      </c>
      <c r="N12" s="50">
        <f t="shared" si="1"/>
        <v>2186130.3432774283</v>
      </c>
      <c r="O12" s="50">
        <f t="shared" si="1"/>
        <v>547594.743430731</v>
      </c>
      <c r="P12" s="50">
        <f t="shared" si="1"/>
        <v>1910290.0237536165</v>
      </c>
      <c r="Q12" s="50">
        <f t="shared" si="1"/>
        <v>931553.30616909952</v>
      </c>
      <c r="R12" s="50">
        <f t="shared" si="1"/>
        <v>4236331.9358452139</v>
      </c>
      <c r="S12" s="50">
        <f t="shared" si="1"/>
        <v>69295.43163033649</v>
      </c>
      <c r="T12" s="50">
        <f t="shared" si="1"/>
        <v>121241.56806702356</v>
      </c>
      <c r="U12" s="50">
        <f t="shared" si="1"/>
        <v>465304.83588896104</v>
      </c>
    </row>
    <row r="13" spans="1:21" ht="26.25" customHeight="1" x14ac:dyDescent="0.2">
      <c r="A13" s="32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6"/>
    </row>
    <row r="14" spans="1:21" ht="29.25" customHeight="1" x14ac:dyDescent="0.2">
      <c r="A14" s="31" t="s">
        <v>80</v>
      </c>
      <c r="B14" s="21" t="s">
        <v>108</v>
      </c>
      <c r="C14" s="45">
        <v>70591806684</v>
      </c>
      <c r="D14" s="45">
        <v>1752073474222</v>
      </c>
      <c r="E14" s="45">
        <v>30108072302</v>
      </c>
      <c r="F14" s="45">
        <v>482685079634</v>
      </c>
      <c r="G14" s="45">
        <v>60082450038</v>
      </c>
      <c r="H14" s="45">
        <v>196595503913</v>
      </c>
      <c r="I14" s="45">
        <v>6400400792</v>
      </c>
      <c r="J14" s="45">
        <v>10811796972</v>
      </c>
      <c r="K14" s="45">
        <v>31332777019</v>
      </c>
      <c r="L14" s="45">
        <v>422460128586</v>
      </c>
      <c r="M14" s="45">
        <v>5119679417</v>
      </c>
      <c r="N14" s="45">
        <v>152603464197</v>
      </c>
      <c r="O14" s="45">
        <v>23892962269</v>
      </c>
      <c r="P14" s="45">
        <v>20397244551</v>
      </c>
      <c r="Q14" s="45">
        <v>1761454855</v>
      </c>
      <c r="R14" s="45">
        <v>4398741368</v>
      </c>
      <c r="S14" s="45">
        <v>6020802788</v>
      </c>
      <c r="T14" s="45">
        <v>9050110187</v>
      </c>
      <c r="U14" s="46">
        <v>3286385949794</v>
      </c>
    </row>
    <row r="15" spans="1:21" ht="29.25" customHeight="1" x14ac:dyDescent="0.2">
      <c r="A15" s="31" t="s">
        <v>82</v>
      </c>
      <c r="B15" s="21" t="s">
        <v>108</v>
      </c>
      <c r="C15" s="47">
        <v>2.148007195820226E-2</v>
      </c>
      <c r="D15" s="47">
        <v>0.53313077069716197</v>
      </c>
      <c r="E15" s="47">
        <v>9.1614535730008394E-3</v>
      </c>
      <c r="F15" s="47">
        <v>0.14687413073447933</v>
      </c>
      <c r="G15" s="47">
        <v>1.8282225811538093E-2</v>
      </c>
      <c r="H15" s="47">
        <v>5.982118561738714E-2</v>
      </c>
      <c r="I15" s="47">
        <v>1.9475499499385322E-3</v>
      </c>
      <c r="J15" s="47">
        <v>3.2898743900355689E-3</v>
      </c>
      <c r="K15" s="47">
        <v>9.5341136122384009E-3</v>
      </c>
      <c r="L15" s="47">
        <v>0.12854854391416839</v>
      </c>
      <c r="M15" s="47">
        <v>1.5578448469574658E-3</v>
      </c>
      <c r="N15" s="47">
        <v>4.6435040353846942E-2</v>
      </c>
      <c r="O15" s="47">
        <v>7.2702849373177487E-3</v>
      </c>
      <c r="P15" s="47">
        <v>6.206588289570358E-3</v>
      </c>
      <c r="Q15" s="47">
        <v>5.3598539000278191E-4</v>
      </c>
      <c r="R15" s="47">
        <v>1.3384737627288499E-3</v>
      </c>
      <c r="S15" s="47">
        <v>1.8320437343573115E-3</v>
      </c>
      <c r="T15" s="48">
        <v>2.7538184270679733E-3</v>
      </c>
      <c r="U15" s="49">
        <f t="shared" ref="D15:U15" si="2">U14/$U$14</f>
        <v>1</v>
      </c>
    </row>
    <row r="16" spans="1:21" ht="28.5" customHeight="1" x14ac:dyDescent="0.2">
      <c r="A16" s="31" t="s">
        <v>111</v>
      </c>
      <c r="B16" s="21" t="s">
        <v>108</v>
      </c>
      <c r="C16" s="47">
        <v>7.6971977367600974E-2</v>
      </c>
      <c r="D16" s="47">
        <v>8.9705160974604903E-2</v>
      </c>
      <c r="E16" s="47">
        <v>9.851716613615813E-2</v>
      </c>
      <c r="F16" s="47">
        <v>6.7931706489618104E-2</v>
      </c>
      <c r="G16" s="47">
        <v>0.10042686693954495</v>
      </c>
      <c r="H16" s="47">
        <v>9.3614964692078306E-2</v>
      </c>
      <c r="I16" s="47">
        <v>0.10088602124840995</v>
      </c>
      <c r="J16" s="47">
        <v>4.8611198989375604E-2</v>
      </c>
      <c r="K16" s="47">
        <v>6.2668280151626732E-2</v>
      </c>
      <c r="L16" s="47">
        <v>5.6785054330722229E-2</v>
      </c>
      <c r="M16" s="47">
        <v>7.2077806506536835E-2</v>
      </c>
      <c r="N16" s="47">
        <v>-2.1336648891484677E-2</v>
      </c>
      <c r="O16" s="47">
        <v>0.13806323260151365</v>
      </c>
      <c r="P16" s="47">
        <v>6.7275270934949116E-2</v>
      </c>
      <c r="Q16" s="47">
        <v>7.8657277323648911E-2</v>
      </c>
      <c r="R16" s="47">
        <v>1.6493564521984361E-3</v>
      </c>
      <c r="S16" s="47">
        <v>0.10645175726914835</v>
      </c>
      <c r="T16" s="48">
        <v>7.7247075611065252E-2</v>
      </c>
      <c r="U16" s="49">
        <v>8.5378099200635216E-2</v>
      </c>
    </row>
    <row r="17" spans="1:21" ht="29.25" customHeight="1" thickBot="1" x14ac:dyDescent="0.25">
      <c r="A17" s="38" t="s">
        <v>103</v>
      </c>
      <c r="B17" s="39" t="s">
        <v>108</v>
      </c>
      <c r="C17" s="51">
        <f>C14/C5</f>
        <v>53867.795440393631</v>
      </c>
      <c r="D17" s="51">
        <f t="shared" ref="D17:U17" si="3">D14/D5</f>
        <v>289267.5307382567</v>
      </c>
      <c r="E17" s="51">
        <f t="shared" si="3"/>
        <v>68401.475580859085</v>
      </c>
      <c r="F17" s="51">
        <f t="shared" si="3"/>
        <v>298634.52898118983</v>
      </c>
      <c r="G17" s="51">
        <f t="shared" si="3"/>
        <v>378391.08498337364</v>
      </c>
      <c r="H17" s="51">
        <f t="shared" si="3"/>
        <v>12288755.088948619</v>
      </c>
      <c r="I17" s="51">
        <f t="shared" si="3"/>
        <v>136962.63277053775</v>
      </c>
      <c r="J17" s="51">
        <f t="shared" si="3"/>
        <v>62335.59325434576</v>
      </c>
      <c r="K17" s="51">
        <f t="shared" si="3"/>
        <v>359580.62612896931</v>
      </c>
      <c r="L17" s="51">
        <f t="shared" si="3"/>
        <v>1636459.2147585752</v>
      </c>
      <c r="M17" s="51">
        <f t="shared" si="3"/>
        <v>360820.31270702655</v>
      </c>
      <c r="N17" s="51">
        <f t="shared" si="3"/>
        <v>1850613.7955760905</v>
      </c>
      <c r="O17" s="51">
        <f t="shared" si="3"/>
        <v>101003.40836419283</v>
      </c>
      <c r="P17" s="51">
        <f t="shared" si="3"/>
        <v>427633.11985827499</v>
      </c>
      <c r="Q17" s="51">
        <f t="shared" si="3"/>
        <v>6966.2095769545631</v>
      </c>
      <c r="R17" s="51">
        <f t="shared" si="3"/>
        <v>2239685.0142566189</v>
      </c>
      <c r="S17" s="51">
        <f t="shared" si="3"/>
        <v>38074.296876679757</v>
      </c>
      <c r="T17" s="51">
        <f t="shared" si="3"/>
        <v>91241.066922743456</v>
      </c>
      <c r="U17" s="51">
        <f t="shared" si="3"/>
        <v>297217.74546877563</v>
      </c>
    </row>
    <row r="19" spans="1:21" x14ac:dyDescent="0.2">
      <c r="A19" s="5" t="s">
        <v>112</v>
      </c>
    </row>
    <row r="21" spans="1:21" x14ac:dyDescent="0.2">
      <c r="C21" s="41"/>
      <c r="D21" s="42"/>
    </row>
    <row r="22" spans="1:21" x14ac:dyDescent="0.2">
      <c r="C22" s="27"/>
    </row>
    <row r="24" spans="1:21" x14ac:dyDescent="0.2">
      <c r="B24" s="15"/>
      <c r="C24" s="12"/>
      <c r="D24" s="12"/>
      <c r="E24" s="12"/>
      <c r="F24" s="12"/>
      <c r="G24" s="12"/>
      <c r="H24" s="12"/>
    </row>
    <row r="25" spans="1:21" x14ac:dyDescent="0.2">
      <c r="B25" s="15"/>
      <c r="C25" s="12"/>
      <c r="D25" s="12"/>
      <c r="E25" s="12"/>
      <c r="F25" s="12"/>
      <c r="G25" s="12"/>
      <c r="H25" s="12"/>
      <c r="I25" s="12"/>
    </row>
    <row r="26" spans="1:21" x14ac:dyDescent="0.2">
      <c r="B26" s="15"/>
      <c r="C26" s="12"/>
      <c r="D26" s="12"/>
      <c r="E26" s="12"/>
      <c r="F26" s="12"/>
      <c r="G26" s="12"/>
      <c r="H26" s="12"/>
      <c r="I26" s="12"/>
    </row>
    <row r="27" spans="1:21" x14ac:dyDescent="0.2"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">
      <c r="B28" s="15"/>
      <c r="C28" s="12"/>
      <c r="D28" s="12"/>
      <c r="E28" s="12"/>
      <c r="F28" s="12"/>
      <c r="G28" s="12"/>
      <c r="H28" s="12"/>
      <c r="I28" s="12"/>
    </row>
    <row r="29" spans="1:21" x14ac:dyDescent="0.2">
      <c r="B29" s="15"/>
      <c r="C29" s="12"/>
      <c r="D29" s="12"/>
      <c r="E29" s="12"/>
      <c r="F29" s="12"/>
      <c r="G29" s="12"/>
      <c r="H29" s="12"/>
      <c r="I29" s="12"/>
    </row>
    <row r="30" spans="1:21" x14ac:dyDescent="0.2"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">
      <c r="B31" s="15"/>
      <c r="C31" s="12"/>
      <c r="D31" s="12"/>
      <c r="E31" s="12"/>
      <c r="F31" s="12"/>
      <c r="G31" s="12"/>
      <c r="H31" s="12"/>
      <c r="I31" s="12"/>
    </row>
    <row r="32" spans="1:21" x14ac:dyDescent="0.2">
      <c r="B32" s="15"/>
      <c r="C32" s="12"/>
      <c r="D32" s="12"/>
      <c r="E32" s="12"/>
      <c r="F32" s="12"/>
      <c r="G32" s="12"/>
      <c r="H32" s="12"/>
      <c r="I32" s="12"/>
    </row>
    <row r="33" spans="2:21" x14ac:dyDescent="0.2"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2:21" x14ac:dyDescent="0.2">
      <c r="B34" s="15"/>
      <c r="C34" s="12"/>
      <c r="D34" s="12"/>
      <c r="E34" s="12"/>
      <c r="F34" s="12"/>
      <c r="G34" s="12"/>
      <c r="H34" s="12"/>
      <c r="I34" s="12"/>
    </row>
    <row r="35" spans="2:21" x14ac:dyDescent="0.2">
      <c r="B35" s="15"/>
      <c r="C35" s="12"/>
      <c r="D35" s="12"/>
      <c r="E35" s="12"/>
      <c r="F35" s="12"/>
      <c r="G35" s="12"/>
      <c r="H35" s="12"/>
      <c r="I35" s="12"/>
    </row>
    <row r="36" spans="2:21" x14ac:dyDescent="0.2">
      <c r="B36" s="15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spans="2:21" x14ac:dyDescent="0.2">
      <c r="B37" s="15"/>
      <c r="C37" s="12"/>
      <c r="D37" s="12"/>
      <c r="E37" s="12"/>
      <c r="F37" s="12"/>
      <c r="G37" s="12"/>
      <c r="H37" s="12"/>
      <c r="I37" s="12"/>
    </row>
    <row r="38" spans="2:21" x14ac:dyDescent="0.2">
      <c r="B38" s="15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2:21" x14ac:dyDescent="0.2">
      <c r="B39" s="15"/>
      <c r="C39" s="12"/>
      <c r="D39" s="12"/>
      <c r="E39" s="12"/>
      <c r="F39" s="12"/>
      <c r="G39" s="12"/>
      <c r="H39" s="12"/>
      <c r="I39" s="12"/>
    </row>
    <row r="40" spans="2:21" x14ac:dyDescent="0.2">
      <c r="B40" s="15"/>
      <c r="C40" s="12"/>
      <c r="D40" s="12"/>
      <c r="E40" s="12"/>
      <c r="F40" s="12"/>
      <c r="G40" s="12"/>
      <c r="H40" s="12"/>
      <c r="I40" s="12"/>
    </row>
    <row r="41" spans="2:21" x14ac:dyDescent="0.2">
      <c r="B41" s="15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2:21" x14ac:dyDescent="0.2">
      <c r="B42" s="15"/>
      <c r="C42" s="12"/>
      <c r="D42" s="12"/>
      <c r="E42" s="12"/>
      <c r="F42" s="12"/>
      <c r="G42" s="12"/>
      <c r="H42" s="12"/>
      <c r="I42" s="12"/>
    </row>
    <row r="43" spans="2:21" x14ac:dyDescent="0.2">
      <c r="B43" s="15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2:21" x14ac:dyDescent="0.2">
      <c r="B44" s="15"/>
      <c r="C44" s="12"/>
      <c r="D44" s="12"/>
      <c r="E44" s="12"/>
      <c r="F44" s="12"/>
      <c r="G44" s="12"/>
      <c r="H44" s="12"/>
      <c r="I44" s="12"/>
    </row>
    <row r="45" spans="2:21" x14ac:dyDescent="0.2">
      <c r="B45" s="15"/>
      <c r="C45" s="12"/>
      <c r="D45" s="12"/>
      <c r="E45" s="12"/>
      <c r="F45" s="12"/>
      <c r="G45" s="12"/>
      <c r="H45" s="12"/>
      <c r="I45" s="12"/>
    </row>
    <row r="46" spans="2:21" x14ac:dyDescent="0.2">
      <c r="B46" s="15"/>
      <c r="C46" s="12"/>
      <c r="D46" s="12"/>
      <c r="E46" s="12"/>
      <c r="F46" s="12"/>
      <c r="G46" s="12"/>
      <c r="H46" s="12"/>
      <c r="I46" s="12"/>
    </row>
    <row r="47" spans="2:21" x14ac:dyDescent="0.2">
      <c r="B47" s="15"/>
      <c r="C47" s="12"/>
      <c r="D47" s="12"/>
      <c r="E47" s="12"/>
      <c r="F47" s="12"/>
      <c r="G47" s="12"/>
      <c r="H47" s="12"/>
      <c r="I47" s="12"/>
    </row>
    <row r="48" spans="2:21" x14ac:dyDescent="0.2">
      <c r="B48" s="15"/>
      <c r="C48" s="12"/>
      <c r="D48" s="12"/>
      <c r="E48" s="12"/>
      <c r="F48" s="12"/>
      <c r="G48" s="12"/>
      <c r="H48" s="12"/>
      <c r="I48" s="12"/>
    </row>
    <row r="49" spans="2:9" x14ac:dyDescent="0.2">
      <c r="B49" s="15"/>
      <c r="C49" s="12"/>
      <c r="D49" s="12"/>
      <c r="E49" s="12"/>
      <c r="F49" s="12"/>
      <c r="G49" s="12"/>
      <c r="H49" s="12"/>
      <c r="I49" s="12"/>
    </row>
    <row r="50" spans="2:9" x14ac:dyDescent="0.2">
      <c r="B50" s="15"/>
      <c r="C50" s="12"/>
      <c r="D50" s="12"/>
      <c r="E50" s="12"/>
      <c r="F50" s="12"/>
      <c r="G50" s="12"/>
      <c r="H50" s="12"/>
      <c r="I50" s="12"/>
    </row>
    <row r="51" spans="2:9" x14ac:dyDescent="0.2">
      <c r="B51" s="15"/>
      <c r="C51" s="12"/>
      <c r="D51" s="12"/>
      <c r="E51" s="12"/>
      <c r="F51" s="12"/>
      <c r="G51" s="12"/>
      <c r="H51" s="12"/>
      <c r="I51" s="12"/>
    </row>
    <row r="52" spans="2:9" x14ac:dyDescent="0.2">
      <c r="B52" s="15"/>
      <c r="C52" s="12"/>
      <c r="D52" s="12"/>
      <c r="E52" s="12"/>
      <c r="F52" s="12"/>
      <c r="G52" s="12"/>
      <c r="H52" s="12"/>
      <c r="I52" s="12"/>
    </row>
    <row r="53" spans="2:9" x14ac:dyDescent="0.2">
      <c r="C53" s="12"/>
      <c r="D53" s="12"/>
      <c r="E53" s="12"/>
      <c r="F53" s="12"/>
      <c r="G53" s="12"/>
      <c r="H53" s="12"/>
      <c r="I53" s="12"/>
    </row>
  </sheetData>
  <phoneticPr fontId="0" type="noConversion"/>
  <pageMargins left="0.7" right="0.7" top="0.75" bottom="0.75" header="0.3" footer="0.3"/>
  <pageSetup scale="71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U75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26" style="3" customWidth="1"/>
    <col min="2" max="2" width="12.42578125" style="18" bestFit="1" customWidth="1"/>
    <col min="3" max="3" width="18.42578125" style="3" bestFit="1" customWidth="1"/>
    <col min="4" max="4" width="15.42578125" style="3" bestFit="1" customWidth="1"/>
    <col min="5" max="5" width="16.5703125" style="3" bestFit="1" customWidth="1"/>
    <col min="6" max="6" width="15.42578125" style="3" bestFit="1" customWidth="1"/>
    <col min="7" max="7" width="16.5703125" style="3" bestFit="1" customWidth="1"/>
    <col min="8" max="8" width="14.5703125" style="3" bestFit="1" customWidth="1"/>
    <col min="9" max="9" width="14.28515625" style="3" bestFit="1" customWidth="1"/>
    <col min="10" max="10" width="15.42578125" style="3" bestFit="1" customWidth="1"/>
    <col min="11" max="11" width="16.5703125" style="3" bestFit="1" customWidth="1"/>
    <col min="12" max="12" width="14.28515625" style="3" bestFit="1" customWidth="1"/>
    <col min="13" max="13" width="16.5703125" style="3" bestFit="1" customWidth="1"/>
    <col min="14" max="15" width="15.42578125" style="3" bestFit="1" customWidth="1"/>
    <col min="16" max="16" width="16.5703125" style="3" bestFit="1" customWidth="1"/>
    <col min="17" max="18" width="14.28515625" style="3" bestFit="1" customWidth="1"/>
    <col min="19" max="19" width="15.42578125" style="3" bestFit="1" customWidth="1"/>
    <col min="20" max="20" width="11.5703125" style="3" bestFit="1" customWidth="1"/>
    <col min="21" max="21" width="18.42578125" style="3" bestFit="1" customWidth="1"/>
    <col min="22" max="16384" width="9.140625" style="12"/>
  </cols>
  <sheetData>
    <row r="1" spans="1:21" ht="23.25" x14ac:dyDescent="0.35">
      <c r="A1" s="1" t="s">
        <v>85</v>
      </c>
    </row>
    <row r="2" spans="1:21" ht="15" x14ac:dyDescent="0.25">
      <c r="A2" s="19">
        <v>2025</v>
      </c>
    </row>
    <row r="3" spans="1:21" ht="15" thickBot="1" x14ac:dyDescent="0.25"/>
    <row r="4" spans="1:21" s="43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20" t="s">
        <v>12</v>
      </c>
      <c r="B5" s="21" t="s">
        <v>106</v>
      </c>
      <c r="C5" s="22">
        <v>8574</v>
      </c>
      <c r="D5" s="22">
        <v>65589</v>
      </c>
      <c r="E5" s="22">
        <v>5731</v>
      </c>
      <c r="F5" s="22">
        <v>7244</v>
      </c>
      <c r="G5" s="22">
        <v>1613</v>
      </c>
      <c r="H5" s="22">
        <v>387</v>
      </c>
      <c r="I5" s="22">
        <v>0</v>
      </c>
      <c r="J5" s="22">
        <v>1958</v>
      </c>
      <c r="K5" s="22">
        <v>1060</v>
      </c>
      <c r="L5" s="22">
        <v>3333</v>
      </c>
      <c r="M5" s="22">
        <v>321</v>
      </c>
      <c r="N5" s="22">
        <v>900</v>
      </c>
      <c r="O5" s="22">
        <v>7660</v>
      </c>
      <c r="P5" s="22">
        <v>1039</v>
      </c>
      <c r="Q5" s="22">
        <v>1944</v>
      </c>
      <c r="R5" s="22">
        <v>1</v>
      </c>
      <c r="S5" s="22">
        <v>1234</v>
      </c>
      <c r="T5" s="22">
        <v>272</v>
      </c>
      <c r="U5" s="23">
        <v>108860</v>
      </c>
    </row>
    <row r="6" spans="1:21" ht="14.25" customHeight="1" x14ac:dyDescent="0.2">
      <c r="A6" s="20" t="s">
        <v>13</v>
      </c>
      <c r="B6" s="21" t="s">
        <v>106</v>
      </c>
      <c r="C6" s="22">
        <v>1560</v>
      </c>
      <c r="D6" s="22">
        <v>5172</v>
      </c>
      <c r="E6" s="22">
        <v>2486</v>
      </c>
      <c r="F6" s="22">
        <v>0</v>
      </c>
      <c r="G6" s="22">
        <v>57</v>
      </c>
      <c r="H6" s="22">
        <v>5</v>
      </c>
      <c r="I6" s="22">
        <v>0</v>
      </c>
      <c r="J6" s="22">
        <v>40</v>
      </c>
      <c r="K6" s="22">
        <v>30</v>
      </c>
      <c r="L6" s="22">
        <v>326</v>
      </c>
      <c r="M6" s="22">
        <v>3</v>
      </c>
      <c r="N6" s="22">
        <v>42</v>
      </c>
      <c r="O6" s="22">
        <v>2258</v>
      </c>
      <c r="P6" s="22">
        <v>163</v>
      </c>
      <c r="Q6" s="22">
        <v>585</v>
      </c>
      <c r="R6" s="22">
        <v>34</v>
      </c>
      <c r="S6" s="22">
        <v>104</v>
      </c>
      <c r="T6" s="22">
        <v>289</v>
      </c>
      <c r="U6" s="23">
        <v>13154</v>
      </c>
    </row>
    <row r="7" spans="1:21" ht="14.25" customHeight="1" x14ac:dyDescent="0.2">
      <c r="A7" s="20" t="s">
        <v>14</v>
      </c>
      <c r="B7" s="21" t="s">
        <v>106</v>
      </c>
      <c r="C7" s="22">
        <v>21596</v>
      </c>
      <c r="D7" s="22">
        <v>65461</v>
      </c>
      <c r="E7" s="22">
        <v>8690</v>
      </c>
      <c r="F7" s="22">
        <v>19948</v>
      </c>
      <c r="G7" s="22">
        <v>2111</v>
      </c>
      <c r="H7" s="22">
        <v>145</v>
      </c>
      <c r="I7" s="22">
        <v>17</v>
      </c>
      <c r="J7" s="22">
        <v>1295</v>
      </c>
      <c r="K7" s="22">
        <v>2343</v>
      </c>
      <c r="L7" s="22">
        <v>3409</v>
      </c>
      <c r="M7" s="22">
        <v>78</v>
      </c>
      <c r="N7" s="22">
        <v>832</v>
      </c>
      <c r="O7" s="22">
        <v>1149</v>
      </c>
      <c r="P7" s="22">
        <v>438</v>
      </c>
      <c r="Q7" s="22">
        <v>2030</v>
      </c>
      <c r="R7" s="22">
        <v>67</v>
      </c>
      <c r="S7" s="22">
        <v>372</v>
      </c>
      <c r="T7" s="22">
        <v>193</v>
      </c>
      <c r="U7" s="23">
        <v>130174</v>
      </c>
    </row>
    <row r="8" spans="1:21" ht="14.25" customHeight="1" x14ac:dyDescent="0.2">
      <c r="A8" s="20" t="s">
        <v>15</v>
      </c>
      <c r="B8" s="21" t="s">
        <v>107</v>
      </c>
      <c r="C8" s="22">
        <v>2962</v>
      </c>
      <c r="D8" s="22">
        <v>6061</v>
      </c>
      <c r="E8" s="22">
        <v>2722</v>
      </c>
      <c r="F8" s="22">
        <v>28</v>
      </c>
      <c r="G8" s="22">
        <v>27</v>
      </c>
      <c r="H8" s="22">
        <v>14</v>
      </c>
      <c r="I8" s="22">
        <v>0</v>
      </c>
      <c r="J8" s="22">
        <v>6</v>
      </c>
      <c r="K8" s="22">
        <v>75</v>
      </c>
      <c r="L8" s="22">
        <v>400</v>
      </c>
      <c r="M8" s="22">
        <v>2</v>
      </c>
      <c r="N8" s="22">
        <v>62</v>
      </c>
      <c r="O8" s="22">
        <v>2641</v>
      </c>
      <c r="P8" s="22">
        <v>233</v>
      </c>
      <c r="Q8" s="22">
        <v>283</v>
      </c>
      <c r="R8" s="22">
        <v>3</v>
      </c>
      <c r="S8" s="22">
        <v>52</v>
      </c>
      <c r="T8" s="22">
        <v>222</v>
      </c>
      <c r="U8" s="23">
        <v>15793</v>
      </c>
    </row>
    <row r="9" spans="1:21" ht="14.25" customHeight="1" x14ac:dyDescent="0.2">
      <c r="A9" s="20" t="s">
        <v>16</v>
      </c>
      <c r="B9" s="21" t="s">
        <v>106</v>
      </c>
      <c r="C9" s="22">
        <v>50384</v>
      </c>
      <c r="D9" s="22">
        <v>213282</v>
      </c>
      <c r="E9" s="22">
        <v>11332</v>
      </c>
      <c r="F9" s="22">
        <v>36199</v>
      </c>
      <c r="G9" s="22">
        <v>3033</v>
      </c>
      <c r="H9" s="22">
        <v>302</v>
      </c>
      <c r="I9" s="22">
        <v>1115</v>
      </c>
      <c r="J9" s="22">
        <v>8572</v>
      </c>
      <c r="K9" s="22">
        <v>2817</v>
      </c>
      <c r="L9" s="22">
        <v>7880</v>
      </c>
      <c r="M9" s="22">
        <v>586</v>
      </c>
      <c r="N9" s="22">
        <v>2144</v>
      </c>
      <c r="O9" s="22">
        <v>1680</v>
      </c>
      <c r="P9" s="22">
        <v>895</v>
      </c>
      <c r="Q9" s="22">
        <v>8762</v>
      </c>
      <c r="R9" s="22">
        <v>0</v>
      </c>
      <c r="S9" s="22">
        <v>807</v>
      </c>
      <c r="T9" s="22">
        <v>797</v>
      </c>
      <c r="U9" s="23">
        <v>350587</v>
      </c>
    </row>
    <row r="10" spans="1:21" ht="14.25" customHeight="1" x14ac:dyDescent="0.2">
      <c r="A10" s="20" t="s">
        <v>17</v>
      </c>
      <c r="B10" s="21" t="s">
        <v>106</v>
      </c>
      <c r="C10" s="22">
        <v>8117</v>
      </c>
      <c r="D10" s="22">
        <v>394008</v>
      </c>
      <c r="E10" s="22">
        <v>4140</v>
      </c>
      <c r="F10" s="22">
        <v>253532</v>
      </c>
      <c r="G10" s="22">
        <v>16474</v>
      </c>
      <c r="H10" s="22">
        <v>1668</v>
      </c>
      <c r="I10" s="22">
        <v>11618</v>
      </c>
      <c r="J10" s="22">
        <v>9585</v>
      </c>
      <c r="K10" s="22">
        <v>1854</v>
      </c>
      <c r="L10" s="22">
        <v>22402</v>
      </c>
      <c r="M10" s="22">
        <v>259</v>
      </c>
      <c r="N10" s="22">
        <v>8791</v>
      </c>
      <c r="O10" s="22">
        <v>1134</v>
      </c>
      <c r="P10" s="22">
        <v>2148</v>
      </c>
      <c r="Q10" s="22">
        <v>3442</v>
      </c>
      <c r="R10" s="22">
        <v>0</v>
      </c>
      <c r="S10" s="22">
        <v>18672</v>
      </c>
      <c r="T10" s="22">
        <v>4</v>
      </c>
      <c r="U10" s="23">
        <v>757848</v>
      </c>
    </row>
    <row r="11" spans="1:21" ht="14.25" customHeight="1" x14ac:dyDescent="0.2">
      <c r="A11" s="20" t="s">
        <v>18</v>
      </c>
      <c r="B11" s="21" t="s">
        <v>107</v>
      </c>
      <c r="C11" s="22">
        <v>3116</v>
      </c>
      <c r="D11" s="22">
        <v>2647</v>
      </c>
      <c r="E11" s="22">
        <v>1177</v>
      </c>
      <c r="F11" s="22">
        <v>0</v>
      </c>
      <c r="G11" s="22">
        <v>12</v>
      </c>
      <c r="H11" s="22">
        <v>1</v>
      </c>
      <c r="I11" s="22">
        <v>0</v>
      </c>
      <c r="J11" s="22">
        <v>1</v>
      </c>
      <c r="K11" s="22">
        <v>133</v>
      </c>
      <c r="L11" s="22">
        <v>240</v>
      </c>
      <c r="M11" s="22">
        <v>0</v>
      </c>
      <c r="N11" s="22">
        <v>45</v>
      </c>
      <c r="O11" s="22">
        <v>3718</v>
      </c>
      <c r="P11" s="22">
        <v>169</v>
      </c>
      <c r="Q11" s="22">
        <v>323</v>
      </c>
      <c r="R11" s="22">
        <v>0</v>
      </c>
      <c r="S11" s="22">
        <v>1645</v>
      </c>
      <c r="T11" s="22">
        <v>69</v>
      </c>
      <c r="U11" s="23">
        <v>13296</v>
      </c>
    </row>
    <row r="12" spans="1:21" ht="14.25" customHeight="1" x14ac:dyDescent="0.2">
      <c r="A12" s="20" t="s">
        <v>19</v>
      </c>
      <c r="B12" s="21" t="s">
        <v>106</v>
      </c>
      <c r="C12" s="22">
        <v>90633</v>
      </c>
      <c r="D12" s="22">
        <v>89941</v>
      </c>
      <c r="E12" s="22">
        <v>5145</v>
      </c>
      <c r="F12" s="22">
        <v>15533</v>
      </c>
      <c r="G12" s="22">
        <v>1705</v>
      </c>
      <c r="H12" s="22">
        <v>89</v>
      </c>
      <c r="I12" s="22">
        <v>4015</v>
      </c>
      <c r="J12" s="22">
        <v>2092</v>
      </c>
      <c r="K12" s="22">
        <v>3292</v>
      </c>
      <c r="L12" s="22">
        <v>2565</v>
      </c>
      <c r="M12" s="22">
        <v>142</v>
      </c>
      <c r="N12" s="22">
        <v>1230</v>
      </c>
      <c r="O12" s="22">
        <v>1813</v>
      </c>
      <c r="P12" s="22">
        <v>202</v>
      </c>
      <c r="Q12" s="22">
        <v>983</v>
      </c>
      <c r="R12" s="22">
        <v>26</v>
      </c>
      <c r="S12" s="22">
        <v>1786</v>
      </c>
      <c r="T12" s="22">
        <v>709</v>
      </c>
      <c r="U12" s="23">
        <v>221901</v>
      </c>
    </row>
    <row r="13" spans="1:21" ht="14.25" customHeight="1" x14ac:dyDescent="0.2">
      <c r="A13" s="20" t="s">
        <v>20</v>
      </c>
      <c r="B13" s="21" t="s">
        <v>106</v>
      </c>
      <c r="C13" s="22">
        <v>56186</v>
      </c>
      <c r="D13" s="22">
        <v>61511</v>
      </c>
      <c r="E13" s="22">
        <v>15813</v>
      </c>
      <c r="F13" s="22">
        <v>1632</v>
      </c>
      <c r="G13" s="22">
        <v>582</v>
      </c>
      <c r="H13" s="22">
        <v>44</v>
      </c>
      <c r="I13" s="22">
        <v>0</v>
      </c>
      <c r="J13" s="22">
        <v>39</v>
      </c>
      <c r="K13" s="22">
        <v>2014</v>
      </c>
      <c r="L13" s="22">
        <v>2129</v>
      </c>
      <c r="M13" s="22">
        <v>126</v>
      </c>
      <c r="N13" s="22">
        <v>303</v>
      </c>
      <c r="O13" s="22">
        <v>1900</v>
      </c>
      <c r="P13" s="22">
        <v>605</v>
      </c>
      <c r="Q13" s="22">
        <v>2454</v>
      </c>
      <c r="R13" s="22">
        <v>0</v>
      </c>
      <c r="S13" s="22">
        <v>1895</v>
      </c>
      <c r="T13" s="22">
        <v>952</v>
      </c>
      <c r="U13" s="23">
        <v>148185</v>
      </c>
    </row>
    <row r="14" spans="1:21" ht="14.25" customHeight="1" x14ac:dyDescent="0.2">
      <c r="A14" s="20" t="s">
        <v>21</v>
      </c>
      <c r="B14" s="21" t="s">
        <v>106</v>
      </c>
      <c r="C14" s="22">
        <v>11737</v>
      </c>
      <c r="D14" s="22">
        <v>69270</v>
      </c>
      <c r="E14" s="22">
        <v>9632</v>
      </c>
      <c r="F14" s="22">
        <v>2254</v>
      </c>
      <c r="G14" s="22">
        <v>293</v>
      </c>
      <c r="H14" s="22">
        <v>59</v>
      </c>
      <c r="I14" s="22">
        <v>0</v>
      </c>
      <c r="J14" s="22">
        <v>3461</v>
      </c>
      <c r="K14" s="22">
        <v>652</v>
      </c>
      <c r="L14" s="22">
        <v>1799</v>
      </c>
      <c r="M14" s="22">
        <v>20</v>
      </c>
      <c r="N14" s="22">
        <v>247</v>
      </c>
      <c r="O14" s="22">
        <v>1210</v>
      </c>
      <c r="P14" s="22">
        <v>466</v>
      </c>
      <c r="Q14" s="22">
        <v>903</v>
      </c>
      <c r="R14" s="22">
        <v>0</v>
      </c>
      <c r="S14" s="22">
        <v>1010</v>
      </c>
      <c r="T14" s="22">
        <v>410</v>
      </c>
      <c r="U14" s="23">
        <v>103423</v>
      </c>
    </row>
    <row r="15" spans="1:21" ht="14.25" customHeight="1" x14ac:dyDescent="0.2">
      <c r="A15" s="20" t="s">
        <v>22</v>
      </c>
      <c r="B15" s="21" t="s">
        <v>106</v>
      </c>
      <c r="C15" s="22">
        <v>15251</v>
      </c>
      <c r="D15" s="22">
        <v>111550</v>
      </c>
      <c r="E15" s="22">
        <v>3511</v>
      </c>
      <c r="F15" s="22">
        <v>101869</v>
      </c>
      <c r="G15" s="22">
        <v>1969</v>
      </c>
      <c r="H15" s="22">
        <v>131</v>
      </c>
      <c r="I15" s="22">
        <v>2674</v>
      </c>
      <c r="J15" s="22">
        <v>984</v>
      </c>
      <c r="K15" s="22">
        <v>730</v>
      </c>
      <c r="L15" s="22">
        <v>3430</v>
      </c>
      <c r="M15" s="22">
        <v>105</v>
      </c>
      <c r="N15" s="22">
        <v>1017</v>
      </c>
      <c r="O15" s="22">
        <v>1882</v>
      </c>
      <c r="P15" s="22">
        <v>640</v>
      </c>
      <c r="Q15" s="22">
        <v>34890</v>
      </c>
      <c r="R15" s="22">
        <v>7</v>
      </c>
      <c r="S15" s="22">
        <v>7983</v>
      </c>
      <c r="T15" s="22">
        <v>7043</v>
      </c>
      <c r="U15" s="23">
        <v>295666</v>
      </c>
    </row>
    <row r="16" spans="1:21" ht="14.25" customHeight="1" x14ac:dyDescent="0.2">
      <c r="A16" s="20" t="s">
        <v>23</v>
      </c>
      <c r="B16" s="21" t="s">
        <v>106</v>
      </c>
      <c r="C16" s="22">
        <v>5007</v>
      </c>
      <c r="D16" s="22">
        <v>13970</v>
      </c>
      <c r="E16" s="22">
        <v>7992</v>
      </c>
      <c r="F16" s="22">
        <v>48</v>
      </c>
      <c r="G16" s="22">
        <v>234</v>
      </c>
      <c r="H16" s="22">
        <v>39</v>
      </c>
      <c r="I16" s="22">
        <v>0</v>
      </c>
      <c r="J16" s="22">
        <v>1025</v>
      </c>
      <c r="K16" s="22">
        <v>344</v>
      </c>
      <c r="L16" s="22">
        <v>1037</v>
      </c>
      <c r="M16" s="22">
        <v>30</v>
      </c>
      <c r="N16" s="22">
        <v>178</v>
      </c>
      <c r="O16" s="22">
        <v>5312</v>
      </c>
      <c r="P16" s="22">
        <v>354</v>
      </c>
      <c r="Q16" s="22">
        <v>1077</v>
      </c>
      <c r="R16" s="22">
        <v>0</v>
      </c>
      <c r="S16" s="22">
        <v>402</v>
      </c>
      <c r="T16" s="22">
        <v>655</v>
      </c>
      <c r="U16" s="23">
        <v>37704</v>
      </c>
    </row>
    <row r="17" spans="1:21" ht="14.25" customHeight="1" x14ac:dyDescent="0.2">
      <c r="A17" s="20" t="s">
        <v>104</v>
      </c>
      <c r="B17" s="21" t="s">
        <v>106</v>
      </c>
      <c r="C17" s="22">
        <v>21210</v>
      </c>
      <c r="D17" s="22">
        <v>389101</v>
      </c>
      <c r="E17" s="22">
        <v>304</v>
      </c>
      <c r="F17" s="22">
        <v>388365</v>
      </c>
      <c r="G17" s="22">
        <v>31696</v>
      </c>
      <c r="H17" s="22">
        <v>3679</v>
      </c>
      <c r="I17" s="22">
        <v>2700</v>
      </c>
      <c r="J17" s="22">
        <v>1484</v>
      </c>
      <c r="K17" s="22">
        <v>7090</v>
      </c>
      <c r="L17" s="22">
        <v>31467</v>
      </c>
      <c r="M17" s="22">
        <v>2183</v>
      </c>
      <c r="N17" s="22">
        <v>16374</v>
      </c>
      <c r="O17" s="22">
        <v>7627</v>
      </c>
      <c r="P17" s="22">
        <v>2326</v>
      </c>
      <c r="Q17" s="22">
        <v>22763</v>
      </c>
      <c r="R17" s="22">
        <v>180</v>
      </c>
      <c r="S17" s="22">
        <v>4472</v>
      </c>
      <c r="T17" s="22">
        <v>6143</v>
      </c>
      <c r="U17" s="23">
        <v>939164</v>
      </c>
    </row>
    <row r="18" spans="1:21" ht="14.25" customHeight="1" x14ac:dyDescent="0.2">
      <c r="A18" s="20" t="s">
        <v>24</v>
      </c>
      <c r="B18" s="21" t="s">
        <v>106</v>
      </c>
      <c r="C18" s="22">
        <v>3239</v>
      </c>
      <c r="D18" s="22">
        <v>6189</v>
      </c>
      <c r="E18" s="22">
        <v>2723</v>
      </c>
      <c r="F18" s="22">
        <v>606</v>
      </c>
      <c r="G18" s="22">
        <v>263</v>
      </c>
      <c r="H18" s="22">
        <v>36</v>
      </c>
      <c r="I18" s="22">
        <v>0</v>
      </c>
      <c r="J18" s="22">
        <v>30</v>
      </c>
      <c r="K18" s="22">
        <v>238</v>
      </c>
      <c r="L18" s="22">
        <v>415</v>
      </c>
      <c r="M18" s="22">
        <v>25</v>
      </c>
      <c r="N18" s="22">
        <v>152</v>
      </c>
      <c r="O18" s="22">
        <v>5345</v>
      </c>
      <c r="P18" s="22">
        <v>128</v>
      </c>
      <c r="Q18" s="22">
        <v>393</v>
      </c>
      <c r="R18" s="22">
        <v>0</v>
      </c>
      <c r="S18" s="22">
        <v>306</v>
      </c>
      <c r="T18" s="22">
        <v>116</v>
      </c>
      <c r="U18" s="23">
        <v>20204</v>
      </c>
    </row>
    <row r="19" spans="1:21" ht="14.25" customHeight="1" x14ac:dyDescent="0.2">
      <c r="A19" s="20" t="s">
        <v>25</v>
      </c>
      <c r="B19" s="21" t="s">
        <v>107</v>
      </c>
      <c r="C19" s="22">
        <v>5810</v>
      </c>
      <c r="D19" s="22">
        <v>2809</v>
      </c>
      <c r="E19" s="22">
        <v>3705</v>
      </c>
      <c r="F19" s="22">
        <v>159</v>
      </c>
      <c r="G19" s="22">
        <v>5</v>
      </c>
      <c r="H19" s="22">
        <v>1</v>
      </c>
      <c r="I19" s="22">
        <v>3</v>
      </c>
      <c r="J19" s="22">
        <v>0</v>
      </c>
      <c r="K19" s="22">
        <v>143</v>
      </c>
      <c r="L19" s="22">
        <v>206</v>
      </c>
      <c r="M19" s="22">
        <v>5</v>
      </c>
      <c r="N19" s="22">
        <v>32</v>
      </c>
      <c r="O19" s="22">
        <v>2778</v>
      </c>
      <c r="P19" s="22">
        <v>72</v>
      </c>
      <c r="Q19" s="22">
        <v>636</v>
      </c>
      <c r="R19" s="22">
        <v>0</v>
      </c>
      <c r="S19" s="22">
        <v>163</v>
      </c>
      <c r="T19" s="22">
        <v>26</v>
      </c>
      <c r="U19" s="23">
        <v>16553</v>
      </c>
    </row>
    <row r="20" spans="1:21" ht="14.25" customHeight="1" x14ac:dyDescent="0.2">
      <c r="A20" s="20" t="s">
        <v>26</v>
      </c>
      <c r="B20" s="21" t="s">
        <v>106</v>
      </c>
      <c r="C20" s="22">
        <v>18654</v>
      </c>
      <c r="D20" s="22">
        <v>294512</v>
      </c>
      <c r="E20" s="22">
        <v>9337</v>
      </c>
      <c r="F20" s="22">
        <v>27455</v>
      </c>
      <c r="G20" s="22">
        <v>5188</v>
      </c>
      <c r="H20" s="22">
        <v>744</v>
      </c>
      <c r="I20" s="22">
        <v>121</v>
      </c>
      <c r="J20" s="22">
        <v>7363</v>
      </c>
      <c r="K20" s="22">
        <v>3438</v>
      </c>
      <c r="L20" s="22">
        <v>12280</v>
      </c>
      <c r="M20" s="22">
        <v>1352</v>
      </c>
      <c r="N20" s="22">
        <v>4414</v>
      </c>
      <c r="O20" s="22">
        <v>1433</v>
      </c>
      <c r="P20" s="22">
        <v>2620</v>
      </c>
      <c r="Q20" s="22">
        <v>6494</v>
      </c>
      <c r="R20" s="22">
        <v>162</v>
      </c>
      <c r="S20" s="22">
        <v>4025</v>
      </c>
      <c r="T20" s="22">
        <v>80</v>
      </c>
      <c r="U20" s="23">
        <v>399672</v>
      </c>
    </row>
    <row r="21" spans="1:21" ht="14.25" customHeight="1" x14ac:dyDescent="0.2">
      <c r="A21" s="20" t="s">
        <v>27</v>
      </c>
      <c r="B21" s="21" t="s">
        <v>106</v>
      </c>
      <c r="C21" s="22">
        <v>16051</v>
      </c>
      <c r="D21" s="22">
        <v>106855</v>
      </c>
      <c r="E21" s="22">
        <v>4884</v>
      </c>
      <c r="F21" s="22">
        <v>8813</v>
      </c>
      <c r="G21" s="22">
        <v>4516</v>
      </c>
      <c r="H21" s="22">
        <v>221</v>
      </c>
      <c r="I21" s="22">
        <v>0</v>
      </c>
      <c r="J21" s="22">
        <v>1332</v>
      </c>
      <c r="K21" s="22">
        <v>2848</v>
      </c>
      <c r="L21" s="22">
        <v>5453</v>
      </c>
      <c r="M21" s="22">
        <v>119</v>
      </c>
      <c r="N21" s="22">
        <v>907</v>
      </c>
      <c r="O21" s="22">
        <v>2497</v>
      </c>
      <c r="P21" s="22">
        <v>1015</v>
      </c>
      <c r="Q21" s="22">
        <v>2869</v>
      </c>
      <c r="R21" s="22">
        <v>85</v>
      </c>
      <c r="S21" s="22">
        <v>12167</v>
      </c>
      <c r="T21" s="22">
        <v>497</v>
      </c>
      <c r="U21" s="23">
        <v>171129</v>
      </c>
    </row>
    <row r="22" spans="1:21" ht="14.25" customHeight="1" x14ac:dyDescent="0.2">
      <c r="A22" s="20" t="s">
        <v>28</v>
      </c>
      <c r="B22" s="21" t="s">
        <v>106</v>
      </c>
      <c r="C22" s="22">
        <v>18353</v>
      </c>
      <c r="D22" s="22">
        <v>53097</v>
      </c>
      <c r="E22" s="22">
        <v>1739</v>
      </c>
      <c r="F22" s="22">
        <v>4455</v>
      </c>
      <c r="G22" s="22">
        <v>1623</v>
      </c>
      <c r="H22" s="22">
        <v>21</v>
      </c>
      <c r="I22" s="22">
        <v>356</v>
      </c>
      <c r="J22" s="22">
        <v>2156</v>
      </c>
      <c r="K22" s="22">
        <v>574</v>
      </c>
      <c r="L22" s="22">
        <v>1338</v>
      </c>
      <c r="M22" s="22">
        <v>108</v>
      </c>
      <c r="N22" s="22">
        <v>303</v>
      </c>
      <c r="O22" s="22">
        <v>1802</v>
      </c>
      <c r="P22" s="22">
        <v>183</v>
      </c>
      <c r="Q22" s="22">
        <v>1666</v>
      </c>
      <c r="R22" s="22">
        <v>3</v>
      </c>
      <c r="S22" s="22">
        <v>654</v>
      </c>
      <c r="T22" s="22">
        <v>111</v>
      </c>
      <c r="U22" s="23">
        <v>88542</v>
      </c>
    </row>
    <row r="23" spans="1:21" ht="14.25" customHeight="1" x14ac:dyDescent="0.2">
      <c r="A23" s="20" t="s">
        <v>29</v>
      </c>
      <c r="B23" s="21" t="s">
        <v>107</v>
      </c>
      <c r="C23" s="22">
        <v>6688</v>
      </c>
      <c r="D23" s="22">
        <v>7009</v>
      </c>
      <c r="E23" s="22">
        <v>1332</v>
      </c>
      <c r="F23" s="22">
        <v>464</v>
      </c>
      <c r="G23" s="22">
        <v>7</v>
      </c>
      <c r="H23" s="22">
        <v>1</v>
      </c>
      <c r="I23" s="22">
        <v>1</v>
      </c>
      <c r="J23" s="22">
        <v>568</v>
      </c>
      <c r="K23" s="22">
        <v>162</v>
      </c>
      <c r="L23" s="22">
        <v>305</v>
      </c>
      <c r="M23" s="22">
        <v>1</v>
      </c>
      <c r="N23" s="22">
        <v>104</v>
      </c>
      <c r="O23" s="22">
        <v>134</v>
      </c>
      <c r="P23" s="22">
        <v>83</v>
      </c>
      <c r="Q23" s="22">
        <v>1582</v>
      </c>
      <c r="R23" s="22">
        <v>25</v>
      </c>
      <c r="S23" s="22">
        <v>43</v>
      </c>
      <c r="T23" s="22">
        <v>40</v>
      </c>
      <c r="U23" s="23">
        <v>18549</v>
      </c>
    </row>
    <row r="24" spans="1:21" ht="14.25" customHeight="1" x14ac:dyDescent="0.2">
      <c r="A24" s="20" t="s">
        <v>30</v>
      </c>
      <c r="B24" s="21" t="s">
        <v>107</v>
      </c>
      <c r="C24" s="22">
        <v>5094</v>
      </c>
      <c r="D24" s="22">
        <v>11622</v>
      </c>
      <c r="E24" s="22">
        <v>3781</v>
      </c>
      <c r="F24" s="22">
        <v>0</v>
      </c>
      <c r="G24" s="22">
        <v>163</v>
      </c>
      <c r="H24" s="22">
        <v>20</v>
      </c>
      <c r="I24" s="22">
        <v>0</v>
      </c>
      <c r="J24" s="22">
        <v>44</v>
      </c>
      <c r="K24" s="22">
        <v>363</v>
      </c>
      <c r="L24" s="22">
        <v>529</v>
      </c>
      <c r="M24" s="22">
        <v>0</v>
      </c>
      <c r="N24" s="22">
        <v>134</v>
      </c>
      <c r="O24" s="22">
        <v>3552</v>
      </c>
      <c r="P24" s="22">
        <v>476</v>
      </c>
      <c r="Q24" s="22">
        <v>705</v>
      </c>
      <c r="R24" s="22">
        <v>2</v>
      </c>
      <c r="S24" s="22">
        <v>1087</v>
      </c>
      <c r="T24" s="22">
        <v>533</v>
      </c>
      <c r="U24" s="23">
        <v>28105</v>
      </c>
    </row>
    <row r="25" spans="1:21" ht="14.25" customHeight="1" x14ac:dyDescent="0.2">
      <c r="A25" s="20" t="s">
        <v>31</v>
      </c>
      <c r="B25" s="21" t="s">
        <v>107</v>
      </c>
      <c r="C25" s="22">
        <v>2833</v>
      </c>
      <c r="D25" s="22">
        <v>3114</v>
      </c>
      <c r="E25" s="22">
        <v>3017</v>
      </c>
      <c r="F25" s="22">
        <v>0</v>
      </c>
      <c r="G25" s="22">
        <v>26</v>
      </c>
      <c r="H25" s="22">
        <v>2</v>
      </c>
      <c r="I25" s="22">
        <v>0</v>
      </c>
      <c r="J25" s="22">
        <v>455</v>
      </c>
      <c r="K25" s="22">
        <v>63</v>
      </c>
      <c r="L25" s="22">
        <v>158</v>
      </c>
      <c r="M25" s="22">
        <v>4</v>
      </c>
      <c r="N25" s="22">
        <v>35</v>
      </c>
      <c r="O25" s="22">
        <v>3586</v>
      </c>
      <c r="P25" s="22">
        <v>78</v>
      </c>
      <c r="Q25" s="22">
        <v>387</v>
      </c>
      <c r="R25" s="22">
        <v>0</v>
      </c>
      <c r="S25" s="22">
        <v>848</v>
      </c>
      <c r="T25" s="22">
        <v>215</v>
      </c>
      <c r="U25" s="23">
        <v>14821</v>
      </c>
    </row>
    <row r="26" spans="1:21" ht="14.25" customHeight="1" x14ac:dyDescent="0.2">
      <c r="A26" s="20" t="s">
        <v>32</v>
      </c>
      <c r="B26" s="21" t="s">
        <v>107</v>
      </c>
      <c r="C26" s="22">
        <v>2602</v>
      </c>
      <c r="D26" s="22">
        <v>2012</v>
      </c>
      <c r="E26" s="22">
        <v>2255</v>
      </c>
      <c r="F26" s="22">
        <v>255</v>
      </c>
      <c r="G26" s="22">
        <v>147</v>
      </c>
      <c r="H26" s="22">
        <v>3</v>
      </c>
      <c r="I26" s="22">
        <v>0</v>
      </c>
      <c r="J26" s="22">
        <v>177</v>
      </c>
      <c r="K26" s="22">
        <v>72</v>
      </c>
      <c r="L26" s="22">
        <v>128</v>
      </c>
      <c r="M26" s="22">
        <v>16</v>
      </c>
      <c r="N26" s="22">
        <v>23</v>
      </c>
      <c r="O26" s="22">
        <v>2147</v>
      </c>
      <c r="P26" s="22">
        <v>52</v>
      </c>
      <c r="Q26" s="22">
        <v>1221</v>
      </c>
      <c r="R26" s="22">
        <v>0</v>
      </c>
      <c r="S26" s="22">
        <v>57</v>
      </c>
      <c r="T26" s="22">
        <v>190</v>
      </c>
      <c r="U26" s="23">
        <v>11357</v>
      </c>
    </row>
    <row r="27" spans="1:21" ht="14.25" customHeight="1" x14ac:dyDescent="0.2">
      <c r="A27" s="20" t="s">
        <v>33</v>
      </c>
      <c r="B27" s="21" t="s">
        <v>107</v>
      </c>
      <c r="C27" s="22">
        <v>7343</v>
      </c>
      <c r="D27" s="22">
        <v>7556</v>
      </c>
      <c r="E27" s="22">
        <v>1728</v>
      </c>
      <c r="F27" s="22">
        <v>288</v>
      </c>
      <c r="G27" s="22">
        <v>21</v>
      </c>
      <c r="H27" s="22">
        <v>5</v>
      </c>
      <c r="I27" s="22">
        <v>0</v>
      </c>
      <c r="J27" s="22">
        <v>192</v>
      </c>
      <c r="K27" s="22">
        <v>9</v>
      </c>
      <c r="L27" s="22">
        <v>311</v>
      </c>
      <c r="M27" s="22">
        <v>0</v>
      </c>
      <c r="N27" s="22">
        <v>46</v>
      </c>
      <c r="O27" s="22">
        <v>850</v>
      </c>
      <c r="P27" s="22">
        <v>97</v>
      </c>
      <c r="Q27" s="22">
        <v>452</v>
      </c>
      <c r="R27" s="22">
        <v>2</v>
      </c>
      <c r="S27" s="22">
        <v>986</v>
      </c>
      <c r="T27" s="22">
        <v>141</v>
      </c>
      <c r="U27" s="23">
        <v>20027</v>
      </c>
    </row>
    <row r="28" spans="1:21" ht="14.25" customHeight="1" x14ac:dyDescent="0.2">
      <c r="A28" s="20" t="s">
        <v>34</v>
      </c>
      <c r="B28" s="21" t="s">
        <v>106</v>
      </c>
      <c r="C28" s="22">
        <v>4521</v>
      </c>
      <c r="D28" s="22">
        <v>2030</v>
      </c>
      <c r="E28" s="22">
        <v>1549</v>
      </c>
      <c r="F28" s="22">
        <v>0</v>
      </c>
      <c r="G28" s="22">
        <v>161</v>
      </c>
      <c r="H28" s="22">
        <v>9</v>
      </c>
      <c r="I28" s="22">
        <v>0</v>
      </c>
      <c r="J28" s="22">
        <v>3</v>
      </c>
      <c r="K28" s="22">
        <v>122</v>
      </c>
      <c r="L28" s="22">
        <v>176</v>
      </c>
      <c r="M28" s="22">
        <v>1</v>
      </c>
      <c r="N28" s="22">
        <v>20</v>
      </c>
      <c r="O28" s="22">
        <v>2969</v>
      </c>
      <c r="P28" s="22">
        <v>182</v>
      </c>
      <c r="Q28" s="22">
        <v>608</v>
      </c>
      <c r="R28" s="22">
        <v>0</v>
      </c>
      <c r="S28" s="22">
        <v>659</v>
      </c>
      <c r="T28" s="22">
        <v>172</v>
      </c>
      <c r="U28" s="23">
        <v>13182</v>
      </c>
    </row>
    <row r="29" spans="1:21" ht="14.25" customHeight="1" x14ac:dyDescent="0.2">
      <c r="A29" s="20" t="s">
        <v>35</v>
      </c>
      <c r="B29" s="21" t="s">
        <v>106</v>
      </c>
      <c r="C29" s="22">
        <v>2040</v>
      </c>
      <c r="D29" s="22">
        <v>4449</v>
      </c>
      <c r="E29" s="22">
        <v>1722</v>
      </c>
      <c r="F29" s="22">
        <v>0</v>
      </c>
      <c r="G29" s="22">
        <v>193</v>
      </c>
      <c r="H29" s="22">
        <v>19</v>
      </c>
      <c r="I29" s="22">
        <v>0</v>
      </c>
      <c r="J29" s="22">
        <v>15</v>
      </c>
      <c r="K29" s="22">
        <v>181</v>
      </c>
      <c r="L29" s="22">
        <v>341</v>
      </c>
      <c r="M29" s="22">
        <v>18</v>
      </c>
      <c r="N29" s="22">
        <v>68</v>
      </c>
      <c r="O29" s="22">
        <v>4641</v>
      </c>
      <c r="P29" s="22">
        <v>219</v>
      </c>
      <c r="Q29" s="22">
        <v>336</v>
      </c>
      <c r="R29" s="22">
        <v>0</v>
      </c>
      <c r="S29" s="22">
        <v>890</v>
      </c>
      <c r="T29" s="22">
        <v>154</v>
      </c>
      <c r="U29" s="23">
        <v>15286</v>
      </c>
    </row>
    <row r="30" spans="1:21" ht="14.25" customHeight="1" x14ac:dyDescent="0.2">
      <c r="A30" s="20" t="s">
        <v>36</v>
      </c>
      <c r="B30" s="21" t="s">
        <v>106</v>
      </c>
      <c r="C30" s="22">
        <v>15475</v>
      </c>
      <c r="D30" s="22">
        <v>8617</v>
      </c>
      <c r="E30" s="22">
        <v>4601</v>
      </c>
      <c r="F30" s="22">
        <v>329</v>
      </c>
      <c r="G30" s="22">
        <v>360</v>
      </c>
      <c r="H30" s="22">
        <v>17</v>
      </c>
      <c r="I30" s="22">
        <v>0</v>
      </c>
      <c r="J30" s="22">
        <v>78</v>
      </c>
      <c r="K30" s="22">
        <v>361</v>
      </c>
      <c r="L30" s="22">
        <v>628</v>
      </c>
      <c r="M30" s="22">
        <v>108</v>
      </c>
      <c r="N30" s="22">
        <v>191</v>
      </c>
      <c r="O30" s="22">
        <v>2783</v>
      </c>
      <c r="P30" s="22">
        <v>205</v>
      </c>
      <c r="Q30" s="22">
        <v>1792</v>
      </c>
      <c r="R30" s="22">
        <v>9</v>
      </c>
      <c r="S30" s="22">
        <v>329</v>
      </c>
      <c r="T30" s="22">
        <v>23</v>
      </c>
      <c r="U30" s="23">
        <v>35906</v>
      </c>
    </row>
    <row r="31" spans="1:21" ht="14.25" customHeight="1" x14ac:dyDescent="0.2">
      <c r="A31" s="20" t="s">
        <v>37</v>
      </c>
      <c r="B31" s="21" t="s">
        <v>106</v>
      </c>
      <c r="C31" s="22">
        <v>20611</v>
      </c>
      <c r="D31" s="22">
        <v>72170</v>
      </c>
      <c r="E31" s="22">
        <v>12145</v>
      </c>
      <c r="F31" s="22">
        <v>638</v>
      </c>
      <c r="G31" s="22">
        <v>492</v>
      </c>
      <c r="H31" s="22">
        <v>72</v>
      </c>
      <c r="I31" s="22">
        <v>72</v>
      </c>
      <c r="J31" s="22">
        <v>609</v>
      </c>
      <c r="K31" s="22">
        <v>1114</v>
      </c>
      <c r="L31" s="22">
        <v>1530</v>
      </c>
      <c r="M31" s="22">
        <v>48</v>
      </c>
      <c r="N31" s="22">
        <v>314</v>
      </c>
      <c r="O31" s="22">
        <v>2642</v>
      </c>
      <c r="P31" s="22">
        <v>381</v>
      </c>
      <c r="Q31" s="22">
        <v>2279</v>
      </c>
      <c r="R31" s="22">
        <v>101</v>
      </c>
      <c r="S31" s="22">
        <v>4031</v>
      </c>
      <c r="T31" s="22">
        <v>1327</v>
      </c>
      <c r="U31" s="23">
        <v>120576</v>
      </c>
    </row>
    <row r="32" spans="1:21" ht="14.25" customHeight="1" x14ac:dyDescent="0.2">
      <c r="A32" s="20" t="s">
        <v>38</v>
      </c>
      <c r="B32" s="21" t="s">
        <v>106</v>
      </c>
      <c r="C32" s="22">
        <v>51564</v>
      </c>
      <c r="D32" s="22">
        <v>35653</v>
      </c>
      <c r="E32" s="22">
        <v>5407</v>
      </c>
      <c r="F32" s="22">
        <v>1349</v>
      </c>
      <c r="G32" s="22">
        <v>853</v>
      </c>
      <c r="H32" s="22">
        <v>59</v>
      </c>
      <c r="I32" s="22">
        <v>694</v>
      </c>
      <c r="J32" s="22">
        <v>2212</v>
      </c>
      <c r="K32" s="22">
        <v>791</v>
      </c>
      <c r="L32" s="22">
        <v>1567</v>
      </c>
      <c r="M32" s="22">
        <v>183</v>
      </c>
      <c r="N32" s="22">
        <v>511</v>
      </c>
      <c r="O32" s="22">
        <v>4457</v>
      </c>
      <c r="P32" s="22">
        <v>1381</v>
      </c>
      <c r="Q32" s="22">
        <v>5342</v>
      </c>
      <c r="R32" s="22">
        <v>62</v>
      </c>
      <c r="S32" s="22">
        <v>211</v>
      </c>
      <c r="T32" s="22">
        <v>828</v>
      </c>
      <c r="U32" s="23">
        <v>113124</v>
      </c>
    </row>
    <row r="33" spans="1:21" ht="14.25" customHeight="1" x14ac:dyDescent="0.2">
      <c r="A33" s="20" t="s">
        <v>39</v>
      </c>
      <c r="B33" s="21" t="s">
        <v>106</v>
      </c>
      <c r="C33" s="22">
        <v>23254</v>
      </c>
      <c r="D33" s="22">
        <v>391588</v>
      </c>
      <c r="E33" s="22">
        <v>13575</v>
      </c>
      <c r="F33" s="22">
        <v>40462</v>
      </c>
      <c r="G33" s="22">
        <v>4650</v>
      </c>
      <c r="H33" s="22">
        <v>917</v>
      </c>
      <c r="I33" s="22">
        <v>1777</v>
      </c>
      <c r="J33" s="22">
        <v>7203</v>
      </c>
      <c r="K33" s="22">
        <v>3009</v>
      </c>
      <c r="L33" s="22">
        <v>14441</v>
      </c>
      <c r="M33" s="22">
        <v>539</v>
      </c>
      <c r="N33" s="22">
        <v>3566</v>
      </c>
      <c r="O33" s="22">
        <v>5758</v>
      </c>
      <c r="P33" s="22">
        <v>4913</v>
      </c>
      <c r="Q33" s="22">
        <v>10078</v>
      </c>
      <c r="R33" s="22">
        <v>225</v>
      </c>
      <c r="S33" s="22">
        <v>1225</v>
      </c>
      <c r="T33" s="22">
        <v>303</v>
      </c>
      <c r="U33" s="23">
        <v>527483</v>
      </c>
    </row>
    <row r="34" spans="1:21" ht="14.25" customHeight="1" x14ac:dyDescent="0.2">
      <c r="A34" s="20" t="s">
        <v>40</v>
      </c>
      <c r="B34" s="21" t="s">
        <v>107</v>
      </c>
      <c r="C34" s="22">
        <v>2564</v>
      </c>
      <c r="D34" s="22">
        <v>3521</v>
      </c>
      <c r="E34" s="22">
        <v>1431</v>
      </c>
      <c r="F34" s="22">
        <v>0</v>
      </c>
      <c r="G34" s="22">
        <v>17</v>
      </c>
      <c r="H34" s="22">
        <v>7</v>
      </c>
      <c r="I34" s="22">
        <v>0</v>
      </c>
      <c r="J34" s="22">
        <v>5</v>
      </c>
      <c r="K34" s="22">
        <v>55</v>
      </c>
      <c r="L34" s="22">
        <v>278</v>
      </c>
      <c r="M34" s="22">
        <v>0</v>
      </c>
      <c r="N34" s="22">
        <v>34</v>
      </c>
      <c r="O34" s="22">
        <v>5906</v>
      </c>
      <c r="P34" s="22">
        <v>234</v>
      </c>
      <c r="Q34" s="22">
        <v>392</v>
      </c>
      <c r="R34" s="22">
        <v>1</v>
      </c>
      <c r="S34" s="22">
        <v>104</v>
      </c>
      <c r="T34" s="22">
        <v>56</v>
      </c>
      <c r="U34" s="23">
        <v>14605</v>
      </c>
    </row>
    <row r="35" spans="1:21" ht="14.25" customHeight="1" x14ac:dyDescent="0.2">
      <c r="A35" s="20" t="s">
        <v>41</v>
      </c>
      <c r="B35" s="21" t="s">
        <v>106</v>
      </c>
      <c r="C35" s="22">
        <v>8745</v>
      </c>
      <c r="D35" s="22">
        <v>59977</v>
      </c>
      <c r="E35" s="22">
        <v>1089</v>
      </c>
      <c r="F35" s="22">
        <v>15173</v>
      </c>
      <c r="G35" s="22">
        <v>750</v>
      </c>
      <c r="H35" s="22">
        <v>56</v>
      </c>
      <c r="I35" s="22">
        <v>57</v>
      </c>
      <c r="J35" s="22">
        <v>1633</v>
      </c>
      <c r="K35" s="22">
        <v>1023</v>
      </c>
      <c r="L35" s="22">
        <v>1664</v>
      </c>
      <c r="M35" s="22">
        <v>151</v>
      </c>
      <c r="N35" s="22">
        <v>494</v>
      </c>
      <c r="O35" s="22">
        <v>2098</v>
      </c>
      <c r="P35" s="22">
        <v>445</v>
      </c>
      <c r="Q35" s="22">
        <v>1446</v>
      </c>
      <c r="R35" s="22">
        <v>74</v>
      </c>
      <c r="S35" s="22">
        <v>390</v>
      </c>
      <c r="T35" s="22">
        <v>131</v>
      </c>
      <c r="U35" s="23">
        <v>95396</v>
      </c>
    </row>
    <row r="36" spans="1:21" ht="14.25" customHeight="1" x14ac:dyDescent="0.2">
      <c r="A36" s="20" t="s">
        <v>42</v>
      </c>
      <c r="B36" s="21" t="s">
        <v>107</v>
      </c>
      <c r="C36" s="22">
        <v>13937</v>
      </c>
      <c r="D36" s="22">
        <v>10469</v>
      </c>
      <c r="E36" s="22">
        <v>3177</v>
      </c>
      <c r="F36" s="22">
        <v>0</v>
      </c>
      <c r="G36" s="22">
        <v>57</v>
      </c>
      <c r="H36" s="22">
        <v>62</v>
      </c>
      <c r="I36" s="22">
        <v>0</v>
      </c>
      <c r="J36" s="22">
        <v>4</v>
      </c>
      <c r="K36" s="22">
        <v>381</v>
      </c>
      <c r="L36" s="22">
        <v>794</v>
      </c>
      <c r="M36" s="22">
        <v>27</v>
      </c>
      <c r="N36" s="22">
        <v>135</v>
      </c>
      <c r="O36" s="22">
        <v>9518</v>
      </c>
      <c r="P36" s="22">
        <v>507</v>
      </c>
      <c r="Q36" s="22">
        <v>759</v>
      </c>
      <c r="R36" s="22">
        <v>0</v>
      </c>
      <c r="S36" s="22">
        <v>194</v>
      </c>
      <c r="T36" s="22">
        <v>189</v>
      </c>
      <c r="U36" s="23">
        <v>40210</v>
      </c>
    </row>
    <row r="37" spans="1:21" ht="14.25" customHeight="1" x14ac:dyDescent="0.2">
      <c r="A37" s="20" t="s">
        <v>43</v>
      </c>
      <c r="B37" s="21" t="s">
        <v>107</v>
      </c>
      <c r="C37" s="22">
        <v>1995</v>
      </c>
      <c r="D37" s="22">
        <v>3037</v>
      </c>
      <c r="E37" s="22">
        <v>1342</v>
      </c>
      <c r="F37" s="22">
        <v>0</v>
      </c>
      <c r="G37" s="22">
        <v>51</v>
      </c>
      <c r="H37" s="22">
        <v>19</v>
      </c>
      <c r="I37" s="22">
        <v>8</v>
      </c>
      <c r="J37" s="22">
        <v>35</v>
      </c>
      <c r="K37" s="22">
        <v>74</v>
      </c>
      <c r="L37" s="22">
        <v>215</v>
      </c>
      <c r="M37" s="22">
        <v>5</v>
      </c>
      <c r="N37" s="22">
        <v>70</v>
      </c>
      <c r="O37" s="22">
        <v>4129</v>
      </c>
      <c r="P37" s="22">
        <v>291</v>
      </c>
      <c r="Q37" s="22">
        <v>406</v>
      </c>
      <c r="R37" s="22">
        <v>0</v>
      </c>
      <c r="S37" s="22">
        <v>764</v>
      </c>
      <c r="T37" s="22">
        <v>113</v>
      </c>
      <c r="U37" s="23">
        <v>12554</v>
      </c>
    </row>
    <row r="38" spans="1:21" ht="14.25" customHeight="1" x14ac:dyDescent="0.2">
      <c r="A38" s="20" t="s">
        <v>44</v>
      </c>
      <c r="B38" s="21" t="s">
        <v>107</v>
      </c>
      <c r="C38" s="22">
        <v>1596</v>
      </c>
      <c r="D38" s="22">
        <v>1061</v>
      </c>
      <c r="E38" s="22">
        <v>866</v>
      </c>
      <c r="F38" s="22">
        <v>0</v>
      </c>
      <c r="G38" s="22">
        <v>8</v>
      </c>
      <c r="H38" s="22">
        <v>1</v>
      </c>
      <c r="I38" s="22">
        <v>0</v>
      </c>
      <c r="J38" s="22">
        <v>5</v>
      </c>
      <c r="K38" s="22">
        <v>20</v>
      </c>
      <c r="L38" s="22">
        <v>84</v>
      </c>
      <c r="M38" s="22">
        <v>1</v>
      </c>
      <c r="N38" s="22">
        <v>15</v>
      </c>
      <c r="O38" s="22">
        <v>3095</v>
      </c>
      <c r="P38" s="22">
        <v>93</v>
      </c>
      <c r="Q38" s="22">
        <v>295</v>
      </c>
      <c r="R38" s="22">
        <v>0</v>
      </c>
      <c r="S38" s="22">
        <v>278</v>
      </c>
      <c r="T38" s="22">
        <v>55</v>
      </c>
      <c r="U38" s="23">
        <v>7473</v>
      </c>
    </row>
    <row r="39" spans="1:21" ht="14.25" customHeight="1" x14ac:dyDescent="0.2">
      <c r="A39" s="20" t="s">
        <v>45</v>
      </c>
      <c r="B39" s="21" t="s">
        <v>106</v>
      </c>
      <c r="C39" s="22">
        <v>25140</v>
      </c>
      <c r="D39" s="22">
        <v>133106</v>
      </c>
      <c r="E39" s="22">
        <v>16416</v>
      </c>
      <c r="F39" s="22">
        <v>3596</v>
      </c>
      <c r="G39" s="22">
        <v>1361</v>
      </c>
      <c r="H39" s="22">
        <v>182</v>
      </c>
      <c r="I39" s="22">
        <v>3362</v>
      </c>
      <c r="J39" s="22">
        <v>6320</v>
      </c>
      <c r="K39" s="22">
        <v>2070</v>
      </c>
      <c r="L39" s="22">
        <v>4157</v>
      </c>
      <c r="M39" s="22">
        <v>309</v>
      </c>
      <c r="N39" s="22">
        <v>1219</v>
      </c>
      <c r="O39" s="22">
        <v>5474</v>
      </c>
      <c r="P39" s="22">
        <v>1249</v>
      </c>
      <c r="Q39" s="22">
        <v>4556</v>
      </c>
      <c r="R39" s="22">
        <v>1</v>
      </c>
      <c r="S39" s="22">
        <v>2278</v>
      </c>
      <c r="T39" s="22">
        <v>568</v>
      </c>
      <c r="U39" s="23">
        <v>211364</v>
      </c>
    </row>
    <row r="40" spans="1:21" ht="14.25" customHeight="1" x14ac:dyDescent="0.2">
      <c r="A40" s="20" t="s">
        <v>46</v>
      </c>
      <c r="B40" s="21" t="s">
        <v>106</v>
      </c>
      <c r="C40" s="22">
        <v>130622</v>
      </c>
      <c r="D40" s="22">
        <v>270155</v>
      </c>
      <c r="E40" s="22">
        <v>14650</v>
      </c>
      <c r="F40" s="22">
        <v>84918</v>
      </c>
      <c r="G40" s="22">
        <v>11257</v>
      </c>
      <c r="H40" s="22">
        <v>294</v>
      </c>
      <c r="I40" s="22">
        <v>3461</v>
      </c>
      <c r="J40" s="22">
        <v>10482</v>
      </c>
      <c r="K40" s="22">
        <v>6442</v>
      </c>
      <c r="L40" s="22">
        <v>7425</v>
      </c>
      <c r="M40" s="22">
        <v>502</v>
      </c>
      <c r="N40" s="22">
        <v>3918</v>
      </c>
      <c r="O40" s="22">
        <v>2973</v>
      </c>
      <c r="P40" s="22">
        <v>1974</v>
      </c>
      <c r="Q40" s="22">
        <v>7128</v>
      </c>
      <c r="R40" s="22">
        <v>40</v>
      </c>
      <c r="S40" s="22">
        <v>3413</v>
      </c>
      <c r="T40" s="22">
        <v>199</v>
      </c>
      <c r="U40" s="23">
        <v>559853</v>
      </c>
    </row>
    <row r="41" spans="1:21" ht="14.25" customHeight="1" x14ac:dyDescent="0.2">
      <c r="A41" s="20" t="s">
        <v>47</v>
      </c>
      <c r="B41" s="21" t="s">
        <v>106</v>
      </c>
      <c r="C41" s="22">
        <v>8954</v>
      </c>
      <c r="D41" s="22">
        <v>76109</v>
      </c>
      <c r="E41" s="22">
        <v>6789</v>
      </c>
      <c r="F41" s="22">
        <v>4912</v>
      </c>
      <c r="G41" s="22">
        <v>2335</v>
      </c>
      <c r="H41" s="22">
        <v>381</v>
      </c>
      <c r="I41" s="22">
        <v>0</v>
      </c>
      <c r="J41" s="22">
        <v>1814</v>
      </c>
      <c r="K41" s="22">
        <v>921</v>
      </c>
      <c r="L41" s="22">
        <v>4123</v>
      </c>
      <c r="M41" s="22">
        <v>228</v>
      </c>
      <c r="N41" s="22">
        <v>771</v>
      </c>
      <c r="O41" s="22">
        <v>1522</v>
      </c>
      <c r="P41" s="22">
        <v>694</v>
      </c>
      <c r="Q41" s="22">
        <v>1513</v>
      </c>
      <c r="R41" s="22">
        <v>0</v>
      </c>
      <c r="S41" s="22">
        <v>995</v>
      </c>
      <c r="T41" s="22">
        <v>465</v>
      </c>
      <c r="U41" s="23">
        <v>112526</v>
      </c>
    </row>
    <row r="42" spans="1:21" ht="14.25" customHeight="1" x14ac:dyDescent="0.2">
      <c r="A42" s="20" t="s">
        <v>48</v>
      </c>
      <c r="B42" s="21" t="s">
        <v>107</v>
      </c>
      <c r="C42" s="22">
        <v>19327</v>
      </c>
      <c r="D42" s="22">
        <v>8437</v>
      </c>
      <c r="E42" s="22">
        <v>9832</v>
      </c>
      <c r="F42" s="22">
        <v>238</v>
      </c>
      <c r="G42" s="22">
        <v>68</v>
      </c>
      <c r="H42" s="22">
        <v>12</v>
      </c>
      <c r="I42" s="22">
        <v>0</v>
      </c>
      <c r="J42" s="22">
        <v>88</v>
      </c>
      <c r="K42" s="22">
        <v>502</v>
      </c>
      <c r="L42" s="22">
        <v>791</v>
      </c>
      <c r="M42" s="22">
        <v>5</v>
      </c>
      <c r="N42" s="22">
        <v>116</v>
      </c>
      <c r="O42" s="22">
        <v>6510</v>
      </c>
      <c r="P42" s="22">
        <v>303</v>
      </c>
      <c r="Q42" s="22">
        <v>1048</v>
      </c>
      <c r="R42" s="22">
        <v>10</v>
      </c>
      <c r="S42" s="22">
        <v>105</v>
      </c>
      <c r="T42" s="22">
        <v>143</v>
      </c>
      <c r="U42" s="23">
        <v>47535</v>
      </c>
    </row>
    <row r="43" spans="1:21" ht="14.25" customHeight="1" x14ac:dyDescent="0.2">
      <c r="A43" s="20" t="s">
        <v>49</v>
      </c>
      <c r="B43" s="21" t="s">
        <v>107</v>
      </c>
      <c r="C43" s="22">
        <v>1023</v>
      </c>
      <c r="D43" s="22">
        <v>1433</v>
      </c>
      <c r="E43" s="22">
        <v>835</v>
      </c>
      <c r="F43" s="22">
        <v>0</v>
      </c>
      <c r="G43" s="22">
        <v>57</v>
      </c>
      <c r="H43" s="22">
        <v>5</v>
      </c>
      <c r="I43" s="22">
        <v>0</v>
      </c>
      <c r="J43" s="22">
        <v>2</v>
      </c>
      <c r="K43" s="22">
        <v>13</v>
      </c>
      <c r="L43" s="22">
        <v>124</v>
      </c>
      <c r="M43" s="22">
        <v>0</v>
      </c>
      <c r="N43" s="22">
        <v>22</v>
      </c>
      <c r="O43" s="22">
        <v>1526</v>
      </c>
      <c r="P43" s="22">
        <v>117</v>
      </c>
      <c r="Q43" s="22">
        <v>800</v>
      </c>
      <c r="R43" s="22">
        <v>0</v>
      </c>
      <c r="S43" s="22">
        <v>36</v>
      </c>
      <c r="T43" s="22">
        <v>30</v>
      </c>
      <c r="U43" s="23">
        <v>6023</v>
      </c>
    </row>
    <row r="44" spans="1:21" ht="14.25" customHeight="1" x14ac:dyDescent="0.2">
      <c r="A44" s="20" t="s">
        <v>50</v>
      </c>
      <c r="B44" s="21" t="s">
        <v>107</v>
      </c>
      <c r="C44" s="22">
        <v>4113</v>
      </c>
      <c r="D44" s="22">
        <v>3324</v>
      </c>
      <c r="E44" s="22">
        <v>1807</v>
      </c>
      <c r="F44" s="22">
        <v>0</v>
      </c>
      <c r="G44" s="22">
        <v>167</v>
      </c>
      <c r="H44" s="22">
        <v>10</v>
      </c>
      <c r="I44" s="22">
        <v>0</v>
      </c>
      <c r="J44" s="22">
        <v>0</v>
      </c>
      <c r="K44" s="22">
        <v>62</v>
      </c>
      <c r="L44" s="22">
        <v>294</v>
      </c>
      <c r="M44" s="22">
        <v>1</v>
      </c>
      <c r="N44" s="22">
        <v>40</v>
      </c>
      <c r="O44" s="22">
        <v>5774</v>
      </c>
      <c r="P44" s="22">
        <v>215</v>
      </c>
      <c r="Q44" s="22">
        <v>448</v>
      </c>
      <c r="R44" s="22">
        <v>0</v>
      </c>
      <c r="S44" s="22">
        <v>102</v>
      </c>
      <c r="T44" s="22">
        <v>157</v>
      </c>
      <c r="U44" s="23">
        <v>16514</v>
      </c>
    </row>
    <row r="45" spans="1:21" ht="14.25" customHeight="1" x14ac:dyDescent="0.2">
      <c r="A45" s="20" t="s">
        <v>51</v>
      </c>
      <c r="B45" s="21" t="s">
        <v>106</v>
      </c>
      <c r="C45" s="22">
        <v>20549</v>
      </c>
      <c r="D45" s="22">
        <v>130470</v>
      </c>
      <c r="E45" s="22">
        <v>4890</v>
      </c>
      <c r="F45" s="22">
        <v>35545</v>
      </c>
      <c r="G45" s="22">
        <v>4452</v>
      </c>
      <c r="H45" s="22">
        <v>225</v>
      </c>
      <c r="I45" s="22">
        <v>6231</v>
      </c>
      <c r="J45" s="22">
        <v>13841</v>
      </c>
      <c r="K45" s="22">
        <v>1270</v>
      </c>
      <c r="L45" s="22">
        <v>4055</v>
      </c>
      <c r="M45" s="22">
        <v>318</v>
      </c>
      <c r="N45" s="22">
        <v>1581</v>
      </c>
      <c r="O45" s="22">
        <v>2006</v>
      </c>
      <c r="P45" s="22">
        <v>907</v>
      </c>
      <c r="Q45" s="22">
        <v>1940</v>
      </c>
      <c r="R45" s="22">
        <v>45</v>
      </c>
      <c r="S45" s="22">
        <v>1235</v>
      </c>
      <c r="T45" s="22">
        <v>445</v>
      </c>
      <c r="U45" s="23">
        <v>230005</v>
      </c>
    </row>
    <row r="46" spans="1:21" ht="14.25" customHeight="1" x14ac:dyDescent="0.2">
      <c r="A46" s="20" t="s">
        <v>52</v>
      </c>
      <c r="B46" s="21" t="s">
        <v>106</v>
      </c>
      <c r="C46" s="22">
        <v>82480</v>
      </c>
      <c r="D46" s="22">
        <v>138291</v>
      </c>
      <c r="E46" s="22">
        <v>24627</v>
      </c>
      <c r="F46" s="22">
        <v>2528</v>
      </c>
      <c r="G46" s="22">
        <v>3777</v>
      </c>
      <c r="H46" s="22">
        <v>124</v>
      </c>
      <c r="I46" s="22">
        <v>0</v>
      </c>
      <c r="J46" s="22">
        <v>2505</v>
      </c>
      <c r="K46" s="22">
        <v>3251</v>
      </c>
      <c r="L46" s="22">
        <v>4012</v>
      </c>
      <c r="M46" s="22">
        <v>364</v>
      </c>
      <c r="N46" s="22">
        <v>1248</v>
      </c>
      <c r="O46" s="22">
        <v>11456</v>
      </c>
      <c r="P46" s="22">
        <v>951</v>
      </c>
      <c r="Q46" s="22">
        <v>6092</v>
      </c>
      <c r="R46" s="22">
        <v>150</v>
      </c>
      <c r="S46" s="22">
        <v>1619</v>
      </c>
      <c r="T46" s="22">
        <v>1654</v>
      </c>
      <c r="U46" s="23">
        <v>285129</v>
      </c>
    </row>
    <row r="47" spans="1:21" ht="14.25" customHeight="1" x14ac:dyDescent="0.2">
      <c r="A47" s="20" t="s">
        <v>53</v>
      </c>
      <c r="B47" s="21" t="s">
        <v>106</v>
      </c>
      <c r="C47" s="22">
        <v>5253</v>
      </c>
      <c r="D47" s="22">
        <v>51583</v>
      </c>
      <c r="E47" s="22">
        <v>2942</v>
      </c>
      <c r="F47" s="22">
        <v>15044</v>
      </c>
      <c r="G47" s="22">
        <v>1076</v>
      </c>
      <c r="H47" s="22">
        <v>71</v>
      </c>
      <c r="I47" s="22">
        <v>1187</v>
      </c>
      <c r="J47" s="22">
        <v>0</v>
      </c>
      <c r="K47" s="22">
        <v>351</v>
      </c>
      <c r="L47" s="22">
        <v>1993</v>
      </c>
      <c r="M47" s="22">
        <v>100</v>
      </c>
      <c r="N47" s="22">
        <v>1080</v>
      </c>
      <c r="O47" s="22">
        <v>2006</v>
      </c>
      <c r="P47" s="22">
        <v>281</v>
      </c>
      <c r="Q47" s="22">
        <v>7190</v>
      </c>
      <c r="R47" s="22">
        <v>15</v>
      </c>
      <c r="S47" s="22">
        <v>2129</v>
      </c>
      <c r="T47" s="22">
        <v>5465</v>
      </c>
      <c r="U47" s="23">
        <v>97766</v>
      </c>
    </row>
    <row r="48" spans="1:21" ht="14.25" customHeight="1" x14ac:dyDescent="0.2">
      <c r="A48" s="20" t="s">
        <v>54</v>
      </c>
      <c r="B48" s="21" t="s">
        <v>106</v>
      </c>
      <c r="C48" s="22">
        <v>6171</v>
      </c>
      <c r="D48" s="22">
        <v>30252</v>
      </c>
      <c r="E48" s="22">
        <v>4679</v>
      </c>
      <c r="F48" s="22">
        <v>6967</v>
      </c>
      <c r="G48" s="22">
        <v>1753</v>
      </c>
      <c r="H48" s="22">
        <v>49</v>
      </c>
      <c r="I48" s="22">
        <v>35</v>
      </c>
      <c r="J48" s="22">
        <v>205</v>
      </c>
      <c r="K48" s="22">
        <v>596</v>
      </c>
      <c r="L48" s="22">
        <v>4968</v>
      </c>
      <c r="M48" s="22">
        <v>9</v>
      </c>
      <c r="N48" s="22">
        <v>318</v>
      </c>
      <c r="O48" s="22">
        <v>4</v>
      </c>
      <c r="P48" s="22">
        <v>414</v>
      </c>
      <c r="Q48" s="22">
        <v>28660</v>
      </c>
      <c r="R48" s="22">
        <v>2</v>
      </c>
      <c r="S48" s="22">
        <v>1454</v>
      </c>
      <c r="T48" s="22">
        <v>3045</v>
      </c>
      <c r="U48" s="23">
        <v>89581</v>
      </c>
    </row>
    <row r="49" spans="1:21" ht="14.25" customHeight="1" x14ac:dyDescent="0.2">
      <c r="A49" s="20" t="s">
        <v>55</v>
      </c>
      <c r="B49" s="21" t="s">
        <v>106</v>
      </c>
      <c r="C49" s="22">
        <v>8557</v>
      </c>
      <c r="D49" s="22">
        <v>32483</v>
      </c>
      <c r="E49" s="22">
        <v>6327</v>
      </c>
      <c r="F49" s="22">
        <v>4104</v>
      </c>
      <c r="G49" s="22">
        <v>366</v>
      </c>
      <c r="H49" s="22">
        <v>29</v>
      </c>
      <c r="I49" s="22">
        <v>0</v>
      </c>
      <c r="J49" s="22">
        <v>188</v>
      </c>
      <c r="K49" s="22">
        <v>491</v>
      </c>
      <c r="L49" s="22">
        <v>900</v>
      </c>
      <c r="M49" s="22">
        <v>82</v>
      </c>
      <c r="N49" s="22">
        <v>119</v>
      </c>
      <c r="O49" s="22">
        <v>3418</v>
      </c>
      <c r="P49" s="22">
        <v>338</v>
      </c>
      <c r="Q49" s="22">
        <v>1006</v>
      </c>
      <c r="R49" s="22">
        <v>12</v>
      </c>
      <c r="S49" s="22">
        <v>811</v>
      </c>
      <c r="T49" s="22">
        <v>142</v>
      </c>
      <c r="U49" s="23">
        <v>59373</v>
      </c>
    </row>
    <row r="50" spans="1:21" ht="14.25" customHeight="1" x14ac:dyDescent="0.2">
      <c r="A50" s="20" t="s">
        <v>56</v>
      </c>
      <c r="B50" s="21" t="s">
        <v>106</v>
      </c>
      <c r="C50" s="22">
        <v>10386</v>
      </c>
      <c r="D50" s="22">
        <v>72277</v>
      </c>
      <c r="E50" s="22">
        <v>3402</v>
      </c>
      <c r="F50" s="22">
        <v>13586</v>
      </c>
      <c r="G50" s="22">
        <v>772</v>
      </c>
      <c r="H50" s="22">
        <v>194</v>
      </c>
      <c r="I50" s="22">
        <v>10</v>
      </c>
      <c r="J50" s="22">
        <v>722</v>
      </c>
      <c r="K50" s="22">
        <v>1166</v>
      </c>
      <c r="L50" s="22">
        <v>3513</v>
      </c>
      <c r="M50" s="22">
        <v>16</v>
      </c>
      <c r="N50" s="22">
        <v>685</v>
      </c>
      <c r="O50" s="22">
        <v>3073</v>
      </c>
      <c r="P50" s="22">
        <v>579</v>
      </c>
      <c r="Q50" s="22">
        <v>1588</v>
      </c>
      <c r="R50" s="22">
        <v>0</v>
      </c>
      <c r="S50" s="22">
        <v>1619</v>
      </c>
      <c r="T50" s="22">
        <v>622</v>
      </c>
      <c r="U50" s="23">
        <v>114210</v>
      </c>
    </row>
    <row r="51" spans="1:21" ht="14.25" customHeight="1" x14ac:dyDescent="0.2">
      <c r="A51" s="20" t="s">
        <v>57</v>
      </c>
      <c r="B51" s="21" t="s">
        <v>106</v>
      </c>
      <c r="C51" s="22">
        <v>12157</v>
      </c>
      <c r="D51" s="22">
        <v>7859</v>
      </c>
      <c r="E51" s="22">
        <v>5972</v>
      </c>
      <c r="F51" s="22">
        <v>240</v>
      </c>
      <c r="G51" s="22">
        <v>343</v>
      </c>
      <c r="H51" s="22">
        <v>10</v>
      </c>
      <c r="I51" s="22">
        <v>0</v>
      </c>
      <c r="J51" s="22">
        <v>240</v>
      </c>
      <c r="K51" s="22">
        <v>192</v>
      </c>
      <c r="L51" s="22">
        <v>772</v>
      </c>
      <c r="M51" s="22">
        <v>63</v>
      </c>
      <c r="N51" s="22">
        <v>142</v>
      </c>
      <c r="O51" s="22">
        <v>2536</v>
      </c>
      <c r="P51" s="22">
        <v>140</v>
      </c>
      <c r="Q51" s="22">
        <v>751</v>
      </c>
      <c r="R51" s="22">
        <v>31</v>
      </c>
      <c r="S51" s="22">
        <v>128</v>
      </c>
      <c r="T51" s="22">
        <v>183</v>
      </c>
      <c r="U51" s="23">
        <v>31759</v>
      </c>
    </row>
    <row r="52" spans="1:21" ht="14.25" customHeight="1" x14ac:dyDescent="0.2">
      <c r="A52" s="20" t="s">
        <v>58</v>
      </c>
      <c r="B52" s="21" t="s">
        <v>106</v>
      </c>
      <c r="C52" s="22">
        <v>22319</v>
      </c>
      <c r="D52" s="22">
        <v>347577</v>
      </c>
      <c r="E52" s="22">
        <v>6267</v>
      </c>
      <c r="F52" s="22">
        <v>52603</v>
      </c>
      <c r="G52" s="22">
        <v>4100</v>
      </c>
      <c r="H52" s="22">
        <v>1171</v>
      </c>
      <c r="I52" s="22">
        <v>0</v>
      </c>
      <c r="J52" s="22">
        <v>16002</v>
      </c>
      <c r="K52" s="22">
        <v>3397</v>
      </c>
      <c r="L52" s="22">
        <v>18036</v>
      </c>
      <c r="M52" s="22">
        <v>735</v>
      </c>
      <c r="N52" s="22">
        <v>4720</v>
      </c>
      <c r="O52" s="22">
        <v>1299</v>
      </c>
      <c r="P52" s="22">
        <v>1405</v>
      </c>
      <c r="Q52" s="22">
        <v>9927</v>
      </c>
      <c r="R52" s="22">
        <v>17</v>
      </c>
      <c r="S52" s="22">
        <v>1899</v>
      </c>
      <c r="T52" s="22">
        <v>1580</v>
      </c>
      <c r="U52" s="23">
        <v>493054</v>
      </c>
    </row>
    <row r="53" spans="1:21" ht="14.25" customHeight="1" x14ac:dyDescent="0.2">
      <c r="A53" s="20" t="s">
        <v>59</v>
      </c>
      <c r="B53" s="21" t="s">
        <v>106</v>
      </c>
      <c r="C53" s="22">
        <v>28700</v>
      </c>
      <c r="D53" s="22">
        <v>137118</v>
      </c>
      <c r="E53" s="22">
        <v>5453</v>
      </c>
      <c r="F53" s="22">
        <v>13807</v>
      </c>
      <c r="G53" s="22">
        <v>1064</v>
      </c>
      <c r="H53" s="22">
        <v>958</v>
      </c>
      <c r="I53" s="22">
        <v>0</v>
      </c>
      <c r="J53" s="22">
        <v>9415</v>
      </c>
      <c r="K53" s="22">
        <v>1976</v>
      </c>
      <c r="L53" s="22">
        <v>4754</v>
      </c>
      <c r="M53" s="22">
        <v>249</v>
      </c>
      <c r="N53" s="22">
        <v>474</v>
      </c>
      <c r="O53" s="22">
        <v>2376</v>
      </c>
      <c r="P53" s="22">
        <v>496</v>
      </c>
      <c r="Q53" s="22">
        <v>2602</v>
      </c>
      <c r="R53" s="22">
        <v>5</v>
      </c>
      <c r="S53" s="22">
        <v>1168</v>
      </c>
      <c r="T53" s="22">
        <v>261</v>
      </c>
      <c r="U53" s="23">
        <v>210876</v>
      </c>
    </row>
    <row r="54" spans="1:21" ht="14.25" customHeight="1" x14ac:dyDescent="0.2">
      <c r="A54" s="20" t="s">
        <v>60</v>
      </c>
      <c r="B54" s="21" t="s">
        <v>106</v>
      </c>
      <c r="C54" s="22">
        <v>15257</v>
      </c>
      <c r="D54" s="22">
        <v>387771</v>
      </c>
      <c r="E54" s="22">
        <v>3676</v>
      </c>
      <c r="F54" s="22">
        <v>186199</v>
      </c>
      <c r="G54" s="22">
        <v>10234</v>
      </c>
      <c r="H54" s="22">
        <v>851</v>
      </c>
      <c r="I54" s="22">
        <v>4854</v>
      </c>
      <c r="J54" s="22">
        <v>10723</v>
      </c>
      <c r="K54" s="22">
        <v>2066</v>
      </c>
      <c r="L54" s="22">
        <v>13379</v>
      </c>
      <c r="M54" s="22">
        <v>347</v>
      </c>
      <c r="N54" s="22">
        <v>5377</v>
      </c>
      <c r="O54" s="22">
        <v>5080</v>
      </c>
      <c r="P54" s="22">
        <v>1696</v>
      </c>
      <c r="Q54" s="22">
        <v>8568</v>
      </c>
      <c r="R54" s="22">
        <v>199</v>
      </c>
      <c r="S54" s="22">
        <v>2540</v>
      </c>
      <c r="T54" s="22">
        <v>60</v>
      </c>
      <c r="U54" s="23">
        <v>658877</v>
      </c>
    </row>
    <row r="55" spans="1:21" ht="14.25" customHeight="1" x14ac:dyDescent="0.2">
      <c r="A55" s="20" t="s">
        <v>61</v>
      </c>
      <c r="B55" s="21" t="s">
        <v>106</v>
      </c>
      <c r="C55" s="22">
        <v>31906</v>
      </c>
      <c r="D55" s="22">
        <v>201126</v>
      </c>
      <c r="E55" s="22">
        <v>29589</v>
      </c>
      <c r="F55" s="22">
        <v>11888</v>
      </c>
      <c r="G55" s="22">
        <v>3219</v>
      </c>
      <c r="H55" s="22">
        <v>252</v>
      </c>
      <c r="I55" s="22">
        <v>0</v>
      </c>
      <c r="J55" s="22">
        <v>6126</v>
      </c>
      <c r="K55" s="22">
        <v>2688</v>
      </c>
      <c r="L55" s="22">
        <v>6132</v>
      </c>
      <c r="M55" s="22">
        <v>268</v>
      </c>
      <c r="N55" s="22">
        <v>1101</v>
      </c>
      <c r="O55" s="22">
        <v>4037</v>
      </c>
      <c r="P55" s="22">
        <v>817</v>
      </c>
      <c r="Q55" s="22">
        <v>11895</v>
      </c>
      <c r="R55" s="22">
        <v>10</v>
      </c>
      <c r="S55" s="22">
        <v>19417</v>
      </c>
      <c r="T55" s="22">
        <v>608</v>
      </c>
      <c r="U55" s="23">
        <v>331079</v>
      </c>
    </row>
    <row r="56" spans="1:21" ht="14.25" customHeight="1" x14ac:dyDescent="0.2">
      <c r="A56" s="20" t="s">
        <v>62</v>
      </c>
      <c r="B56" s="21" t="s">
        <v>106</v>
      </c>
      <c r="C56" s="22">
        <v>8818</v>
      </c>
      <c r="D56" s="22">
        <v>256423</v>
      </c>
      <c r="E56" s="22">
        <v>17046</v>
      </c>
      <c r="F56" s="22">
        <v>104151</v>
      </c>
      <c r="G56" s="22">
        <v>12697</v>
      </c>
      <c r="H56" s="22">
        <v>881</v>
      </c>
      <c r="I56" s="22">
        <v>1588</v>
      </c>
      <c r="J56" s="22">
        <v>6448</v>
      </c>
      <c r="K56" s="22">
        <v>3725</v>
      </c>
      <c r="L56" s="22">
        <v>13410</v>
      </c>
      <c r="M56" s="22">
        <v>742</v>
      </c>
      <c r="N56" s="22">
        <v>4054</v>
      </c>
      <c r="O56" s="22">
        <v>92</v>
      </c>
      <c r="P56" s="22">
        <v>1721</v>
      </c>
      <c r="Q56" s="22">
        <v>1081</v>
      </c>
      <c r="R56" s="22">
        <v>149</v>
      </c>
      <c r="S56" s="22">
        <v>3526</v>
      </c>
      <c r="T56" s="22">
        <v>149</v>
      </c>
      <c r="U56" s="23">
        <v>436701</v>
      </c>
    </row>
    <row r="57" spans="1:21" ht="14.25" customHeight="1" x14ac:dyDescent="0.2">
      <c r="A57" s="20" t="s">
        <v>63</v>
      </c>
      <c r="B57" s="21" t="s">
        <v>106</v>
      </c>
      <c r="C57" s="22">
        <v>53970</v>
      </c>
      <c r="D57" s="22">
        <v>231135</v>
      </c>
      <c r="E57" s="22">
        <v>31816</v>
      </c>
      <c r="F57" s="22">
        <v>8537</v>
      </c>
      <c r="G57" s="22">
        <v>6681</v>
      </c>
      <c r="H57" s="22">
        <v>331</v>
      </c>
      <c r="I57" s="22">
        <v>31</v>
      </c>
      <c r="J57" s="22">
        <v>6077</v>
      </c>
      <c r="K57" s="22">
        <v>4934</v>
      </c>
      <c r="L57" s="22">
        <v>7644</v>
      </c>
      <c r="M57" s="22">
        <v>1324</v>
      </c>
      <c r="N57" s="22">
        <v>2145</v>
      </c>
      <c r="O57" s="22">
        <v>11856</v>
      </c>
      <c r="P57" s="22">
        <v>3304</v>
      </c>
      <c r="Q57" s="22">
        <v>7968</v>
      </c>
      <c r="R57" s="22">
        <v>0</v>
      </c>
      <c r="S57" s="22">
        <v>2377</v>
      </c>
      <c r="T57" s="22">
        <v>53038</v>
      </c>
      <c r="U57" s="23">
        <v>433168</v>
      </c>
    </row>
    <row r="58" spans="1:21" ht="14.25" customHeight="1" x14ac:dyDescent="0.2">
      <c r="A58" s="20" t="s">
        <v>64</v>
      </c>
      <c r="B58" s="21" t="s">
        <v>106</v>
      </c>
      <c r="C58" s="22">
        <v>52079</v>
      </c>
      <c r="D58" s="22">
        <v>17676</v>
      </c>
      <c r="E58" s="22">
        <v>15770</v>
      </c>
      <c r="F58" s="22">
        <v>198</v>
      </c>
      <c r="G58" s="22">
        <v>153</v>
      </c>
      <c r="H58" s="22">
        <v>30</v>
      </c>
      <c r="I58" s="22">
        <v>0</v>
      </c>
      <c r="J58" s="22">
        <v>3341</v>
      </c>
      <c r="K58" s="22">
        <v>490</v>
      </c>
      <c r="L58" s="22">
        <v>1128</v>
      </c>
      <c r="M58" s="22">
        <v>48</v>
      </c>
      <c r="N58" s="22">
        <v>172</v>
      </c>
      <c r="O58" s="22">
        <v>3063</v>
      </c>
      <c r="P58" s="22">
        <v>466</v>
      </c>
      <c r="Q58" s="22">
        <v>1093</v>
      </c>
      <c r="R58" s="22">
        <v>3</v>
      </c>
      <c r="S58" s="22">
        <v>1067</v>
      </c>
      <c r="T58" s="22">
        <v>1561</v>
      </c>
      <c r="U58" s="23">
        <v>98338</v>
      </c>
    </row>
    <row r="59" spans="1:21" ht="14.25" customHeight="1" x14ac:dyDescent="0.2">
      <c r="A59" s="20" t="s">
        <v>65</v>
      </c>
      <c r="B59" s="21" t="s">
        <v>106</v>
      </c>
      <c r="C59" s="22">
        <v>17072</v>
      </c>
      <c r="D59" s="22">
        <v>111710</v>
      </c>
      <c r="E59" s="22">
        <v>5535</v>
      </c>
      <c r="F59" s="22">
        <v>14631</v>
      </c>
      <c r="G59" s="22">
        <v>1654</v>
      </c>
      <c r="H59" s="22">
        <v>62</v>
      </c>
      <c r="I59" s="22">
        <v>0</v>
      </c>
      <c r="J59" s="22">
        <v>4944</v>
      </c>
      <c r="K59" s="22">
        <v>1307</v>
      </c>
      <c r="L59" s="22">
        <v>3345</v>
      </c>
      <c r="M59" s="22">
        <v>11</v>
      </c>
      <c r="N59" s="22">
        <v>589</v>
      </c>
      <c r="O59" s="22">
        <v>1651</v>
      </c>
      <c r="P59" s="22">
        <v>462</v>
      </c>
      <c r="Q59" s="22">
        <v>1709</v>
      </c>
      <c r="R59" s="22">
        <v>15</v>
      </c>
      <c r="S59" s="22">
        <v>3400</v>
      </c>
      <c r="T59" s="22">
        <v>197</v>
      </c>
      <c r="U59" s="23">
        <v>168294</v>
      </c>
    </row>
    <row r="60" spans="1:21" ht="14.25" customHeight="1" x14ac:dyDescent="0.2">
      <c r="A60" s="20" t="s">
        <v>66</v>
      </c>
      <c r="B60" s="21" t="s">
        <v>106</v>
      </c>
      <c r="C60" s="22">
        <v>21972</v>
      </c>
      <c r="D60" s="22">
        <v>128119</v>
      </c>
      <c r="E60" s="22">
        <v>4564</v>
      </c>
      <c r="F60" s="22">
        <v>14667</v>
      </c>
      <c r="G60" s="22">
        <v>1522</v>
      </c>
      <c r="H60" s="22">
        <v>90</v>
      </c>
      <c r="I60" s="22">
        <v>1</v>
      </c>
      <c r="J60" s="22">
        <v>3552</v>
      </c>
      <c r="K60" s="22">
        <v>1406</v>
      </c>
      <c r="L60" s="22">
        <v>2626</v>
      </c>
      <c r="M60" s="22">
        <v>402</v>
      </c>
      <c r="N60" s="22">
        <v>1313</v>
      </c>
      <c r="O60" s="22">
        <v>2589</v>
      </c>
      <c r="P60" s="22">
        <v>548</v>
      </c>
      <c r="Q60" s="22">
        <v>3764</v>
      </c>
      <c r="R60" s="22">
        <v>18</v>
      </c>
      <c r="S60" s="22">
        <v>2906</v>
      </c>
      <c r="T60" s="22">
        <v>1053</v>
      </c>
      <c r="U60" s="23">
        <v>191112</v>
      </c>
    </row>
    <row r="61" spans="1:21" ht="14.25" customHeight="1" x14ac:dyDescent="0.2">
      <c r="A61" s="20" t="s">
        <v>67</v>
      </c>
      <c r="B61" s="21" t="s">
        <v>106</v>
      </c>
      <c r="C61" s="22">
        <v>18826</v>
      </c>
      <c r="D61" s="22">
        <v>69047</v>
      </c>
      <c r="E61" s="22">
        <v>6682</v>
      </c>
      <c r="F61" s="22">
        <v>1755</v>
      </c>
      <c r="G61" s="22">
        <v>672</v>
      </c>
      <c r="H61" s="22">
        <v>64</v>
      </c>
      <c r="I61" s="22">
        <v>0</v>
      </c>
      <c r="J61" s="22">
        <v>15</v>
      </c>
      <c r="K61" s="22">
        <v>1415</v>
      </c>
      <c r="L61" s="22">
        <v>1835</v>
      </c>
      <c r="M61" s="22">
        <v>173</v>
      </c>
      <c r="N61" s="22">
        <v>526</v>
      </c>
      <c r="O61" s="22">
        <v>5465</v>
      </c>
      <c r="P61" s="22">
        <v>479</v>
      </c>
      <c r="Q61" s="22">
        <v>1911</v>
      </c>
      <c r="R61" s="22">
        <v>0</v>
      </c>
      <c r="S61" s="22">
        <v>12269</v>
      </c>
      <c r="T61" s="22">
        <v>304</v>
      </c>
      <c r="U61" s="23">
        <v>121438</v>
      </c>
    </row>
    <row r="62" spans="1:21" ht="14.25" customHeight="1" x14ac:dyDescent="0.2">
      <c r="A62" s="20" t="s">
        <v>68</v>
      </c>
      <c r="B62" s="21" t="s">
        <v>106</v>
      </c>
      <c r="C62" s="22">
        <v>48468</v>
      </c>
      <c r="D62" s="22">
        <v>166448</v>
      </c>
      <c r="E62" s="22">
        <v>11666</v>
      </c>
      <c r="F62" s="22">
        <v>53646</v>
      </c>
      <c r="G62" s="22">
        <v>4889</v>
      </c>
      <c r="H62" s="22">
        <v>207</v>
      </c>
      <c r="I62" s="22">
        <v>333</v>
      </c>
      <c r="J62" s="22">
        <v>3394</v>
      </c>
      <c r="K62" s="22">
        <v>1047</v>
      </c>
      <c r="L62" s="22">
        <v>7602</v>
      </c>
      <c r="M62" s="22">
        <v>271</v>
      </c>
      <c r="N62" s="22">
        <v>2408</v>
      </c>
      <c r="O62" s="22">
        <v>622</v>
      </c>
      <c r="P62" s="22">
        <v>748</v>
      </c>
      <c r="Q62" s="22">
        <v>849</v>
      </c>
      <c r="R62" s="22">
        <v>12</v>
      </c>
      <c r="S62" s="22">
        <v>2068</v>
      </c>
      <c r="T62" s="22">
        <v>244</v>
      </c>
      <c r="U62" s="23">
        <v>304922</v>
      </c>
    </row>
    <row r="63" spans="1:21" ht="14.25" customHeight="1" x14ac:dyDescent="0.2">
      <c r="A63" s="20" t="s">
        <v>69</v>
      </c>
      <c r="B63" s="21" t="s">
        <v>106</v>
      </c>
      <c r="C63" s="22">
        <v>6740</v>
      </c>
      <c r="D63" s="22">
        <v>135478</v>
      </c>
      <c r="E63" s="22">
        <v>1713</v>
      </c>
      <c r="F63" s="22">
        <v>15104</v>
      </c>
      <c r="G63" s="22">
        <v>1160</v>
      </c>
      <c r="H63" s="22">
        <v>220</v>
      </c>
      <c r="I63" s="22">
        <v>0</v>
      </c>
      <c r="J63" s="22">
        <v>6068</v>
      </c>
      <c r="K63" s="22">
        <v>1592</v>
      </c>
      <c r="L63" s="22">
        <v>4388</v>
      </c>
      <c r="M63" s="22">
        <v>313</v>
      </c>
      <c r="N63" s="22">
        <v>1504</v>
      </c>
      <c r="O63" s="22">
        <v>813</v>
      </c>
      <c r="P63" s="22">
        <v>766</v>
      </c>
      <c r="Q63" s="22">
        <v>3301</v>
      </c>
      <c r="R63" s="22">
        <v>0</v>
      </c>
      <c r="S63" s="22">
        <v>1213</v>
      </c>
      <c r="T63" s="22">
        <v>434</v>
      </c>
      <c r="U63" s="23">
        <v>180807</v>
      </c>
    </row>
    <row r="64" spans="1:21" ht="14.25" customHeight="1" x14ac:dyDescent="0.2">
      <c r="A64" s="20" t="s">
        <v>70</v>
      </c>
      <c r="B64" s="21" t="s">
        <v>106</v>
      </c>
      <c r="C64" s="22">
        <v>10301</v>
      </c>
      <c r="D64" s="22">
        <v>73590</v>
      </c>
      <c r="E64" s="22">
        <v>6422</v>
      </c>
      <c r="F64" s="22">
        <v>514</v>
      </c>
      <c r="G64" s="22">
        <v>120</v>
      </c>
      <c r="H64" s="22">
        <v>34</v>
      </c>
      <c r="I64" s="22"/>
      <c r="J64" s="22">
        <v>207</v>
      </c>
      <c r="K64" s="22">
        <v>395</v>
      </c>
      <c r="L64" s="22">
        <v>1387</v>
      </c>
      <c r="M64" s="22">
        <v>29</v>
      </c>
      <c r="N64" s="22">
        <v>204</v>
      </c>
      <c r="O64" s="22">
        <v>5206</v>
      </c>
      <c r="P64" s="22">
        <v>400</v>
      </c>
      <c r="Q64" s="22">
        <v>1652</v>
      </c>
      <c r="R64" s="22"/>
      <c r="S64" s="22">
        <v>372</v>
      </c>
      <c r="T64" s="22">
        <v>466</v>
      </c>
      <c r="U64" s="23">
        <v>101299</v>
      </c>
    </row>
    <row r="65" spans="1:21" ht="14.25" customHeight="1" x14ac:dyDescent="0.2">
      <c r="A65" s="20" t="s">
        <v>71</v>
      </c>
      <c r="B65" s="21" t="s">
        <v>107</v>
      </c>
      <c r="C65" s="22">
        <v>9604</v>
      </c>
      <c r="D65" s="22">
        <v>6485</v>
      </c>
      <c r="E65" s="22">
        <v>7077</v>
      </c>
      <c r="F65" s="22">
        <v>0</v>
      </c>
      <c r="G65" s="22">
        <v>57</v>
      </c>
      <c r="H65" s="22">
        <v>8</v>
      </c>
      <c r="I65" s="22">
        <v>0</v>
      </c>
      <c r="J65" s="22">
        <v>1</v>
      </c>
      <c r="K65" s="22">
        <v>270</v>
      </c>
      <c r="L65" s="22">
        <v>552</v>
      </c>
      <c r="M65" s="22">
        <v>2</v>
      </c>
      <c r="N65" s="22">
        <v>80</v>
      </c>
      <c r="O65" s="22">
        <v>6750</v>
      </c>
      <c r="P65" s="22">
        <v>370</v>
      </c>
      <c r="Q65" s="22">
        <v>573</v>
      </c>
      <c r="R65" s="22">
        <v>0</v>
      </c>
      <c r="S65" s="22">
        <v>6782</v>
      </c>
      <c r="T65" s="22">
        <v>340</v>
      </c>
      <c r="U65" s="23">
        <v>38951</v>
      </c>
    </row>
    <row r="66" spans="1:21" ht="14.25" customHeight="1" x14ac:dyDescent="0.2">
      <c r="A66" s="20" t="s">
        <v>72</v>
      </c>
      <c r="B66" s="21" t="s">
        <v>106</v>
      </c>
      <c r="C66" s="22">
        <v>5474</v>
      </c>
      <c r="D66" s="22">
        <v>5267</v>
      </c>
      <c r="E66" s="22">
        <v>3180</v>
      </c>
      <c r="F66" s="22">
        <v>76</v>
      </c>
      <c r="G66" s="22">
        <v>22</v>
      </c>
      <c r="H66" s="22">
        <v>11</v>
      </c>
      <c r="I66" s="22">
        <v>0</v>
      </c>
      <c r="J66" s="22">
        <v>0</v>
      </c>
      <c r="K66" s="22">
        <v>54</v>
      </c>
      <c r="L66" s="22">
        <v>386</v>
      </c>
      <c r="M66" s="22">
        <v>0</v>
      </c>
      <c r="N66" s="22">
        <v>63</v>
      </c>
      <c r="O66" s="22">
        <v>2763</v>
      </c>
      <c r="P66" s="22">
        <v>195</v>
      </c>
      <c r="Q66" s="22">
        <v>921</v>
      </c>
      <c r="R66" s="22">
        <v>4</v>
      </c>
      <c r="S66" s="22">
        <v>1063</v>
      </c>
      <c r="T66" s="22">
        <v>309</v>
      </c>
      <c r="U66" s="23">
        <v>19788</v>
      </c>
    </row>
    <row r="67" spans="1:21" ht="14.25" customHeight="1" x14ac:dyDescent="0.2">
      <c r="A67" s="20" t="s">
        <v>73</v>
      </c>
      <c r="B67" s="21" t="s">
        <v>106</v>
      </c>
      <c r="C67" s="22">
        <v>682</v>
      </c>
      <c r="D67" s="22">
        <v>1480</v>
      </c>
      <c r="E67" s="22">
        <v>1269</v>
      </c>
      <c r="F67" s="22">
        <v>18</v>
      </c>
      <c r="G67" s="22">
        <v>1</v>
      </c>
      <c r="H67" s="22">
        <v>15</v>
      </c>
      <c r="I67" s="22">
        <v>0</v>
      </c>
      <c r="J67" s="22">
        <v>72</v>
      </c>
      <c r="K67" s="22">
        <v>37</v>
      </c>
      <c r="L67" s="22">
        <v>116</v>
      </c>
      <c r="M67" s="22">
        <v>2</v>
      </c>
      <c r="N67" s="22">
        <v>17</v>
      </c>
      <c r="O67" s="22">
        <v>3019</v>
      </c>
      <c r="P67" s="22">
        <v>111</v>
      </c>
      <c r="Q67" s="22">
        <v>126</v>
      </c>
      <c r="R67" s="22">
        <v>1</v>
      </c>
      <c r="S67" s="22">
        <v>85</v>
      </c>
      <c r="T67" s="22">
        <v>0</v>
      </c>
      <c r="U67" s="23">
        <v>7051</v>
      </c>
    </row>
    <row r="68" spans="1:21" ht="14.25" customHeight="1" x14ac:dyDescent="0.2">
      <c r="A68" s="20" t="s">
        <v>74</v>
      </c>
      <c r="B68" s="21" t="s">
        <v>106</v>
      </c>
      <c r="C68" s="22">
        <v>37948</v>
      </c>
      <c r="D68" s="22">
        <v>194013</v>
      </c>
      <c r="E68" s="22">
        <v>7411</v>
      </c>
      <c r="F68" s="22">
        <v>28454</v>
      </c>
      <c r="G68" s="22">
        <v>2707</v>
      </c>
      <c r="H68" s="22">
        <v>323</v>
      </c>
      <c r="I68" s="22">
        <v>410</v>
      </c>
      <c r="J68" s="22">
        <v>4186</v>
      </c>
      <c r="K68" s="22">
        <v>4376</v>
      </c>
      <c r="L68" s="22">
        <v>8280</v>
      </c>
      <c r="M68" s="22">
        <v>663</v>
      </c>
      <c r="N68" s="22">
        <v>2212</v>
      </c>
      <c r="O68" s="22">
        <v>7693</v>
      </c>
      <c r="P68" s="22">
        <v>1391</v>
      </c>
      <c r="Q68" s="22">
        <v>8689</v>
      </c>
      <c r="R68" s="22">
        <v>156</v>
      </c>
      <c r="S68" s="22">
        <v>2512</v>
      </c>
      <c r="T68" s="22">
        <v>489</v>
      </c>
      <c r="U68" s="23">
        <v>311913</v>
      </c>
    </row>
    <row r="69" spans="1:21" ht="14.25" customHeight="1" x14ac:dyDescent="0.2">
      <c r="A69" s="20" t="s">
        <v>75</v>
      </c>
      <c r="B69" s="21" t="s">
        <v>107</v>
      </c>
      <c r="C69" s="22">
        <v>7287</v>
      </c>
      <c r="D69" s="22">
        <v>10300</v>
      </c>
      <c r="E69" s="22">
        <v>3430</v>
      </c>
      <c r="F69" s="22">
        <v>407</v>
      </c>
      <c r="G69" s="22">
        <v>30</v>
      </c>
      <c r="H69" s="22">
        <v>5</v>
      </c>
      <c r="I69" s="22">
        <v>0</v>
      </c>
      <c r="J69" s="22">
        <v>236</v>
      </c>
      <c r="K69" s="22">
        <v>274</v>
      </c>
      <c r="L69" s="22">
        <v>389</v>
      </c>
      <c r="M69" s="22">
        <v>35</v>
      </c>
      <c r="N69" s="22">
        <v>85</v>
      </c>
      <c r="O69" s="22">
        <v>2443</v>
      </c>
      <c r="P69" s="22">
        <v>164</v>
      </c>
      <c r="Q69" s="22">
        <v>1086</v>
      </c>
      <c r="R69" s="22">
        <v>0</v>
      </c>
      <c r="S69" s="22">
        <v>433</v>
      </c>
      <c r="T69" s="22">
        <v>411</v>
      </c>
      <c r="U69" s="23">
        <v>27015</v>
      </c>
    </row>
    <row r="70" spans="1:21" ht="14.25" customHeight="1" x14ac:dyDescent="0.2">
      <c r="A70" s="20" t="s">
        <v>76</v>
      </c>
      <c r="B70" s="21" t="s">
        <v>106</v>
      </c>
      <c r="C70" s="22">
        <v>20947</v>
      </c>
      <c r="D70" s="22">
        <v>40032</v>
      </c>
      <c r="E70" s="22">
        <v>5599</v>
      </c>
      <c r="F70" s="22">
        <v>10876</v>
      </c>
      <c r="G70" s="22">
        <v>640</v>
      </c>
      <c r="H70" s="22">
        <v>44</v>
      </c>
      <c r="I70" s="22">
        <v>0</v>
      </c>
      <c r="J70" s="22">
        <v>1536</v>
      </c>
      <c r="K70" s="22">
        <v>284</v>
      </c>
      <c r="L70" s="22">
        <v>2030</v>
      </c>
      <c r="M70" s="22">
        <v>9</v>
      </c>
      <c r="N70" s="22">
        <v>373</v>
      </c>
      <c r="O70" s="22">
        <v>4503</v>
      </c>
      <c r="P70" s="22">
        <v>432</v>
      </c>
      <c r="Q70" s="22">
        <v>1078</v>
      </c>
      <c r="R70" s="22">
        <v>0</v>
      </c>
      <c r="S70" s="22">
        <v>4345</v>
      </c>
      <c r="T70" s="22">
        <v>992</v>
      </c>
      <c r="U70" s="23">
        <v>93720</v>
      </c>
    </row>
    <row r="71" spans="1:21" ht="14.25" customHeight="1" x14ac:dyDescent="0.2">
      <c r="A71" s="20" t="s">
        <v>77</v>
      </c>
      <c r="B71" s="21" t="s">
        <v>107</v>
      </c>
      <c r="C71" s="22">
        <v>28060</v>
      </c>
      <c r="D71" s="22">
        <v>5447</v>
      </c>
      <c r="E71" s="22">
        <v>2754</v>
      </c>
      <c r="F71" s="22">
        <v>0</v>
      </c>
      <c r="G71" s="22">
        <v>21</v>
      </c>
      <c r="H71" s="22">
        <v>0</v>
      </c>
      <c r="I71" s="22">
        <v>0</v>
      </c>
      <c r="J71" s="22">
        <v>34</v>
      </c>
      <c r="K71" s="22">
        <v>602</v>
      </c>
      <c r="L71" s="22">
        <v>351</v>
      </c>
      <c r="M71" s="22">
        <v>3</v>
      </c>
      <c r="N71" s="22">
        <v>52</v>
      </c>
      <c r="O71" s="22">
        <v>4854</v>
      </c>
      <c r="P71" s="22">
        <v>232</v>
      </c>
      <c r="Q71" s="22">
        <v>767</v>
      </c>
      <c r="R71" s="22">
        <v>0</v>
      </c>
      <c r="S71" s="22">
        <v>2922</v>
      </c>
      <c r="T71" s="22">
        <v>517</v>
      </c>
      <c r="U71" s="23">
        <v>46616</v>
      </c>
    </row>
    <row r="72" spans="1:21" ht="14.25" customHeight="1" x14ac:dyDescent="0.2">
      <c r="A72" s="20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4.25" customHeight="1" thickBot="1" x14ac:dyDescent="0.3">
      <c r="A73" s="24" t="s">
        <v>11</v>
      </c>
      <c r="B73" s="25"/>
      <c r="C73" s="26">
        <f t="shared" ref="C73:T73" si="0">SUM(C5:C72)</f>
        <v>1310464</v>
      </c>
      <c r="D73" s="26">
        <f t="shared" si="0"/>
        <v>6056931</v>
      </c>
      <c r="E73" s="26">
        <f t="shared" si="0"/>
        <v>440167</v>
      </c>
      <c r="F73" s="26">
        <f t="shared" si="0"/>
        <v>1616307</v>
      </c>
      <c r="G73" s="26">
        <f t="shared" si="0"/>
        <v>158784</v>
      </c>
      <c r="H73" s="26">
        <f t="shared" si="0"/>
        <v>15998</v>
      </c>
      <c r="I73" s="26">
        <f t="shared" si="0"/>
        <v>46731</v>
      </c>
      <c r="J73" s="26">
        <f t="shared" si="0"/>
        <v>173445</v>
      </c>
      <c r="K73" s="26">
        <f t="shared" si="0"/>
        <v>87137</v>
      </c>
      <c r="L73" s="26">
        <f t="shared" si="0"/>
        <v>258155</v>
      </c>
      <c r="M73" s="26">
        <f t="shared" si="0"/>
        <v>14189</v>
      </c>
      <c r="N73" s="26">
        <f t="shared" si="0"/>
        <v>82461</v>
      </c>
      <c r="O73" s="26">
        <f t="shared" si="0"/>
        <v>236556</v>
      </c>
      <c r="P73" s="26">
        <f t="shared" si="0"/>
        <v>47698</v>
      </c>
      <c r="Q73" s="26">
        <f t="shared" si="0"/>
        <v>252857</v>
      </c>
      <c r="R73" s="26">
        <f t="shared" si="0"/>
        <v>1964</v>
      </c>
      <c r="S73" s="26">
        <f t="shared" si="0"/>
        <v>158133</v>
      </c>
      <c r="T73" s="26">
        <f t="shared" si="0"/>
        <v>99189</v>
      </c>
      <c r="U73" s="28">
        <f>SUM(C73:T73)</f>
        <v>11057166</v>
      </c>
    </row>
    <row r="75" spans="1:21" x14ac:dyDescent="0.2">
      <c r="A75" s="3" t="s">
        <v>112</v>
      </c>
    </row>
  </sheetData>
  <phoneticPr fontId="0" type="noConversion"/>
  <conditionalFormatting sqref="A4:U73">
    <cfRule type="expression" dxfId="2" priority="3" stopIfTrue="1">
      <formula>MOD(ROW(),3)=1</formula>
    </cfRule>
  </conditionalFormatting>
  <pageMargins left="0.7" right="0.7" top="0.75" bottom="0.75" header="0.3" footer="0.3"/>
  <pageSetup scale="76" fitToWidth="2" fitToHeight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U76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27.140625" style="3" customWidth="1"/>
    <col min="2" max="2" width="9.28515625" style="18" bestFit="1" customWidth="1"/>
    <col min="3" max="3" width="18.5703125" style="3" bestFit="1" customWidth="1"/>
    <col min="4" max="4" width="19.5703125" style="3" bestFit="1" customWidth="1"/>
    <col min="5" max="5" width="18.5703125" style="3" bestFit="1" customWidth="1"/>
    <col min="6" max="6" width="19.140625" style="3" bestFit="1" customWidth="1"/>
    <col min="7" max="7" width="19.5703125" style="3" bestFit="1" customWidth="1"/>
    <col min="8" max="8" width="20.85546875" style="3" bestFit="1" customWidth="1"/>
    <col min="9" max="9" width="17.5703125" style="3" bestFit="1" customWidth="1"/>
    <col min="10" max="10" width="17.28515625" style="3" bestFit="1" customWidth="1"/>
    <col min="11" max="11" width="22.5703125" style="3" bestFit="1" customWidth="1"/>
    <col min="12" max="12" width="24.42578125" style="3" bestFit="1" customWidth="1"/>
    <col min="13" max="13" width="17.5703125" style="3" bestFit="1" customWidth="1"/>
    <col min="14" max="14" width="18.5703125" style="3" bestFit="1" customWidth="1"/>
    <col min="15" max="15" width="18.140625" style="3" bestFit="1" customWidth="1"/>
    <col min="16" max="16" width="17.28515625" style="3" bestFit="1" customWidth="1"/>
    <col min="17" max="17" width="16.5703125" style="3" bestFit="1" customWidth="1"/>
    <col min="18" max="18" width="16.85546875" style="3" bestFit="1" customWidth="1"/>
    <col min="19" max="19" width="17.28515625" style="3" bestFit="1" customWidth="1"/>
    <col min="20" max="20" width="19.5703125" style="3" bestFit="1" customWidth="1"/>
    <col min="21" max="21" width="22.42578125" style="3" bestFit="1" customWidth="1"/>
    <col min="22" max="16384" width="9.140625" style="12"/>
  </cols>
  <sheetData>
    <row r="1" spans="1:21" ht="23.25" x14ac:dyDescent="0.35">
      <c r="A1" s="1" t="s">
        <v>86</v>
      </c>
    </row>
    <row r="2" spans="1:21" ht="15" x14ac:dyDescent="0.25">
      <c r="A2" s="19">
        <v>2025</v>
      </c>
    </row>
    <row r="3" spans="1:21" ht="15" thickBot="1" x14ac:dyDescent="0.25"/>
    <row r="4" spans="1:21" s="43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20" t="s">
        <v>12</v>
      </c>
      <c r="B5" s="21" t="s">
        <v>106</v>
      </c>
      <c r="C5" s="22">
        <v>516353652</v>
      </c>
      <c r="D5" s="22">
        <v>20378288773</v>
      </c>
      <c r="E5" s="22">
        <v>705460497</v>
      </c>
      <c r="F5" s="22">
        <v>1146934156</v>
      </c>
      <c r="G5" s="22">
        <v>510368926</v>
      </c>
      <c r="H5" s="22">
        <v>4974529569</v>
      </c>
      <c r="I5" s="22">
        <v>0</v>
      </c>
      <c r="J5" s="22">
        <v>105925738</v>
      </c>
      <c r="K5" s="22">
        <v>230687695</v>
      </c>
      <c r="L5" s="22">
        <v>3826364262</v>
      </c>
      <c r="M5" s="22">
        <v>48630320</v>
      </c>
      <c r="N5" s="22">
        <v>878006751</v>
      </c>
      <c r="O5" s="22">
        <v>2481365291</v>
      </c>
      <c r="P5" s="22">
        <v>966008199</v>
      </c>
      <c r="Q5" s="22">
        <v>5835279372</v>
      </c>
      <c r="R5" s="22">
        <v>54600</v>
      </c>
      <c r="S5" s="22">
        <v>123276529</v>
      </c>
      <c r="T5" s="22">
        <v>48095771</v>
      </c>
      <c r="U5" s="23">
        <v>42775630101</v>
      </c>
    </row>
    <row r="6" spans="1:21" ht="14.25" customHeight="1" x14ac:dyDescent="0.2">
      <c r="A6" s="20" t="s">
        <v>13</v>
      </c>
      <c r="B6" s="21" t="s">
        <v>106</v>
      </c>
      <c r="C6" s="22">
        <v>53670910</v>
      </c>
      <c r="D6" s="22">
        <v>1371926566</v>
      </c>
      <c r="E6" s="22">
        <v>360113018</v>
      </c>
      <c r="F6" s="22">
        <v>0</v>
      </c>
      <c r="G6" s="22">
        <v>10830465</v>
      </c>
      <c r="H6" s="22">
        <v>15495593</v>
      </c>
      <c r="I6" s="22">
        <v>0</v>
      </c>
      <c r="J6" s="22">
        <v>0</v>
      </c>
      <c r="K6" s="22">
        <v>4639011</v>
      </c>
      <c r="L6" s="22">
        <v>159176557</v>
      </c>
      <c r="M6" s="22">
        <v>425363</v>
      </c>
      <c r="N6" s="22">
        <v>43739316</v>
      </c>
      <c r="O6" s="22">
        <v>709926225</v>
      </c>
      <c r="P6" s="22">
        <v>46245310</v>
      </c>
      <c r="Q6" s="22">
        <v>292181455</v>
      </c>
      <c r="R6" s="22">
        <v>4130604</v>
      </c>
      <c r="S6" s="22">
        <v>16952735</v>
      </c>
      <c r="T6" s="22">
        <v>74837419</v>
      </c>
      <c r="U6" s="23">
        <v>3164290547</v>
      </c>
    </row>
    <row r="7" spans="1:21" ht="14.25" customHeight="1" x14ac:dyDescent="0.2">
      <c r="A7" s="20" t="s">
        <v>14</v>
      </c>
      <c r="B7" s="21" t="s">
        <v>106</v>
      </c>
      <c r="C7" s="22">
        <v>1612004840</v>
      </c>
      <c r="D7" s="22">
        <v>20830697400</v>
      </c>
      <c r="E7" s="22">
        <v>926325289</v>
      </c>
      <c r="F7" s="22">
        <v>7398169116</v>
      </c>
      <c r="G7" s="22">
        <v>688896544</v>
      </c>
      <c r="H7" s="22">
        <v>1438126377</v>
      </c>
      <c r="I7" s="22">
        <v>4575709</v>
      </c>
      <c r="J7" s="22">
        <v>12650978</v>
      </c>
      <c r="K7" s="22">
        <v>773476999</v>
      </c>
      <c r="L7" s="22">
        <v>3165221676</v>
      </c>
      <c r="M7" s="22">
        <v>11014603</v>
      </c>
      <c r="N7" s="22">
        <v>795236753</v>
      </c>
      <c r="O7" s="22">
        <v>449188367</v>
      </c>
      <c r="P7" s="22">
        <v>400002432</v>
      </c>
      <c r="Q7" s="22">
        <v>4035612732</v>
      </c>
      <c r="R7" s="22">
        <v>50115318</v>
      </c>
      <c r="S7" s="22">
        <v>32180793</v>
      </c>
      <c r="T7" s="22">
        <v>125141880</v>
      </c>
      <c r="U7" s="23">
        <v>42748637806</v>
      </c>
    </row>
    <row r="8" spans="1:21" ht="14.25" customHeight="1" x14ac:dyDescent="0.2">
      <c r="A8" s="20" t="s">
        <v>15</v>
      </c>
      <c r="B8" s="21" t="s">
        <v>107</v>
      </c>
      <c r="C8" s="22">
        <v>82542819</v>
      </c>
      <c r="D8" s="22">
        <v>1236732019</v>
      </c>
      <c r="E8" s="22">
        <v>316759595</v>
      </c>
      <c r="F8" s="22">
        <v>4387271</v>
      </c>
      <c r="G8" s="22">
        <v>4256906</v>
      </c>
      <c r="H8" s="22">
        <v>16430566</v>
      </c>
      <c r="I8" s="22">
        <v>0</v>
      </c>
      <c r="J8" s="22">
        <v>295823</v>
      </c>
      <c r="K8" s="22">
        <v>6095439</v>
      </c>
      <c r="L8" s="22">
        <v>138495097</v>
      </c>
      <c r="M8" s="22">
        <v>214316</v>
      </c>
      <c r="N8" s="22">
        <v>15909860</v>
      </c>
      <c r="O8" s="22">
        <v>597243997</v>
      </c>
      <c r="P8" s="22">
        <v>51594889</v>
      </c>
      <c r="Q8" s="22">
        <v>113512024</v>
      </c>
      <c r="R8" s="22">
        <v>631745</v>
      </c>
      <c r="S8" s="22">
        <v>3864922</v>
      </c>
      <c r="T8" s="22">
        <v>26478142</v>
      </c>
      <c r="U8" s="23">
        <v>2615445430</v>
      </c>
    </row>
    <row r="9" spans="1:21" ht="14.25" customHeight="1" x14ac:dyDescent="0.2">
      <c r="A9" s="20" t="s">
        <v>16</v>
      </c>
      <c r="B9" s="21" t="s">
        <v>106</v>
      </c>
      <c r="C9" s="22">
        <v>1897398590</v>
      </c>
      <c r="D9" s="22">
        <v>74637176400</v>
      </c>
      <c r="E9" s="22">
        <v>1326560170</v>
      </c>
      <c r="F9" s="22">
        <v>9719216570</v>
      </c>
      <c r="G9" s="22">
        <v>1314984960</v>
      </c>
      <c r="H9" s="22">
        <v>4005819680</v>
      </c>
      <c r="I9" s="22">
        <v>86883160</v>
      </c>
      <c r="J9" s="22">
        <v>1362090</v>
      </c>
      <c r="K9" s="22">
        <v>468997480</v>
      </c>
      <c r="L9" s="22">
        <v>7538903850</v>
      </c>
      <c r="M9" s="22">
        <v>124028990</v>
      </c>
      <c r="N9" s="22">
        <v>2367714270</v>
      </c>
      <c r="O9" s="22">
        <v>1046051190</v>
      </c>
      <c r="P9" s="22">
        <v>2084993140</v>
      </c>
      <c r="Q9" s="22">
        <v>7810502380</v>
      </c>
      <c r="R9" s="22">
        <v>0</v>
      </c>
      <c r="S9" s="22">
        <v>72617540</v>
      </c>
      <c r="T9" s="22">
        <v>266139620</v>
      </c>
      <c r="U9" s="23">
        <v>114769350080</v>
      </c>
    </row>
    <row r="10" spans="1:21" ht="14.25" customHeight="1" x14ac:dyDescent="0.2">
      <c r="A10" s="20" t="s">
        <v>17</v>
      </c>
      <c r="B10" s="21" t="s">
        <v>106</v>
      </c>
      <c r="C10" s="22">
        <v>3403886910</v>
      </c>
      <c r="D10" s="22">
        <v>257287974490</v>
      </c>
      <c r="E10" s="22">
        <v>819537370</v>
      </c>
      <c r="F10" s="22">
        <v>75002390010</v>
      </c>
      <c r="G10" s="22">
        <v>10017978370</v>
      </c>
      <c r="H10" s="22">
        <v>26661709890</v>
      </c>
      <c r="I10" s="22">
        <v>2806979480</v>
      </c>
      <c r="J10" s="22">
        <v>90105440</v>
      </c>
      <c r="K10" s="22">
        <v>2361353470</v>
      </c>
      <c r="L10" s="22">
        <v>49255032580</v>
      </c>
      <c r="M10" s="22">
        <v>622915260</v>
      </c>
      <c r="N10" s="22">
        <v>24311067560</v>
      </c>
      <c r="O10" s="22">
        <v>1993926670</v>
      </c>
      <c r="P10" s="22">
        <v>8118190520</v>
      </c>
      <c r="Q10" s="22">
        <v>17939889040</v>
      </c>
      <c r="R10" s="22">
        <v>0</v>
      </c>
      <c r="S10" s="22">
        <v>1683301780</v>
      </c>
      <c r="T10" s="22">
        <v>18203190</v>
      </c>
      <c r="U10" s="23">
        <v>482394442030</v>
      </c>
    </row>
    <row r="11" spans="1:21" ht="14.25" customHeight="1" x14ac:dyDescent="0.2">
      <c r="A11" s="20" t="s">
        <v>18</v>
      </c>
      <c r="B11" s="21" t="s">
        <v>107</v>
      </c>
      <c r="C11" s="22">
        <v>37269872</v>
      </c>
      <c r="D11" s="22">
        <v>347383908</v>
      </c>
      <c r="E11" s="22">
        <v>63561921</v>
      </c>
      <c r="F11" s="22">
        <v>0</v>
      </c>
      <c r="G11" s="22">
        <v>1914645</v>
      </c>
      <c r="H11" s="22">
        <v>1003835</v>
      </c>
      <c r="I11" s="22">
        <v>0</v>
      </c>
      <c r="J11" s="22">
        <v>155497</v>
      </c>
      <c r="K11" s="22">
        <v>40668852</v>
      </c>
      <c r="L11" s="22">
        <v>41406382</v>
      </c>
      <c r="M11" s="22">
        <v>0</v>
      </c>
      <c r="N11" s="22">
        <v>4332994</v>
      </c>
      <c r="O11" s="22">
        <v>514763354</v>
      </c>
      <c r="P11" s="22">
        <v>15843338</v>
      </c>
      <c r="Q11" s="22">
        <v>38036670</v>
      </c>
      <c r="R11" s="22">
        <v>0</v>
      </c>
      <c r="S11" s="22">
        <v>1359516</v>
      </c>
      <c r="T11" s="22">
        <v>4783680</v>
      </c>
      <c r="U11" s="23">
        <v>1112484464</v>
      </c>
    </row>
    <row r="12" spans="1:21" ht="14.25" customHeight="1" x14ac:dyDescent="0.2">
      <c r="A12" s="20" t="s">
        <v>19</v>
      </c>
      <c r="B12" s="21" t="s">
        <v>106</v>
      </c>
      <c r="C12" s="22">
        <v>2784453321</v>
      </c>
      <c r="D12" s="22">
        <v>32065709159</v>
      </c>
      <c r="E12" s="22">
        <v>630862213</v>
      </c>
      <c r="F12" s="22">
        <v>4127561967</v>
      </c>
      <c r="G12" s="22">
        <v>646676757</v>
      </c>
      <c r="H12" s="22">
        <v>497587192</v>
      </c>
      <c r="I12" s="22">
        <v>493802182</v>
      </c>
      <c r="J12" s="22">
        <v>84143222</v>
      </c>
      <c r="K12" s="22">
        <v>575579482</v>
      </c>
      <c r="L12" s="22">
        <v>2912534916</v>
      </c>
      <c r="M12" s="22">
        <v>64942582</v>
      </c>
      <c r="N12" s="22">
        <v>933460057</v>
      </c>
      <c r="O12" s="22">
        <v>1190754449</v>
      </c>
      <c r="P12" s="22">
        <v>573422667</v>
      </c>
      <c r="Q12" s="22">
        <v>1912258931</v>
      </c>
      <c r="R12" s="22">
        <v>30475780</v>
      </c>
      <c r="S12" s="22">
        <v>154612056</v>
      </c>
      <c r="T12" s="22">
        <v>174936033</v>
      </c>
      <c r="U12" s="23">
        <v>49853772966</v>
      </c>
    </row>
    <row r="13" spans="1:21" ht="14.25" customHeight="1" x14ac:dyDescent="0.2">
      <c r="A13" s="20" t="s">
        <v>20</v>
      </c>
      <c r="B13" s="21" t="s">
        <v>106</v>
      </c>
      <c r="C13" s="22">
        <v>1192737463</v>
      </c>
      <c r="D13" s="22">
        <v>16438728196</v>
      </c>
      <c r="E13" s="22">
        <v>1961877946</v>
      </c>
      <c r="F13" s="22">
        <v>244764134</v>
      </c>
      <c r="G13" s="22">
        <v>151356442</v>
      </c>
      <c r="H13" s="22">
        <v>46396050</v>
      </c>
      <c r="I13" s="22">
        <v>0</v>
      </c>
      <c r="J13" s="22">
        <v>12714410</v>
      </c>
      <c r="K13" s="22">
        <v>198456133</v>
      </c>
      <c r="L13" s="22">
        <v>1368789785</v>
      </c>
      <c r="M13" s="22">
        <v>9728720</v>
      </c>
      <c r="N13" s="22">
        <v>207414131</v>
      </c>
      <c r="O13" s="22">
        <v>728851190</v>
      </c>
      <c r="P13" s="22">
        <v>540674655</v>
      </c>
      <c r="Q13" s="22">
        <v>1238940871</v>
      </c>
      <c r="R13" s="22">
        <v>0</v>
      </c>
      <c r="S13" s="22">
        <v>387277069</v>
      </c>
      <c r="T13" s="22">
        <v>123983190</v>
      </c>
      <c r="U13" s="23">
        <v>24852690385</v>
      </c>
    </row>
    <row r="14" spans="1:21" ht="14.25" customHeight="1" x14ac:dyDescent="0.2">
      <c r="A14" s="20" t="s">
        <v>21</v>
      </c>
      <c r="B14" s="21" t="s">
        <v>106</v>
      </c>
      <c r="C14" s="22">
        <v>543299049</v>
      </c>
      <c r="D14" s="22">
        <v>22891695602</v>
      </c>
      <c r="E14" s="22">
        <v>1448614639</v>
      </c>
      <c r="F14" s="22">
        <v>421916574</v>
      </c>
      <c r="G14" s="22">
        <v>93130962</v>
      </c>
      <c r="H14" s="22">
        <v>1020192537</v>
      </c>
      <c r="I14" s="22">
        <v>0</v>
      </c>
      <c r="J14" s="22">
        <v>19894095</v>
      </c>
      <c r="K14" s="22">
        <v>174878250</v>
      </c>
      <c r="L14" s="22">
        <v>1908128184</v>
      </c>
      <c r="M14" s="22">
        <v>12692838</v>
      </c>
      <c r="N14" s="22">
        <v>552814308</v>
      </c>
      <c r="O14" s="22">
        <v>1267850595</v>
      </c>
      <c r="P14" s="22">
        <v>828014463</v>
      </c>
      <c r="Q14" s="22">
        <v>1116959373</v>
      </c>
      <c r="R14" s="22">
        <v>0</v>
      </c>
      <c r="S14" s="22">
        <v>54272541</v>
      </c>
      <c r="T14" s="22">
        <v>310971160</v>
      </c>
      <c r="U14" s="23">
        <v>32665325170</v>
      </c>
    </row>
    <row r="15" spans="1:21" ht="14.25" customHeight="1" x14ac:dyDescent="0.2">
      <c r="A15" s="20" t="s">
        <v>22</v>
      </c>
      <c r="B15" s="21" t="s">
        <v>106</v>
      </c>
      <c r="C15" s="22">
        <v>4775867320</v>
      </c>
      <c r="D15" s="22">
        <v>123042206494</v>
      </c>
      <c r="E15" s="22">
        <v>649017311</v>
      </c>
      <c r="F15" s="22">
        <v>64328970357</v>
      </c>
      <c r="G15" s="22">
        <v>1033468586</v>
      </c>
      <c r="H15" s="22">
        <v>3034663186</v>
      </c>
      <c r="I15" s="22">
        <v>844869277</v>
      </c>
      <c r="J15" s="22">
        <v>2398428117</v>
      </c>
      <c r="K15" s="22">
        <v>1086498253</v>
      </c>
      <c r="L15" s="22">
        <v>10239553955</v>
      </c>
      <c r="M15" s="22">
        <v>83009983</v>
      </c>
      <c r="N15" s="22">
        <v>2166748460</v>
      </c>
      <c r="O15" s="22">
        <v>1614503748</v>
      </c>
      <c r="P15" s="22">
        <v>2956683219</v>
      </c>
      <c r="Q15" s="22">
        <v>5908396732</v>
      </c>
      <c r="R15" s="22">
        <v>16549501</v>
      </c>
      <c r="S15" s="22">
        <v>91612064</v>
      </c>
      <c r="T15" s="22">
        <v>725031110</v>
      </c>
      <c r="U15" s="23">
        <v>224996077673</v>
      </c>
    </row>
    <row r="16" spans="1:21" ht="14.25" customHeight="1" x14ac:dyDescent="0.2">
      <c r="A16" s="20" t="s">
        <v>23</v>
      </c>
      <c r="B16" s="21" t="s">
        <v>106</v>
      </c>
      <c r="C16" s="22">
        <v>149029505</v>
      </c>
      <c r="D16" s="22">
        <v>3218145898</v>
      </c>
      <c r="E16" s="22">
        <v>1001940866</v>
      </c>
      <c r="F16" s="22">
        <v>6431480</v>
      </c>
      <c r="G16" s="22">
        <v>45690304</v>
      </c>
      <c r="H16" s="22">
        <v>56754764</v>
      </c>
      <c r="I16" s="22">
        <v>0</v>
      </c>
      <c r="J16" s="22">
        <v>39610250</v>
      </c>
      <c r="K16" s="22">
        <v>53161611</v>
      </c>
      <c r="L16" s="22">
        <v>622496799</v>
      </c>
      <c r="M16" s="22">
        <v>4425533</v>
      </c>
      <c r="N16" s="22">
        <v>190352227</v>
      </c>
      <c r="O16" s="22">
        <v>1443026539</v>
      </c>
      <c r="P16" s="22">
        <v>202274840</v>
      </c>
      <c r="Q16" s="22">
        <v>544210442</v>
      </c>
      <c r="R16" s="22">
        <v>0</v>
      </c>
      <c r="S16" s="22">
        <v>24731363</v>
      </c>
      <c r="T16" s="22">
        <v>64540082</v>
      </c>
      <c r="U16" s="23">
        <v>7666822503</v>
      </c>
    </row>
    <row r="17" spans="1:21" ht="14.25" customHeight="1" x14ac:dyDescent="0.2">
      <c r="A17" s="20" t="s">
        <v>104</v>
      </c>
      <c r="B17" s="21" t="s">
        <v>106</v>
      </c>
      <c r="C17" s="22">
        <v>9662572633</v>
      </c>
      <c r="D17" s="22">
        <v>298753923669</v>
      </c>
      <c r="E17" s="22">
        <v>43826239</v>
      </c>
      <c r="F17" s="22">
        <v>193889517441</v>
      </c>
      <c r="G17" s="22">
        <v>22050920103</v>
      </c>
      <c r="H17" s="22">
        <v>37945460828</v>
      </c>
      <c r="I17" s="22">
        <v>526436348</v>
      </c>
      <c r="J17" s="22">
        <v>432348073</v>
      </c>
      <c r="K17" s="22">
        <v>13391317443</v>
      </c>
      <c r="L17" s="22">
        <v>86882796898</v>
      </c>
      <c r="M17" s="22">
        <v>2701988946</v>
      </c>
      <c r="N17" s="22">
        <v>45766402406</v>
      </c>
      <c r="O17" s="22">
        <v>8145805127</v>
      </c>
      <c r="P17" s="22">
        <v>11804910635</v>
      </c>
      <c r="Q17" s="22">
        <v>29746545922</v>
      </c>
      <c r="R17" s="22">
        <v>2387962783</v>
      </c>
      <c r="S17" s="22">
        <v>1432885248</v>
      </c>
      <c r="T17" s="22">
        <v>2019168721</v>
      </c>
      <c r="U17" s="23">
        <v>767584789463</v>
      </c>
    </row>
    <row r="18" spans="1:21" ht="14.25" customHeight="1" x14ac:dyDescent="0.2">
      <c r="A18" s="20" t="s">
        <v>24</v>
      </c>
      <c r="B18" s="21" t="s">
        <v>106</v>
      </c>
      <c r="C18" s="22">
        <v>118116207</v>
      </c>
      <c r="D18" s="22">
        <v>1565721794</v>
      </c>
      <c r="E18" s="22">
        <v>374484944</v>
      </c>
      <c r="F18" s="22">
        <v>111309645</v>
      </c>
      <c r="G18" s="22">
        <v>65760838</v>
      </c>
      <c r="H18" s="22">
        <v>73368131</v>
      </c>
      <c r="I18" s="22">
        <v>0</v>
      </c>
      <c r="J18" s="22">
        <v>716503</v>
      </c>
      <c r="K18" s="22">
        <v>21378052</v>
      </c>
      <c r="L18" s="22">
        <v>268788512</v>
      </c>
      <c r="M18" s="22">
        <v>4889559</v>
      </c>
      <c r="N18" s="22">
        <v>131454270</v>
      </c>
      <c r="O18" s="22">
        <v>2381130460</v>
      </c>
      <c r="P18" s="22">
        <v>75890258</v>
      </c>
      <c r="Q18" s="22">
        <v>260777982</v>
      </c>
      <c r="R18" s="22">
        <v>0</v>
      </c>
      <c r="S18" s="22">
        <v>87202805</v>
      </c>
      <c r="T18" s="22">
        <v>70066618</v>
      </c>
      <c r="U18" s="23">
        <v>5611056578</v>
      </c>
    </row>
    <row r="19" spans="1:21" ht="14.25" customHeight="1" x14ac:dyDescent="0.2">
      <c r="A19" s="20" t="s">
        <v>25</v>
      </c>
      <c r="B19" s="21" t="s">
        <v>107</v>
      </c>
      <c r="C19" s="22">
        <v>158203600</v>
      </c>
      <c r="D19" s="22">
        <v>386343800</v>
      </c>
      <c r="E19" s="22">
        <v>312413900</v>
      </c>
      <c r="F19" s="22">
        <v>31354900</v>
      </c>
      <c r="G19" s="22">
        <v>1303400</v>
      </c>
      <c r="H19" s="22">
        <v>878800</v>
      </c>
      <c r="I19" s="22">
        <v>82400</v>
      </c>
      <c r="J19" s="22">
        <v>0</v>
      </c>
      <c r="K19" s="22">
        <v>5351600</v>
      </c>
      <c r="L19" s="22">
        <v>40261286</v>
      </c>
      <c r="M19" s="22">
        <v>703400</v>
      </c>
      <c r="N19" s="22">
        <v>12441400</v>
      </c>
      <c r="O19" s="22">
        <v>685684065</v>
      </c>
      <c r="P19" s="22">
        <v>17254800</v>
      </c>
      <c r="Q19" s="22">
        <v>176025700</v>
      </c>
      <c r="R19" s="22">
        <v>0</v>
      </c>
      <c r="S19" s="22">
        <v>872000</v>
      </c>
      <c r="T19" s="22">
        <v>1515100</v>
      </c>
      <c r="U19" s="23">
        <v>1830690151</v>
      </c>
    </row>
    <row r="20" spans="1:21" ht="14.25" customHeight="1" x14ac:dyDescent="0.2">
      <c r="A20" s="20" t="s">
        <v>26</v>
      </c>
      <c r="B20" s="21" t="s">
        <v>106</v>
      </c>
      <c r="C20" s="22">
        <v>1482993716</v>
      </c>
      <c r="D20" s="22">
        <v>93843350218</v>
      </c>
      <c r="E20" s="22">
        <v>1146818454</v>
      </c>
      <c r="F20" s="22">
        <v>6216980433</v>
      </c>
      <c r="G20" s="22">
        <v>2093421662</v>
      </c>
      <c r="H20" s="22">
        <v>14071202015</v>
      </c>
      <c r="I20" s="22">
        <v>5558000</v>
      </c>
      <c r="J20" s="22">
        <v>831983898</v>
      </c>
      <c r="K20" s="22">
        <v>782291655</v>
      </c>
      <c r="L20" s="22">
        <v>19415521004</v>
      </c>
      <c r="M20" s="22">
        <v>362335702</v>
      </c>
      <c r="N20" s="22">
        <v>11221386899</v>
      </c>
      <c r="O20" s="22">
        <v>2890753628</v>
      </c>
      <c r="P20" s="22">
        <v>5004337564</v>
      </c>
      <c r="Q20" s="22">
        <v>7062101250</v>
      </c>
      <c r="R20" s="22">
        <v>503770092</v>
      </c>
      <c r="S20" s="22">
        <v>135098264</v>
      </c>
      <c r="T20" s="22">
        <v>139498955</v>
      </c>
      <c r="U20" s="23">
        <v>167209403409</v>
      </c>
    </row>
    <row r="21" spans="1:21" ht="14.25" customHeight="1" x14ac:dyDescent="0.2">
      <c r="A21" s="20" t="s">
        <v>27</v>
      </c>
      <c r="B21" s="21" t="s">
        <v>106</v>
      </c>
      <c r="C21" s="22">
        <v>678760298</v>
      </c>
      <c r="D21" s="22">
        <v>27878095174</v>
      </c>
      <c r="E21" s="22">
        <v>303878426</v>
      </c>
      <c r="F21" s="22">
        <v>3623253999</v>
      </c>
      <c r="G21" s="22">
        <v>1075837657</v>
      </c>
      <c r="H21" s="22">
        <v>2208832359</v>
      </c>
      <c r="I21" s="22">
        <v>0</v>
      </c>
      <c r="J21" s="22">
        <v>123311268</v>
      </c>
      <c r="K21" s="22">
        <v>299699030</v>
      </c>
      <c r="L21" s="22">
        <v>4598074023</v>
      </c>
      <c r="M21" s="22">
        <v>8231491</v>
      </c>
      <c r="N21" s="22">
        <v>835295757</v>
      </c>
      <c r="O21" s="22">
        <v>702833085</v>
      </c>
      <c r="P21" s="22">
        <v>1043407134</v>
      </c>
      <c r="Q21" s="22">
        <v>4309815970</v>
      </c>
      <c r="R21" s="22">
        <v>176169366</v>
      </c>
      <c r="S21" s="22">
        <v>85125759</v>
      </c>
      <c r="T21" s="22">
        <v>60098804</v>
      </c>
      <c r="U21" s="23">
        <v>48010719600</v>
      </c>
    </row>
    <row r="22" spans="1:21" ht="14.25" customHeight="1" x14ac:dyDescent="0.2">
      <c r="A22" s="20" t="s">
        <v>28</v>
      </c>
      <c r="B22" s="21" t="s">
        <v>106</v>
      </c>
      <c r="C22" s="22">
        <v>1184973976</v>
      </c>
      <c r="D22" s="22">
        <v>19735270928</v>
      </c>
      <c r="E22" s="22">
        <v>274085879</v>
      </c>
      <c r="F22" s="22">
        <v>1805159045</v>
      </c>
      <c r="G22" s="22">
        <v>574933358</v>
      </c>
      <c r="H22" s="22">
        <v>200820386</v>
      </c>
      <c r="I22" s="22">
        <v>42807722</v>
      </c>
      <c r="J22" s="22">
        <v>106238192</v>
      </c>
      <c r="K22" s="22">
        <v>267276454</v>
      </c>
      <c r="L22" s="22">
        <v>868007067</v>
      </c>
      <c r="M22" s="22">
        <v>19969529</v>
      </c>
      <c r="N22" s="22">
        <v>239854408</v>
      </c>
      <c r="O22" s="22">
        <v>633322003</v>
      </c>
      <c r="P22" s="22">
        <v>189517862</v>
      </c>
      <c r="Q22" s="22">
        <v>695035872</v>
      </c>
      <c r="R22" s="22">
        <v>166313</v>
      </c>
      <c r="S22" s="22">
        <v>49295828</v>
      </c>
      <c r="T22" s="22">
        <v>88429547</v>
      </c>
      <c r="U22" s="23">
        <v>26975164369</v>
      </c>
    </row>
    <row r="23" spans="1:21" ht="14.25" customHeight="1" x14ac:dyDescent="0.2">
      <c r="A23" s="20" t="s">
        <v>29</v>
      </c>
      <c r="B23" s="21" t="s">
        <v>107</v>
      </c>
      <c r="C23" s="22">
        <v>612271746</v>
      </c>
      <c r="D23" s="22">
        <v>3746507531</v>
      </c>
      <c r="E23" s="22">
        <v>136859192</v>
      </c>
      <c r="F23" s="22">
        <v>161180291</v>
      </c>
      <c r="G23" s="22">
        <v>3386797</v>
      </c>
      <c r="H23" s="22">
        <v>481313</v>
      </c>
      <c r="I23" s="22">
        <v>603714</v>
      </c>
      <c r="J23" s="22">
        <v>33664059</v>
      </c>
      <c r="K23" s="22">
        <v>22734548</v>
      </c>
      <c r="L23" s="22">
        <v>147562002</v>
      </c>
      <c r="M23" s="22">
        <v>128675</v>
      </c>
      <c r="N23" s="22">
        <v>29992135</v>
      </c>
      <c r="O23" s="22">
        <v>56849696</v>
      </c>
      <c r="P23" s="22">
        <v>31906917</v>
      </c>
      <c r="Q23" s="22">
        <v>1047035894</v>
      </c>
      <c r="R23" s="22">
        <v>4333605</v>
      </c>
      <c r="S23" s="22">
        <v>6684469</v>
      </c>
      <c r="T23" s="22">
        <v>6404466</v>
      </c>
      <c r="U23" s="23">
        <v>6048587050</v>
      </c>
    </row>
    <row r="24" spans="1:21" ht="14.25" customHeight="1" x14ac:dyDescent="0.2">
      <c r="A24" s="20" t="s">
        <v>30</v>
      </c>
      <c r="B24" s="21" t="s">
        <v>107</v>
      </c>
      <c r="C24" s="22">
        <v>121876378</v>
      </c>
      <c r="D24" s="22">
        <v>1819555032</v>
      </c>
      <c r="E24" s="22">
        <v>308413100</v>
      </c>
      <c r="F24" s="22">
        <v>0</v>
      </c>
      <c r="G24" s="22">
        <v>24046336</v>
      </c>
      <c r="H24" s="22">
        <v>45151508</v>
      </c>
      <c r="I24" s="22">
        <v>0</v>
      </c>
      <c r="J24" s="22">
        <v>566485</v>
      </c>
      <c r="K24" s="22">
        <v>24471343</v>
      </c>
      <c r="L24" s="22">
        <v>222198339</v>
      </c>
      <c r="M24" s="22">
        <v>0</v>
      </c>
      <c r="N24" s="22">
        <v>136629421</v>
      </c>
      <c r="O24" s="22">
        <v>1450120493</v>
      </c>
      <c r="P24" s="22">
        <v>115471412</v>
      </c>
      <c r="Q24" s="22">
        <v>179919737</v>
      </c>
      <c r="R24" s="22">
        <v>722405</v>
      </c>
      <c r="S24" s="22">
        <v>30885038</v>
      </c>
      <c r="T24" s="22">
        <v>49746318</v>
      </c>
      <c r="U24" s="23">
        <v>4529773345</v>
      </c>
    </row>
    <row r="25" spans="1:21" ht="14.25" customHeight="1" x14ac:dyDescent="0.2">
      <c r="A25" s="20" t="s">
        <v>31</v>
      </c>
      <c r="B25" s="21" t="s">
        <v>107</v>
      </c>
      <c r="C25" s="22">
        <v>88783994</v>
      </c>
      <c r="D25" s="22">
        <v>781035955</v>
      </c>
      <c r="E25" s="22">
        <v>396938476</v>
      </c>
      <c r="F25" s="22">
        <v>0</v>
      </c>
      <c r="G25" s="22">
        <v>5767952</v>
      </c>
      <c r="H25" s="22">
        <v>1895087</v>
      </c>
      <c r="I25" s="22">
        <v>0</v>
      </c>
      <c r="J25" s="22">
        <v>30128472</v>
      </c>
      <c r="K25" s="22">
        <v>3427520</v>
      </c>
      <c r="L25" s="22">
        <v>44932530</v>
      </c>
      <c r="M25" s="22">
        <v>389408</v>
      </c>
      <c r="N25" s="22">
        <v>17686653</v>
      </c>
      <c r="O25" s="22">
        <v>1308930192</v>
      </c>
      <c r="P25" s="22">
        <v>34581633</v>
      </c>
      <c r="Q25" s="22">
        <v>120297283</v>
      </c>
      <c r="R25" s="22">
        <v>0</v>
      </c>
      <c r="S25" s="22">
        <v>19713796</v>
      </c>
      <c r="T25" s="22">
        <v>34522119</v>
      </c>
      <c r="U25" s="23">
        <v>2889031070</v>
      </c>
    </row>
    <row r="26" spans="1:21" ht="14.25" customHeight="1" x14ac:dyDescent="0.2">
      <c r="A26" s="20" t="s">
        <v>32</v>
      </c>
      <c r="B26" s="21" t="s">
        <v>107</v>
      </c>
      <c r="C26" s="22">
        <v>79251944</v>
      </c>
      <c r="D26" s="22">
        <v>460170420</v>
      </c>
      <c r="E26" s="22">
        <v>272734194</v>
      </c>
      <c r="F26" s="22">
        <v>18598368</v>
      </c>
      <c r="G26" s="22">
        <v>32318201</v>
      </c>
      <c r="H26" s="22">
        <v>3542842</v>
      </c>
      <c r="I26" s="22">
        <v>0</v>
      </c>
      <c r="J26" s="22">
        <v>8742907</v>
      </c>
      <c r="K26" s="22">
        <v>7426754</v>
      </c>
      <c r="L26" s="22">
        <v>100140230</v>
      </c>
      <c r="M26" s="22">
        <v>9015668</v>
      </c>
      <c r="N26" s="22">
        <v>31747983</v>
      </c>
      <c r="O26" s="22">
        <v>4075059275</v>
      </c>
      <c r="P26" s="22">
        <v>25293165</v>
      </c>
      <c r="Q26" s="22">
        <v>1114623854</v>
      </c>
      <c r="R26" s="22">
        <v>0</v>
      </c>
      <c r="S26" s="22">
        <v>36478325</v>
      </c>
      <c r="T26" s="22">
        <v>22963046</v>
      </c>
      <c r="U26" s="23">
        <v>6298107176</v>
      </c>
    </row>
    <row r="27" spans="1:21" ht="14.25" customHeight="1" x14ac:dyDescent="0.2">
      <c r="A27" s="20" t="s">
        <v>33</v>
      </c>
      <c r="B27" s="21" t="s">
        <v>107</v>
      </c>
      <c r="C27" s="22">
        <v>856364891</v>
      </c>
      <c r="D27" s="22">
        <v>3762297920</v>
      </c>
      <c r="E27" s="22">
        <v>197103900</v>
      </c>
      <c r="F27" s="22">
        <v>64246238</v>
      </c>
      <c r="G27" s="22">
        <v>10441085</v>
      </c>
      <c r="H27" s="22">
        <v>14825509</v>
      </c>
      <c r="I27" s="22">
        <v>0</v>
      </c>
      <c r="J27" s="22">
        <v>25408878</v>
      </c>
      <c r="K27" s="22">
        <v>2094373</v>
      </c>
      <c r="L27" s="22">
        <v>199374572</v>
      </c>
      <c r="M27" s="22">
        <v>0</v>
      </c>
      <c r="N27" s="22">
        <v>22927466</v>
      </c>
      <c r="O27" s="22">
        <v>831571920</v>
      </c>
      <c r="P27" s="22">
        <v>82133316</v>
      </c>
      <c r="Q27" s="22">
        <v>723984583</v>
      </c>
      <c r="R27" s="22">
        <v>931510</v>
      </c>
      <c r="S27" s="22">
        <v>11230318</v>
      </c>
      <c r="T27" s="22">
        <v>75397948</v>
      </c>
      <c r="U27" s="23">
        <v>6880334427</v>
      </c>
    </row>
    <row r="28" spans="1:21" ht="14.25" customHeight="1" x14ac:dyDescent="0.2">
      <c r="A28" s="20" t="s">
        <v>34</v>
      </c>
      <c r="B28" s="21" t="s">
        <v>106</v>
      </c>
      <c r="C28" s="22">
        <v>79136977</v>
      </c>
      <c r="D28" s="22">
        <v>321132783</v>
      </c>
      <c r="E28" s="22">
        <v>186579462</v>
      </c>
      <c r="F28" s="22">
        <v>0</v>
      </c>
      <c r="G28" s="22">
        <v>32802575</v>
      </c>
      <c r="H28" s="22">
        <v>5454444</v>
      </c>
      <c r="I28" s="22">
        <v>0</v>
      </c>
      <c r="J28" s="22">
        <v>3832222</v>
      </c>
      <c r="K28" s="22">
        <v>5805093</v>
      </c>
      <c r="L28" s="22">
        <v>42856919</v>
      </c>
      <c r="M28" s="22">
        <v>33823</v>
      </c>
      <c r="N28" s="22">
        <v>6817799</v>
      </c>
      <c r="O28" s="22">
        <v>997283047</v>
      </c>
      <c r="P28" s="22">
        <v>25906776</v>
      </c>
      <c r="Q28" s="22">
        <v>237955710</v>
      </c>
      <c r="R28" s="22">
        <v>0</v>
      </c>
      <c r="S28" s="22">
        <v>79964713</v>
      </c>
      <c r="T28" s="22">
        <v>25185812</v>
      </c>
      <c r="U28" s="23">
        <v>2050748155</v>
      </c>
    </row>
    <row r="29" spans="1:21" ht="14.25" customHeight="1" x14ac:dyDescent="0.2">
      <c r="A29" s="20" t="s">
        <v>35</v>
      </c>
      <c r="B29" s="21" t="s">
        <v>106</v>
      </c>
      <c r="C29" s="22">
        <v>93556364</v>
      </c>
      <c r="D29" s="22">
        <v>933167815</v>
      </c>
      <c r="E29" s="22">
        <v>203422395</v>
      </c>
      <c r="F29" s="22">
        <v>0</v>
      </c>
      <c r="G29" s="22">
        <v>40764500</v>
      </c>
      <c r="H29" s="22">
        <v>33900405</v>
      </c>
      <c r="I29" s="22">
        <v>0</v>
      </c>
      <c r="J29" s="22">
        <v>5757030</v>
      </c>
      <c r="K29" s="22">
        <v>15072298</v>
      </c>
      <c r="L29" s="22">
        <v>167452497</v>
      </c>
      <c r="M29" s="22">
        <v>2247777</v>
      </c>
      <c r="N29" s="22">
        <v>35030854</v>
      </c>
      <c r="O29" s="22">
        <v>3038908351</v>
      </c>
      <c r="P29" s="22">
        <v>94635092</v>
      </c>
      <c r="Q29" s="22">
        <v>297892139</v>
      </c>
      <c r="R29" s="22">
        <v>0</v>
      </c>
      <c r="S29" s="22">
        <v>686057313</v>
      </c>
      <c r="T29" s="22">
        <v>32233242</v>
      </c>
      <c r="U29" s="23">
        <v>5680098072</v>
      </c>
    </row>
    <row r="30" spans="1:21" ht="14.25" customHeight="1" x14ac:dyDescent="0.2">
      <c r="A30" s="20" t="s">
        <v>36</v>
      </c>
      <c r="B30" s="21" t="s">
        <v>106</v>
      </c>
      <c r="C30" s="22">
        <v>520539053</v>
      </c>
      <c r="D30" s="22">
        <v>2319565160</v>
      </c>
      <c r="E30" s="22">
        <v>620825027</v>
      </c>
      <c r="F30" s="22">
        <v>52133777</v>
      </c>
      <c r="G30" s="22">
        <v>93413045</v>
      </c>
      <c r="H30" s="22">
        <v>24932316</v>
      </c>
      <c r="I30" s="22">
        <v>0</v>
      </c>
      <c r="J30" s="22">
        <v>6558965</v>
      </c>
      <c r="K30" s="22">
        <v>40071621</v>
      </c>
      <c r="L30" s="22">
        <v>341233680</v>
      </c>
      <c r="M30" s="22">
        <v>67820673</v>
      </c>
      <c r="N30" s="22">
        <v>151395204</v>
      </c>
      <c r="O30" s="22">
        <v>2949233524</v>
      </c>
      <c r="P30" s="22">
        <v>145193592</v>
      </c>
      <c r="Q30" s="22">
        <v>1510444302</v>
      </c>
      <c r="R30" s="22">
        <v>31094835</v>
      </c>
      <c r="S30" s="22">
        <v>51270339</v>
      </c>
      <c r="T30" s="22">
        <v>18301382</v>
      </c>
      <c r="U30" s="23">
        <v>8944026495</v>
      </c>
    </row>
    <row r="31" spans="1:21" ht="14.25" customHeight="1" x14ac:dyDescent="0.2">
      <c r="A31" s="20" t="s">
        <v>37</v>
      </c>
      <c r="B31" s="21" t="s">
        <v>106</v>
      </c>
      <c r="C31" s="22">
        <v>861223340</v>
      </c>
      <c r="D31" s="22">
        <v>21322175549</v>
      </c>
      <c r="E31" s="22">
        <v>1867584348</v>
      </c>
      <c r="F31" s="22">
        <v>94659600</v>
      </c>
      <c r="G31" s="22">
        <v>139535020</v>
      </c>
      <c r="H31" s="22">
        <v>406698419</v>
      </c>
      <c r="I31" s="22">
        <v>5515813</v>
      </c>
      <c r="J31" s="22">
        <v>277087</v>
      </c>
      <c r="K31" s="22">
        <v>309369655</v>
      </c>
      <c r="L31" s="22">
        <v>1767564132</v>
      </c>
      <c r="M31" s="22">
        <v>11323715</v>
      </c>
      <c r="N31" s="22">
        <v>531220502</v>
      </c>
      <c r="O31" s="22">
        <v>1849431752</v>
      </c>
      <c r="P31" s="22">
        <v>523445481</v>
      </c>
      <c r="Q31" s="22">
        <v>1768012977</v>
      </c>
      <c r="R31" s="22">
        <v>33884973</v>
      </c>
      <c r="S31" s="22">
        <v>92903663</v>
      </c>
      <c r="T31" s="22">
        <v>342381902</v>
      </c>
      <c r="U31" s="23">
        <v>31927207928</v>
      </c>
    </row>
    <row r="32" spans="1:21" ht="14.25" customHeight="1" x14ac:dyDescent="0.2">
      <c r="A32" s="20" t="s">
        <v>38</v>
      </c>
      <c r="B32" s="21" t="s">
        <v>106</v>
      </c>
      <c r="C32" s="22">
        <v>603945610</v>
      </c>
      <c r="D32" s="22">
        <v>8234089201</v>
      </c>
      <c r="E32" s="22">
        <v>487615223</v>
      </c>
      <c r="F32" s="22">
        <v>179275334</v>
      </c>
      <c r="G32" s="22">
        <v>176182244</v>
      </c>
      <c r="H32" s="22">
        <v>85513696</v>
      </c>
      <c r="I32" s="22">
        <v>37437505</v>
      </c>
      <c r="J32" s="22">
        <v>175408367</v>
      </c>
      <c r="K32" s="22">
        <v>58919910</v>
      </c>
      <c r="L32" s="22">
        <v>1289831824</v>
      </c>
      <c r="M32" s="22">
        <v>7505614</v>
      </c>
      <c r="N32" s="22">
        <v>181625527</v>
      </c>
      <c r="O32" s="22">
        <v>3633728457</v>
      </c>
      <c r="P32" s="22">
        <v>601876358</v>
      </c>
      <c r="Q32" s="22">
        <v>702258728</v>
      </c>
      <c r="R32" s="22">
        <v>103231482</v>
      </c>
      <c r="S32" s="22">
        <v>26048353</v>
      </c>
      <c r="T32" s="22">
        <v>79452711</v>
      </c>
      <c r="U32" s="23">
        <v>16663946144</v>
      </c>
    </row>
    <row r="33" spans="1:21" ht="14.25" customHeight="1" x14ac:dyDescent="0.2">
      <c r="A33" s="20" t="s">
        <v>39</v>
      </c>
      <c r="B33" s="21" t="s">
        <v>106</v>
      </c>
      <c r="C33" s="22">
        <v>2515793199</v>
      </c>
      <c r="D33" s="22">
        <v>153348302126</v>
      </c>
      <c r="E33" s="22">
        <v>2181544104</v>
      </c>
      <c r="F33" s="22">
        <v>9691813721</v>
      </c>
      <c r="G33" s="22">
        <v>1521493552</v>
      </c>
      <c r="H33" s="22">
        <v>21076976886</v>
      </c>
      <c r="I33" s="22">
        <v>106836994</v>
      </c>
      <c r="J33" s="22">
        <v>781664721</v>
      </c>
      <c r="K33" s="22">
        <v>937308200</v>
      </c>
      <c r="L33" s="22">
        <v>27735282876</v>
      </c>
      <c r="M33" s="22">
        <v>178126703</v>
      </c>
      <c r="N33" s="22">
        <v>12263507584</v>
      </c>
      <c r="O33" s="22">
        <v>3977463101</v>
      </c>
      <c r="P33" s="22">
        <v>7948156799</v>
      </c>
      <c r="Q33" s="22">
        <v>14631308912</v>
      </c>
      <c r="R33" s="22">
        <v>2231821264</v>
      </c>
      <c r="S33" s="22">
        <v>498365690</v>
      </c>
      <c r="T33" s="22">
        <v>316463785</v>
      </c>
      <c r="U33" s="23">
        <v>261942230217</v>
      </c>
    </row>
    <row r="34" spans="1:21" ht="14.25" customHeight="1" x14ac:dyDescent="0.2">
      <c r="A34" s="20" t="s">
        <v>40</v>
      </c>
      <c r="B34" s="21" t="s">
        <v>107</v>
      </c>
      <c r="C34" s="22">
        <v>34843432</v>
      </c>
      <c r="D34" s="22">
        <v>417668246</v>
      </c>
      <c r="E34" s="22">
        <v>88611370</v>
      </c>
      <c r="F34" s="22">
        <v>0</v>
      </c>
      <c r="G34" s="22">
        <v>3678308</v>
      </c>
      <c r="H34" s="22">
        <v>3619706</v>
      </c>
      <c r="I34" s="22">
        <v>0</v>
      </c>
      <c r="J34" s="22">
        <v>453132</v>
      </c>
      <c r="K34" s="22">
        <v>9969139</v>
      </c>
      <c r="L34" s="22">
        <v>70414562</v>
      </c>
      <c r="M34" s="22">
        <v>0</v>
      </c>
      <c r="N34" s="22">
        <v>7564863</v>
      </c>
      <c r="O34" s="22">
        <v>978339292</v>
      </c>
      <c r="P34" s="22">
        <v>50345645</v>
      </c>
      <c r="Q34" s="22">
        <v>89543803</v>
      </c>
      <c r="R34" s="22">
        <v>746349</v>
      </c>
      <c r="S34" s="22">
        <v>3675043</v>
      </c>
      <c r="T34" s="22">
        <v>6740402</v>
      </c>
      <c r="U34" s="23">
        <v>1766213292</v>
      </c>
    </row>
    <row r="35" spans="1:21" ht="14.25" customHeight="1" x14ac:dyDescent="0.2">
      <c r="A35" s="20" t="s">
        <v>41</v>
      </c>
      <c r="B35" s="21" t="s">
        <v>106</v>
      </c>
      <c r="C35" s="22">
        <v>1036571308</v>
      </c>
      <c r="D35" s="22">
        <v>34765533104</v>
      </c>
      <c r="E35" s="22">
        <v>123960096</v>
      </c>
      <c r="F35" s="22">
        <v>6269395436</v>
      </c>
      <c r="G35" s="22">
        <v>276723115</v>
      </c>
      <c r="H35" s="22">
        <v>228931795</v>
      </c>
      <c r="I35" s="22">
        <v>8446416</v>
      </c>
      <c r="J35" s="22">
        <v>279891853</v>
      </c>
      <c r="K35" s="22">
        <v>141640600</v>
      </c>
      <c r="L35" s="22">
        <v>1605613992</v>
      </c>
      <c r="M35" s="22">
        <v>18789748</v>
      </c>
      <c r="N35" s="22">
        <v>341333552</v>
      </c>
      <c r="O35" s="22">
        <v>1753246275</v>
      </c>
      <c r="P35" s="22">
        <v>564897492</v>
      </c>
      <c r="Q35" s="22">
        <v>1426341606</v>
      </c>
      <c r="R35" s="22">
        <v>35506962</v>
      </c>
      <c r="S35" s="22">
        <v>27297166</v>
      </c>
      <c r="T35" s="22">
        <v>160562836</v>
      </c>
      <c r="U35" s="23">
        <v>49064683352</v>
      </c>
    </row>
    <row r="36" spans="1:21" ht="14.25" customHeight="1" x14ac:dyDescent="0.2">
      <c r="A36" s="20" t="s">
        <v>42</v>
      </c>
      <c r="B36" s="21" t="s">
        <v>107</v>
      </c>
      <c r="C36" s="22">
        <v>179860893</v>
      </c>
      <c r="D36" s="22">
        <v>1527472952</v>
      </c>
      <c r="E36" s="22">
        <v>303341772</v>
      </c>
      <c r="F36" s="22">
        <v>0</v>
      </c>
      <c r="G36" s="22">
        <v>16214608</v>
      </c>
      <c r="H36" s="22">
        <v>31660332</v>
      </c>
      <c r="I36" s="22">
        <v>0</v>
      </c>
      <c r="J36" s="22">
        <v>2818661</v>
      </c>
      <c r="K36" s="22">
        <v>19796910</v>
      </c>
      <c r="L36" s="22">
        <v>245575984</v>
      </c>
      <c r="M36" s="22">
        <v>898231</v>
      </c>
      <c r="N36" s="22">
        <v>94184399</v>
      </c>
      <c r="O36" s="22">
        <v>1115874661</v>
      </c>
      <c r="P36" s="22">
        <v>149722162</v>
      </c>
      <c r="Q36" s="22">
        <v>451596983</v>
      </c>
      <c r="R36" s="22">
        <v>0</v>
      </c>
      <c r="S36" s="22">
        <v>40394471</v>
      </c>
      <c r="T36" s="22">
        <v>7520673</v>
      </c>
      <c r="U36" s="23">
        <v>4186933692</v>
      </c>
    </row>
    <row r="37" spans="1:21" ht="14.25" customHeight="1" x14ac:dyDescent="0.2">
      <c r="A37" s="20" t="s">
        <v>43</v>
      </c>
      <c r="B37" s="21" t="s">
        <v>107</v>
      </c>
      <c r="C37" s="22">
        <v>65004572</v>
      </c>
      <c r="D37" s="22">
        <v>631405723</v>
      </c>
      <c r="E37" s="22">
        <v>142039698</v>
      </c>
      <c r="F37" s="22">
        <v>0</v>
      </c>
      <c r="G37" s="22">
        <v>8182802</v>
      </c>
      <c r="H37" s="22">
        <v>7707823</v>
      </c>
      <c r="I37" s="22">
        <v>225781</v>
      </c>
      <c r="J37" s="22">
        <v>22217</v>
      </c>
      <c r="K37" s="22">
        <v>5442558</v>
      </c>
      <c r="L37" s="22">
        <v>51338413</v>
      </c>
      <c r="M37" s="22">
        <v>559275</v>
      </c>
      <c r="N37" s="22">
        <v>14766872</v>
      </c>
      <c r="O37" s="22">
        <v>1331410830</v>
      </c>
      <c r="P37" s="22">
        <v>35568506</v>
      </c>
      <c r="Q37" s="22">
        <v>113664357</v>
      </c>
      <c r="R37" s="22">
        <v>0</v>
      </c>
      <c r="S37" s="22">
        <v>103629620</v>
      </c>
      <c r="T37" s="22">
        <v>12753360</v>
      </c>
      <c r="U37" s="23">
        <v>2523722407</v>
      </c>
    </row>
    <row r="38" spans="1:21" ht="14.25" customHeight="1" x14ac:dyDescent="0.2">
      <c r="A38" s="20" t="s">
        <v>44</v>
      </c>
      <c r="B38" s="21" t="s">
        <v>107</v>
      </c>
      <c r="C38" s="22">
        <v>35638704</v>
      </c>
      <c r="D38" s="22">
        <v>190402611</v>
      </c>
      <c r="E38" s="22">
        <v>62620618</v>
      </c>
      <c r="F38" s="22">
        <v>0</v>
      </c>
      <c r="G38" s="22">
        <v>1407492</v>
      </c>
      <c r="H38" s="22">
        <v>1366119</v>
      </c>
      <c r="I38" s="22">
        <v>0</v>
      </c>
      <c r="J38" s="22">
        <v>1505390</v>
      </c>
      <c r="K38" s="22">
        <v>1006673</v>
      </c>
      <c r="L38" s="22">
        <v>12793092</v>
      </c>
      <c r="M38" s="22">
        <v>40000</v>
      </c>
      <c r="N38" s="22">
        <v>2620356</v>
      </c>
      <c r="O38" s="22">
        <v>605957429</v>
      </c>
      <c r="P38" s="22">
        <v>18720623</v>
      </c>
      <c r="Q38" s="22">
        <v>93069510</v>
      </c>
      <c r="R38" s="22">
        <v>0</v>
      </c>
      <c r="S38" s="22">
        <v>2003738</v>
      </c>
      <c r="T38" s="22">
        <v>3660377</v>
      </c>
      <c r="U38" s="23">
        <v>1032812732</v>
      </c>
    </row>
    <row r="39" spans="1:21" ht="14.25" customHeight="1" x14ac:dyDescent="0.2">
      <c r="A39" s="20" t="s">
        <v>45</v>
      </c>
      <c r="B39" s="21" t="s">
        <v>106</v>
      </c>
      <c r="C39" s="22">
        <v>1779137190</v>
      </c>
      <c r="D39" s="22">
        <v>46954666497</v>
      </c>
      <c r="E39" s="22">
        <v>2459107978</v>
      </c>
      <c r="F39" s="22">
        <v>846076722</v>
      </c>
      <c r="G39" s="22">
        <v>353099783</v>
      </c>
      <c r="H39" s="22">
        <v>1706415769</v>
      </c>
      <c r="I39" s="22">
        <v>261920524</v>
      </c>
      <c r="J39" s="22">
        <v>313275351</v>
      </c>
      <c r="K39" s="22">
        <v>576429868</v>
      </c>
      <c r="L39" s="22">
        <v>4596226056</v>
      </c>
      <c r="M39" s="22">
        <v>90107160</v>
      </c>
      <c r="N39" s="22">
        <v>1499922814</v>
      </c>
      <c r="O39" s="22">
        <v>2184588263</v>
      </c>
      <c r="P39" s="22">
        <v>693104268</v>
      </c>
      <c r="Q39" s="22">
        <v>1796553582</v>
      </c>
      <c r="R39" s="22">
        <v>0</v>
      </c>
      <c r="S39" s="22">
        <v>25305849</v>
      </c>
      <c r="T39" s="22">
        <v>578168662</v>
      </c>
      <c r="U39" s="23">
        <v>66714106336</v>
      </c>
    </row>
    <row r="40" spans="1:21" ht="14.25" customHeight="1" x14ac:dyDescent="0.2">
      <c r="A40" s="20" t="s">
        <v>46</v>
      </c>
      <c r="B40" s="21" t="s">
        <v>106</v>
      </c>
      <c r="C40" s="22">
        <v>7789096360</v>
      </c>
      <c r="D40" s="22">
        <v>124212179811</v>
      </c>
      <c r="E40" s="22">
        <v>2174206703</v>
      </c>
      <c r="F40" s="22">
        <v>25636386654</v>
      </c>
      <c r="G40" s="22">
        <v>5177304064</v>
      </c>
      <c r="H40" s="22">
        <v>5074766587</v>
      </c>
      <c r="I40" s="22">
        <v>393582284</v>
      </c>
      <c r="J40" s="22">
        <v>709190093</v>
      </c>
      <c r="K40" s="22">
        <v>2675886471</v>
      </c>
      <c r="L40" s="22">
        <v>15810763260</v>
      </c>
      <c r="M40" s="22">
        <v>413895846</v>
      </c>
      <c r="N40" s="22">
        <v>5563101838</v>
      </c>
      <c r="O40" s="22">
        <v>2475115348</v>
      </c>
      <c r="P40" s="22">
        <v>5129826899</v>
      </c>
      <c r="Q40" s="22">
        <v>8228024341</v>
      </c>
      <c r="R40" s="22">
        <v>194605796</v>
      </c>
      <c r="S40" s="22">
        <v>382244890</v>
      </c>
      <c r="T40" s="22">
        <v>311305553</v>
      </c>
      <c r="U40" s="23">
        <v>212351482798</v>
      </c>
    </row>
    <row r="41" spans="1:21" ht="14.25" customHeight="1" x14ac:dyDescent="0.2">
      <c r="A41" s="20" t="s">
        <v>47</v>
      </c>
      <c r="B41" s="21" t="s">
        <v>106</v>
      </c>
      <c r="C41" s="22">
        <v>347996141</v>
      </c>
      <c r="D41" s="22">
        <v>22382607050</v>
      </c>
      <c r="E41" s="22">
        <v>408165385</v>
      </c>
      <c r="F41" s="22">
        <v>719790070</v>
      </c>
      <c r="G41" s="22">
        <v>569796159</v>
      </c>
      <c r="H41" s="22">
        <v>4394325784</v>
      </c>
      <c r="I41" s="22">
        <v>0</v>
      </c>
      <c r="J41" s="22">
        <v>128852978</v>
      </c>
      <c r="K41" s="22">
        <v>223916739</v>
      </c>
      <c r="L41" s="22">
        <v>4125373602</v>
      </c>
      <c r="M41" s="22">
        <v>15691744</v>
      </c>
      <c r="N41" s="22">
        <v>862639393</v>
      </c>
      <c r="O41" s="22">
        <v>901027778</v>
      </c>
      <c r="P41" s="22">
        <v>1130504302</v>
      </c>
      <c r="Q41" s="22">
        <v>6665262229</v>
      </c>
      <c r="R41" s="22">
        <v>0</v>
      </c>
      <c r="S41" s="22">
        <v>32764731</v>
      </c>
      <c r="T41" s="22">
        <v>216620718</v>
      </c>
      <c r="U41" s="23">
        <v>43125334803</v>
      </c>
    </row>
    <row r="42" spans="1:21" ht="14.25" customHeight="1" x14ac:dyDescent="0.2">
      <c r="A42" s="20" t="s">
        <v>48</v>
      </c>
      <c r="B42" s="21" t="s">
        <v>107</v>
      </c>
      <c r="C42" s="22">
        <v>433476148</v>
      </c>
      <c r="D42" s="22">
        <v>2099064221</v>
      </c>
      <c r="E42" s="22">
        <v>1266339076</v>
      </c>
      <c r="F42" s="22">
        <v>38361950</v>
      </c>
      <c r="G42" s="22">
        <v>18300459</v>
      </c>
      <c r="H42" s="22">
        <v>20044941</v>
      </c>
      <c r="I42" s="22">
        <v>0</v>
      </c>
      <c r="J42" s="22">
        <v>4599774</v>
      </c>
      <c r="K42" s="22">
        <v>24128780</v>
      </c>
      <c r="L42" s="22">
        <v>269646371</v>
      </c>
      <c r="M42" s="22">
        <v>834398</v>
      </c>
      <c r="N42" s="22">
        <v>31953142</v>
      </c>
      <c r="O42" s="22">
        <v>2932229733</v>
      </c>
      <c r="P42" s="22">
        <v>89917740</v>
      </c>
      <c r="Q42" s="22">
        <v>423459938</v>
      </c>
      <c r="R42" s="22">
        <v>3288902</v>
      </c>
      <c r="S42" s="22">
        <v>18795118</v>
      </c>
      <c r="T42" s="22">
        <v>44845667</v>
      </c>
      <c r="U42" s="23">
        <v>7719286358</v>
      </c>
    </row>
    <row r="43" spans="1:21" ht="14.25" customHeight="1" x14ac:dyDescent="0.2">
      <c r="A43" s="20" t="s">
        <v>49</v>
      </c>
      <c r="B43" s="21" t="s">
        <v>107</v>
      </c>
      <c r="C43" s="22">
        <v>12435971</v>
      </c>
      <c r="D43" s="22">
        <v>178084645</v>
      </c>
      <c r="E43" s="22">
        <v>29149263</v>
      </c>
      <c r="F43" s="22">
        <v>0</v>
      </c>
      <c r="G43" s="22">
        <v>5289605</v>
      </c>
      <c r="H43" s="22">
        <v>1018510</v>
      </c>
      <c r="I43" s="22">
        <v>0</v>
      </c>
      <c r="J43" s="22">
        <v>251741</v>
      </c>
      <c r="K43" s="22">
        <v>726550</v>
      </c>
      <c r="L43" s="22">
        <v>16016305</v>
      </c>
      <c r="M43" s="22">
        <v>0</v>
      </c>
      <c r="N43" s="22">
        <v>22321171</v>
      </c>
      <c r="O43" s="22">
        <v>288036661</v>
      </c>
      <c r="P43" s="22">
        <v>22945041</v>
      </c>
      <c r="Q43" s="22">
        <v>346942938</v>
      </c>
      <c r="R43" s="22">
        <v>0</v>
      </c>
      <c r="S43" s="22">
        <v>1377017</v>
      </c>
      <c r="T43" s="22">
        <v>1982773</v>
      </c>
      <c r="U43" s="23">
        <v>926578191</v>
      </c>
    </row>
    <row r="44" spans="1:21" ht="14.25" customHeight="1" x14ac:dyDescent="0.2">
      <c r="A44" s="20" t="s">
        <v>50</v>
      </c>
      <c r="B44" s="21" t="s">
        <v>107</v>
      </c>
      <c r="C44" s="22">
        <v>102337861</v>
      </c>
      <c r="D44" s="22">
        <v>543414470</v>
      </c>
      <c r="E44" s="22">
        <v>202785402</v>
      </c>
      <c r="F44" s="22">
        <v>0</v>
      </c>
      <c r="G44" s="22">
        <v>31114153</v>
      </c>
      <c r="H44" s="22">
        <v>9122594</v>
      </c>
      <c r="I44" s="22">
        <v>0</v>
      </c>
      <c r="J44" s="22">
        <v>0</v>
      </c>
      <c r="K44" s="22">
        <v>3039556</v>
      </c>
      <c r="L44" s="22">
        <v>96086944</v>
      </c>
      <c r="M44" s="22">
        <v>127573</v>
      </c>
      <c r="N44" s="22">
        <v>87016280</v>
      </c>
      <c r="O44" s="22">
        <v>938413835</v>
      </c>
      <c r="P44" s="22">
        <v>60276589</v>
      </c>
      <c r="Q44" s="22">
        <v>94002668</v>
      </c>
      <c r="R44" s="22">
        <v>0</v>
      </c>
      <c r="S44" s="22">
        <v>12301352</v>
      </c>
      <c r="T44" s="22">
        <v>19975279</v>
      </c>
      <c r="U44" s="23">
        <v>2200014556</v>
      </c>
    </row>
    <row r="45" spans="1:21" ht="14.25" customHeight="1" x14ac:dyDescent="0.2">
      <c r="A45" s="20" t="s">
        <v>51</v>
      </c>
      <c r="B45" s="21" t="s">
        <v>106</v>
      </c>
      <c r="C45" s="22">
        <v>1662617732</v>
      </c>
      <c r="D45" s="22">
        <v>65041270512</v>
      </c>
      <c r="E45" s="22">
        <v>555295704</v>
      </c>
      <c r="F45" s="22">
        <v>9811795541</v>
      </c>
      <c r="G45" s="22">
        <v>2180489281</v>
      </c>
      <c r="H45" s="22">
        <v>3619125184</v>
      </c>
      <c r="I45" s="22">
        <v>543376050</v>
      </c>
      <c r="J45" s="22">
        <v>117523759</v>
      </c>
      <c r="K45" s="22">
        <v>354585673</v>
      </c>
      <c r="L45" s="22">
        <v>5755621686</v>
      </c>
      <c r="M45" s="22">
        <v>107031357</v>
      </c>
      <c r="N45" s="22">
        <v>3027733458</v>
      </c>
      <c r="O45" s="22">
        <v>1857218920</v>
      </c>
      <c r="P45" s="22">
        <v>1928703887</v>
      </c>
      <c r="Q45" s="22">
        <v>2592225041</v>
      </c>
      <c r="R45" s="22">
        <v>76153901</v>
      </c>
      <c r="S45" s="22">
        <v>98115297</v>
      </c>
      <c r="T45" s="22">
        <v>527961481</v>
      </c>
      <c r="U45" s="23">
        <v>99856844464</v>
      </c>
    </row>
    <row r="46" spans="1:21" ht="14.25" customHeight="1" x14ac:dyDescent="0.2">
      <c r="A46" s="20" t="s">
        <v>52</v>
      </c>
      <c r="B46" s="21" t="s">
        <v>106</v>
      </c>
      <c r="C46" s="22">
        <v>2083571457</v>
      </c>
      <c r="D46" s="22">
        <v>36712165068</v>
      </c>
      <c r="E46" s="22">
        <v>2672568522</v>
      </c>
      <c r="F46" s="22">
        <v>337601390</v>
      </c>
      <c r="G46" s="22">
        <v>1214521655</v>
      </c>
      <c r="H46" s="22">
        <v>1127101108</v>
      </c>
      <c r="I46" s="22">
        <v>0</v>
      </c>
      <c r="J46" s="22">
        <v>317926004</v>
      </c>
      <c r="K46" s="22">
        <v>524403093</v>
      </c>
      <c r="L46" s="22">
        <v>4067806413</v>
      </c>
      <c r="M46" s="22">
        <v>97701964</v>
      </c>
      <c r="N46" s="22">
        <v>2037668326</v>
      </c>
      <c r="O46" s="22">
        <v>7830845975</v>
      </c>
      <c r="P46" s="22">
        <v>1220284067</v>
      </c>
      <c r="Q46" s="22">
        <v>3050830670</v>
      </c>
      <c r="R46" s="22">
        <v>22025997</v>
      </c>
      <c r="S46" s="22">
        <v>68817498</v>
      </c>
      <c r="T46" s="22">
        <v>353192179</v>
      </c>
      <c r="U46" s="23">
        <v>63739031386</v>
      </c>
    </row>
    <row r="47" spans="1:21" ht="14.25" customHeight="1" x14ac:dyDescent="0.2">
      <c r="A47" s="20" t="s">
        <v>53</v>
      </c>
      <c r="B47" s="21" t="s">
        <v>106</v>
      </c>
      <c r="C47" s="22">
        <v>2699961541</v>
      </c>
      <c r="D47" s="22">
        <v>38494026631</v>
      </c>
      <c r="E47" s="22">
        <v>419666810</v>
      </c>
      <c r="F47" s="22">
        <v>4067348688</v>
      </c>
      <c r="G47" s="22">
        <v>517715309</v>
      </c>
      <c r="H47" s="22">
        <v>790930089</v>
      </c>
      <c r="I47" s="22">
        <v>84925160</v>
      </c>
      <c r="J47" s="22">
        <v>0</v>
      </c>
      <c r="K47" s="22">
        <v>301287771</v>
      </c>
      <c r="L47" s="22">
        <v>3156995947</v>
      </c>
      <c r="M47" s="22">
        <v>77852315</v>
      </c>
      <c r="N47" s="22">
        <v>1236706388</v>
      </c>
      <c r="O47" s="22">
        <v>3043449034</v>
      </c>
      <c r="P47" s="22">
        <v>746352894</v>
      </c>
      <c r="Q47" s="22">
        <v>1434478802</v>
      </c>
      <c r="R47" s="22">
        <v>40720688</v>
      </c>
      <c r="S47" s="22">
        <v>178386390</v>
      </c>
      <c r="T47" s="22">
        <v>303334120</v>
      </c>
      <c r="U47" s="23">
        <v>57594138577</v>
      </c>
    </row>
    <row r="48" spans="1:21" ht="14.25" customHeight="1" x14ac:dyDescent="0.2">
      <c r="A48" s="20" t="s">
        <v>54</v>
      </c>
      <c r="B48" s="21" t="s">
        <v>106</v>
      </c>
      <c r="C48" s="22">
        <v>2212500243</v>
      </c>
      <c r="D48" s="22">
        <v>42308964864</v>
      </c>
      <c r="E48" s="22">
        <v>2098772993</v>
      </c>
      <c r="F48" s="22">
        <v>6846383158</v>
      </c>
      <c r="G48" s="22">
        <v>2015089532</v>
      </c>
      <c r="H48" s="22">
        <v>613695748</v>
      </c>
      <c r="I48" s="22">
        <v>18514271</v>
      </c>
      <c r="J48" s="22">
        <v>166462855</v>
      </c>
      <c r="K48" s="22">
        <v>257036666</v>
      </c>
      <c r="L48" s="22">
        <v>9922422945</v>
      </c>
      <c r="M48" s="22">
        <v>10792179</v>
      </c>
      <c r="N48" s="22">
        <v>384941177</v>
      </c>
      <c r="O48" s="22">
        <v>33308</v>
      </c>
      <c r="P48" s="22">
        <v>645101658</v>
      </c>
      <c r="Q48" s="22">
        <v>4583434068</v>
      </c>
      <c r="R48" s="22">
        <v>5053240</v>
      </c>
      <c r="S48" s="22">
        <v>147806420</v>
      </c>
      <c r="T48" s="22">
        <v>9712459</v>
      </c>
      <c r="U48" s="23">
        <v>72246717784</v>
      </c>
    </row>
    <row r="49" spans="1:21" ht="14.25" customHeight="1" x14ac:dyDescent="0.2">
      <c r="A49" s="20" t="s">
        <v>55</v>
      </c>
      <c r="B49" s="21" t="s">
        <v>106</v>
      </c>
      <c r="C49" s="22">
        <v>836173101</v>
      </c>
      <c r="D49" s="22">
        <v>17445744842</v>
      </c>
      <c r="E49" s="22">
        <v>1141031165</v>
      </c>
      <c r="F49" s="22">
        <v>3000305833</v>
      </c>
      <c r="G49" s="22">
        <v>267042106</v>
      </c>
      <c r="H49" s="22">
        <v>405027760</v>
      </c>
      <c r="I49" s="22">
        <v>0</v>
      </c>
      <c r="J49" s="22">
        <v>113803159</v>
      </c>
      <c r="K49" s="22">
        <v>205193163</v>
      </c>
      <c r="L49" s="22">
        <v>1412663004</v>
      </c>
      <c r="M49" s="22">
        <v>32235652</v>
      </c>
      <c r="N49" s="22">
        <v>262402370</v>
      </c>
      <c r="O49" s="22">
        <v>1889777492</v>
      </c>
      <c r="P49" s="22">
        <v>375784395</v>
      </c>
      <c r="Q49" s="22">
        <v>1221570341</v>
      </c>
      <c r="R49" s="22">
        <v>4126250</v>
      </c>
      <c r="S49" s="22">
        <v>53718097</v>
      </c>
      <c r="T49" s="22">
        <v>145553759</v>
      </c>
      <c r="U49" s="23">
        <v>28812152489</v>
      </c>
    </row>
    <row r="50" spans="1:21" ht="14.25" customHeight="1" x14ac:dyDescent="0.2">
      <c r="A50" s="20" t="s">
        <v>56</v>
      </c>
      <c r="B50" s="21" t="s">
        <v>106</v>
      </c>
      <c r="C50" s="22">
        <v>797835220</v>
      </c>
      <c r="D50" s="22">
        <v>26800949877</v>
      </c>
      <c r="E50" s="22">
        <v>407821716</v>
      </c>
      <c r="F50" s="22">
        <v>6646827392</v>
      </c>
      <c r="G50" s="22">
        <v>321118910</v>
      </c>
      <c r="H50" s="22">
        <v>1000809140</v>
      </c>
      <c r="I50" s="22">
        <v>840000</v>
      </c>
      <c r="J50" s="22">
        <v>12062082</v>
      </c>
      <c r="K50" s="22">
        <v>208118258</v>
      </c>
      <c r="L50" s="22">
        <v>2965383285</v>
      </c>
      <c r="M50" s="22">
        <v>2382711</v>
      </c>
      <c r="N50" s="22">
        <v>555936362</v>
      </c>
      <c r="O50" s="22">
        <v>601832515</v>
      </c>
      <c r="P50" s="22">
        <v>453034680</v>
      </c>
      <c r="Q50" s="22">
        <v>2334959576</v>
      </c>
      <c r="R50" s="22">
        <v>0</v>
      </c>
      <c r="S50" s="22">
        <v>54239979</v>
      </c>
      <c r="T50" s="22">
        <v>110674373</v>
      </c>
      <c r="U50" s="23">
        <v>43274826076</v>
      </c>
    </row>
    <row r="51" spans="1:21" ht="14.25" customHeight="1" x14ac:dyDescent="0.2">
      <c r="A51" s="20" t="s">
        <v>57</v>
      </c>
      <c r="B51" s="21" t="s">
        <v>106</v>
      </c>
      <c r="C51" s="22">
        <v>356038026</v>
      </c>
      <c r="D51" s="22">
        <v>2210146216</v>
      </c>
      <c r="E51" s="22">
        <v>790373855</v>
      </c>
      <c r="F51" s="22">
        <v>23757333</v>
      </c>
      <c r="G51" s="22">
        <v>100534785</v>
      </c>
      <c r="H51" s="22">
        <v>25878157</v>
      </c>
      <c r="I51" s="22">
        <v>0</v>
      </c>
      <c r="J51" s="22">
        <v>1125071</v>
      </c>
      <c r="K51" s="22">
        <v>28780320</v>
      </c>
      <c r="L51" s="22">
        <v>512867389</v>
      </c>
      <c r="M51" s="22">
        <v>10398422</v>
      </c>
      <c r="N51" s="22">
        <v>110045072</v>
      </c>
      <c r="O51" s="22">
        <v>3475436911</v>
      </c>
      <c r="P51" s="22">
        <v>139296183</v>
      </c>
      <c r="Q51" s="22">
        <v>1003313577</v>
      </c>
      <c r="R51" s="22">
        <v>9709514</v>
      </c>
      <c r="S51" s="22">
        <v>105019648</v>
      </c>
      <c r="T51" s="22">
        <v>50047490</v>
      </c>
      <c r="U51" s="23">
        <v>8952767969</v>
      </c>
    </row>
    <row r="52" spans="1:21" ht="14.25" customHeight="1" x14ac:dyDescent="0.2">
      <c r="A52" s="20" t="s">
        <v>58</v>
      </c>
      <c r="B52" s="21" t="s">
        <v>106</v>
      </c>
      <c r="C52" s="22">
        <v>2126840651</v>
      </c>
      <c r="D52" s="22">
        <v>161538845453</v>
      </c>
      <c r="E52" s="22">
        <v>980489075</v>
      </c>
      <c r="F52" s="22">
        <v>11335139207</v>
      </c>
      <c r="G52" s="22">
        <v>1660918752</v>
      </c>
      <c r="H52" s="22">
        <v>27019776508</v>
      </c>
      <c r="I52" s="22">
        <v>0</v>
      </c>
      <c r="J52" s="22">
        <v>100622261</v>
      </c>
      <c r="K52" s="22">
        <v>2582014772</v>
      </c>
      <c r="L52" s="22">
        <v>65733561478</v>
      </c>
      <c r="M52" s="22">
        <v>485379576</v>
      </c>
      <c r="N52" s="22">
        <v>18234370982</v>
      </c>
      <c r="O52" s="22">
        <v>2708360830</v>
      </c>
      <c r="P52" s="22">
        <v>4318740324</v>
      </c>
      <c r="Q52" s="22">
        <v>30790762307</v>
      </c>
      <c r="R52" s="22">
        <v>4384205</v>
      </c>
      <c r="S52" s="22">
        <v>117944446</v>
      </c>
      <c r="T52" s="22">
        <v>737585485</v>
      </c>
      <c r="U52" s="23">
        <v>330475736312</v>
      </c>
    </row>
    <row r="53" spans="1:21" ht="14.25" customHeight="1" x14ac:dyDescent="0.2">
      <c r="A53" s="20" t="s">
        <v>59</v>
      </c>
      <c r="B53" s="21" t="s">
        <v>106</v>
      </c>
      <c r="C53" s="22">
        <v>1109068764</v>
      </c>
      <c r="D53" s="22">
        <v>49339378802</v>
      </c>
      <c r="E53" s="22">
        <v>956469502</v>
      </c>
      <c r="F53" s="22">
        <v>6098062634</v>
      </c>
      <c r="G53" s="22">
        <v>375473200</v>
      </c>
      <c r="H53" s="22">
        <v>4569751658</v>
      </c>
      <c r="I53" s="22">
        <v>0</v>
      </c>
      <c r="J53" s="22">
        <v>16457288</v>
      </c>
      <c r="K53" s="22">
        <v>915441699</v>
      </c>
      <c r="L53" s="22">
        <v>7179606342</v>
      </c>
      <c r="M53" s="22">
        <v>93463800</v>
      </c>
      <c r="N53" s="22">
        <v>1482988902</v>
      </c>
      <c r="O53" s="22">
        <v>3210588200</v>
      </c>
      <c r="P53" s="22">
        <v>1154645227</v>
      </c>
      <c r="Q53" s="22">
        <v>2733344922</v>
      </c>
      <c r="R53" s="22">
        <v>7342000</v>
      </c>
      <c r="S53" s="22">
        <v>197812376</v>
      </c>
      <c r="T53" s="22">
        <v>216725606</v>
      </c>
      <c r="U53" s="23">
        <v>79656620922</v>
      </c>
    </row>
    <row r="54" spans="1:21" ht="14.25" customHeight="1" x14ac:dyDescent="0.2">
      <c r="A54" s="20" t="s">
        <v>60</v>
      </c>
      <c r="B54" s="21" t="s">
        <v>106</v>
      </c>
      <c r="C54" s="22">
        <v>8438187639</v>
      </c>
      <c r="D54" s="22">
        <v>309103473576</v>
      </c>
      <c r="E54" s="22">
        <v>559700339</v>
      </c>
      <c r="F54" s="22">
        <v>72101402254</v>
      </c>
      <c r="G54" s="22">
        <v>5923758048</v>
      </c>
      <c r="H54" s="22">
        <v>16957241388</v>
      </c>
      <c r="I54" s="22">
        <v>2266211189</v>
      </c>
      <c r="J54" s="22">
        <v>3216345069</v>
      </c>
      <c r="K54" s="22">
        <v>2070834475</v>
      </c>
      <c r="L54" s="22">
        <v>40912976634</v>
      </c>
      <c r="M54" s="22">
        <v>259644464</v>
      </c>
      <c r="N54" s="22">
        <v>12910859995</v>
      </c>
      <c r="O54" s="22">
        <v>12847192282</v>
      </c>
      <c r="P54" s="22">
        <v>6325100739</v>
      </c>
      <c r="Q54" s="22">
        <v>17551441019</v>
      </c>
      <c r="R54" s="22">
        <v>1217579080</v>
      </c>
      <c r="S54" s="22">
        <v>634687048</v>
      </c>
      <c r="T54" s="22">
        <v>9134716</v>
      </c>
      <c r="U54" s="23">
        <v>513305769954</v>
      </c>
    </row>
    <row r="55" spans="1:21" ht="14.25" customHeight="1" x14ac:dyDescent="0.2">
      <c r="A55" s="20" t="s">
        <v>61</v>
      </c>
      <c r="B55" s="21" t="s">
        <v>106</v>
      </c>
      <c r="C55" s="22">
        <v>1411220379</v>
      </c>
      <c r="D55" s="22">
        <v>67685703654</v>
      </c>
      <c r="E55" s="22">
        <v>3010000047</v>
      </c>
      <c r="F55" s="22">
        <v>1702576449</v>
      </c>
      <c r="G55" s="22">
        <v>814483131</v>
      </c>
      <c r="H55" s="22">
        <v>3377257595</v>
      </c>
      <c r="I55" s="22">
        <v>0</v>
      </c>
      <c r="J55" s="22">
        <v>72832251</v>
      </c>
      <c r="K55" s="22">
        <v>953381612</v>
      </c>
      <c r="L55" s="22">
        <v>5925128613</v>
      </c>
      <c r="M55" s="22">
        <v>58161410</v>
      </c>
      <c r="N55" s="22">
        <v>1873238538</v>
      </c>
      <c r="O55" s="22">
        <v>2133586347</v>
      </c>
      <c r="P55" s="22">
        <v>1228682824</v>
      </c>
      <c r="Q55" s="22">
        <v>2162834322</v>
      </c>
      <c r="R55" s="22">
        <v>271942</v>
      </c>
      <c r="S55" s="22">
        <v>71140529</v>
      </c>
      <c r="T55" s="22">
        <v>191416416</v>
      </c>
      <c r="U55" s="23">
        <v>92671916059</v>
      </c>
    </row>
    <row r="56" spans="1:21" ht="14.25" customHeight="1" x14ac:dyDescent="0.2">
      <c r="A56" s="20" t="s">
        <v>62</v>
      </c>
      <c r="B56" s="21" t="s">
        <v>106</v>
      </c>
      <c r="C56" s="22">
        <v>1887308212</v>
      </c>
      <c r="D56" s="22">
        <v>121232373010</v>
      </c>
      <c r="E56" s="22">
        <v>1821872864</v>
      </c>
      <c r="F56" s="22">
        <v>33926487707</v>
      </c>
      <c r="G56" s="22">
        <v>7064340701</v>
      </c>
      <c r="H56" s="22">
        <v>10625506168</v>
      </c>
      <c r="I56" s="22">
        <v>225099863</v>
      </c>
      <c r="J56" s="22">
        <v>48040059</v>
      </c>
      <c r="K56" s="22">
        <v>1856334510</v>
      </c>
      <c r="L56" s="22">
        <v>19442357969</v>
      </c>
      <c r="M56" s="22">
        <v>232299227</v>
      </c>
      <c r="N56" s="22">
        <v>6197386080</v>
      </c>
      <c r="O56" s="22">
        <v>103131459</v>
      </c>
      <c r="P56" s="22">
        <v>6196105875</v>
      </c>
      <c r="Q56" s="22">
        <v>6758783612</v>
      </c>
      <c r="R56" s="22">
        <v>921216784</v>
      </c>
      <c r="S56" s="22">
        <v>440036200</v>
      </c>
      <c r="T56" s="22">
        <v>180129221</v>
      </c>
      <c r="U56" s="23">
        <v>219158809521</v>
      </c>
    </row>
    <row r="57" spans="1:21" ht="14.25" customHeight="1" x14ac:dyDescent="0.2">
      <c r="A57" s="20" t="s">
        <v>63</v>
      </c>
      <c r="B57" s="21" t="s">
        <v>106</v>
      </c>
      <c r="C57" s="22">
        <v>1897253194</v>
      </c>
      <c r="D57" s="22">
        <v>62806125123</v>
      </c>
      <c r="E57" s="22">
        <v>4051887933</v>
      </c>
      <c r="F57" s="22">
        <v>1144848317</v>
      </c>
      <c r="G57" s="22">
        <v>1875530001</v>
      </c>
      <c r="H57" s="22">
        <v>4515627374</v>
      </c>
      <c r="I57" s="22">
        <v>12501500</v>
      </c>
      <c r="J57" s="22">
        <v>354473248</v>
      </c>
      <c r="K57" s="22">
        <v>643191611</v>
      </c>
      <c r="L57" s="22">
        <v>7812133409</v>
      </c>
      <c r="M57" s="22">
        <v>143447793</v>
      </c>
      <c r="N57" s="22">
        <v>6458386261</v>
      </c>
      <c r="O57" s="22">
        <v>2877968687</v>
      </c>
      <c r="P57" s="22">
        <v>2314300240</v>
      </c>
      <c r="Q57" s="22">
        <v>3173889247</v>
      </c>
      <c r="R57" s="22">
        <v>0</v>
      </c>
      <c r="S57" s="22">
        <v>250251507</v>
      </c>
      <c r="T57" s="22">
        <v>554941284</v>
      </c>
      <c r="U57" s="23">
        <v>100886756729</v>
      </c>
    </row>
    <row r="58" spans="1:21" ht="14.25" customHeight="1" x14ac:dyDescent="0.2">
      <c r="A58" s="20" t="s">
        <v>64</v>
      </c>
      <c r="B58" s="21" t="s">
        <v>106</v>
      </c>
      <c r="C58" s="22">
        <v>475024749</v>
      </c>
      <c r="D58" s="22">
        <v>4090902039</v>
      </c>
      <c r="E58" s="22">
        <v>1793144396</v>
      </c>
      <c r="F58" s="22">
        <v>49698730</v>
      </c>
      <c r="G58" s="22">
        <v>31019304</v>
      </c>
      <c r="H58" s="22">
        <v>75459732</v>
      </c>
      <c r="I58" s="22">
        <v>0</v>
      </c>
      <c r="J58" s="22">
        <v>175962597</v>
      </c>
      <c r="K58" s="22">
        <v>32313405</v>
      </c>
      <c r="L58" s="22">
        <v>1033181853</v>
      </c>
      <c r="M58" s="22">
        <v>11087605</v>
      </c>
      <c r="N58" s="22">
        <v>248184482</v>
      </c>
      <c r="O58" s="22">
        <v>672944240</v>
      </c>
      <c r="P58" s="22">
        <v>252800842</v>
      </c>
      <c r="Q58" s="22">
        <v>624562857</v>
      </c>
      <c r="R58" s="22">
        <v>12400220</v>
      </c>
      <c r="S58" s="22">
        <v>144627161</v>
      </c>
      <c r="T58" s="22">
        <v>197838764</v>
      </c>
      <c r="U58" s="23">
        <v>9921152976</v>
      </c>
    </row>
    <row r="59" spans="1:21" ht="14.25" customHeight="1" x14ac:dyDescent="0.2">
      <c r="A59" s="20" t="s">
        <v>65</v>
      </c>
      <c r="B59" s="21" t="s">
        <v>106</v>
      </c>
      <c r="C59" s="22">
        <v>2096188622</v>
      </c>
      <c r="D59" s="22">
        <v>63701542415</v>
      </c>
      <c r="E59" s="22">
        <v>1013282340</v>
      </c>
      <c r="F59" s="22">
        <v>5373197400</v>
      </c>
      <c r="G59" s="22">
        <v>1223481038</v>
      </c>
      <c r="H59" s="22">
        <v>1109826143</v>
      </c>
      <c r="I59" s="22">
        <v>0</v>
      </c>
      <c r="J59" s="22">
        <v>5894410</v>
      </c>
      <c r="K59" s="22">
        <v>892523932</v>
      </c>
      <c r="L59" s="22">
        <v>5249317120</v>
      </c>
      <c r="M59" s="22">
        <v>0</v>
      </c>
      <c r="N59" s="22">
        <v>1021074178</v>
      </c>
      <c r="O59" s="22">
        <v>1566193416</v>
      </c>
      <c r="P59" s="22">
        <v>1275041232</v>
      </c>
      <c r="Q59" s="22">
        <v>2581753860</v>
      </c>
      <c r="R59" s="22">
        <v>29351974</v>
      </c>
      <c r="S59" s="22">
        <v>516863148</v>
      </c>
      <c r="T59" s="22">
        <v>214540892</v>
      </c>
      <c r="U59" s="23">
        <v>87870072120</v>
      </c>
    </row>
    <row r="60" spans="1:21" ht="14.25" customHeight="1" x14ac:dyDescent="0.2">
      <c r="A60" s="20" t="s">
        <v>66</v>
      </c>
      <c r="B60" s="21" t="s">
        <v>106</v>
      </c>
      <c r="C60" s="22">
        <v>2025746180</v>
      </c>
      <c r="D60" s="22">
        <v>45342807370</v>
      </c>
      <c r="E60" s="22">
        <v>870200000</v>
      </c>
      <c r="F60" s="22">
        <v>4254332200</v>
      </c>
      <c r="G60" s="22">
        <v>482600700</v>
      </c>
      <c r="H60" s="22">
        <v>1459136800</v>
      </c>
      <c r="I60" s="22">
        <v>1020900</v>
      </c>
      <c r="J60" s="22">
        <v>42969100</v>
      </c>
      <c r="K60" s="22">
        <v>530095106</v>
      </c>
      <c r="L60" s="22">
        <v>4142605163</v>
      </c>
      <c r="M60" s="22">
        <v>160760000</v>
      </c>
      <c r="N60" s="22">
        <v>2136437826</v>
      </c>
      <c r="O60" s="22">
        <v>2379998241</v>
      </c>
      <c r="P60" s="22">
        <v>1022741121</v>
      </c>
      <c r="Q60" s="22">
        <v>1902080800</v>
      </c>
      <c r="R60" s="22">
        <v>8362700</v>
      </c>
      <c r="S60" s="22">
        <v>319636884</v>
      </c>
      <c r="T60" s="22">
        <v>213690200</v>
      </c>
      <c r="U60" s="23">
        <v>67295221291</v>
      </c>
    </row>
    <row r="61" spans="1:21" ht="14.25" customHeight="1" x14ac:dyDescent="0.2">
      <c r="A61" s="20" t="s">
        <v>67</v>
      </c>
      <c r="B61" s="21" t="s">
        <v>106</v>
      </c>
      <c r="C61" s="22">
        <v>1002288697</v>
      </c>
      <c r="D61" s="22">
        <v>21682182666</v>
      </c>
      <c r="E61" s="22">
        <v>660449637</v>
      </c>
      <c r="F61" s="22">
        <v>856434601</v>
      </c>
      <c r="G61" s="22">
        <v>177037696</v>
      </c>
      <c r="H61" s="22">
        <v>461364674</v>
      </c>
      <c r="I61" s="22">
        <v>0</v>
      </c>
      <c r="J61" s="22">
        <v>68808208</v>
      </c>
      <c r="K61" s="22">
        <v>309913391</v>
      </c>
      <c r="L61" s="22">
        <v>1533582883</v>
      </c>
      <c r="M61" s="22">
        <v>33182156</v>
      </c>
      <c r="N61" s="22">
        <v>428640674</v>
      </c>
      <c r="O61" s="22">
        <v>1543546672</v>
      </c>
      <c r="P61" s="22">
        <v>392752575</v>
      </c>
      <c r="Q61" s="22">
        <v>2083261279</v>
      </c>
      <c r="R61" s="22">
        <v>0</v>
      </c>
      <c r="S61" s="22">
        <v>142581927</v>
      </c>
      <c r="T61" s="22">
        <v>147170697</v>
      </c>
      <c r="U61" s="23">
        <v>31523198433</v>
      </c>
    </row>
    <row r="62" spans="1:21" ht="14.25" customHeight="1" x14ac:dyDescent="0.2">
      <c r="A62" s="20" t="s">
        <v>68</v>
      </c>
      <c r="B62" s="21" t="s">
        <v>106</v>
      </c>
      <c r="C62" s="22">
        <v>3398480300</v>
      </c>
      <c r="D62" s="22">
        <v>82126084400</v>
      </c>
      <c r="E62" s="22">
        <v>1418232600</v>
      </c>
      <c r="F62" s="22">
        <v>25880243800</v>
      </c>
      <c r="G62" s="22">
        <v>4172261600</v>
      </c>
      <c r="H62" s="22">
        <v>3475172800</v>
      </c>
      <c r="I62" s="22">
        <v>89646200</v>
      </c>
      <c r="J62" s="22">
        <v>1112282700</v>
      </c>
      <c r="K62" s="22">
        <v>885462400</v>
      </c>
      <c r="L62" s="22">
        <v>12250816900</v>
      </c>
      <c r="M62" s="22">
        <v>82310300</v>
      </c>
      <c r="N62" s="22">
        <v>2962510400</v>
      </c>
      <c r="O62" s="22">
        <v>2234752500</v>
      </c>
      <c r="P62" s="22">
        <v>2910252200</v>
      </c>
      <c r="Q62" s="22">
        <v>5365639600</v>
      </c>
      <c r="R62" s="22">
        <v>13120500</v>
      </c>
      <c r="S62" s="22">
        <v>402746200</v>
      </c>
      <c r="T62" s="22">
        <v>462300700</v>
      </c>
      <c r="U62" s="23">
        <v>149242316100</v>
      </c>
    </row>
    <row r="63" spans="1:21" ht="14.25" customHeight="1" x14ac:dyDescent="0.2">
      <c r="A63" s="20" t="s">
        <v>69</v>
      </c>
      <c r="B63" s="21" t="s">
        <v>106</v>
      </c>
      <c r="C63" s="22">
        <v>644128856</v>
      </c>
      <c r="D63" s="22">
        <v>56173781137</v>
      </c>
      <c r="E63" s="22">
        <v>295383640</v>
      </c>
      <c r="F63" s="22">
        <v>2699387070</v>
      </c>
      <c r="G63" s="22">
        <v>385134811</v>
      </c>
      <c r="H63" s="22">
        <v>6598732467</v>
      </c>
      <c r="I63" s="22">
        <v>0</v>
      </c>
      <c r="J63" s="22">
        <v>70872022</v>
      </c>
      <c r="K63" s="22">
        <v>598198057</v>
      </c>
      <c r="L63" s="22">
        <v>7642890734</v>
      </c>
      <c r="M63" s="22">
        <v>128624477</v>
      </c>
      <c r="N63" s="22">
        <v>3032981102</v>
      </c>
      <c r="O63" s="22">
        <v>565338405</v>
      </c>
      <c r="P63" s="22">
        <v>2006288768</v>
      </c>
      <c r="Q63" s="22">
        <v>2844348200</v>
      </c>
      <c r="R63" s="22">
        <v>0</v>
      </c>
      <c r="S63" s="22">
        <v>84560225</v>
      </c>
      <c r="T63" s="22">
        <v>538800</v>
      </c>
      <c r="U63" s="23">
        <v>83771188771</v>
      </c>
    </row>
    <row r="64" spans="1:21" ht="14.25" customHeight="1" x14ac:dyDescent="0.2">
      <c r="A64" s="20" t="s">
        <v>70</v>
      </c>
      <c r="B64" s="21" t="s">
        <v>106</v>
      </c>
      <c r="C64" s="22">
        <v>320881680</v>
      </c>
      <c r="D64" s="22">
        <v>26979331477</v>
      </c>
      <c r="E64" s="22">
        <v>444195752</v>
      </c>
      <c r="F64" s="22">
        <v>81665890</v>
      </c>
      <c r="G64" s="22">
        <v>20877660</v>
      </c>
      <c r="H64" s="22">
        <v>500695093</v>
      </c>
      <c r="I64" s="22"/>
      <c r="J64" s="22">
        <v>21796430</v>
      </c>
      <c r="K64" s="22">
        <v>170907601</v>
      </c>
      <c r="L64" s="22">
        <v>1729845380</v>
      </c>
      <c r="M64" s="22">
        <v>24863050</v>
      </c>
      <c r="N64" s="22">
        <v>454563730</v>
      </c>
      <c r="O64" s="22">
        <v>1856825700</v>
      </c>
      <c r="P64" s="22">
        <v>669863290</v>
      </c>
      <c r="Q64" s="22">
        <v>635236540</v>
      </c>
      <c r="R64" s="22"/>
      <c r="S64" s="22">
        <v>41759331</v>
      </c>
      <c r="T64" s="22">
        <v>82516206</v>
      </c>
      <c r="U64" s="23">
        <v>34035824810</v>
      </c>
    </row>
    <row r="65" spans="1:21" ht="14.25" customHeight="1" x14ac:dyDescent="0.2">
      <c r="A65" s="20" t="s">
        <v>71</v>
      </c>
      <c r="B65" s="21" t="s">
        <v>107</v>
      </c>
      <c r="C65" s="22">
        <v>281105549</v>
      </c>
      <c r="D65" s="22">
        <v>1286578273</v>
      </c>
      <c r="E65" s="22">
        <v>846801750</v>
      </c>
      <c r="F65" s="22">
        <v>0</v>
      </c>
      <c r="G65" s="22">
        <v>10677454</v>
      </c>
      <c r="H65" s="22">
        <v>9394065</v>
      </c>
      <c r="I65" s="22">
        <v>0</v>
      </c>
      <c r="J65" s="22">
        <v>56818</v>
      </c>
      <c r="K65" s="22">
        <v>30863700</v>
      </c>
      <c r="L65" s="22">
        <v>209775313</v>
      </c>
      <c r="M65" s="22">
        <v>43304</v>
      </c>
      <c r="N65" s="22">
        <v>107954811</v>
      </c>
      <c r="O65" s="22">
        <v>1151665575</v>
      </c>
      <c r="P65" s="22">
        <v>86215428</v>
      </c>
      <c r="Q65" s="22">
        <v>169451909</v>
      </c>
      <c r="R65" s="22">
        <v>0</v>
      </c>
      <c r="S65" s="22">
        <v>11154346</v>
      </c>
      <c r="T65" s="22">
        <v>71846447</v>
      </c>
      <c r="U65" s="23">
        <v>4273584742</v>
      </c>
    </row>
    <row r="66" spans="1:21" ht="14.25" customHeight="1" x14ac:dyDescent="0.2">
      <c r="A66" s="20" t="s">
        <v>72</v>
      </c>
      <c r="B66" s="21" t="s">
        <v>106</v>
      </c>
      <c r="C66" s="22">
        <v>281934878</v>
      </c>
      <c r="D66" s="22">
        <v>884245470</v>
      </c>
      <c r="E66" s="22">
        <v>337533070</v>
      </c>
      <c r="F66" s="22">
        <v>13194110</v>
      </c>
      <c r="G66" s="22">
        <v>4083030</v>
      </c>
      <c r="H66" s="22">
        <v>9714941</v>
      </c>
      <c r="I66" s="22">
        <v>0</v>
      </c>
      <c r="J66" s="22">
        <v>0</v>
      </c>
      <c r="K66" s="22">
        <v>8695940</v>
      </c>
      <c r="L66" s="22">
        <v>135685533</v>
      </c>
      <c r="M66" s="22">
        <v>0</v>
      </c>
      <c r="N66" s="22">
        <v>36646550</v>
      </c>
      <c r="O66" s="22">
        <v>727424430</v>
      </c>
      <c r="P66" s="22">
        <v>47468000</v>
      </c>
      <c r="Q66" s="22">
        <v>202396210</v>
      </c>
      <c r="R66" s="22">
        <v>150290</v>
      </c>
      <c r="S66" s="22">
        <v>13427396</v>
      </c>
      <c r="T66" s="22">
        <v>45184520</v>
      </c>
      <c r="U66" s="23">
        <v>2747784368</v>
      </c>
    </row>
    <row r="67" spans="1:21" ht="14.25" customHeight="1" x14ac:dyDescent="0.2">
      <c r="A67" s="20" t="s">
        <v>73</v>
      </c>
      <c r="B67" s="21" t="s">
        <v>106</v>
      </c>
      <c r="C67" s="22">
        <v>13157536</v>
      </c>
      <c r="D67" s="22">
        <v>195383017</v>
      </c>
      <c r="E67" s="22">
        <v>99150651</v>
      </c>
      <c r="F67" s="22">
        <v>1260000</v>
      </c>
      <c r="G67" s="22">
        <v>54732</v>
      </c>
      <c r="H67" s="22">
        <v>2143873</v>
      </c>
      <c r="I67" s="22">
        <v>0</v>
      </c>
      <c r="J67" s="22">
        <v>2426159</v>
      </c>
      <c r="K67" s="22">
        <v>733266</v>
      </c>
      <c r="L67" s="22">
        <v>19193534</v>
      </c>
      <c r="M67" s="22">
        <v>250000</v>
      </c>
      <c r="N67" s="22">
        <v>3347678</v>
      </c>
      <c r="O67" s="22">
        <v>588170153</v>
      </c>
      <c r="P67" s="22">
        <v>17081657</v>
      </c>
      <c r="Q67" s="22">
        <v>109831004</v>
      </c>
      <c r="R67" s="22">
        <v>119535</v>
      </c>
      <c r="S67" s="22">
        <v>9606946</v>
      </c>
      <c r="T67" s="22">
        <v>0</v>
      </c>
      <c r="U67" s="23">
        <v>1061909741</v>
      </c>
    </row>
    <row r="68" spans="1:21" ht="14.25" customHeight="1" x14ac:dyDescent="0.2">
      <c r="A68" s="20" t="s">
        <v>74</v>
      </c>
      <c r="B68" s="21" t="s">
        <v>106</v>
      </c>
      <c r="C68" s="22">
        <v>1537808864</v>
      </c>
      <c r="D68" s="22">
        <v>66189013550</v>
      </c>
      <c r="E68" s="22">
        <v>1175971761</v>
      </c>
      <c r="F68" s="22">
        <v>8704558857</v>
      </c>
      <c r="G68" s="22">
        <v>948889760</v>
      </c>
      <c r="H68" s="22">
        <v>3061891822</v>
      </c>
      <c r="I68" s="22">
        <v>55906551</v>
      </c>
      <c r="J68" s="22">
        <v>107771</v>
      </c>
      <c r="K68" s="22">
        <v>893043597</v>
      </c>
      <c r="L68" s="22">
        <v>8061274777</v>
      </c>
      <c r="M68" s="22">
        <v>107796698</v>
      </c>
      <c r="N68" s="22">
        <v>2009963700</v>
      </c>
      <c r="O68" s="22">
        <v>2062347149</v>
      </c>
      <c r="P68" s="22">
        <v>2388871763</v>
      </c>
      <c r="Q68" s="22">
        <v>5351379372</v>
      </c>
      <c r="R68" s="22">
        <v>137872917</v>
      </c>
      <c r="S68" s="22">
        <v>93191505</v>
      </c>
      <c r="T68" s="22">
        <v>207748434</v>
      </c>
      <c r="U68" s="23">
        <v>102987638848</v>
      </c>
    </row>
    <row r="69" spans="1:21" ht="14.25" customHeight="1" x14ac:dyDescent="0.2">
      <c r="A69" s="20" t="s">
        <v>75</v>
      </c>
      <c r="B69" s="21" t="s">
        <v>107</v>
      </c>
      <c r="C69" s="22">
        <v>172333249</v>
      </c>
      <c r="D69" s="22">
        <v>2560707645</v>
      </c>
      <c r="E69" s="22">
        <v>323048988</v>
      </c>
      <c r="F69" s="22">
        <v>79471545</v>
      </c>
      <c r="G69" s="22">
        <v>6491621</v>
      </c>
      <c r="H69" s="22">
        <v>12009834</v>
      </c>
      <c r="I69" s="22">
        <v>0</v>
      </c>
      <c r="J69" s="22">
        <v>4942326</v>
      </c>
      <c r="K69" s="22">
        <v>30077690</v>
      </c>
      <c r="L69" s="22">
        <v>198223567</v>
      </c>
      <c r="M69" s="22">
        <v>1158055</v>
      </c>
      <c r="N69" s="22">
        <v>37479082</v>
      </c>
      <c r="O69" s="22">
        <v>587013621</v>
      </c>
      <c r="P69" s="22">
        <v>42572460</v>
      </c>
      <c r="Q69" s="22">
        <v>558332187</v>
      </c>
      <c r="R69" s="22">
        <v>0</v>
      </c>
      <c r="S69" s="22">
        <v>13656304</v>
      </c>
      <c r="T69" s="22">
        <v>30817600</v>
      </c>
      <c r="U69" s="23">
        <v>4658335774</v>
      </c>
    </row>
    <row r="70" spans="1:21" ht="14.25" customHeight="1" x14ac:dyDescent="0.2">
      <c r="A70" s="20" t="s">
        <v>76</v>
      </c>
      <c r="B70" s="21" t="s">
        <v>106</v>
      </c>
      <c r="C70" s="22">
        <v>3579303629</v>
      </c>
      <c r="D70" s="22">
        <v>39526370167</v>
      </c>
      <c r="E70" s="22">
        <v>518645852</v>
      </c>
      <c r="F70" s="22">
        <v>7780881190</v>
      </c>
      <c r="G70" s="22">
        <v>249905037</v>
      </c>
      <c r="H70" s="22">
        <v>687720617</v>
      </c>
      <c r="I70" s="22">
        <v>0</v>
      </c>
      <c r="J70" s="22">
        <v>77476531</v>
      </c>
      <c r="K70" s="22">
        <v>131325984</v>
      </c>
      <c r="L70" s="22">
        <v>2732015824</v>
      </c>
      <c r="M70" s="22">
        <v>3505406</v>
      </c>
      <c r="N70" s="22">
        <v>384742959</v>
      </c>
      <c r="O70" s="22">
        <v>1139865084</v>
      </c>
      <c r="P70" s="22">
        <v>401976780</v>
      </c>
      <c r="Q70" s="22">
        <v>2452961937</v>
      </c>
      <c r="R70" s="22">
        <v>0</v>
      </c>
      <c r="S70" s="22">
        <v>112586505</v>
      </c>
      <c r="T70" s="22">
        <v>215788994</v>
      </c>
      <c r="U70" s="23">
        <v>59995072496</v>
      </c>
    </row>
    <row r="71" spans="1:21" ht="14.25" customHeight="1" x14ac:dyDescent="0.2">
      <c r="A71" s="20" t="s">
        <v>77</v>
      </c>
      <c r="B71" s="21" t="s">
        <v>107</v>
      </c>
      <c r="C71" s="22">
        <v>232568010</v>
      </c>
      <c r="D71" s="22">
        <v>952964009</v>
      </c>
      <c r="E71" s="22">
        <v>295062148</v>
      </c>
      <c r="F71" s="22">
        <v>0</v>
      </c>
      <c r="G71" s="22">
        <v>10745489</v>
      </c>
      <c r="H71" s="22">
        <v>0</v>
      </c>
      <c r="I71" s="22">
        <v>0</v>
      </c>
      <c r="J71" s="22">
        <v>65184</v>
      </c>
      <c r="K71" s="22">
        <v>12228177</v>
      </c>
      <c r="L71" s="22">
        <v>90927273</v>
      </c>
      <c r="M71" s="22">
        <v>56750</v>
      </c>
      <c r="N71" s="22">
        <v>23665519</v>
      </c>
      <c r="O71" s="22">
        <v>731515085</v>
      </c>
      <c r="P71" s="22">
        <v>63258711</v>
      </c>
      <c r="Q71" s="22">
        <v>178392287</v>
      </c>
      <c r="R71" s="22">
        <v>0</v>
      </c>
      <c r="S71" s="22">
        <v>7591353</v>
      </c>
      <c r="T71" s="22">
        <v>36330999</v>
      </c>
      <c r="U71" s="23">
        <v>2635370994</v>
      </c>
    </row>
    <row r="72" spans="1:21" ht="14.25" customHeight="1" x14ac:dyDescent="0.2">
      <c r="A72" s="20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4.25" customHeight="1" thickBot="1" x14ac:dyDescent="0.3">
      <c r="A73" s="24" t="s">
        <v>11</v>
      </c>
      <c r="B73" s="25"/>
      <c r="C73" s="26">
        <f t="shared" ref="C73:T73" si="0">SUM(C5:C71)</f>
        <v>92162803715</v>
      </c>
      <c r="D73" s="26">
        <f t="shared" si="0"/>
        <v>2859270930573</v>
      </c>
      <c r="E73" s="26">
        <f t="shared" si="0"/>
        <v>56343138569</v>
      </c>
      <c r="F73" s="26">
        <f>SUM(F5:F71)</f>
        <v>624667096555</v>
      </c>
      <c r="G73" s="26">
        <f>SUM(G5:G71)</f>
        <v>80977268083</v>
      </c>
      <c r="H73" s="26">
        <f>SUM(H5:H71)</f>
        <v>221558614881</v>
      </c>
      <c r="I73" s="26">
        <f t="shared" si="0"/>
        <v>8924604993</v>
      </c>
      <c r="J73" s="26">
        <f t="shared" si="0"/>
        <v>12894087339</v>
      </c>
      <c r="K73" s="26">
        <f t="shared" si="0"/>
        <v>41277477937</v>
      </c>
      <c r="L73" s="26">
        <f t="shared" si="0"/>
        <v>472036691983</v>
      </c>
      <c r="M73" s="26">
        <f t="shared" si="0"/>
        <v>7062111837</v>
      </c>
      <c r="N73" s="26">
        <f t="shared" si="0"/>
        <v>180270494237</v>
      </c>
      <c r="O73" s="26">
        <f t="shared" si="0"/>
        <v>129536822127</v>
      </c>
      <c r="P73" s="26">
        <f t="shared" si="0"/>
        <v>91117013553</v>
      </c>
      <c r="Q73" s="26">
        <f t="shared" si="0"/>
        <v>235549774338</v>
      </c>
      <c r="R73" s="26">
        <f t="shared" si="0"/>
        <v>8320155922</v>
      </c>
      <c r="S73" s="26">
        <f t="shared" si="0"/>
        <v>10957894490</v>
      </c>
      <c r="T73" s="26">
        <f t="shared" si="0"/>
        <v>12025829895</v>
      </c>
      <c r="U73" s="28">
        <f>SUM(U5:U71)</f>
        <v>5144952811027</v>
      </c>
    </row>
    <row r="75" spans="1:21" x14ac:dyDescent="0.2">
      <c r="A75" s="3" t="s">
        <v>112</v>
      </c>
    </row>
    <row r="76" spans="1:21" x14ac:dyDescent="0.2"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</row>
  </sheetData>
  <phoneticPr fontId="0" type="noConversion"/>
  <conditionalFormatting sqref="A4:U73">
    <cfRule type="expression" dxfId="1" priority="1" stopIfTrue="1">
      <formula>MOD(ROW(),3)=1</formula>
    </cfRule>
  </conditionalFormatting>
  <pageMargins left="0.7" right="0.7" top="0.75" bottom="0.75" header="0.3" footer="0.3"/>
  <pageSetup scale="63" fitToWidth="2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U76"/>
  <sheetViews>
    <sheetView zoomScale="80" zoomScaleNormal="8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29.140625" style="3" customWidth="1"/>
    <col min="2" max="2" width="9.28515625" style="18" bestFit="1" customWidth="1"/>
    <col min="3" max="3" width="18.42578125" style="3" bestFit="1" customWidth="1"/>
    <col min="4" max="4" width="19.42578125" style="3" bestFit="1" customWidth="1"/>
    <col min="5" max="5" width="18.42578125" style="3" bestFit="1" customWidth="1"/>
    <col min="6" max="6" width="19" style="3" bestFit="1" customWidth="1"/>
    <col min="7" max="7" width="19.42578125" style="3" bestFit="1" customWidth="1"/>
    <col min="8" max="8" width="20.7109375" style="3" bestFit="1" customWidth="1"/>
    <col min="9" max="9" width="17.42578125" style="3" bestFit="1" customWidth="1"/>
    <col min="10" max="10" width="17.140625" style="3" bestFit="1" customWidth="1"/>
    <col min="11" max="11" width="22.42578125" style="3" bestFit="1" customWidth="1"/>
    <col min="12" max="12" width="24.28515625" style="3" bestFit="1" customWidth="1"/>
    <col min="13" max="13" width="17.42578125" style="3" bestFit="1" customWidth="1"/>
    <col min="14" max="14" width="18.42578125" style="3" bestFit="1" customWidth="1"/>
    <col min="15" max="15" width="18" style="3" bestFit="1" customWidth="1"/>
    <col min="16" max="16" width="17.140625" style="3" bestFit="1" customWidth="1"/>
    <col min="17" max="17" width="15.42578125" style="3" bestFit="1" customWidth="1"/>
    <col min="18" max="18" width="16.7109375" style="3" bestFit="1" customWidth="1"/>
    <col min="19" max="19" width="17.140625" style="3" bestFit="1" customWidth="1"/>
    <col min="20" max="20" width="19.42578125" style="3" bestFit="1" customWidth="1"/>
    <col min="21" max="21" width="22.28515625" style="3" bestFit="1" customWidth="1"/>
    <col min="22" max="16384" width="9.140625" style="12"/>
  </cols>
  <sheetData>
    <row r="1" spans="1:21" ht="23.25" x14ac:dyDescent="0.35">
      <c r="A1" s="1" t="s">
        <v>87</v>
      </c>
    </row>
    <row r="2" spans="1:21" ht="15" x14ac:dyDescent="0.25">
      <c r="A2" s="19">
        <v>2025</v>
      </c>
    </row>
    <row r="3" spans="1:21" ht="15" thickBot="1" x14ac:dyDescent="0.25"/>
    <row r="4" spans="1:21" s="43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20" t="s">
        <v>12</v>
      </c>
      <c r="B5" s="21" t="s">
        <v>106</v>
      </c>
      <c r="C5" s="22">
        <v>370312194</v>
      </c>
      <c r="D5" s="22">
        <v>11931005747</v>
      </c>
      <c r="E5" s="22">
        <v>311045906</v>
      </c>
      <c r="F5" s="22">
        <v>952687316</v>
      </c>
      <c r="G5" s="22">
        <v>356854933</v>
      </c>
      <c r="H5" s="22">
        <v>4212255282</v>
      </c>
      <c r="I5" s="22">
        <v>0</v>
      </c>
      <c r="J5" s="22">
        <v>76321488</v>
      </c>
      <c r="K5" s="22">
        <v>175877015</v>
      </c>
      <c r="L5" s="22">
        <v>3101551063</v>
      </c>
      <c r="M5" s="22">
        <v>36223144</v>
      </c>
      <c r="N5" s="22">
        <v>756191343</v>
      </c>
      <c r="O5" s="22">
        <v>593832014</v>
      </c>
      <c r="P5" s="22">
        <v>332996865</v>
      </c>
      <c r="Q5" s="22">
        <v>50795244</v>
      </c>
      <c r="R5" s="22">
        <v>54600</v>
      </c>
      <c r="S5" s="22">
        <v>60719482</v>
      </c>
      <c r="T5" s="22">
        <v>24696670</v>
      </c>
      <c r="U5" s="23">
        <v>23343420306</v>
      </c>
    </row>
    <row r="6" spans="1:21" ht="14.25" customHeight="1" x14ac:dyDescent="0.2">
      <c r="A6" s="20" t="s">
        <v>13</v>
      </c>
      <c r="B6" s="21" t="s">
        <v>106</v>
      </c>
      <c r="C6" s="22">
        <v>49842290</v>
      </c>
      <c r="D6" s="22">
        <v>715876776</v>
      </c>
      <c r="E6" s="22">
        <v>163179929</v>
      </c>
      <c r="F6" s="22">
        <v>0</v>
      </c>
      <c r="G6" s="22">
        <v>10540324</v>
      </c>
      <c r="H6" s="22">
        <v>8498584</v>
      </c>
      <c r="I6" s="22">
        <v>0</v>
      </c>
      <c r="J6" s="22">
        <v>0</v>
      </c>
      <c r="K6" s="22">
        <v>4130401</v>
      </c>
      <c r="L6" s="22">
        <v>122027993</v>
      </c>
      <c r="M6" s="22">
        <v>280660</v>
      </c>
      <c r="N6" s="22">
        <v>43110420</v>
      </c>
      <c r="O6" s="22">
        <v>190497441</v>
      </c>
      <c r="P6" s="22">
        <v>6447536</v>
      </c>
      <c r="Q6" s="22">
        <v>1145871</v>
      </c>
      <c r="R6" s="22">
        <v>3520296</v>
      </c>
      <c r="S6" s="22">
        <v>14515118</v>
      </c>
      <c r="T6" s="22">
        <v>65292919</v>
      </c>
      <c r="U6" s="23">
        <v>1398906558</v>
      </c>
    </row>
    <row r="7" spans="1:21" ht="14.25" customHeight="1" x14ac:dyDescent="0.2">
      <c r="A7" s="20" t="s">
        <v>14</v>
      </c>
      <c r="B7" s="21" t="s">
        <v>106</v>
      </c>
      <c r="C7" s="22">
        <v>1335975503</v>
      </c>
      <c r="D7" s="22">
        <v>14804208511</v>
      </c>
      <c r="E7" s="22">
        <v>571820323</v>
      </c>
      <c r="F7" s="22">
        <v>6585226095</v>
      </c>
      <c r="G7" s="22">
        <v>557817482</v>
      </c>
      <c r="H7" s="22">
        <v>1212531111</v>
      </c>
      <c r="I7" s="22">
        <v>3324405</v>
      </c>
      <c r="J7" s="22">
        <v>6799729</v>
      </c>
      <c r="K7" s="22">
        <v>623631168</v>
      </c>
      <c r="L7" s="22">
        <v>2953033680</v>
      </c>
      <c r="M7" s="22">
        <v>10505236</v>
      </c>
      <c r="N7" s="22">
        <v>741848911</v>
      </c>
      <c r="O7" s="22">
        <v>69099493</v>
      </c>
      <c r="P7" s="22">
        <v>157139553</v>
      </c>
      <c r="Q7" s="22">
        <v>4766421</v>
      </c>
      <c r="R7" s="22">
        <v>39386326</v>
      </c>
      <c r="S7" s="22">
        <v>31463722</v>
      </c>
      <c r="T7" s="22">
        <v>115511928</v>
      </c>
      <c r="U7" s="23">
        <v>29824089597</v>
      </c>
    </row>
    <row r="8" spans="1:21" ht="14.25" customHeight="1" x14ac:dyDescent="0.2">
      <c r="A8" s="20" t="s">
        <v>15</v>
      </c>
      <c r="B8" s="21" t="s">
        <v>107</v>
      </c>
      <c r="C8" s="22">
        <v>66789651</v>
      </c>
      <c r="D8" s="22">
        <v>647375445</v>
      </c>
      <c r="E8" s="22">
        <v>143503379</v>
      </c>
      <c r="F8" s="22">
        <v>2171570</v>
      </c>
      <c r="G8" s="22">
        <v>3259614</v>
      </c>
      <c r="H8" s="22">
        <v>13874620</v>
      </c>
      <c r="I8" s="22">
        <v>0</v>
      </c>
      <c r="J8" s="22">
        <v>264004</v>
      </c>
      <c r="K8" s="22">
        <v>5534572</v>
      </c>
      <c r="L8" s="22">
        <v>130794366</v>
      </c>
      <c r="M8" s="22">
        <v>214316</v>
      </c>
      <c r="N8" s="22">
        <v>15163747</v>
      </c>
      <c r="O8" s="22">
        <v>143795307</v>
      </c>
      <c r="P8" s="22">
        <v>7127741</v>
      </c>
      <c r="Q8" s="22">
        <v>6882369</v>
      </c>
      <c r="R8" s="22">
        <v>428622</v>
      </c>
      <c r="S8" s="22">
        <v>3630744</v>
      </c>
      <c r="T8" s="22">
        <v>17193103</v>
      </c>
      <c r="U8" s="23">
        <v>1208003170</v>
      </c>
    </row>
    <row r="9" spans="1:21" ht="14.25" customHeight="1" x14ac:dyDescent="0.2">
      <c r="A9" s="20" t="s">
        <v>16</v>
      </c>
      <c r="B9" s="21" t="s">
        <v>106</v>
      </c>
      <c r="C9" s="22">
        <v>1339652606</v>
      </c>
      <c r="D9" s="22">
        <v>42660838023</v>
      </c>
      <c r="E9" s="22">
        <v>715544891</v>
      </c>
      <c r="F9" s="22">
        <v>7277678349</v>
      </c>
      <c r="G9" s="22">
        <v>1006849602</v>
      </c>
      <c r="H9" s="22">
        <v>3285573865</v>
      </c>
      <c r="I9" s="22">
        <v>47999927</v>
      </c>
      <c r="J9" s="22">
        <v>95070</v>
      </c>
      <c r="K9" s="22">
        <v>429291800</v>
      </c>
      <c r="L9" s="22">
        <v>7092173038</v>
      </c>
      <c r="M9" s="22">
        <v>108842380</v>
      </c>
      <c r="N9" s="22">
        <v>2126269915</v>
      </c>
      <c r="O9" s="22">
        <v>181538607</v>
      </c>
      <c r="P9" s="22">
        <v>509647098</v>
      </c>
      <c r="Q9" s="22">
        <v>257745863</v>
      </c>
      <c r="R9" s="22">
        <v>0</v>
      </c>
      <c r="S9" s="22">
        <v>60403453</v>
      </c>
      <c r="T9" s="22">
        <v>236855340</v>
      </c>
      <c r="U9" s="23">
        <v>67336999827</v>
      </c>
    </row>
    <row r="10" spans="1:21" ht="14.25" customHeight="1" x14ac:dyDescent="0.2">
      <c r="A10" s="20" t="s">
        <v>17</v>
      </c>
      <c r="B10" s="21" t="s">
        <v>106</v>
      </c>
      <c r="C10" s="22">
        <v>2439674710</v>
      </c>
      <c r="D10" s="22">
        <v>143884141346</v>
      </c>
      <c r="E10" s="22">
        <v>448969678</v>
      </c>
      <c r="F10" s="22">
        <v>54184621432</v>
      </c>
      <c r="G10" s="22">
        <v>7980806184</v>
      </c>
      <c r="H10" s="22">
        <v>24529429264</v>
      </c>
      <c r="I10" s="22">
        <v>2115068186</v>
      </c>
      <c r="J10" s="22">
        <v>50231400</v>
      </c>
      <c r="K10" s="22">
        <v>1864909430</v>
      </c>
      <c r="L10" s="22">
        <v>44644121732</v>
      </c>
      <c r="M10" s="22">
        <v>458205880</v>
      </c>
      <c r="N10" s="22">
        <v>20820065520</v>
      </c>
      <c r="O10" s="22">
        <v>491478104</v>
      </c>
      <c r="P10" s="22">
        <v>2134949570</v>
      </c>
      <c r="Q10" s="22">
        <v>81672160</v>
      </c>
      <c r="R10" s="22">
        <v>0</v>
      </c>
      <c r="S10" s="22">
        <v>397976460</v>
      </c>
      <c r="T10" s="22">
        <v>6649110</v>
      </c>
      <c r="U10" s="23">
        <v>306532970166</v>
      </c>
    </row>
    <row r="11" spans="1:21" ht="14.25" customHeight="1" x14ac:dyDescent="0.2">
      <c r="A11" s="20" t="s">
        <v>18</v>
      </c>
      <c r="B11" s="21" t="s">
        <v>107</v>
      </c>
      <c r="C11" s="22">
        <v>34068597</v>
      </c>
      <c r="D11" s="22">
        <v>166739311</v>
      </c>
      <c r="E11" s="22">
        <v>26232188</v>
      </c>
      <c r="F11" s="22">
        <v>0</v>
      </c>
      <c r="G11" s="22">
        <v>1738200</v>
      </c>
      <c r="H11" s="22">
        <v>1003835</v>
      </c>
      <c r="I11" s="22">
        <v>0</v>
      </c>
      <c r="J11" s="22">
        <v>155497</v>
      </c>
      <c r="K11" s="22">
        <v>40479682</v>
      </c>
      <c r="L11" s="22">
        <v>38049403</v>
      </c>
      <c r="M11" s="22">
        <v>0</v>
      </c>
      <c r="N11" s="22">
        <v>4075487</v>
      </c>
      <c r="O11" s="22">
        <v>145484670</v>
      </c>
      <c r="P11" s="22">
        <v>2116708</v>
      </c>
      <c r="Q11" s="22">
        <v>294133</v>
      </c>
      <c r="R11" s="22">
        <v>0</v>
      </c>
      <c r="S11" s="22">
        <v>1189190</v>
      </c>
      <c r="T11" s="22">
        <v>4268289</v>
      </c>
      <c r="U11" s="23">
        <v>465895190</v>
      </c>
    </row>
    <row r="12" spans="1:21" ht="14.25" customHeight="1" x14ac:dyDescent="0.2">
      <c r="A12" s="20" t="s">
        <v>19</v>
      </c>
      <c r="B12" s="21" t="s">
        <v>106</v>
      </c>
      <c r="C12" s="22">
        <v>2105055935</v>
      </c>
      <c r="D12" s="22">
        <v>21515557804</v>
      </c>
      <c r="E12" s="22">
        <v>408247495</v>
      </c>
      <c r="F12" s="22">
        <v>3332100115</v>
      </c>
      <c r="G12" s="22">
        <v>541404565</v>
      </c>
      <c r="H12" s="22">
        <v>321138408</v>
      </c>
      <c r="I12" s="22">
        <v>335697942</v>
      </c>
      <c r="J12" s="22">
        <v>66985728</v>
      </c>
      <c r="K12" s="22">
        <v>347898436</v>
      </c>
      <c r="L12" s="22">
        <v>2428663156</v>
      </c>
      <c r="M12" s="22">
        <v>48277534</v>
      </c>
      <c r="N12" s="22">
        <v>750467987</v>
      </c>
      <c r="O12" s="22">
        <v>193234900</v>
      </c>
      <c r="P12" s="22">
        <v>306654600</v>
      </c>
      <c r="Q12" s="22">
        <v>3182683</v>
      </c>
      <c r="R12" s="22">
        <v>9135191</v>
      </c>
      <c r="S12" s="22">
        <v>39301415</v>
      </c>
      <c r="T12" s="22">
        <v>123612957</v>
      </c>
      <c r="U12" s="23">
        <v>32876616851</v>
      </c>
    </row>
    <row r="13" spans="1:21" ht="14.25" customHeight="1" x14ac:dyDescent="0.2">
      <c r="A13" s="20" t="s">
        <v>20</v>
      </c>
      <c r="B13" s="21" t="s">
        <v>106</v>
      </c>
      <c r="C13" s="22">
        <v>754340685</v>
      </c>
      <c r="D13" s="22">
        <v>9318224307</v>
      </c>
      <c r="E13" s="22">
        <v>977062888</v>
      </c>
      <c r="F13" s="22">
        <v>176795750</v>
      </c>
      <c r="G13" s="22">
        <v>127769970</v>
      </c>
      <c r="H13" s="22">
        <v>37480970</v>
      </c>
      <c r="I13" s="22">
        <v>0</v>
      </c>
      <c r="J13" s="22">
        <v>12203850</v>
      </c>
      <c r="K13" s="22">
        <v>179630502</v>
      </c>
      <c r="L13" s="22">
        <v>1301206621</v>
      </c>
      <c r="M13" s="22">
        <v>9280772</v>
      </c>
      <c r="N13" s="22">
        <v>186165554</v>
      </c>
      <c r="O13" s="22">
        <v>158635096</v>
      </c>
      <c r="P13" s="22">
        <v>243946651</v>
      </c>
      <c r="Q13" s="22">
        <v>16018189</v>
      </c>
      <c r="R13" s="22">
        <v>0</v>
      </c>
      <c r="S13" s="22">
        <v>373021413</v>
      </c>
      <c r="T13" s="22">
        <v>99512294</v>
      </c>
      <c r="U13" s="23">
        <v>13971295512</v>
      </c>
    </row>
    <row r="14" spans="1:21" ht="14.25" customHeight="1" x14ac:dyDescent="0.2">
      <c r="A14" s="20" t="s">
        <v>21</v>
      </c>
      <c r="B14" s="21" t="s">
        <v>106</v>
      </c>
      <c r="C14" s="22">
        <v>440200047</v>
      </c>
      <c r="D14" s="22">
        <v>12947431662</v>
      </c>
      <c r="E14" s="22">
        <v>664284039</v>
      </c>
      <c r="F14" s="22">
        <v>283885789</v>
      </c>
      <c r="G14" s="22">
        <v>80218312</v>
      </c>
      <c r="H14" s="22">
        <v>927392235</v>
      </c>
      <c r="I14" s="22">
        <v>0</v>
      </c>
      <c r="J14" s="22">
        <v>18179824</v>
      </c>
      <c r="K14" s="22">
        <v>148918870</v>
      </c>
      <c r="L14" s="22">
        <v>1787016565</v>
      </c>
      <c r="M14" s="22">
        <v>11654742</v>
      </c>
      <c r="N14" s="22">
        <v>506906710</v>
      </c>
      <c r="O14" s="22">
        <v>131814286</v>
      </c>
      <c r="P14" s="22">
        <v>289960576</v>
      </c>
      <c r="Q14" s="22">
        <v>1262419</v>
      </c>
      <c r="R14" s="22">
        <v>0</v>
      </c>
      <c r="S14" s="22">
        <v>29752631</v>
      </c>
      <c r="T14" s="22">
        <v>268293612</v>
      </c>
      <c r="U14" s="23">
        <v>18537172319</v>
      </c>
    </row>
    <row r="15" spans="1:21" ht="14.25" customHeight="1" x14ac:dyDescent="0.2">
      <c r="A15" s="20" t="s">
        <v>22</v>
      </c>
      <c r="B15" s="21" t="s">
        <v>106</v>
      </c>
      <c r="C15" s="22">
        <v>3704738453</v>
      </c>
      <c r="D15" s="22">
        <v>86523457115</v>
      </c>
      <c r="E15" s="22">
        <v>410055112</v>
      </c>
      <c r="F15" s="22">
        <v>51705044387</v>
      </c>
      <c r="G15" s="22">
        <v>797983865</v>
      </c>
      <c r="H15" s="22">
        <v>2534946739</v>
      </c>
      <c r="I15" s="22">
        <v>687204711</v>
      </c>
      <c r="J15" s="22">
        <v>2195920499</v>
      </c>
      <c r="K15" s="22">
        <v>901074891</v>
      </c>
      <c r="L15" s="22">
        <v>8742005419</v>
      </c>
      <c r="M15" s="22">
        <v>55188155</v>
      </c>
      <c r="N15" s="22">
        <v>1963286954</v>
      </c>
      <c r="O15" s="22">
        <v>345578073</v>
      </c>
      <c r="P15" s="22">
        <v>328942191</v>
      </c>
      <c r="Q15" s="22">
        <v>8718724</v>
      </c>
      <c r="R15" s="22">
        <v>1191902</v>
      </c>
      <c r="S15" s="22">
        <v>67727786</v>
      </c>
      <c r="T15" s="22">
        <v>466187365</v>
      </c>
      <c r="U15" s="23">
        <v>161439252341</v>
      </c>
    </row>
    <row r="16" spans="1:21" ht="14.25" customHeight="1" x14ac:dyDescent="0.2">
      <c r="A16" s="20" t="s">
        <v>23</v>
      </c>
      <c r="B16" s="21" t="s">
        <v>106</v>
      </c>
      <c r="C16" s="22">
        <v>126179769</v>
      </c>
      <c r="D16" s="22">
        <v>1773222016</v>
      </c>
      <c r="E16" s="22">
        <v>469131060</v>
      </c>
      <c r="F16" s="22">
        <v>4524261</v>
      </c>
      <c r="G16" s="22">
        <v>42743337</v>
      </c>
      <c r="H16" s="22">
        <v>46820216</v>
      </c>
      <c r="I16" s="22">
        <v>0</v>
      </c>
      <c r="J16" s="22">
        <v>34319567</v>
      </c>
      <c r="K16" s="22">
        <v>49227733</v>
      </c>
      <c r="L16" s="22">
        <v>605124121</v>
      </c>
      <c r="M16" s="22">
        <v>4014738</v>
      </c>
      <c r="N16" s="22">
        <v>178564256</v>
      </c>
      <c r="O16" s="22">
        <v>333373651</v>
      </c>
      <c r="P16" s="22">
        <v>83044086</v>
      </c>
      <c r="Q16" s="22">
        <v>13219570</v>
      </c>
      <c r="R16" s="22">
        <v>0</v>
      </c>
      <c r="S16" s="22">
        <v>22025673</v>
      </c>
      <c r="T16" s="22">
        <v>51585681</v>
      </c>
      <c r="U16" s="23">
        <v>3837119735</v>
      </c>
    </row>
    <row r="17" spans="1:21" ht="14.25" customHeight="1" x14ac:dyDescent="0.2">
      <c r="A17" s="20" t="s">
        <v>104</v>
      </c>
      <c r="B17" s="21" t="s">
        <v>106</v>
      </c>
      <c r="C17" s="22">
        <v>6889183066</v>
      </c>
      <c r="D17" s="22">
        <v>158753002514</v>
      </c>
      <c r="E17" s="22">
        <v>24995903</v>
      </c>
      <c r="F17" s="22">
        <v>150930571230</v>
      </c>
      <c r="G17" s="22">
        <v>15616397618</v>
      </c>
      <c r="H17" s="22">
        <v>30895013672</v>
      </c>
      <c r="I17" s="22">
        <v>396514753</v>
      </c>
      <c r="J17" s="22">
        <v>297122402</v>
      </c>
      <c r="K17" s="22">
        <v>8945873357</v>
      </c>
      <c r="L17" s="22">
        <v>74835020114</v>
      </c>
      <c r="M17" s="22">
        <v>1765838264</v>
      </c>
      <c r="N17" s="22">
        <v>34473593949</v>
      </c>
      <c r="O17" s="22">
        <v>1508399866</v>
      </c>
      <c r="P17" s="22">
        <v>1756018510</v>
      </c>
      <c r="Q17" s="22">
        <v>213969487</v>
      </c>
      <c r="R17" s="22">
        <v>1638649871</v>
      </c>
      <c r="S17" s="22">
        <v>868630952</v>
      </c>
      <c r="T17" s="22">
        <v>1440232573</v>
      </c>
      <c r="U17" s="23">
        <v>491249028101</v>
      </c>
    </row>
    <row r="18" spans="1:21" ht="14.25" customHeight="1" x14ac:dyDescent="0.2">
      <c r="A18" s="20" t="s">
        <v>24</v>
      </c>
      <c r="B18" s="21" t="s">
        <v>106</v>
      </c>
      <c r="C18" s="22">
        <v>96682481</v>
      </c>
      <c r="D18" s="22">
        <v>850049187</v>
      </c>
      <c r="E18" s="22">
        <v>178894968</v>
      </c>
      <c r="F18" s="22">
        <v>67129261</v>
      </c>
      <c r="G18" s="22">
        <v>47289422</v>
      </c>
      <c r="H18" s="22">
        <v>35349106</v>
      </c>
      <c r="I18" s="22">
        <v>0</v>
      </c>
      <c r="J18" s="22">
        <v>699727</v>
      </c>
      <c r="K18" s="22">
        <v>18072792</v>
      </c>
      <c r="L18" s="22">
        <v>213579764</v>
      </c>
      <c r="M18" s="22">
        <v>4762220</v>
      </c>
      <c r="N18" s="22">
        <v>123707404</v>
      </c>
      <c r="O18" s="22">
        <v>386537251</v>
      </c>
      <c r="P18" s="22">
        <v>10836283</v>
      </c>
      <c r="Q18" s="22">
        <v>35500</v>
      </c>
      <c r="R18" s="22">
        <v>0</v>
      </c>
      <c r="S18" s="22">
        <v>21710284</v>
      </c>
      <c r="T18" s="22">
        <v>62812440</v>
      </c>
      <c r="U18" s="23">
        <v>2118148090</v>
      </c>
    </row>
    <row r="19" spans="1:21" ht="14.25" customHeight="1" x14ac:dyDescent="0.2">
      <c r="A19" s="20" t="s">
        <v>25</v>
      </c>
      <c r="B19" s="21" t="s">
        <v>107</v>
      </c>
      <c r="C19" s="22">
        <v>138209702</v>
      </c>
      <c r="D19" s="22">
        <v>235526303</v>
      </c>
      <c r="E19" s="22">
        <v>147480228</v>
      </c>
      <c r="F19" s="22">
        <v>26869963</v>
      </c>
      <c r="G19" s="22">
        <v>239349</v>
      </c>
      <c r="H19" s="22">
        <v>878800</v>
      </c>
      <c r="I19" s="22">
        <v>56987</v>
      </c>
      <c r="J19" s="22">
        <v>0</v>
      </c>
      <c r="K19" s="22">
        <v>5264270</v>
      </c>
      <c r="L19" s="22">
        <v>37529902</v>
      </c>
      <c r="M19" s="22">
        <v>703119</v>
      </c>
      <c r="N19" s="22">
        <v>12274836</v>
      </c>
      <c r="O19" s="22">
        <v>103614176</v>
      </c>
      <c r="P19" s="22">
        <v>3175333</v>
      </c>
      <c r="Q19" s="22">
        <v>406000</v>
      </c>
      <c r="R19" s="22">
        <v>0</v>
      </c>
      <c r="S19" s="22">
        <v>777885</v>
      </c>
      <c r="T19" s="22">
        <v>1050131</v>
      </c>
      <c r="U19" s="23">
        <v>714056984</v>
      </c>
    </row>
    <row r="20" spans="1:21" ht="14.25" customHeight="1" x14ac:dyDescent="0.2">
      <c r="A20" s="20" t="s">
        <v>26</v>
      </c>
      <c r="B20" s="21" t="s">
        <v>106</v>
      </c>
      <c r="C20" s="22">
        <v>1199515585</v>
      </c>
      <c r="D20" s="22">
        <v>57322794204</v>
      </c>
      <c r="E20" s="22">
        <v>621776539</v>
      </c>
      <c r="F20" s="22">
        <v>4624576102</v>
      </c>
      <c r="G20" s="22">
        <v>1686330101</v>
      </c>
      <c r="H20" s="22">
        <v>12351347896</v>
      </c>
      <c r="I20" s="22">
        <v>1833468</v>
      </c>
      <c r="J20" s="22">
        <v>762700147</v>
      </c>
      <c r="K20" s="22">
        <v>670639423</v>
      </c>
      <c r="L20" s="22">
        <v>17528826144</v>
      </c>
      <c r="M20" s="22">
        <v>306383098</v>
      </c>
      <c r="N20" s="22">
        <v>10167067134</v>
      </c>
      <c r="O20" s="22">
        <v>276812757</v>
      </c>
      <c r="P20" s="22">
        <v>462765641</v>
      </c>
      <c r="Q20" s="22">
        <v>164670</v>
      </c>
      <c r="R20" s="22">
        <v>73729114</v>
      </c>
      <c r="S20" s="22">
        <v>109932173</v>
      </c>
      <c r="T20" s="22">
        <v>130909088</v>
      </c>
      <c r="U20" s="23">
        <v>108298103284</v>
      </c>
    </row>
    <row r="21" spans="1:21" ht="14.25" customHeight="1" x14ac:dyDescent="0.2">
      <c r="A21" s="20" t="s">
        <v>27</v>
      </c>
      <c r="B21" s="21" t="s">
        <v>106</v>
      </c>
      <c r="C21" s="22">
        <v>577867500</v>
      </c>
      <c r="D21" s="22">
        <v>16597184526</v>
      </c>
      <c r="E21" s="22">
        <v>169449380</v>
      </c>
      <c r="F21" s="22">
        <v>3273260356</v>
      </c>
      <c r="G21" s="22">
        <v>764328603</v>
      </c>
      <c r="H21" s="22">
        <v>1917592825</v>
      </c>
      <c r="I21" s="22">
        <v>0</v>
      </c>
      <c r="J21" s="22">
        <v>101236612</v>
      </c>
      <c r="K21" s="22">
        <v>258999361</v>
      </c>
      <c r="L21" s="22">
        <v>3840814873</v>
      </c>
      <c r="M21" s="22">
        <v>5901141</v>
      </c>
      <c r="N21" s="22">
        <v>799849481</v>
      </c>
      <c r="O21" s="22">
        <v>137236168</v>
      </c>
      <c r="P21" s="22">
        <v>261690665</v>
      </c>
      <c r="Q21" s="22">
        <v>27290186</v>
      </c>
      <c r="R21" s="22">
        <v>62355192</v>
      </c>
      <c r="S21" s="22">
        <v>37385454</v>
      </c>
      <c r="T21" s="22">
        <v>50563244</v>
      </c>
      <c r="U21" s="23">
        <v>28883005567</v>
      </c>
    </row>
    <row r="22" spans="1:21" ht="14.25" customHeight="1" x14ac:dyDescent="0.2">
      <c r="A22" s="20" t="s">
        <v>28</v>
      </c>
      <c r="B22" s="21" t="s">
        <v>106</v>
      </c>
      <c r="C22" s="22">
        <v>922698726</v>
      </c>
      <c r="D22" s="22">
        <v>12637494428</v>
      </c>
      <c r="E22" s="22">
        <v>145891801</v>
      </c>
      <c r="F22" s="22">
        <v>1404064424</v>
      </c>
      <c r="G22" s="22">
        <v>527984229</v>
      </c>
      <c r="H22" s="22">
        <v>180655577</v>
      </c>
      <c r="I22" s="22">
        <v>26436392</v>
      </c>
      <c r="J22" s="22">
        <v>97933203</v>
      </c>
      <c r="K22" s="22">
        <v>202313148</v>
      </c>
      <c r="L22" s="22">
        <v>795551175</v>
      </c>
      <c r="M22" s="22">
        <v>16972034</v>
      </c>
      <c r="N22" s="22">
        <v>213821064</v>
      </c>
      <c r="O22" s="22">
        <v>97040550</v>
      </c>
      <c r="P22" s="22">
        <v>80314927</v>
      </c>
      <c r="Q22" s="22">
        <v>4833961</v>
      </c>
      <c r="R22" s="22">
        <v>49708</v>
      </c>
      <c r="S22" s="22">
        <v>10197586</v>
      </c>
      <c r="T22" s="22">
        <v>59718849</v>
      </c>
      <c r="U22" s="23">
        <v>17423971782</v>
      </c>
    </row>
    <row r="23" spans="1:21" ht="14.25" customHeight="1" x14ac:dyDescent="0.2">
      <c r="A23" s="20" t="s">
        <v>29</v>
      </c>
      <c r="B23" s="21" t="s">
        <v>107</v>
      </c>
      <c r="C23" s="22">
        <v>470571510</v>
      </c>
      <c r="D23" s="22">
        <v>2817316233</v>
      </c>
      <c r="E23" s="22">
        <v>63747199</v>
      </c>
      <c r="F23" s="22">
        <v>133190853</v>
      </c>
      <c r="G23" s="22">
        <v>3386797</v>
      </c>
      <c r="H23" s="22">
        <v>481313</v>
      </c>
      <c r="I23" s="22">
        <v>0</v>
      </c>
      <c r="J23" s="22">
        <v>26311042</v>
      </c>
      <c r="K23" s="22">
        <v>15881018</v>
      </c>
      <c r="L23" s="22">
        <v>123495619</v>
      </c>
      <c r="M23" s="22">
        <v>128675</v>
      </c>
      <c r="N23" s="22">
        <v>21234028</v>
      </c>
      <c r="O23" s="22">
        <v>3930819</v>
      </c>
      <c r="P23" s="22">
        <v>4612806</v>
      </c>
      <c r="Q23" s="22">
        <v>138678</v>
      </c>
      <c r="R23" s="22">
        <v>3127061</v>
      </c>
      <c r="S23" s="22">
        <v>4328311</v>
      </c>
      <c r="T23" s="22">
        <v>5098142</v>
      </c>
      <c r="U23" s="23">
        <v>3696980104</v>
      </c>
    </row>
    <row r="24" spans="1:21" ht="14.25" customHeight="1" x14ac:dyDescent="0.2">
      <c r="A24" s="20" t="s">
        <v>30</v>
      </c>
      <c r="B24" s="21" t="s">
        <v>107</v>
      </c>
      <c r="C24" s="22">
        <v>91598278</v>
      </c>
      <c r="D24" s="22">
        <v>1018154981</v>
      </c>
      <c r="E24" s="22">
        <v>142149670</v>
      </c>
      <c r="F24" s="22">
        <v>0</v>
      </c>
      <c r="G24" s="22">
        <v>15405430</v>
      </c>
      <c r="H24" s="22">
        <v>17975046</v>
      </c>
      <c r="I24" s="22">
        <v>0</v>
      </c>
      <c r="J24" s="22">
        <v>338754</v>
      </c>
      <c r="K24" s="22">
        <v>20543696</v>
      </c>
      <c r="L24" s="22">
        <v>188623733</v>
      </c>
      <c r="M24" s="22">
        <v>0</v>
      </c>
      <c r="N24" s="22">
        <v>95649954</v>
      </c>
      <c r="O24" s="22">
        <v>202732253</v>
      </c>
      <c r="P24" s="22">
        <v>23423384</v>
      </c>
      <c r="Q24" s="22">
        <v>1538730</v>
      </c>
      <c r="R24" s="22">
        <v>25950</v>
      </c>
      <c r="S24" s="22">
        <v>15556631</v>
      </c>
      <c r="T24" s="22">
        <v>39741367</v>
      </c>
      <c r="U24" s="23">
        <v>1873457857</v>
      </c>
    </row>
    <row r="25" spans="1:21" ht="14.25" customHeight="1" x14ac:dyDescent="0.2">
      <c r="A25" s="20" t="s">
        <v>31</v>
      </c>
      <c r="B25" s="21" t="s">
        <v>107</v>
      </c>
      <c r="C25" s="22">
        <v>64122403</v>
      </c>
      <c r="D25" s="22">
        <v>423946481</v>
      </c>
      <c r="E25" s="22">
        <v>176944185</v>
      </c>
      <c r="F25" s="22">
        <v>0</v>
      </c>
      <c r="G25" s="22">
        <v>3876029</v>
      </c>
      <c r="H25" s="22">
        <v>1651610</v>
      </c>
      <c r="I25" s="22">
        <v>0</v>
      </c>
      <c r="J25" s="22">
        <v>20684017</v>
      </c>
      <c r="K25" s="22">
        <v>2794659</v>
      </c>
      <c r="L25" s="22">
        <v>43148715</v>
      </c>
      <c r="M25" s="22">
        <v>306286</v>
      </c>
      <c r="N25" s="22">
        <v>17098259</v>
      </c>
      <c r="O25" s="22">
        <v>212603416</v>
      </c>
      <c r="P25" s="22">
        <v>5243642</v>
      </c>
      <c r="Q25" s="22">
        <v>0</v>
      </c>
      <c r="R25" s="22">
        <v>0</v>
      </c>
      <c r="S25" s="22">
        <v>16710267</v>
      </c>
      <c r="T25" s="22">
        <v>26497593</v>
      </c>
      <c r="U25" s="23">
        <v>1015627562</v>
      </c>
    </row>
    <row r="26" spans="1:21" ht="14.25" customHeight="1" x14ac:dyDescent="0.2">
      <c r="A26" s="20" t="s">
        <v>32</v>
      </c>
      <c r="B26" s="21" t="s">
        <v>107</v>
      </c>
      <c r="C26" s="22">
        <v>53333103</v>
      </c>
      <c r="D26" s="22">
        <v>287185216</v>
      </c>
      <c r="E26" s="22">
        <v>153469091</v>
      </c>
      <c r="F26" s="22">
        <v>13208421</v>
      </c>
      <c r="G26" s="22">
        <v>22544553</v>
      </c>
      <c r="H26" s="22">
        <v>495007</v>
      </c>
      <c r="I26" s="22">
        <v>0</v>
      </c>
      <c r="J26" s="22">
        <v>7957767</v>
      </c>
      <c r="K26" s="22">
        <v>4083988</v>
      </c>
      <c r="L26" s="22">
        <v>86104056</v>
      </c>
      <c r="M26" s="22">
        <v>4601202</v>
      </c>
      <c r="N26" s="22">
        <v>26953168</v>
      </c>
      <c r="O26" s="22">
        <v>251996778</v>
      </c>
      <c r="P26" s="22">
        <v>130787</v>
      </c>
      <c r="Q26" s="22">
        <v>0</v>
      </c>
      <c r="R26" s="22">
        <v>0</v>
      </c>
      <c r="S26" s="22">
        <v>23437938</v>
      </c>
      <c r="T26" s="22">
        <v>19614726</v>
      </c>
      <c r="U26" s="23">
        <v>955115801</v>
      </c>
    </row>
    <row r="27" spans="1:21" ht="14.25" customHeight="1" x14ac:dyDescent="0.2">
      <c r="A27" s="20" t="s">
        <v>33</v>
      </c>
      <c r="B27" s="21" t="s">
        <v>107</v>
      </c>
      <c r="C27" s="22">
        <v>632100897</v>
      </c>
      <c r="D27" s="22">
        <v>2641871187</v>
      </c>
      <c r="E27" s="22">
        <v>102698049</v>
      </c>
      <c r="F27" s="22">
        <v>57396512</v>
      </c>
      <c r="G27" s="22">
        <v>6219787</v>
      </c>
      <c r="H27" s="22">
        <v>14138663</v>
      </c>
      <c r="I27" s="22">
        <v>0</v>
      </c>
      <c r="J27" s="22">
        <v>23308357</v>
      </c>
      <c r="K27" s="22">
        <v>1815776</v>
      </c>
      <c r="L27" s="22">
        <v>154970610</v>
      </c>
      <c r="M27" s="22">
        <v>0</v>
      </c>
      <c r="N27" s="22">
        <v>21146969</v>
      </c>
      <c r="O27" s="22">
        <v>74013317</v>
      </c>
      <c r="P27" s="22">
        <v>9328154</v>
      </c>
      <c r="Q27" s="22">
        <v>1</v>
      </c>
      <c r="R27" s="22">
        <v>666322</v>
      </c>
      <c r="S27" s="22">
        <v>7015705</v>
      </c>
      <c r="T27" s="22">
        <v>65343624</v>
      </c>
      <c r="U27" s="23">
        <v>3812033930</v>
      </c>
    </row>
    <row r="28" spans="1:21" ht="14.25" customHeight="1" x14ac:dyDescent="0.2">
      <c r="A28" s="20" t="s">
        <v>34</v>
      </c>
      <c r="B28" s="21" t="s">
        <v>106</v>
      </c>
      <c r="C28" s="22">
        <v>62351629</v>
      </c>
      <c r="D28" s="22">
        <v>156396988</v>
      </c>
      <c r="E28" s="22">
        <v>70537488</v>
      </c>
      <c r="F28" s="22">
        <v>0</v>
      </c>
      <c r="G28" s="22">
        <v>15824955</v>
      </c>
      <c r="H28" s="22">
        <v>5356341</v>
      </c>
      <c r="I28" s="22">
        <v>0</v>
      </c>
      <c r="J28" s="22">
        <v>3829512</v>
      </c>
      <c r="K28" s="22">
        <v>5353653</v>
      </c>
      <c r="L28" s="22">
        <v>41214421</v>
      </c>
      <c r="M28" s="22">
        <v>32310</v>
      </c>
      <c r="N28" s="22">
        <v>6684432</v>
      </c>
      <c r="O28" s="22">
        <v>151889649</v>
      </c>
      <c r="P28" s="22">
        <v>1990629</v>
      </c>
      <c r="Q28" s="22">
        <v>620360</v>
      </c>
      <c r="R28" s="22">
        <v>0</v>
      </c>
      <c r="S28" s="22">
        <v>77101287</v>
      </c>
      <c r="T28" s="22">
        <v>18680869</v>
      </c>
      <c r="U28" s="23">
        <v>617864523</v>
      </c>
    </row>
    <row r="29" spans="1:21" ht="14.25" customHeight="1" x14ac:dyDescent="0.2">
      <c r="A29" s="20" t="s">
        <v>35</v>
      </c>
      <c r="B29" s="21" t="s">
        <v>106</v>
      </c>
      <c r="C29" s="22">
        <v>66369197</v>
      </c>
      <c r="D29" s="22">
        <v>440531377</v>
      </c>
      <c r="E29" s="22">
        <v>104254462</v>
      </c>
      <c r="F29" s="22">
        <v>0</v>
      </c>
      <c r="G29" s="22">
        <v>27825253</v>
      </c>
      <c r="H29" s="22">
        <v>14122963</v>
      </c>
      <c r="I29" s="22">
        <v>0</v>
      </c>
      <c r="J29" s="22">
        <v>4692947</v>
      </c>
      <c r="K29" s="22">
        <v>12484509</v>
      </c>
      <c r="L29" s="22">
        <v>144305884</v>
      </c>
      <c r="M29" s="22">
        <v>1147841</v>
      </c>
      <c r="N29" s="22">
        <v>33478283</v>
      </c>
      <c r="O29" s="22">
        <v>438217391</v>
      </c>
      <c r="P29" s="22">
        <v>25551463</v>
      </c>
      <c r="Q29" s="22">
        <v>14499705</v>
      </c>
      <c r="R29" s="22">
        <v>0</v>
      </c>
      <c r="S29" s="22">
        <v>390763166</v>
      </c>
      <c r="T29" s="22">
        <v>28090800</v>
      </c>
      <c r="U29" s="23">
        <v>1746335241</v>
      </c>
    </row>
    <row r="30" spans="1:21" ht="14.25" customHeight="1" x14ac:dyDescent="0.2">
      <c r="A30" s="20" t="s">
        <v>36</v>
      </c>
      <c r="B30" s="21" t="s">
        <v>106</v>
      </c>
      <c r="C30" s="22">
        <v>350138375</v>
      </c>
      <c r="D30" s="22">
        <v>1389352069</v>
      </c>
      <c r="E30" s="22">
        <v>307248672</v>
      </c>
      <c r="F30" s="22">
        <v>40419758</v>
      </c>
      <c r="G30" s="22">
        <v>64044569</v>
      </c>
      <c r="H30" s="22">
        <v>17511611</v>
      </c>
      <c r="I30" s="22">
        <v>0</v>
      </c>
      <c r="J30" s="22">
        <v>4255704</v>
      </c>
      <c r="K30" s="22">
        <v>36206101</v>
      </c>
      <c r="L30" s="22">
        <v>302715016</v>
      </c>
      <c r="M30" s="22">
        <v>56022191</v>
      </c>
      <c r="N30" s="22">
        <v>133664683</v>
      </c>
      <c r="O30" s="22">
        <v>443300311</v>
      </c>
      <c r="P30" s="22">
        <v>13979080</v>
      </c>
      <c r="Q30" s="22">
        <v>264690</v>
      </c>
      <c r="R30" s="22">
        <v>30513225</v>
      </c>
      <c r="S30" s="22">
        <v>38282104</v>
      </c>
      <c r="T30" s="22">
        <v>17032657</v>
      </c>
      <c r="U30" s="23">
        <v>3244950816</v>
      </c>
    </row>
    <row r="31" spans="1:21" ht="14.25" customHeight="1" x14ac:dyDescent="0.2">
      <c r="A31" s="20" t="s">
        <v>37</v>
      </c>
      <c r="B31" s="21" t="s">
        <v>106</v>
      </c>
      <c r="C31" s="22">
        <v>602625622</v>
      </c>
      <c r="D31" s="22">
        <v>11408228355</v>
      </c>
      <c r="E31" s="22">
        <v>924918017</v>
      </c>
      <c r="F31" s="22">
        <v>53718929</v>
      </c>
      <c r="G31" s="22">
        <v>115113537</v>
      </c>
      <c r="H31" s="22">
        <v>322795039</v>
      </c>
      <c r="I31" s="22">
        <v>1739653</v>
      </c>
      <c r="J31" s="22">
        <v>273028</v>
      </c>
      <c r="K31" s="22">
        <v>294115525</v>
      </c>
      <c r="L31" s="22">
        <v>1579886516</v>
      </c>
      <c r="M31" s="22">
        <v>10001080</v>
      </c>
      <c r="N31" s="22">
        <v>495334978</v>
      </c>
      <c r="O31" s="22">
        <v>290536817</v>
      </c>
      <c r="P31" s="22">
        <v>239757754</v>
      </c>
      <c r="Q31" s="22">
        <v>0</v>
      </c>
      <c r="R31" s="22">
        <v>9043042</v>
      </c>
      <c r="S31" s="22">
        <v>34601865</v>
      </c>
      <c r="T31" s="22">
        <v>244024334</v>
      </c>
      <c r="U31" s="23">
        <v>16626714091</v>
      </c>
    </row>
    <row r="32" spans="1:21" ht="14.25" customHeight="1" x14ac:dyDescent="0.2">
      <c r="A32" s="20" t="s">
        <v>38</v>
      </c>
      <c r="B32" s="21" t="s">
        <v>106</v>
      </c>
      <c r="C32" s="22">
        <v>386231970</v>
      </c>
      <c r="D32" s="22">
        <v>4686588361</v>
      </c>
      <c r="E32" s="22">
        <v>274667225</v>
      </c>
      <c r="F32" s="22">
        <v>123685708</v>
      </c>
      <c r="G32" s="22">
        <v>138041684</v>
      </c>
      <c r="H32" s="22">
        <v>65383638</v>
      </c>
      <c r="I32" s="22">
        <v>24547914</v>
      </c>
      <c r="J32" s="22">
        <v>153570268</v>
      </c>
      <c r="K32" s="22">
        <v>53212607</v>
      </c>
      <c r="L32" s="22">
        <v>1229950717</v>
      </c>
      <c r="M32" s="22">
        <v>6665600</v>
      </c>
      <c r="N32" s="22">
        <v>173919570</v>
      </c>
      <c r="O32" s="22">
        <v>396074401</v>
      </c>
      <c r="P32" s="22">
        <v>50126385</v>
      </c>
      <c r="Q32" s="22">
        <v>3391746</v>
      </c>
      <c r="R32" s="22">
        <v>99581853</v>
      </c>
      <c r="S32" s="22">
        <v>16973220</v>
      </c>
      <c r="T32" s="22">
        <v>61980454</v>
      </c>
      <c r="U32" s="23">
        <v>7944593321</v>
      </c>
    </row>
    <row r="33" spans="1:21" ht="14.25" customHeight="1" x14ac:dyDescent="0.2">
      <c r="A33" s="20" t="s">
        <v>39</v>
      </c>
      <c r="B33" s="21" t="s">
        <v>106</v>
      </c>
      <c r="C33" s="22">
        <v>2034437588</v>
      </c>
      <c r="D33" s="22">
        <v>91093716124</v>
      </c>
      <c r="E33" s="22">
        <v>1201409491</v>
      </c>
      <c r="F33" s="22">
        <v>7053630628</v>
      </c>
      <c r="G33" s="22">
        <v>1280822082</v>
      </c>
      <c r="H33" s="22">
        <v>20095954681</v>
      </c>
      <c r="I33" s="22">
        <v>57521977</v>
      </c>
      <c r="J33" s="22">
        <v>754264341</v>
      </c>
      <c r="K33" s="22">
        <v>846326504</v>
      </c>
      <c r="L33" s="22">
        <v>26911512859</v>
      </c>
      <c r="M33" s="22">
        <v>166792609</v>
      </c>
      <c r="N33" s="22">
        <v>11683462388</v>
      </c>
      <c r="O33" s="22">
        <v>972935952</v>
      </c>
      <c r="P33" s="22">
        <v>997855522</v>
      </c>
      <c r="Q33" s="22">
        <v>8315163</v>
      </c>
      <c r="R33" s="22">
        <v>1487890099</v>
      </c>
      <c r="S33" s="22">
        <v>413545749</v>
      </c>
      <c r="T33" s="22">
        <v>253969968</v>
      </c>
      <c r="U33" s="23">
        <v>167314363725</v>
      </c>
    </row>
    <row r="34" spans="1:21" ht="14.25" customHeight="1" x14ac:dyDescent="0.2">
      <c r="A34" s="20" t="s">
        <v>40</v>
      </c>
      <c r="B34" s="21" t="s">
        <v>107</v>
      </c>
      <c r="C34" s="22">
        <v>27914479</v>
      </c>
      <c r="D34" s="22">
        <v>205757506</v>
      </c>
      <c r="E34" s="22">
        <v>41711077</v>
      </c>
      <c r="F34" s="22">
        <v>0</v>
      </c>
      <c r="G34" s="22">
        <v>3049557</v>
      </c>
      <c r="H34" s="22">
        <v>3610939</v>
      </c>
      <c r="I34" s="22">
        <v>0</v>
      </c>
      <c r="J34" s="22">
        <v>429474</v>
      </c>
      <c r="K34" s="22">
        <v>9368821</v>
      </c>
      <c r="L34" s="22">
        <v>64666294</v>
      </c>
      <c r="M34" s="22">
        <v>0</v>
      </c>
      <c r="N34" s="22">
        <v>7478320</v>
      </c>
      <c r="O34" s="22">
        <v>215571115</v>
      </c>
      <c r="P34" s="22">
        <v>2835490</v>
      </c>
      <c r="Q34" s="22">
        <v>1002864</v>
      </c>
      <c r="R34" s="22">
        <v>589616</v>
      </c>
      <c r="S34" s="22">
        <v>2371346</v>
      </c>
      <c r="T34" s="22">
        <v>5302295</v>
      </c>
      <c r="U34" s="23">
        <v>591659193</v>
      </c>
    </row>
    <row r="35" spans="1:21" ht="14.25" customHeight="1" x14ac:dyDescent="0.2">
      <c r="A35" s="20" t="s">
        <v>41</v>
      </c>
      <c r="B35" s="21" t="s">
        <v>106</v>
      </c>
      <c r="C35" s="22">
        <v>852191332</v>
      </c>
      <c r="D35" s="22">
        <v>21488394801</v>
      </c>
      <c r="E35" s="22">
        <v>67656995</v>
      </c>
      <c r="F35" s="22">
        <v>4604919366</v>
      </c>
      <c r="G35" s="22">
        <v>223847144</v>
      </c>
      <c r="H35" s="22">
        <v>128946973</v>
      </c>
      <c r="I35" s="22">
        <v>7875857</v>
      </c>
      <c r="J35" s="22">
        <v>246459891</v>
      </c>
      <c r="K35" s="22">
        <v>136509273</v>
      </c>
      <c r="L35" s="22">
        <v>1556973148</v>
      </c>
      <c r="M35" s="22">
        <v>17795109</v>
      </c>
      <c r="N35" s="22">
        <v>337271101</v>
      </c>
      <c r="O35" s="22">
        <v>292951221</v>
      </c>
      <c r="P35" s="22">
        <v>247392851</v>
      </c>
      <c r="Q35" s="22">
        <v>3784840</v>
      </c>
      <c r="R35" s="22">
        <v>28432650</v>
      </c>
      <c r="S35" s="22">
        <v>23038689</v>
      </c>
      <c r="T35" s="22">
        <v>129131288</v>
      </c>
      <c r="U35" s="23">
        <v>30393572529</v>
      </c>
    </row>
    <row r="36" spans="1:21" ht="14.25" customHeight="1" x14ac:dyDescent="0.2">
      <c r="A36" s="20" t="s">
        <v>42</v>
      </c>
      <c r="B36" s="21" t="s">
        <v>107</v>
      </c>
      <c r="C36" s="22">
        <v>147765410</v>
      </c>
      <c r="D36" s="22">
        <v>836256114</v>
      </c>
      <c r="E36" s="22">
        <v>106942814</v>
      </c>
      <c r="F36" s="22">
        <v>0</v>
      </c>
      <c r="G36" s="22">
        <v>8681288</v>
      </c>
      <c r="H36" s="22">
        <v>18884826</v>
      </c>
      <c r="I36" s="22">
        <v>0</v>
      </c>
      <c r="J36" s="22">
        <v>2818661</v>
      </c>
      <c r="K36" s="22">
        <v>18067764</v>
      </c>
      <c r="L36" s="22">
        <v>230993491</v>
      </c>
      <c r="M36" s="22">
        <v>851258</v>
      </c>
      <c r="N36" s="22">
        <v>85431206</v>
      </c>
      <c r="O36" s="22">
        <v>364841436</v>
      </c>
      <c r="P36" s="22">
        <v>19353329</v>
      </c>
      <c r="Q36" s="22">
        <v>3314291</v>
      </c>
      <c r="R36" s="22">
        <v>0</v>
      </c>
      <c r="S36" s="22">
        <v>33103723</v>
      </c>
      <c r="T36" s="22">
        <v>7014001</v>
      </c>
      <c r="U36" s="23">
        <v>1884319612</v>
      </c>
    </row>
    <row r="37" spans="1:21" ht="14.25" customHeight="1" x14ac:dyDescent="0.2">
      <c r="A37" s="20" t="s">
        <v>43</v>
      </c>
      <c r="B37" s="21" t="s">
        <v>107</v>
      </c>
      <c r="C37" s="22">
        <v>42900975</v>
      </c>
      <c r="D37" s="22">
        <v>350102108</v>
      </c>
      <c r="E37" s="22">
        <v>58665567</v>
      </c>
      <c r="F37" s="22">
        <v>0</v>
      </c>
      <c r="G37" s="22">
        <v>5704901</v>
      </c>
      <c r="H37" s="22">
        <v>7183936</v>
      </c>
      <c r="I37" s="22">
        <v>195498</v>
      </c>
      <c r="J37" s="22">
        <v>19549</v>
      </c>
      <c r="K37" s="22">
        <v>3682905</v>
      </c>
      <c r="L37" s="22">
        <v>45375586</v>
      </c>
      <c r="M37" s="22">
        <v>397399</v>
      </c>
      <c r="N37" s="22">
        <v>12779222</v>
      </c>
      <c r="O37" s="22">
        <v>346909595</v>
      </c>
      <c r="P37" s="22">
        <v>5566318</v>
      </c>
      <c r="Q37" s="22">
        <v>72510</v>
      </c>
      <c r="R37" s="22">
        <v>0</v>
      </c>
      <c r="S37" s="22">
        <v>21741107</v>
      </c>
      <c r="T37" s="22">
        <v>10317659</v>
      </c>
      <c r="U37" s="23">
        <v>911614835</v>
      </c>
    </row>
    <row r="38" spans="1:21" ht="14.25" customHeight="1" x14ac:dyDescent="0.2">
      <c r="A38" s="20" t="s">
        <v>44</v>
      </c>
      <c r="B38" s="21" t="s">
        <v>107</v>
      </c>
      <c r="C38" s="22">
        <v>31237672</v>
      </c>
      <c r="D38" s="22">
        <v>100169103</v>
      </c>
      <c r="E38" s="22">
        <v>34642563</v>
      </c>
      <c r="F38" s="22">
        <v>0</v>
      </c>
      <c r="G38" s="22">
        <v>1349941</v>
      </c>
      <c r="H38" s="22">
        <v>1366119</v>
      </c>
      <c r="I38" s="22">
        <v>0</v>
      </c>
      <c r="J38" s="22">
        <v>1494590</v>
      </c>
      <c r="K38" s="22">
        <v>989145</v>
      </c>
      <c r="L38" s="22">
        <v>11822458</v>
      </c>
      <c r="M38" s="22">
        <v>40000</v>
      </c>
      <c r="N38" s="22">
        <v>2616855</v>
      </c>
      <c r="O38" s="22">
        <v>126858880</v>
      </c>
      <c r="P38" s="22">
        <v>2330301</v>
      </c>
      <c r="Q38" s="22">
        <v>0</v>
      </c>
      <c r="R38" s="22">
        <v>0</v>
      </c>
      <c r="S38" s="22">
        <v>1667493</v>
      </c>
      <c r="T38" s="22">
        <v>3479295</v>
      </c>
      <c r="U38" s="23">
        <v>320064415</v>
      </c>
    </row>
    <row r="39" spans="1:21" ht="14.25" customHeight="1" x14ac:dyDescent="0.2">
      <c r="A39" s="20" t="s">
        <v>45</v>
      </c>
      <c r="B39" s="21" t="s">
        <v>106</v>
      </c>
      <c r="C39" s="22">
        <v>1446002345</v>
      </c>
      <c r="D39" s="22">
        <v>29625349841</v>
      </c>
      <c r="E39" s="22">
        <v>1275528672</v>
      </c>
      <c r="F39" s="22">
        <v>608030909</v>
      </c>
      <c r="G39" s="22">
        <v>298012815</v>
      </c>
      <c r="H39" s="22">
        <v>1460178834</v>
      </c>
      <c r="I39" s="22">
        <v>132763560</v>
      </c>
      <c r="J39" s="22">
        <v>266346022</v>
      </c>
      <c r="K39" s="22">
        <v>536257274</v>
      </c>
      <c r="L39" s="22">
        <v>4372321039</v>
      </c>
      <c r="M39" s="22">
        <v>75852369</v>
      </c>
      <c r="N39" s="22">
        <v>1371358706</v>
      </c>
      <c r="O39" s="22">
        <v>526249403</v>
      </c>
      <c r="P39" s="22">
        <v>130983168</v>
      </c>
      <c r="Q39" s="22">
        <v>5843182</v>
      </c>
      <c r="R39" s="22">
        <v>0</v>
      </c>
      <c r="S39" s="22">
        <v>21258162</v>
      </c>
      <c r="T39" s="22">
        <v>493387820</v>
      </c>
      <c r="U39" s="23">
        <v>42645724121</v>
      </c>
    </row>
    <row r="40" spans="1:21" ht="14.25" customHeight="1" x14ac:dyDescent="0.2">
      <c r="A40" s="20" t="s">
        <v>46</v>
      </c>
      <c r="B40" s="21" t="s">
        <v>106</v>
      </c>
      <c r="C40" s="22">
        <v>5331086711</v>
      </c>
      <c r="D40" s="22">
        <v>85406193456</v>
      </c>
      <c r="E40" s="22">
        <v>1352477792</v>
      </c>
      <c r="F40" s="22">
        <v>20788486882</v>
      </c>
      <c r="G40" s="22">
        <v>3923108753</v>
      </c>
      <c r="H40" s="22">
        <v>4755647788</v>
      </c>
      <c r="I40" s="22">
        <v>244420099</v>
      </c>
      <c r="J40" s="22">
        <v>649557275</v>
      </c>
      <c r="K40" s="22">
        <v>1896641797</v>
      </c>
      <c r="L40" s="22">
        <v>12402322306</v>
      </c>
      <c r="M40" s="22">
        <v>239314732</v>
      </c>
      <c r="N40" s="22">
        <v>4158202753</v>
      </c>
      <c r="O40" s="22">
        <v>408337773</v>
      </c>
      <c r="P40" s="22">
        <v>737287952</v>
      </c>
      <c r="Q40" s="22">
        <v>12224786</v>
      </c>
      <c r="R40" s="22">
        <v>66094923</v>
      </c>
      <c r="S40" s="22">
        <v>253404248</v>
      </c>
      <c r="T40" s="22">
        <v>259912199</v>
      </c>
      <c r="U40" s="23">
        <v>142884722225</v>
      </c>
    </row>
    <row r="41" spans="1:21" ht="14.25" customHeight="1" x14ac:dyDescent="0.2">
      <c r="A41" s="20" t="s">
        <v>47</v>
      </c>
      <c r="B41" s="21" t="s">
        <v>106</v>
      </c>
      <c r="C41" s="22">
        <v>314785149</v>
      </c>
      <c r="D41" s="22">
        <v>14477266157</v>
      </c>
      <c r="E41" s="22">
        <v>218209576</v>
      </c>
      <c r="F41" s="22">
        <v>618133875</v>
      </c>
      <c r="G41" s="22">
        <v>523418143</v>
      </c>
      <c r="H41" s="22">
        <v>4079232956</v>
      </c>
      <c r="I41" s="22">
        <v>0</v>
      </c>
      <c r="J41" s="22">
        <v>125309731</v>
      </c>
      <c r="K41" s="22">
        <v>191395064</v>
      </c>
      <c r="L41" s="22">
        <v>3781309787</v>
      </c>
      <c r="M41" s="22">
        <v>14259067</v>
      </c>
      <c r="N41" s="22">
        <v>804178361</v>
      </c>
      <c r="O41" s="22">
        <v>211333940</v>
      </c>
      <c r="P41" s="22">
        <v>311266424</v>
      </c>
      <c r="Q41" s="22">
        <v>13607700</v>
      </c>
      <c r="R41" s="22">
        <v>0</v>
      </c>
      <c r="S41" s="22">
        <v>9771073</v>
      </c>
      <c r="T41" s="22">
        <v>87007662</v>
      </c>
      <c r="U41" s="23">
        <v>25780484665</v>
      </c>
    </row>
    <row r="42" spans="1:21" ht="14.25" customHeight="1" x14ac:dyDescent="0.2">
      <c r="A42" s="20" t="s">
        <v>48</v>
      </c>
      <c r="B42" s="21" t="s">
        <v>107</v>
      </c>
      <c r="C42" s="22">
        <v>319271990</v>
      </c>
      <c r="D42" s="22">
        <v>1095858388</v>
      </c>
      <c r="E42" s="22">
        <v>547209715</v>
      </c>
      <c r="F42" s="22">
        <v>35751295</v>
      </c>
      <c r="G42" s="22">
        <v>12389547</v>
      </c>
      <c r="H42" s="22">
        <v>5311500</v>
      </c>
      <c r="I42" s="22">
        <v>0</v>
      </c>
      <c r="J42" s="22">
        <v>3903039</v>
      </c>
      <c r="K42" s="22">
        <v>20832891</v>
      </c>
      <c r="L42" s="22">
        <v>251529109</v>
      </c>
      <c r="M42" s="22">
        <v>355357</v>
      </c>
      <c r="N42" s="22">
        <v>30195803</v>
      </c>
      <c r="O42" s="22">
        <v>496375913</v>
      </c>
      <c r="P42" s="22">
        <v>6523380</v>
      </c>
      <c r="Q42" s="22">
        <v>4398595</v>
      </c>
      <c r="R42" s="22">
        <v>3234390</v>
      </c>
      <c r="S42" s="22">
        <v>17386060</v>
      </c>
      <c r="T42" s="22">
        <v>33419137</v>
      </c>
      <c r="U42" s="23">
        <v>2883946109</v>
      </c>
    </row>
    <row r="43" spans="1:21" ht="14.25" customHeight="1" x14ac:dyDescent="0.2">
      <c r="A43" s="20" t="s">
        <v>49</v>
      </c>
      <c r="B43" s="21" t="s">
        <v>107</v>
      </c>
      <c r="C43" s="22">
        <v>11689252</v>
      </c>
      <c r="D43" s="22">
        <v>95693719</v>
      </c>
      <c r="E43" s="22">
        <v>16327307</v>
      </c>
      <c r="F43" s="22">
        <v>0</v>
      </c>
      <c r="G43" s="22">
        <v>2468486</v>
      </c>
      <c r="H43" s="22">
        <v>313692</v>
      </c>
      <c r="I43" s="22">
        <v>0</v>
      </c>
      <c r="J43" s="22">
        <v>251741</v>
      </c>
      <c r="K43" s="22">
        <v>722790</v>
      </c>
      <c r="L43" s="22">
        <v>15194987</v>
      </c>
      <c r="M43" s="22">
        <v>0</v>
      </c>
      <c r="N43" s="22">
        <v>21260621</v>
      </c>
      <c r="O43" s="22">
        <v>50205007</v>
      </c>
      <c r="P43" s="22">
        <v>444218</v>
      </c>
      <c r="Q43" s="22">
        <v>0</v>
      </c>
      <c r="R43" s="22">
        <v>0</v>
      </c>
      <c r="S43" s="22">
        <v>1333265</v>
      </c>
      <c r="T43" s="22">
        <v>1958773</v>
      </c>
      <c r="U43" s="23">
        <v>217863858</v>
      </c>
    </row>
    <row r="44" spans="1:21" ht="14.25" customHeight="1" x14ac:dyDescent="0.2">
      <c r="A44" s="20" t="s">
        <v>50</v>
      </c>
      <c r="B44" s="21" t="s">
        <v>107</v>
      </c>
      <c r="C44" s="22">
        <v>79607776</v>
      </c>
      <c r="D44" s="22">
        <v>274977425</v>
      </c>
      <c r="E44" s="22">
        <v>77405972</v>
      </c>
      <c r="F44" s="22">
        <v>0</v>
      </c>
      <c r="G44" s="22">
        <v>17808315</v>
      </c>
      <c r="H44" s="22">
        <v>5145439</v>
      </c>
      <c r="I44" s="22">
        <v>0</v>
      </c>
      <c r="J44" s="22">
        <v>0</v>
      </c>
      <c r="K44" s="22">
        <v>2959420</v>
      </c>
      <c r="L44" s="22">
        <v>83804358</v>
      </c>
      <c r="M44" s="22">
        <v>106965</v>
      </c>
      <c r="N44" s="22">
        <v>86902353</v>
      </c>
      <c r="O44" s="22">
        <v>244491491</v>
      </c>
      <c r="P44" s="22">
        <v>13214107</v>
      </c>
      <c r="Q44" s="22">
        <v>0</v>
      </c>
      <c r="R44" s="22">
        <v>0</v>
      </c>
      <c r="S44" s="22">
        <v>8772899</v>
      </c>
      <c r="T44" s="22">
        <v>14247162</v>
      </c>
      <c r="U44" s="23">
        <v>909443682</v>
      </c>
    </row>
    <row r="45" spans="1:21" ht="14.25" customHeight="1" x14ac:dyDescent="0.2">
      <c r="A45" s="20" t="s">
        <v>51</v>
      </c>
      <c r="B45" s="21" t="s">
        <v>106</v>
      </c>
      <c r="C45" s="22">
        <v>1483768557</v>
      </c>
      <c r="D45" s="22">
        <v>44663222826</v>
      </c>
      <c r="E45" s="22">
        <v>369963176</v>
      </c>
      <c r="F45" s="22">
        <v>7600511988</v>
      </c>
      <c r="G45" s="22">
        <v>1625007227</v>
      </c>
      <c r="H45" s="22">
        <v>3390307353</v>
      </c>
      <c r="I45" s="22">
        <v>401320331</v>
      </c>
      <c r="J45" s="22">
        <v>92021206</v>
      </c>
      <c r="K45" s="22">
        <v>302617567</v>
      </c>
      <c r="L45" s="22">
        <v>5400198956</v>
      </c>
      <c r="M45" s="22">
        <v>72390240</v>
      </c>
      <c r="N45" s="22">
        <v>2687721879</v>
      </c>
      <c r="O45" s="22">
        <v>397579372</v>
      </c>
      <c r="P45" s="22">
        <v>816804308</v>
      </c>
      <c r="Q45" s="22">
        <v>11711314</v>
      </c>
      <c r="R45" s="22">
        <v>21982231</v>
      </c>
      <c r="S45" s="22">
        <v>84406694</v>
      </c>
      <c r="T45" s="22">
        <v>496539470</v>
      </c>
      <c r="U45" s="23">
        <v>69918074695</v>
      </c>
    </row>
    <row r="46" spans="1:21" ht="14.25" customHeight="1" x14ac:dyDescent="0.2">
      <c r="A46" s="20" t="s">
        <v>52</v>
      </c>
      <c r="B46" s="21" t="s">
        <v>106</v>
      </c>
      <c r="C46" s="22">
        <v>1261678226</v>
      </c>
      <c r="D46" s="22">
        <v>21520967292</v>
      </c>
      <c r="E46" s="22">
        <v>1286388865</v>
      </c>
      <c r="F46" s="22">
        <v>217207282</v>
      </c>
      <c r="G46" s="22">
        <v>806790294</v>
      </c>
      <c r="H46" s="22">
        <v>1015185094</v>
      </c>
      <c r="I46" s="22">
        <v>0</v>
      </c>
      <c r="J46" s="22">
        <v>162898553</v>
      </c>
      <c r="K46" s="22">
        <v>421983203</v>
      </c>
      <c r="L46" s="22">
        <v>3855164371</v>
      </c>
      <c r="M46" s="22">
        <v>71198644</v>
      </c>
      <c r="N46" s="22">
        <v>1929294576</v>
      </c>
      <c r="O46" s="22">
        <v>2028424075</v>
      </c>
      <c r="P46" s="22">
        <v>313928367</v>
      </c>
      <c r="Q46" s="22">
        <v>4114850</v>
      </c>
      <c r="R46" s="22">
        <v>13206172</v>
      </c>
      <c r="S46" s="22">
        <v>46243246</v>
      </c>
      <c r="T46" s="22">
        <v>288355237</v>
      </c>
      <c r="U46" s="23">
        <v>35243028347</v>
      </c>
    </row>
    <row r="47" spans="1:21" ht="14.25" customHeight="1" x14ac:dyDescent="0.2">
      <c r="A47" s="20" t="s">
        <v>53</v>
      </c>
      <c r="B47" s="21" t="s">
        <v>106</v>
      </c>
      <c r="C47" s="22">
        <v>2524721671</v>
      </c>
      <c r="D47" s="22">
        <v>23481717074</v>
      </c>
      <c r="E47" s="22">
        <v>231931584</v>
      </c>
      <c r="F47" s="22">
        <v>2793779204</v>
      </c>
      <c r="G47" s="22">
        <v>331972859</v>
      </c>
      <c r="H47" s="22">
        <v>723276158</v>
      </c>
      <c r="I47" s="22">
        <v>44723610</v>
      </c>
      <c r="J47" s="22">
        <v>0</v>
      </c>
      <c r="K47" s="22">
        <v>242064357</v>
      </c>
      <c r="L47" s="22">
        <v>2922194409</v>
      </c>
      <c r="M47" s="22">
        <v>47647371</v>
      </c>
      <c r="N47" s="22">
        <v>1171056993</v>
      </c>
      <c r="O47" s="22">
        <v>409343091</v>
      </c>
      <c r="P47" s="22">
        <v>297095458</v>
      </c>
      <c r="Q47" s="22">
        <v>20571558</v>
      </c>
      <c r="R47" s="22">
        <v>31108943</v>
      </c>
      <c r="S47" s="22">
        <v>157694222</v>
      </c>
      <c r="T47" s="22">
        <v>216624971</v>
      </c>
      <c r="U47" s="23">
        <v>35647523533</v>
      </c>
    </row>
    <row r="48" spans="1:21" ht="14.25" customHeight="1" x14ac:dyDescent="0.2">
      <c r="A48" s="20" t="s">
        <v>54</v>
      </c>
      <c r="B48" s="21" t="s">
        <v>106</v>
      </c>
      <c r="C48" s="22">
        <v>1554446993</v>
      </c>
      <c r="D48" s="22">
        <v>30152736845</v>
      </c>
      <c r="E48" s="22">
        <v>1510825569</v>
      </c>
      <c r="F48" s="22">
        <v>5436951404</v>
      </c>
      <c r="G48" s="22">
        <v>1641876846</v>
      </c>
      <c r="H48" s="22">
        <v>456073887</v>
      </c>
      <c r="I48" s="22">
        <v>15220885</v>
      </c>
      <c r="J48" s="22">
        <v>126395798</v>
      </c>
      <c r="K48" s="22">
        <v>171335750</v>
      </c>
      <c r="L48" s="22">
        <v>7687853215</v>
      </c>
      <c r="M48" s="22">
        <v>7443653</v>
      </c>
      <c r="N48" s="22">
        <v>294041903</v>
      </c>
      <c r="O48" s="22">
        <v>28130</v>
      </c>
      <c r="P48" s="22">
        <v>87659371</v>
      </c>
      <c r="Q48" s="22">
        <v>7260486</v>
      </c>
      <c r="R48" s="22">
        <v>3832865</v>
      </c>
      <c r="S48" s="22">
        <v>38874082</v>
      </c>
      <c r="T48" s="22">
        <v>6559006</v>
      </c>
      <c r="U48" s="23">
        <v>49199416688</v>
      </c>
    </row>
    <row r="49" spans="1:21" ht="14.25" customHeight="1" x14ac:dyDescent="0.2">
      <c r="A49" s="20" t="s">
        <v>55</v>
      </c>
      <c r="B49" s="21" t="s">
        <v>106</v>
      </c>
      <c r="C49" s="22">
        <v>645069198</v>
      </c>
      <c r="D49" s="22">
        <v>10521390892</v>
      </c>
      <c r="E49" s="22">
        <v>532399065</v>
      </c>
      <c r="F49" s="22">
        <v>2432328565</v>
      </c>
      <c r="G49" s="22">
        <v>200125810</v>
      </c>
      <c r="H49" s="22">
        <v>375801475</v>
      </c>
      <c r="I49" s="22">
        <v>0</v>
      </c>
      <c r="J49" s="22">
        <v>103636387</v>
      </c>
      <c r="K49" s="22">
        <v>145204122</v>
      </c>
      <c r="L49" s="22">
        <v>1259535430</v>
      </c>
      <c r="M49" s="22">
        <v>21377978</v>
      </c>
      <c r="N49" s="22">
        <v>218242184</v>
      </c>
      <c r="O49" s="22">
        <v>342845281</v>
      </c>
      <c r="P49" s="22">
        <v>28568877</v>
      </c>
      <c r="Q49" s="22">
        <v>35595711</v>
      </c>
      <c r="R49" s="22">
        <v>2572860</v>
      </c>
      <c r="S49" s="22">
        <v>15918087</v>
      </c>
      <c r="T49" s="22">
        <v>98550337</v>
      </c>
      <c r="U49" s="23">
        <v>16979162259</v>
      </c>
    </row>
    <row r="50" spans="1:21" ht="14.25" customHeight="1" x14ac:dyDescent="0.2">
      <c r="A50" s="20" t="s">
        <v>56</v>
      </c>
      <c r="B50" s="21" t="s">
        <v>106</v>
      </c>
      <c r="C50" s="22">
        <v>687712720</v>
      </c>
      <c r="D50" s="22">
        <v>17415142604</v>
      </c>
      <c r="E50" s="22">
        <v>243209462</v>
      </c>
      <c r="F50" s="22">
        <v>5898500581</v>
      </c>
      <c r="G50" s="22">
        <v>297380873</v>
      </c>
      <c r="H50" s="22">
        <v>918814870</v>
      </c>
      <c r="I50" s="22">
        <v>840000</v>
      </c>
      <c r="J50" s="22">
        <v>0</v>
      </c>
      <c r="K50" s="22">
        <v>183962190</v>
      </c>
      <c r="L50" s="22">
        <v>2836056110</v>
      </c>
      <c r="M50" s="22">
        <v>2297633</v>
      </c>
      <c r="N50" s="22">
        <v>523069077</v>
      </c>
      <c r="O50" s="22">
        <v>203349042</v>
      </c>
      <c r="P50" s="22">
        <v>153711785</v>
      </c>
      <c r="Q50" s="22">
        <v>15224060</v>
      </c>
      <c r="R50" s="22">
        <v>0</v>
      </c>
      <c r="S50" s="22">
        <v>12779698</v>
      </c>
      <c r="T50" s="22">
        <v>93800544</v>
      </c>
      <c r="U50" s="23">
        <v>29485851249</v>
      </c>
    </row>
    <row r="51" spans="1:21" ht="14.25" customHeight="1" x14ac:dyDescent="0.2">
      <c r="A51" s="20" t="s">
        <v>57</v>
      </c>
      <c r="B51" s="21" t="s">
        <v>106</v>
      </c>
      <c r="C51" s="22">
        <v>240549819</v>
      </c>
      <c r="D51" s="22">
        <v>1203405117</v>
      </c>
      <c r="E51" s="22">
        <v>434959393</v>
      </c>
      <c r="F51" s="22">
        <v>16408840</v>
      </c>
      <c r="G51" s="22">
        <v>69335076</v>
      </c>
      <c r="H51" s="22">
        <v>11890967</v>
      </c>
      <c r="I51" s="22">
        <v>0</v>
      </c>
      <c r="J51" s="22">
        <v>1051342</v>
      </c>
      <c r="K51" s="22">
        <v>23315541</v>
      </c>
      <c r="L51" s="22">
        <v>467756044</v>
      </c>
      <c r="M51" s="22">
        <v>8898766</v>
      </c>
      <c r="N51" s="22">
        <v>103182063</v>
      </c>
      <c r="O51" s="22">
        <v>391952694</v>
      </c>
      <c r="P51" s="22">
        <v>35249356</v>
      </c>
      <c r="Q51" s="22">
        <v>0</v>
      </c>
      <c r="R51" s="22">
        <v>5777947</v>
      </c>
      <c r="S51" s="22">
        <v>82830343</v>
      </c>
      <c r="T51" s="22">
        <v>30205062</v>
      </c>
      <c r="U51" s="23">
        <v>3126768370</v>
      </c>
    </row>
    <row r="52" spans="1:21" ht="14.25" customHeight="1" x14ac:dyDescent="0.2">
      <c r="A52" s="20" t="s">
        <v>58</v>
      </c>
      <c r="B52" s="21" t="s">
        <v>106</v>
      </c>
      <c r="C52" s="22">
        <v>1887618488</v>
      </c>
      <c r="D52" s="22">
        <v>102502011015</v>
      </c>
      <c r="E52" s="22">
        <v>461272519</v>
      </c>
      <c r="F52" s="22">
        <v>8556213618</v>
      </c>
      <c r="G52" s="22">
        <v>1292174017</v>
      </c>
      <c r="H52" s="22">
        <v>24147602189</v>
      </c>
      <c r="I52" s="22">
        <v>0</v>
      </c>
      <c r="J52" s="22">
        <v>96940686</v>
      </c>
      <c r="K52" s="22">
        <v>2407107732</v>
      </c>
      <c r="L52" s="22">
        <v>60304328442</v>
      </c>
      <c r="M52" s="22">
        <v>404044231</v>
      </c>
      <c r="N52" s="22">
        <v>15863509512</v>
      </c>
      <c r="O52" s="22">
        <v>358900361</v>
      </c>
      <c r="P52" s="22">
        <v>1047725438</v>
      </c>
      <c r="Q52" s="22">
        <v>694870539</v>
      </c>
      <c r="R52" s="22">
        <v>4331704</v>
      </c>
      <c r="S52" s="22">
        <v>103999116</v>
      </c>
      <c r="T52" s="22">
        <v>587493870</v>
      </c>
      <c r="U52" s="23">
        <v>220720143477</v>
      </c>
    </row>
    <row r="53" spans="1:21" ht="14.25" customHeight="1" x14ac:dyDescent="0.2">
      <c r="A53" s="20" t="s">
        <v>59</v>
      </c>
      <c r="B53" s="21" t="s">
        <v>106</v>
      </c>
      <c r="C53" s="22">
        <v>974747514</v>
      </c>
      <c r="D53" s="22">
        <v>34809865327</v>
      </c>
      <c r="E53" s="22">
        <v>501686603</v>
      </c>
      <c r="F53" s="22">
        <v>5679173125</v>
      </c>
      <c r="G53" s="22">
        <v>302196128</v>
      </c>
      <c r="H53" s="22">
        <v>3880237198</v>
      </c>
      <c r="I53" s="22">
        <v>0</v>
      </c>
      <c r="J53" s="22">
        <v>14232509</v>
      </c>
      <c r="K53" s="22">
        <v>781817686</v>
      </c>
      <c r="L53" s="22">
        <v>6211136746</v>
      </c>
      <c r="M53" s="22">
        <v>60759569</v>
      </c>
      <c r="N53" s="22">
        <v>1290936489</v>
      </c>
      <c r="O53" s="22">
        <v>236229400</v>
      </c>
      <c r="P53" s="22">
        <v>419641496</v>
      </c>
      <c r="Q53" s="22">
        <v>12817839</v>
      </c>
      <c r="R53" s="22">
        <v>5168402</v>
      </c>
      <c r="S53" s="22">
        <v>64014884</v>
      </c>
      <c r="T53" s="22">
        <v>181010320</v>
      </c>
      <c r="U53" s="23">
        <v>55425671235</v>
      </c>
    </row>
    <row r="54" spans="1:21" ht="14.25" customHeight="1" x14ac:dyDescent="0.2">
      <c r="A54" s="20" t="s">
        <v>60</v>
      </c>
      <c r="B54" s="21" t="s">
        <v>106</v>
      </c>
      <c r="C54" s="22">
        <v>6638073444</v>
      </c>
      <c r="D54" s="22">
        <v>188090646776</v>
      </c>
      <c r="E54" s="22">
        <v>334217970</v>
      </c>
      <c r="F54" s="22">
        <v>52517925774</v>
      </c>
      <c r="G54" s="22">
        <v>4330293902</v>
      </c>
      <c r="H54" s="22">
        <v>15896564709</v>
      </c>
      <c r="I54" s="22">
        <v>1562596660</v>
      </c>
      <c r="J54" s="22">
        <v>2516775893</v>
      </c>
      <c r="K54" s="22">
        <v>1689054668</v>
      </c>
      <c r="L54" s="22">
        <v>37798491218</v>
      </c>
      <c r="M54" s="22">
        <v>231169342</v>
      </c>
      <c r="N54" s="22">
        <v>11057750491</v>
      </c>
      <c r="O54" s="22">
        <v>3280715240</v>
      </c>
      <c r="P54" s="22">
        <v>1600542734</v>
      </c>
      <c r="Q54" s="22">
        <v>45009694</v>
      </c>
      <c r="R54" s="22">
        <v>506360185</v>
      </c>
      <c r="S54" s="22">
        <v>493153946</v>
      </c>
      <c r="T54" s="22">
        <v>8056339</v>
      </c>
      <c r="U54" s="23">
        <v>328597398985</v>
      </c>
    </row>
    <row r="55" spans="1:21" ht="14.25" customHeight="1" x14ac:dyDescent="0.2">
      <c r="A55" s="20" t="s">
        <v>61</v>
      </c>
      <c r="B55" s="21" t="s">
        <v>106</v>
      </c>
      <c r="C55" s="22">
        <v>1291859761</v>
      </c>
      <c r="D55" s="22">
        <v>41025642960</v>
      </c>
      <c r="E55" s="22">
        <v>1600066297</v>
      </c>
      <c r="F55" s="22">
        <v>981087921</v>
      </c>
      <c r="G55" s="22">
        <v>523335751</v>
      </c>
      <c r="H55" s="22">
        <v>3263183502</v>
      </c>
      <c r="I55" s="22">
        <v>0</v>
      </c>
      <c r="J55" s="22">
        <v>50975912</v>
      </c>
      <c r="K55" s="22">
        <v>745527262</v>
      </c>
      <c r="L55" s="22">
        <v>5226651980</v>
      </c>
      <c r="M55" s="22">
        <v>48340826</v>
      </c>
      <c r="N55" s="22">
        <v>1682903112</v>
      </c>
      <c r="O55" s="22">
        <v>378954038</v>
      </c>
      <c r="P55" s="22">
        <v>514745835</v>
      </c>
      <c r="Q55" s="22">
        <v>7094247</v>
      </c>
      <c r="R55" s="22">
        <v>271942</v>
      </c>
      <c r="S55" s="22">
        <v>64429181</v>
      </c>
      <c r="T55" s="22">
        <v>173181404</v>
      </c>
      <c r="U55" s="23">
        <v>57578251931</v>
      </c>
    </row>
    <row r="56" spans="1:21" ht="14.25" customHeight="1" x14ac:dyDescent="0.2">
      <c r="A56" s="20" t="s">
        <v>62</v>
      </c>
      <c r="B56" s="21" t="s">
        <v>106</v>
      </c>
      <c r="C56" s="22">
        <v>1428146237</v>
      </c>
      <c r="D56" s="22">
        <v>65261603357</v>
      </c>
      <c r="E56" s="22">
        <v>1095911670</v>
      </c>
      <c r="F56" s="22">
        <v>25039443315</v>
      </c>
      <c r="G56" s="22">
        <v>4966204952</v>
      </c>
      <c r="H56" s="22">
        <v>9424307734</v>
      </c>
      <c r="I56" s="22">
        <v>160251407</v>
      </c>
      <c r="J56" s="22">
        <v>31165008</v>
      </c>
      <c r="K56" s="22">
        <v>973933783</v>
      </c>
      <c r="L56" s="22">
        <v>18339104357</v>
      </c>
      <c r="M56" s="22">
        <v>171333434</v>
      </c>
      <c r="N56" s="22">
        <v>5742715183</v>
      </c>
      <c r="O56" s="22">
        <v>35984333</v>
      </c>
      <c r="P56" s="22">
        <v>1344482194</v>
      </c>
      <c r="Q56" s="22">
        <v>4336895</v>
      </c>
      <c r="R56" s="22">
        <v>136844829</v>
      </c>
      <c r="S56" s="22">
        <v>231752126</v>
      </c>
      <c r="T56" s="22">
        <v>5696235</v>
      </c>
      <c r="U56" s="23">
        <v>134393217049</v>
      </c>
    </row>
    <row r="57" spans="1:21" ht="14.25" customHeight="1" x14ac:dyDescent="0.2">
      <c r="A57" s="20" t="s">
        <v>63</v>
      </c>
      <c r="B57" s="21" t="s">
        <v>106</v>
      </c>
      <c r="C57" s="22">
        <v>1628759574</v>
      </c>
      <c r="D57" s="22">
        <v>40408092795</v>
      </c>
      <c r="E57" s="22">
        <v>2150794400</v>
      </c>
      <c r="F57" s="22">
        <v>779445146</v>
      </c>
      <c r="G57" s="22">
        <v>1072190221</v>
      </c>
      <c r="H57" s="22">
        <v>3899104851</v>
      </c>
      <c r="I57" s="22">
        <v>9108851</v>
      </c>
      <c r="J57" s="22">
        <v>327060812</v>
      </c>
      <c r="K57" s="22">
        <v>566602614</v>
      </c>
      <c r="L57" s="22">
        <v>6874673089</v>
      </c>
      <c r="M57" s="22">
        <v>123003135</v>
      </c>
      <c r="N57" s="22">
        <v>5325977962</v>
      </c>
      <c r="O57" s="22">
        <v>645135972</v>
      </c>
      <c r="P57" s="22">
        <v>90762350</v>
      </c>
      <c r="Q57" s="22">
        <v>30834641</v>
      </c>
      <c r="R57" s="22">
        <v>0</v>
      </c>
      <c r="S57" s="22">
        <v>229929012</v>
      </c>
      <c r="T57" s="22">
        <v>410827091</v>
      </c>
      <c r="U57" s="23">
        <v>64572302516</v>
      </c>
    </row>
    <row r="58" spans="1:21" ht="14.25" customHeight="1" x14ac:dyDescent="0.2">
      <c r="A58" s="20" t="s">
        <v>64</v>
      </c>
      <c r="B58" s="21" t="s">
        <v>106</v>
      </c>
      <c r="C58" s="22">
        <v>328222472</v>
      </c>
      <c r="D58" s="22">
        <v>2211864895</v>
      </c>
      <c r="E58" s="22">
        <v>877769777</v>
      </c>
      <c r="F58" s="22">
        <v>35125038</v>
      </c>
      <c r="G58" s="22">
        <v>24971951</v>
      </c>
      <c r="H58" s="22">
        <v>36083310</v>
      </c>
      <c r="I58" s="22">
        <v>0</v>
      </c>
      <c r="J58" s="22">
        <v>124312370</v>
      </c>
      <c r="K58" s="22">
        <v>26876875</v>
      </c>
      <c r="L58" s="22">
        <v>941037835</v>
      </c>
      <c r="M58" s="22">
        <v>7705805</v>
      </c>
      <c r="N58" s="22">
        <v>226935712</v>
      </c>
      <c r="O58" s="22">
        <v>79439643</v>
      </c>
      <c r="P58" s="22">
        <v>52305523</v>
      </c>
      <c r="Q58" s="22">
        <v>7052320</v>
      </c>
      <c r="R58" s="22">
        <v>0</v>
      </c>
      <c r="S58" s="22">
        <v>103960946</v>
      </c>
      <c r="T58" s="22">
        <v>101920260</v>
      </c>
      <c r="U58" s="23">
        <v>5185584732</v>
      </c>
    </row>
    <row r="59" spans="1:21" ht="14.25" customHeight="1" x14ac:dyDescent="0.2">
      <c r="A59" s="20" t="s">
        <v>65</v>
      </c>
      <c r="B59" s="21" t="s">
        <v>106</v>
      </c>
      <c r="C59" s="22">
        <v>1801718149</v>
      </c>
      <c r="D59" s="22">
        <v>41733023549</v>
      </c>
      <c r="E59" s="22">
        <v>506074403</v>
      </c>
      <c r="F59" s="22">
        <v>4325243516</v>
      </c>
      <c r="G59" s="22">
        <v>825277433</v>
      </c>
      <c r="H59" s="22">
        <v>972553083</v>
      </c>
      <c r="I59" s="22">
        <v>0</v>
      </c>
      <c r="J59" s="22">
        <v>359032</v>
      </c>
      <c r="K59" s="22">
        <v>718622911</v>
      </c>
      <c r="L59" s="22">
        <v>4497966948</v>
      </c>
      <c r="M59" s="22">
        <v>0</v>
      </c>
      <c r="N59" s="22">
        <v>862329558</v>
      </c>
      <c r="O59" s="22">
        <v>197600250</v>
      </c>
      <c r="P59" s="22">
        <v>480756066</v>
      </c>
      <c r="Q59" s="22">
        <v>4928776</v>
      </c>
      <c r="R59" s="22">
        <v>6582504</v>
      </c>
      <c r="S59" s="22">
        <v>37879937</v>
      </c>
      <c r="T59" s="22">
        <v>158799135</v>
      </c>
      <c r="U59" s="23">
        <v>57129715250</v>
      </c>
    </row>
    <row r="60" spans="1:21" ht="14.25" customHeight="1" x14ac:dyDescent="0.2">
      <c r="A60" s="20" t="s">
        <v>66</v>
      </c>
      <c r="B60" s="21" t="s">
        <v>106</v>
      </c>
      <c r="C60" s="22">
        <v>1233489489</v>
      </c>
      <c r="D60" s="22">
        <v>26294756666</v>
      </c>
      <c r="E60" s="22">
        <v>506545423</v>
      </c>
      <c r="F60" s="22">
        <v>3330576100</v>
      </c>
      <c r="G60" s="22">
        <v>319564414</v>
      </c>
      <c r="H60" s="22">
        <v>1013791302</v>
      </c>
      <c r="I60" s="22">
        <v>0</v>
      </c>
      <c r="J60" s="22">
        <v>21206629</v>
      </c>
      <c r="K60" s="22">
        <v>380883955</v>
      </c>
      <c r="L60" s="22">
        <v>3304586034</v>
      </c>
      <c r="M60" s="22">
        <v>114118651</v>
      </c>
      <c r="N60" s="22">
        <v>1793214391</v>
      </c>
      <c r="O60" s="22">
        <v>226752514</v>
      </c>
      <c r="P60" s="22">
        <v>432413222</v>
      </c>
      <c r="Q60" s="22">
        <v>7338688</v>
      </c>
      <c r="R60" s="22">
        <v>0</v>
      </c>
      <c r="S60" s="22">
        <v>242953971</v>
      </c>
      <c r="T60" s="22">
        <v>169014108</v>
      </c>
      <c r="U60" s="23">
        <v>39391205557</v>
      </c>
    </row>
    <row r="61" spans="1:21" ht="14.25" customHeight="1" x14ac:dyDescent="0.2">
      <c r="A61" s="20" t="s">
        <v>67</v>
      </c>
      <c r="B61" s="21" t="s">
        <v>106</v>
      </c>
      <c r="C61" s="22">
        <v>806428688</v>
      </c>
      <c r="D61" s="22">
        <v>13262858742</v>
      </c>
      <c r="E61" s="22">
        <v>355729715</v>
      </c>
      <c r="F61" s="22">
        <v>727410723</v>
      </c>
      <c r="G61" s="22">
        <v>146178340</v>
      </c>
      <c r="H61" s="22">
        <v>351088094</v>
      </c>
      <c r="I61" s="22">
        <v>0</v>
      </c>
      <c r="J61" s="22">
        <v>68808208</v>
      </c>
      <c r="K61" s="22">
        <v>218501715</v>
      </c>
      <c r="L61" s="22">
        <v>1323095939</v>
      </c>
      <c r="M61" s="22">
        <v>22732865</v>
      </c>
      <c r="N61" s="22">
        <v>329455316</v>
      </c>
      <c r="O61" s="22">
        <v>262801267</v>
      </c>
      <c r="P61" s="22">
        <v>72987993</v>
      </c>
      <c r="Q61" s="22">
        <v>300</v>
      </c>
      <c r="R61" s="22">
        <v>0</v>
      </c>
      <c r="S61" s="22">
        <v>88752692</v>
      </c>
      <c r="T61" s="22">
        <v>109275028</v>
      </c>
      <c r="U61" s="23">
        <v>18146105625</v>
      </c>
    </row>
    <row r="62" spans="1:21" ht="14.25" customHeight="1" x14ac:dyDescent="0.2">
      <c r="A62" s="20" t="s">
        <v>68</v>
      </c>
      <c r="B62" s="21" t="s">
        <v>106</v>
      </c>
      <c r="C62" s="22">
        <v>2828119105</v>
      </c>
      <c r="D62" s="22">
        <v>58511649161</v>
      </c>
      <c r="E62" s="22">
        <v>1030173592</v>
      </c>
      <c r="F62" s="22">
        <v>21433637128</v>
      </c>
      <c r="G62" s="22">
        <v>3166411714</v>
      </c>
      <c r="H62" s="22">
        <v>3298880354</v>
      </c>
      <c r="I62" s="22">
        <v>83797202</v>
      </c>
      <c r="J62" s="22">
        <v>900154102</v>
      </c>
      <c r="K62" s="22">
        <v>750537008</v>
      </c>
      <c r="L62" s="22">
        <v>10711108813</v>
      </c>
      <c r="M62" s="22">
        <v>55316038</v>
      </c>
      <c r="N62" s="22">
        <v>2451266481</v>
      </c>
      <c r="O62" s="22">
        <v>148758807</v>
      </c>
      <c r="P62" s="22">
        <v>877900317</v>
      </c>
      <c r="Q62" s="22">
        <v>26459707</v>
      </c>
      <c r="R62" s="22">
        <v>1242254</v>
      </c>
      <c r="S62" s="22">
        <v>109361639</v>
      </c>
      <c r="T62" s="22">
        <v>376371432</v>
      </c>
      <c r="U62" s="23">
        <v>106761144854</v>
      </c>
    </row>
    <row r="63" spans="1:21" ht="14.25" customHeight="1" x14ac:dyDescent="0.2">
      <c r="A63" s="20" t="s">
        <v>69</v>
      </c>
      <c r="B63" s="21" t="s">
        <v>106</v>
      </c>
      <c r="C63" s="22">
        <v>518461911</v>
      </c>
      <c r="D63" s="22">
        <v>34068926526</v>
      </c>
      <c r="E63" s="22">
        <v>152138101</v>
      </c>
      <c r="F63" s="22">
        <v>1815517542</v>
      </c>
      <c r="G63" s="22">
        <v>300333422</v>
      </c>
      <c r="H63" s="22">
        <v>6241442634</v>
      </c>
      <c r="I63" s="22">
        <v>0</v>
      </c>
      <c r="J63" s="22">
        <v>56283642</v>
      </c>
      <c r="K63" s="22">
        <v>511822151</v>
      </c>
      <c r="L63" s="22">
        <v>7032671170</v>
      </c>
      <c r="M63" s="22">
        <v>111364239</v>
      </c>
      <c r="N63" s="22">
        <v>2716897713</v>
      </c>
      <c r="O63" s="22">
        <v>50314731</v>
      </c>
      <c r="P63" s="22">
        <v>801098341</v>
      </c>
      <c r="Q63" s="22">
        <v>4543124</v>
      </c>
      <c r="R63" s="22">
        <v>0</v>
      </c>
      <c r="S63" s="22">
        <v>68349569</v>
      </c>
      <c r="T63" s="22">
        <v>508626</v>
      </c>
      <c r="U63" s="23">
        <v>54450673442</v>
      </c>
    </row>
    <row r="64" spans="1:21" ht="14.25" customHeight="1" x14ac:dyDescent="0.2">
      <c r="A64" s="20" t="s">
        <v>70</v>
      </c>
      <c r="B64" s="21" t="s">
        <v>106</v>
      </c>
      <c r="C64" s="22">
        <v>265625696</v>
      </c>
      <c r="D64" s="22">
        <v>18771288600</v>
      </c>
      <c r="E64" s="22">
        <v>248756424</v>
      </c>
      <c r="F64" s="22">
        <v>50076641</v>
      </c>
      <c r="G64" s="22">
        <v>15094454</v>
      </c>
      <c r="H64" s="22">
        <v>456507860</v>
      </c>
      <c r="I64" s="22"/>
      <c r="J64" s="22">
        <v>20151046</v>
      </c>
      <c r="K64" s="22">
        <v>127363931</v>
      </c>
      <c r="L64" s="22">
        <v>1583156814</v>
      </c>
      <c r="M64" s="22">
        <v>10165890</v>
      </c>
      <c r="N64" s="22">
        <v>376853300</v>
      </c>
      <c r="O64" s="22">
        <v>361294611</v>
      </c>
      <c r="P64" s="22">
        <v>339797559</v>
      </c>
      <c r="Q64" s="22">
        <v>4150020</v>
      </c>
      <c r="R64" s="22"/>
      <c r="S64" s="22">
        <v>29241321</v>
      </c>
      <c r="T64" s="22">
        <v>53586264</v>
      </c>
      <c r="U64" s="23">
        <v>22713110431</v>
      </c>
    </row>
    <row r="65" spans="1:21" ht="14.25" customHeight="1" x14ac:dyDescent="0.2">
      <c r="A65" s="20" t="s">
        <v>71</v>
      </c>
      <c r="B65" s="21" t="s">
        <v>107</v>
      </c>
      <c r="C65" s="22">
        <v>215356135</v>
      </c>
      <c r="D65" s="22">
        <v>641326780</v>
      </c>
      <c r="E65" s="22">
        <v>395748528</v>
      </c>
      <c r="F65" s="22">
        <v>0</v>
      </c>
      <c r="G65" s="22">
        <v>8029876</v>
      </c>
      <c r="H65" s="22">
        <v>9335483</v>
      </c>
      <c r="I65" s="22">
        <v>0</v>
      </c>
      <c r="J65" s="22">
        <v>38785</v>
      </c>
      <c r="K65" s="22">
        <v>27065842</v>
      </c>
      <c r="L65" s="22">
        <v>193650247</v>
      </c>
      <c r="M65" s="22">
        <v>39816</v>
      </c>
      <c r="N65" s="22">
        <v>106657968</v>
      </c>
      <c r="O65" s="22">
        <v>367082397</v>
      </c>
      <c r="P65" s="22">
        <v>18643999</v>
      </c>
      <c r="Q65" s="22">
        <v>4030161</v>
      </c>
      <c r="R65" s="22">
        <v>0</v>
      </c>
      <c r="S65" s="22">
        <v>10187536</v>
      </c>
      <c r="T65" s="22">
        <v>41145293</v>
      </c>
      <c r="U65" s="23">
        <v>2038338846</v>
      </c>
    </row>
    <row r="66" spans="1:21" ht="14.25" customHeight="1" x14ac:dyDescent="0.2">
      <c r="A66" s="20" t="s">
        <v>72</v>
      </c>
      <c r="B66" s="21" t="s">
        <v>106</v>
      </c>
      <c r="C66" s="22">
        <v>198785798</v>
      </c>
      <c r="D66" s="22">
        <v>479758739</v>
      </c>
      <c r="E66" s="22">
        <v>163079899</v>
      </c>
      <c r="F66" s="22">
        <v>11562968</v>
      </c>
      <c r="G66" s="22">
        <v>2901134</v>
      </c>
      <c r="H66" s="22">
        <v>8679371</v>
      </c>
      <c r="I66" s="22">
        <v>0</v>
      </c>
      <c r="J66" s="22">
        <v>0</v>
      </c>
      <c r="K66" s="22">
        <v>5917528</v>
      </c>
      <c r="L66" s="22">
        <v>119272276</v>
      </c>
      <c r="M66" s="22">
        <v>0</v>
      </c>
      <c r="N66" s="22">
        <v>29966403</v>
      </c>
      <c r="O66" s="22">
        <v>239609318</v>
      </c>
      <c r="P66" s="22">
        <v>2856490</v>
      </c>
      <c r="Q66" s="22">
        <v>720097</v>
      </c>
      <c r="R66" s="22">
        <v>150290</v>
      </c>
      <c r="S66" s="22">
        <v>6263316</v>
      </c>
      <c r="T66" s="22">
        <v>24835406</v>
      </c>
      <c r="U66" s="23">
        <v>1294359033</v>
      </c>
    </row>
    <row r="67" spans="1:21" ht="14.25" customHeight="1" x14ac:dyDescent="0.2">
      <c r="A67" s="20" t="s">
        <v>73</v>
      </c>
      <c r="B67" s="21" t="s">
        <v>106</v>
      </c>
      <c r="C67" s="22">
        <v>10346074</v>
      </c>
      <c r="D67" s="22">
        <v>107556317</v>
      </c>
      <c r="E67" s="22">
        <v>45998913</v>
      </c>
      <c r="F67" s="22">
        <v>1170000</v>
      </c>
      <c r="G67" s="22">
        <v>49681</v>
      </c>
      <c r="H67" s="22">
        <v>2134981</v>
      </c>
      <c r="I67" s="22">
        <v>0</v>
      </c>
      <c r="J67" s="22">
        <v>1884858</v>
      </c>
      <c r="K67" s="22">
        <v>606260</v>
      </c>
      <c r="L67" s="22">
        <v>17616615</v>
      </c>
      <c r="M67" s="22">
        <v>250000</v>
      </c>
      <c r="N67" s="22">
        <v>3188858</v>
      </c>
      <c r="O67" s="22">
        <v>105900643</v>
      </c>
      <c r="P67" s="22">
        <v>1446495</v>
      </c>
      <c r="Q67" s="22">
        <v>267674</v>
      </c>
      <c r="R67" s="22">
        <v>119535</v>
      </c>
      <c r="S67" s="22">
        <v>7128300</v>
      </c>
      <c r="T67" s="22">
        <v>0</v>
      </c>
      <c r="U67" s="23">
        <v>305665204</v>
      </c>
    </row>
    <row r="68" spans="1:21" ht="14.25" customHeight="1" x14ac:dyDescent="0.2">
      <c r="A68" s="20" t="s">
        <v>74</v>
      </c>
      <c r="B68" s="21" t="s">
        <v>106</v>
      </c>
      <c r="C68" s="22">
        <v>1160421882</v>
      </c>
      <c r="D68" s="22">
        <v>37305846666</v>
      </c>
      <c r="E68" s="22">
        <v>585773315</v>
      </c>
      <c r="F68" s="22">
        <v>7124971859</v>
      </c>
      <c r="G68" s="22">
        <v>770418226</v>
      </c>
      <c r="H68" s="22">
        <v>2606641499</v>
      </c>
      <c r="I68" s="22">
        <v>39340517</v>
      </c>
      <c r="J68" s="22">
        <v>107771</v>
      </c>
      <c r="K68" s="22">
        <v>788598569</v>
      </c>
      <c r="L68" s="22">
        <v>7478032492</v>
      </c>
      <c r="M68" s="22">
        <v>86121700</v>
      </c>
      <c r="N68" s="22">
        <v>1938842471</v>
      </c>
      <c r="O68" s="22">
        <v>423044242</v>
      </c>
      <c r="P68" s="22">
        <v>613604385</v>
      </c>
      <c r="Q68" s="22">
        <v>34893842</v>
      </c>
      <c r="R68" s="22">
        <v>101488752</v>
      </c>
      <c r="S68" s="22">
        <v>76824118</v>
      </c>
      <c r="T68" s="22">
        <v>149201187</v>
      </c>
      <c r="U68" s="23">
        <v>61284173493</v>
      </c>
    </row>
    <row r="69" spans="1:21" ht="14.25" customHeight="1" x14ac:dyDescent="0.2">
      <c r="A69" s="20" t="s">
        <v>75</v>
      </c>
      <c r="B69" s="21" t="s">
        <v>107</v>
      </c>
      <c r="C69" s="22">
        <v>134249225</v>
      </c>
      <c r="D69" s="22">
        <v>1529104969</v>
      </c>
      <c r="E69" s="22">
        <v>147889087</v>
      </c>
      <c r="F69" s="22">
        <v>59271149</v>
      </c>
      <c r="G69" s="22">
        <v>5312110</v>
      </c>
      <c r="H69" s="22">
        <v>8587976</v>
      </c>
      <c r="I69" s="22">
        <v>0</v>
      </c>
      <c r="J69" s="22">
        <v>4008027</v>
      </c>
      <c r="K69" s="22">
        <v>26802377</v>
      </c>
      <c r="L69" s="22">
        <v>158931699</v>
      </c>
      <c r="M69" s="22">
        <v>934876</v>
      </c>
      <c r="N69" s="22">
        <v>30127741</v>
      </c>
      <c r="O69" s="22">
        <v>145695121</v>
      </c>
      <c r="P69" s="22">
        <v>4584647</v>
      </c>
      <c r="Q69" s="22">
        <v>164301</v>
      </c>
      <c r="R69" s="22">
        <v>0</v>
      </c>
      <c r="S69" s="22">
        <v>4220013</v>
      </c>
      <c r="T69" s="22">
        <v>22522527</v>
      </c>
      <c r="U69" s="23">
        <v>2282405845</v>
      </c>
    </row>
    <row r="70" spans="1:21" ht="14.25" customHeight="1" x14ac:dyDescent="0.2">
      <c r="A70" s="20" t="s">
        <v>76</v>
      </c>
      <c r="B70" s="21" t="s">
        <v>106</v>
      </c>
      <c r="C70" s="22">
        <v>2679873086</v>
      </c>
      <c r="D70" s="22">
        <v>31992026572</v>
      </c>
      <c r="E70" s="22">
        <v>275381964</v>
      </c>
      <c r="F70" s="22">
        <v>6859760671</v>
      </c>
      <c r="G70" s="22">
        <v>166927371</v>
      </c>
      <c r="H70" s="22">
        <v>653956060</v>
      </c>
      <c r="I70" s="22">
        <v>0</v>
      </c>
      <c r="J70" s="22">
        <v>74018755</v>
      </c>
      <c r="K70" s="22">
        <v>102032932</v>
      </c>
      <c r="L70" s="22">
        <v>2011075341</v>
      </c>
      <c r="M70" s="22">
        <v>3050482</v>
      </c>
      <c r="N70" s="22">
        <v>315303234</v>
      </c>
      <c r="O70" s="22">
        <v>186949754</v>
      </c>
      <c r="P70" s="22">
        <v>116530709</v>
      </c>
      <c r="Q70" s="22">
        <v>3522749</v>
      </c>
      <c r="R70" s="22">
        <v>0</v>
      </c>
      <c r="S70" s="22">
        <v>19737532</v>
      </c>
      <c r="T70" s="22">
        <v>162011546</v>
      </c>
      <c r="U70" s="23">
        <v>45622158758</v>
      </c>
    </row>
    <row r="71" spans="1:21" ht="14.25" customHeight="1" x14ac:dyDescent="0.2">
      <c r="A71" s="20" t="s">
        <v>77</v>
      </c>
      <c r="B71" s="21" t="s">
        <v>107</v>
      </c>
      <c r="C71" s="22">
        <v>154235609</v>
      </c>
      <c r="D71" s="22">
        <v>503605945</v>
      </c>
      <c r="E71" s="22">
        <v>146999282</v>
      </c>
      <c r="F71" s="22">
        <v>0</v>
      </c>
      <c r="G71" s="22">
        <v>8596680</v>
      </c>
      <c r="H71" s="22">
        <v>0</v>
      </c>
      <c r="I71" s="22">
        <v>0</v>
      </c>
      <c r="J71" s="22">
        <v>65184</v>
      </c>
      <c r="K71" s="22">
        <v>10606459</v>
      </c>
      <c r="L71" s="22">
        <v>85452158</v>
      </c>
      <c r="M71" s="22">
        <v>56750</v>
      </c>
      <c r="N71" s="22">
        <v>23290942</v>
      </c>
      <c r="O71" s="22">
        <v>177918654</v>
      </c>
      <c r="P71" s="22">
        <v>4429558</v>
      </c>
      <c r="Q71" s="22">
        <v>8519971</v>
      </c>
      <c r="R71" s="22">
        <v>0</v>
      </c>
      <c r="S71" s="22">
        <v>7391532</v>
      </c>
      <c r="T71" s="22">
        <v>33822071</v>
      </c>
      <c r="U71" s="23">
        <v>1164990795</v>
      </c>
    </row>
    <row r="72" spans="1:21" ht="14.25" customHeight="1" x14ac:dyDescent="0.2">
      <c r="A72" s="20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4.25" customHeight="1" thickBot="1" x14ac:dyDescent="0.3">
      <c r="A73" s="24" t="s">
        <v>11</v>
      </c>
      <c r="B73" s="25"/>
      <c r="C73" s="26">
        <f>SUM(C5:C71)</f>
        <v>70591806684</v>
      </c>
      <c r="D73" s="26">
        <f t="shared" ref="D73:T73" si="0">SUM(D5:D71)</f>
        <v>1752073474222</v>
      </c>
      <c r="E73" s="26">
        <f t="shared" si="0"/>
        <v>30108072302</v>
      </c>
      <c r="F73" s="26">
        <f t="shared" si="0"/>
        <v>482685079634</v>
      </c>
      <c r="G73" s="26">
        <f t="shared" si="0"/>
        <v>60082450038</v>
      </c>
      <c r="H73" s="26">
        <f t="shared" si="0"/>
        <v>196595503913</v>
      </c>
      <c r="I73" s="26">
        <f t="shared" si="0"/>
        <v>6400400792</v>
      </c>
      <c r="J73" s="26">
        <f t="shared" si="0"/>
        <v>10811796972</v>
      </c>
      <c r="K73" s="26">
        <f t="shared" si="0"/>
        <v>31332777019</v>
      </c>
      <c r="L73" s="26">
        <f t="shared" si="0"/>
        <v>422460128586</v>
      </c>
      <c r="M73" s="26">
        <f t="shared" si="0"/>
        <v>5119679417</v>
      </c>
      <c r="N73" s="26">
        <f t="shared" si="0"/>
        <v>152603464197</v>
      </c>
      <c r="O73" s="26">
        <f t="shared" si="0"/>
        <v>23892962269</v>
      </c>
      <c r="P73" s="26">
        <f t="shared" si="0"/>
        <v>20397244551</v>
      </c>
      <c r="Q73" s="26">
        <f t="shared" si="0"/>
        <v>1761454855</v>
      </c>
      <c r="R73" s="26">
        <f t="shared" si="0"/>
        <v>4398741368</v>
      </c>
      <c r="S73" s="26">
        <f t="shared" si="0"/>
        <v>6020802788</v>
      </c>
      <c r="T73" s="26">
        <f t="shared" si="0"/>
        <v>9050110187</v>
      </c>
      <c r="U73" s="28">
        <f>SUM(U5:U71)</f>
        <v>3286385949794</v>
      </c>
    </row>
    <row r="75" spans="1:21" x14ac:dyDescent="0.2">
      <c r="A75" s="3" t="s">
        <v>112</v>
      </c>
    </row>
    <row r="76" spans="1:21" x14ac:dyDescent="0.2"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</row>
  </sheetData>
  <phoneticPr fontId="0" type="noConversion"/>
  <conditionalFormatting sqref="A4:U73">
    <cfRule type="expression" dxfId="0" priority="1" stopIfTrue="1">
      <formula>MOD(ROW(),3)=1</formula>
    </cfRule>
  </conditionalFormatting>
  <pageMargins left="0.7" right="0.7" top="0.75" bottom="0.75" header="0.3" footer="0.3"/>
  <pageSetup scale="70" fitToWidth="2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4AB3C77-512A-4F99-B2C8-26149BD9D611}"/>
</file>

<file path=customXml/itemProps2.xml><?xml version="1.0" encoding="utf-8"?>
<ds:datastoreItem xmlns:ds="http://schemas.openxmlformats.org/officeDocument/2006/customXml" ds:itemID="{7087C20E-C09D-48C5-A2DF-FEEA9C953D50}"/>
</file>

<file path=customXml/itemProps3.xml><?xml version="1.0" encoding="utf-8"?>
<ds:datastoreItem xmlns:ds="http://schemas.openxmlformats.org/officeDocument/2006/customXml" ds:itemID="{78C5D956-509F-4DE2-91E0-635E73443A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Index</vt:lpstr>
      <vt:lpstr>State Summary by Type</vt:lpstr>
      <vt:lpstr>Parcel Ct by Type</vt:lpstr>
      <vt:lpstr>Just Value by Type </vt:lpstr>
      <vt:lpstr>Taxable Value by Type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Dept. of Revenue</dc:creator>
  <cp:lastModifiedBy>Allison Kever</cp:lastModifiedBy>
  <cp:lastPrinted>2011-02-11T15:38:45Z</cp:lastPrinted>
  <dcterms:created xsi:type="dcterms:W3CDTF">2010-10-01T18:06:46Z</dcterms:created>
  <dcterms:modified xsi:type="dcterms:W3CDTF">2025-11-17T14:28:20Z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