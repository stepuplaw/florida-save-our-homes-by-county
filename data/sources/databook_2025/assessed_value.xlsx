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esearch &amp; Analysis\Data Book Documentation\2025 Data Book\Final\Drafts\"/>
    </mc:Choice>
  </mc:AlternateContent>
  <xr:revisionPtr revIDLastSave="0" documentId="13_ncr:1_{392D8BF3-7066-48CF-B191-8AE8268BE4E8}" xr6:coauthVersionLast="47" xr6:coauthVersionMax="47" xr10:uidLastSave="{00000000-0000-0000-0000-000000000000}"/>
  <bookViews>
    <workbookView xWindow="-120" yWindow="-120" windowWidth="20730" windowHeight="11040" tabRatio="708" xr2:uid="{00000000-000D-0000-FFFF-FFFF00000000}"/>
  </bookViews>
  <sheets>
    <sheet name="Report Index" sheetId="10" r:id="rId1"/>
    <sheet name="Assessed Value All Property" sheetId="9" r:id="rId2"/>
    <sheet name="All Property Assessed Value" sheetId="4" r:id="rId3"/>
    <sheet name="Real Property Assessed Value" sheetId="6" r:id="rId4"/>
    <sheet name="Personal Prop Assessed Value" sheetId="7" r:id="rId5"/>
    <sheet name="Centrally Prop Assessed Value " sheetId="8" r:id="rId6"/>
  </sheets>
  <definedNames>
    <definedName name="_xlnm.Print_Area" localSheetId="2">'All Property Assessed Value'!$A$1:$G$75</definedName>
    <definedName name="_xlnm.Print_Area" localSheetId="1">'Assessed Value All Property'!$A$1:$F$75</definedName>
    <definedName name="_xlnm.Print_Area" localSheetId="5">'Centrally Prop Assessed Value '!$A$1:$G$73</definedName>
    <definedName name="_xlnm.Print_Area" localSheetId="4">'Personal Prop Assessed Value'!$A$1:$G$73</definedName>
    <definedName name="_xlnm.Print_Area" localSheetId="3">'Real Property Assessed Value'!$A$1:$G$73</definedName>
    <definedName name="_xlnm.Print_Area" localSheetId="0">'Report Index'!$A$1:$H$20</definedName>
    <definedName name="_xlnm.Print_Titles" localSheetId="2">'All Property Assessed Value'!$1:$4</definedName>
    <definedName name="_xlnm.Print_Titles" localSheetId="1">'Assessed Value All Property'!$1:$4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3" i="7" l="1"/>
  <c r="D21" i="7"/>
  <c r="D21" i="6"/>
  <c r="C73" i="9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71" i="8"/>
  <c r="F70" i="8"/>
  <c r="F68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7" i="8"/>
  <c r="F46" i="8"/>
  <c r="F45" i="8"/>
  <c r="F44" i="8"/>
  <c r="F43" i="8"/>
  <c r="F42" i="8"/>
  <c r="F41" i="8"/>
  <c r="F40" i="8"/>
  <c r="F39" i="8"/>
  <c r="F37" i="8"/>
  <c r="F36" i="8"/>
  <c r="F35" i="8"/>
  <c r="F34" i="8"/>
  <c r="F33" i="8"/>
  <c r="F32" i="8"/>
  <c r="F31" i="8"/>
  <c r="F30" i="8"/>
  <c r="F29" i="8"/>
  <c r="F28" i="8"/>
  <c r="F27" i="8"/>
  <c r="F26" i="8"/>
  <c r="F24" i="8"/>
  <c r="F23" i="8"/>
  <c r="F22" i="8"/>
  <c r="F21" i="8"/>
  <c r="F20" i="8"/>
  <c r="F18" i="8"/>
  <c r="F17" i="8"/>
  <c r="F16" i="8"/>
  <c r="F15" i="8"/>
  <c r="F14" i="8"/>
  <c r="F13" i="8"/>
  <c r="F12" i="8"/>
  <c r="F10" i="8"/>
  <c r="F9" i="8"/>
  <c r="F8" i="8"/>
  <c r="F7" i="8"/>
  <c r="F6" i="8"/>
  <c r="F5" i="8"/>
  <c r="F67" i="4"/>
  <c r="F48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7" i="4"/>
  <c r="D6" i="4"/>
  <c r="D5" i="4"/>
  <c r="D8" i="8"/>
  <c r="D7" i="8"/>
  <c r="D6" i="8"/>
  <c r="D71" i="8"/>
  <c r="D70" i="8"/>
  <c r="D68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7" i="8"/>
  <c r="D46" i="8"/>
  <c r="D45" i="8"/>
  <c r="D44" i="8"/>
  <c r="D43" i="8"/>
  <c r="D42" i="8"/>
  <c r="D41" i="8"/>
  <c r="D40" i="8"/>
  <c r="D39" i="8"/>
  <c r="D37" i="8"/>
  <c r="D36" i="8"/>
  <c r="D35" i="8"/>
  <c r="D34" i="8"/>
  <c r="D33" i="8"/>
  <c r="D32" i="8"/>
  <c r="D31" i="8"/>
  <c r="D30" i="8"/>
  <c r="D29" i="8"/>
  <c r="D28" i="8"/>
  <c r="D27" i="8"/>
  <c r="D26" i="8"/>
  <c r="D24" i="8"/>
  <c r="D23" i="8"/>
  <c r="D22" i="8"/>
  <c r="D21" i="8"/>
  <c r="D20" i="8"/>
  <c r="D18" i="8"/>
  <c r="D17" i="8"/>
  <c r="D16" i="8"/>
  <c r="D15" i="8"/>
  <c r="D14" i="8"/>
  <c r="D13" i="8"/>
  <c r="D12" i="8"/>
  <c r="D10" i="8"/>
  <c r="D9" i="8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8" i="6"/>
  <c r="D7" i="6"/>
  <c r="D6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0" i="6"/>
  <c r="D19" i="6"/>
  <c r="D18" i="6"/>
  <c r="D17" i="6"/>
  <c r="D16" i="6"/>
  <c r="D15" i="6"/>
  <c r="D14" i="6"/>
  <c r="D13" i="6"/>
  <c r="D12" i="6"/>
  <c r="D11" i="6"/>
  <c r="D10" i="6"/>
  <c r="D9" i="6"/>
  <c r="D5" i="6"/>
  <c r="E73" i="6"/>
  <c r="F73" i="6" s="1"/>
  <c r="G73" i="7"/>
  <c r="G73" i="8"/>
  <c r="D73" i="9"/>
  <c r="E73" i="9"/>
  <c r="E73" i="8"/>
  <c r="F19" i="4"/>
  <c r="F22" i="4"/>
  <c r="F46" i="4"/>
  <c r="F21" i="4"/>
  <c r="F45" i="4"/>
  <c r="F69" i="4"/>
  <c r="G73" i="4"/>
  <c r="E73" i="4"/>
  <c r="F20" i="4"/>
  <c r="F44" i="4"/>
  <c r="F49" i="4"/>
  <c r="F25" i="4"/>
  <c r="F47" i="4"/>
  <c r="F71" i="4"/>
  <c r="F50" i="4"/>
  <c r="F24" i="4"/>
  <c r="F23" i="4"/>
  <c r="F26" i="4"/>
  <c r="F51" i="4"/>
  <c r="F27" i="4"/>
  <c r="F52" i="4"/>
  <c r="F28" i="4"/>
  <c r="F53" i="4"/>
  <c r="F29" i="4"/>
  <c r="F54" i="4"/>
  <c r="F5" i="4"/>
  <c r="F30" i="4"/>
  <c r="F55" i="4"/>
  <c r="F6" i="4"/>
  <c r="F31" i="4"/>
  <c r="F56" i="4"/>
  <c r="F7" i="4"/>
  <c r="F32" i="4"/>
  <c r="F57" i="4"/>
  <c r="F8" i="4"/>
  <c r="F33" i="4"/>
  <c r="F58" i="4"/>
  <c r="F9" i="4"/>
  <c r="F34" i="4"/>
  <c r="F59" i="4"/>
  <c r="F10" i="4"/>
  <c r="F35" i="4"/>
  <c r="F60" i="4"/>
  <c r="F11" i="4"/>
  <c r="F36" i="4"/>
  <c r="F61" i="4"/>
  <c r="F12" i="4"/>
  <c r="F37" i="4"/>
  <c r="F62" i="4"/>
  <c r="F13" i="4"/>
  <c r="F38" i="4"/>
  <c r="F63" i="4"/>
  <c r="F14" i="4"/>
  <c r="F39" i="4"/>
  <c r="F64" i="4"/>
  <c r="F15" i="4"/>
  <c r="F40" i="4"/>
  <c r="F65" i="4"/>
  <c r="F16" i="4"/>
  <c r="F41" i="4"/>
  <c r="F66" i="4"/>
  <c r="F17" i="4"/>
  <c r="F42" i="4"/>
  <c r="F68" i="4"/>
  <c r="F18" i="4"/>
  <c r="F43" i="4"/>
  <c r="F70" i="4"/>
  <c r="D8" i="4"/>
  <c r="F73" i="9"/>
  <c r="F73" i="8" l="1"/>
  <c r="C73" i="4"/>
  <c r="D73" i="4" s="1"/>
  <c r="C73" i="8"/>
  <c r="D73" i="8" s="1"/>
  <c r="F73" i="7"/>
  <c r="F73" i="4"/>
  <c r="C73" i="6"/>
  <c r="D73" i="6" s="1"/>
  <c r="C73" i="7"/>
  <c r="D73" i="7" s="1"/>
  <c r="D5" i="8"/>
</calcChain>
</file>

<file path=xl/sharedStrings.xml><?xml version="1.0" encoding="utf-8"?>
<sst xmlns="http://schemas.openxmlformats.org/spreadsheetml/2006/main" count="747" uniqueCount="94">
  <si>
    <t>County</t>
  </si>
  <si>
    <t>Status</t>
  </si>
  <si>
    <t>Saint Johns</t>
  </si>
  <si>
    <t>Saint Lucie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</si>
  <si>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</si>
  <si>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</si>
  <si>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</si>
  <si>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</si>
  <si>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</si>
  <si>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</si>
  <si>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</si>
  <si>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</si>
  <si>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</si>
  <si>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</si>
  <si>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</si>
  <si>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</si>
  <si>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</si>
  <si>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</si>
  <si>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</si>
  <si>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</si>
  <si>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</si>
  <si>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</si>
  <si>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</si>
  <si>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</si>
  <si>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</si>
  <si>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</si>
  <si>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</si>
  <si>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</si>
  <si>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</si>
  <si>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</si>
  <si>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</si>
  <si>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</si>
  <si>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</si>
  <si>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</si>
  <si>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</si>
  <si>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</si>
  <si>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</si>
  <si>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</si>
  <si>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</si>
  <si>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</si>
  <si>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</si>
  <si>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</si>
  <si>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</si>
  <si>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</si>
  <si>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</si>
  <si>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</si>
  <si>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</si>
  <si>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</si>
  <si>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</si>
  <si>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</si>
  <si>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</si>
  <si>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</si>
  <si>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</si>
  <si>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</si>
  <si>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</si>
  <si>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</si>
  <si>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</si>
  <si>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</si>
  <si>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</si>
  <si>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</si>
  <si>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</si>
  <si>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</si>
  <si>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</si>
  <si>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</si>
  <si>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</si>
  <si>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</si>
  <si>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</si>
  <si>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</si>
  <si>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Statewide</t>
  </si>
  <si>
    <t>Assessed Value All Property Types</t>
  </si>
  <si>
    <t>All Property Types Assessed Value and Growth Rate</t>
  </si>
  <si>
    <t>Real Property Assessed Value and Growth Rate</t>
  </si>
  <si>
    <t>Personal Property Assessed Value and Growth Rate</t>
  </si>
  <si>
    <t>Centrally Assessed Property Assessed Value and Growth Rate</t>
  </si>
  <si>
    <t>Statewide Assessed Value Summary Information by County</t>
  </si>
  <si>
    <t>Assessed Value is the value of the property with regard to a possible Agricultural classification and any deferred amount accumulated because of Save Our Homes, Amendment 1.</t>
  </si>
  <si>
    <t xml:space="preserve">Contact Information: </t>
  </si>
  <si>
    <t xml:space="preserve">Property Tax Oversight, Research &amp; Analysis  </t>
  </si>
  <si>
    <t>Miami-Dade</t>
  </si>
  <si>
    <t xml:space="preserve">n/a </t>
  </si>
  <si>
    <t>PTOResearchAnalysis@floridarevenue.com</t>
  </si>
  <si>
    <t>R-NVAB</t>
  </si>
  <si>
    <t>R-Final</t>
  </si>
  <si>
    <t>2023 Value</t>
  </si>
  <si>
    <t>2024 Value</t>
  </si>
  <si>
    <t>Percent increase 2023-2024</t>
  </si>
  <si>
    <t xml:space="preserve"> 2025 Real Property
 Assessed Value</t>
  </si>
  <si>
    <t>2025 Personal Property Assessed Value</t>
  </si>
  <si>
    <t xml:space="preserve"> 2025 Central Assessment Assessed Value</t>
  </si>
  <si>
    <t>2025 Total
 Assessed Value</t>
  </si>
  <si>
    <t>Data Extract: November 2025</t>
  </si>
  <si>
    <t>2025 Value</t>
  </si>
  <si>
    <t>Percent increase 2024-2025</t>
  </si>
  <si>
    <t>2023-2025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</si>
</sst>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1"/>
      <color indexed="12"/>
      <name val="Arial"/>
      <family val="2"/>
    </font>
    <font>
      <i/>
      <sz val="11"/>
      <name val="Arial"/>
      <family val="2"/>
    </font>
    <font>
      <b/>
      <sz val="18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6" fillId="0" borderId="0" xfId="0" applyFont="1"/>
    <xf numFmtId="0" fontId="7" fillId="0" borderId="0" xfId="0" applyFont="1"/>
    <xf numFmtId="3" fontId="7" fillId="0" borderId="0" xfId="0" applyNumberFormat="1" applyFont="1" applyBorder="1" applyAlignment="1">
      <alignment horizontal="left" vertical="center" wrapText="1"/>
    </xf>
    <xf numFmtId="0" fontId="8" fillId="0" borderId="0" xfId="3" applyFont="1" applyAlignment="1" applyProtection="1"/>
    <xf numFmtId="0" fontId="9" fillId="0" borderId="0" xfId="0" applyFont="1"/>
    <xf numFmtId="0" fontId="10" fillId="0" borderId="0" xfId="0" applyFont="1" applyAlignment="1"/>
    <xf numFmtId="0" fontId="6" fillId="0" borderId="0" xfId="0" applyFont="1" applyAlignment="1">
      <alignment horizontal="center"/>
    </xf>
    <xf numFmtId="0" fontId="6" fillId="0" borderId="0" xfId="0" applyFont="1" applyAlignme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1" xfId="0" applyFont="1" applyBorder="1"/>
    <xf numFmtId="0" fontId="7" fillId="0" borderId="2" xfId="0" applyFont="1" applyBorder="1" applyAlignment="1">
      <alignment horizontal="center"/>
    </xf>
    <xf numFmtId="3" fontId="7" fillId="0" borderId="2" xfId="0" applyNumberFormat="1" applyFont="1" applyBorder="1"/>
    <xf numFmtId="10" fontId="7" fillId="0" borderId="2" xfId="5" applyNumberFormat="1" applyFont="1" applyBorder="1" applyAlignment="1">
      <alignment horizontal="right"/>
    </xf>
    <xf numFmtId="3" fontId="7" fillId="0" borderId="3" xfId="0" applyNumberFormat="1" applyFont="1" applyBorder="1"/>
    <xf numFmtId="0" fontId="7" fillId="0" borderId="4" xfId="0" applyFont="1" applyBorder="1"/>
    <xf numFmtId="0" fontId="7" fillId="0" borderId="5" xfId="0" applyFont="1" applyBorder="1" applyAlignment="1">
      <alignment horizontal="center"/>
    </xf>
    <xf numFmtId="2" fontId="7" fillId="0" borderId="5" xfId="0" applyNumberFormat="1" applyFont="1" applyBorder="1" applyAlignment="1">
      <alignment horizontal="center"/>
    </xf>
    <xf numFmtId="0" fontId="6" fillId="2" borderId="6" xfId="0" applyFont="1" applyFill="1" applyBorder="1"/>
    <xf numFmtId="0" fontId="6" fillId="2" borderId="7" xfId="0" applyFont="1" applyFill="1" applyBorder="1" applyAlignment="1">
      <alignment horizontal="center"/>
    </xf>
    <xf numFmtId="3" fontId="6" fillId="2" borderId="7" xfId="0" applyNumberFormat="1" applyFont="1" applyFill="1" applyBorder="1"/>
    <xf numFmtId="10" fontId="6" fillId="2" borderId="7" xfId="5" applyNumberFormat="1" applyFont="1" applyFill="1" applyBorder="1" applyAlignment="1">
      <alignment horizontal="right"/>
    </xf>
    <xf numFmtId="3" fontId="6" fillId="2" borderId="8" xfId="0" applyNumberFormat="1" applyFont="1" applyFill="1" applyBorder="1"/>
    <xf numFmtId="0" fontId="7" fillId="0" borderId="0" xfId="0" applyFont="1" applyFill="1" applyBorder="1"/>
    <xf numFmtId="3" fontId="7" fillId="0" borderId="0" xfId="0" applyNumberFormat="1" applyFont="1"/>
    <xf numFmtId="3" fontId="7" fillId="0" borderId="2" xfId="1" applyNumberFormat="1" applyFont="1" applyBorder="1" applyAlignment="1"/>
    <xf numFmtId="3" fontId="7" fillId="0" borderId="2" xfId="1" applyNumberFormat="1" applyFont="1" applyBorder="1"/>
    <xf numFmtId="3" fontId="7" fillId="0" borderId="3" xfId="1" applyNumberFormat="1" applyFont="1" applyBorder="1"/>
    <xf numFmtId="3" fontId="7" fillId="0" borderId="5" xfId="1" applyNumberFormat="1" applyFont="1" applyBorder="1" applyAlignment="1"/>
    <xf numFmtId="3" fontId="7" fillId="0" borderId="5" xfId="1" applyNumberFormat="1" applyFont="1" applyBorder="1"/>
    <xf numFmtId="3" fontId="7" fillId="0" borderId="9" xfId="1" applyNumberFormat="1" applyFont="1" applyBorder="1"/>
    <xf numFmtId="3" fontId="6" fillId="2" borderId="7" xfId="1" applyNumberFormat="1" applyFont="1" applyFill="1" applyBorder="1"/>
    <xf numFmtId="3" fontId="6" fillId="2" borderId="8" xfId="1" applyNumberFormat="1" applyFont="1" applyFill="1" applyBorder="1"/>
    <xf numFmtId="0" fontId="11" fillId="2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3" fontId="7" fillId="0" borderId="15" xfId="0" applyNumberFormat="1" applyFont="1" applyBorder="1" applyAlignment="1">
      <alignment horizontal="left" vertical="center" wrapText="1"/>
    </xf>
    <xf numFmtId="3" fontId="7" fillId="0" borderId="16" xfId="0" applyNumberFormat="1" applyFont="1" applyBorder="1" applyAlignment="1">
      <alignment horizontal="left" vertical="center" wrapText="1"/>
    </xf>
    <xf numFmtId="3" fontId="7" fillId="0" borderId="17" xfId="0" applyNumberFormat="1" applyFont="1" applyBorder="1" applyAlignment="1">
      <alignment horizontal="left" vertical="center" wrapText="1"/>
    </xf>
    <xf numFmtId="3" fontId="7" fillId="0" borderId="18" xfId="0" applyNumberFormat="1" applyFont="1" applyBorder="1" applyAlignment="1">
      <alignment horizontal="left" vertical="center" wrapText="1"/>
    </xf>
    <xf numFmtId="3" fontId="7" fillId="0" borderId="0" xfId="0" applyNumberFormat="1" applyFont="1" applyBorder="1" applyAlignment="1">
      <alignment horizontal="left" vertical="center" wrapText="1"/>
    </xf>
    <xf numFmtId="3" fontId="7" fillId="0" borderId="19" xfId="0" applyNumberFormat="1" applyFont="1" applyBorder="1" applyAlignment="1">
      <alignment horizontal="left" vertical="center" wrapText="1"/>
    </xf>
    <xf numFmtId="3" fontId="7" fillId="0" borderId="20" xfId="0" applyNumberFormat="1" applyFont="1" applyBorder="1" applyAlignment="1">
      <alignment horizontal="left" vertical="center" wrapText="1"/>
    </xf>
    <xf numFmtId="3" fontId="7" fillId="0" borderId="21" xfId="0" applyNumberFormat="1" applyFont="1" applyBorder="1" applyAlignment="1">
      <alignment horizontal="left" vertical="center" wrapText="1"/>
    </xf>
    <xf numFmtId="3" fontId="7" fillId="0" borderId="22" xfId="0" applyNumberFormat="1" applyFont="1" applyBorder="1" applyAlignment="1">
      <alignment horizontal="left" vertical="center" wrapText="1"/>
    </xf>
    <xf numFmtId="0" fontId="8" fillId="0" borderId="0" xfId="3" applyFont="1" applyAlignment="1" applyProtection="1">
      <alignment horizontal="left"/>
    </xf>
  </cellXfs>
  <cellStyles count="6">
    <cellStyle name="Comma" xfId="1" builtinId="3"/>
    <cellStyle name="Comma 2" xfId="2" xr:uid="{00000000-0005-0000-0000-000001000000}"/>
    <cellStyle name="Hyperlink" xfId="3" builtinId="8"/>
    <cellStyle name="Normal" xfId="0" builtinId="0"/>
    <cellStyle name="Normal 2" xfId="4" xr:uid="{00000000-0005-0000-0000-000004000000}"/>
    <cellStyle name="Percent" xfId="5" builtinId="5"/>
  </cellStyles>
  <dxfs count="10"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TOResearchAnalysis@floridarevenu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6"/>
  <sheetViews>
    <sheetView tabSelected="1" workbookViewId="0"/>
  </sheetViews>
  <sheetFormatPr defaultRowHeight="14.25" x14ac:dyDescent="0.2"/>
  <cols>
    <col min="1" max="7" width="9.140625" style="2"/>
    <col min="8" max="8" width="9.140625" style="2" customWidth="1"/>
    <col min="9" max="16384" width="9.140625" style="2"/>
  </cols>
  <sheetData>
    <row r="2" spans="1:8" ht="15" x14ac:dyDescent="0.25">
      <c r="A2" s="1" t="s">
        <v>74</v>
      </c>
    </row>
    <row r="3" spans="1:8" ht="15" thickBot="1" x14ac:dyDescent="0.25"/>
    <row r="4" spans="1:8" x14ac:dyDescent="0.2">
      <c r="B4" s="40" t="s">
        <v>75</v>
      </c>
      <c r="C4" s="41"/>
      <c r="D4" s="41"/>
      <c r="E4" s="41"/>
      <c r="F4" s="41"/>
      <c r="G4" s="41"/>
      <c r="H4" s="42"/>
    </row>
    <row r="5" spans="1:8" x14ac:dyDescent="0.2">
      <c r="B5" s="43"/>
      <c r="C5" s="44"/>
      <c r="D5" s="44"/>
      <c r="E5" s="44"/>
      <c r="F5" s="44"/>
      <c r="G5" s="44"/>
      <c r="H5" s="45"/>
    </row>
    <row r="6" spans="1:8" x14ac:dyDescent="0.2">
      <c r="B6" s="43"/>
      <c r="C6" s="44"/>
      <c r="D6" s="44"/>
      <c r="E6" s="44"/>
      <c r="F6" s="44"/>
      <c r="G6" s="44"/>
      <c r="H6" s="45"/>
    </row>
    <row r="7" spans="1:8" x14ac:dyDescent="0.2">
      <c r="B7" s="43"/>
      <c r="C7" s="44"/>
      <c r="D7" s="44"/>
      <c r="E7" s="44"/>
      <c r="F7" s="44"/>
      <c r="G7" s="44"/>
      <c r="H7" s="45"/>
    </row>
    <row r="8" spans="1:8" x14ac:dyDescent="0.2">
      <c r="B8" s="43"/>
      <c r="C8" s="44"/>
      <c r="D8" s="44"/>
      <c r="E8" s="44"/>
      <c r="F8" s="44"/>
      <c r="G8" s="44"/>
      <c r="H8" s="45"/>
    </row>
    <row r="9" spans="1:8" ht="15" thickBot="1" x14ac:dyDescent="0.25">
      <c r="B9" s="46"/>
      <c r="C9" s="47"/>
      <c r="D9" s="47"/>
      <c r="E9" s="47"/>
      <c r="F9" s="47"/>
      <c r="G9" s="47"/>
      <c r="H9" s="48"/>
    </row>
    <row r="10" spans="1:8" x14ac:dyDescent="0.2">
      <c r="B10" s="3"/>
      <c r="C10" s="3"/>
      <c r="D10" s="3"/>
      <c r="E10" s="3"/>
      <c r="F10" s="3"/>
      <c r="G10" s="3"/>
      <c r="H10" s="3"/>
    </row>
    <row r="11" spans="1:8" x14ac:dyDescent="0.2">
      <c r="B11" s="49" t="s">
        <v>69</v>
      </c>
      <c r="C11" s="49"/>
      <c r="D11" s="49"/>
      <c r="E11" s="49"/>
      <c r="F11" s="49"/>
      <c r="G11" s="49"/>
      <c r="H11" s="49"/>
    </row>
    <row r="13" spans="1:8" x14ac:dyDescent="0.2">
      <c r="B13" s="49" t="s">
        <v>70</v>
      </c>
      <c r="C13" s="49"/>
      <c r="D13" s="49"/>
      <c r="E13" s="49"/>
      <c r="F13" s="49"/>
      <c r="G13" s="49"/>
      <c r="H13" s="49"/>
    </row>
    <row r="15" spans="1:8" x14ac:dyDescent="0.2">
      <c r="B15" s="49" t="s">
        <v>71</v>
      </c>
      <c r="C15" s="49"/>
      <c r="D15" s="49"/>
      <c r="E15" s="49"/>
      <c r="F15" s="49"/>
      <c r="G15" s="49"/>
      <c r="H15" s="49"/>
    </row>
    <row r="17" spans="1:9" x14ac:dyDescent="0.2">
      <c r="B17" s="49" t="s">
        <v>72</v>
      </c>
      <c r="C17" s="49"/>
      <c r="D17" s="49"/>
      <c r="E17" s="49"/>
      <c r="F17" s="49"/>
      <c r="G17" s="49"/>
      <c r="H17" s="49"/>
    </row>
    <row r="19" spans="1:9" x14ac:dyDescent="0.2">
      <c r="B19" s="49" t="s">
        <v>73</v>
      </c>
      <c r="C19" s="49"/>
      <c r="D19" s="49"/>
      <c r="E19" s="49"/>
      <c r="F19" s="49"/>
      <c r="G19" s="49"/>
      <c r="H19" s="49"/>
      <c r="I19" s="4"/>
    </row>
    <row r="25" spans="1:9" x14ac:dyDescent="0.2">
      <c r="A25" s="5" t="s">
        <v>76</v>
      </c>
      <c r="D25" s="5" t="s">
        <v>77</v>
      </c>
    </row>
    <row r="26" spans="1:9" x14ac:dyDescent="0.2">
      <c r="D26" s="4" t="s">
        <v>80</v>
      </c>
    </row>
  </sheetData>
  <mergeCells count="6">
    <mergeCell ref="B4:H9"/>
    <mergeCell ref="B11:H11"/>
    <mergeCell ref="B19:H19"/>
    <mergeCell ref="B13:H13"/>
    <mergeCell ref="B15:H15"/>
    <mergeCell ref="B17:H17"/>
  </mergeCells>
  <phoneticPr fontId="3" type="noConversion"/>
  <hyperlinks>
    <hyperlink ref="B11" location="'Assessed Value All Property'!A1" display="Assessed Value All Property Types 2010" xr:uid="{00000000-0004-0000-0000-000000000000}"/>
    <hyperlink ref="B13" location="'All Property Assessed Value'!A1" display="All Property Types Assessed Value and Growth Rate 2008 - 2010" xr:uid="{00000000-0004-0000-0000-000001000000}"/>
    <hyperlink ref="B15" location="'Real Property Assessed Value'!A1" display="Real Property Assessed Value and Growth Rate 2008 - 2010" xr:uid="{00000000-0004-0000-0000-000002000000}"/>
    <hyperlink ref="B17" location="'Personal Prop Assessed Value'!A1" display="Personal Property Assessed Value and Growth Rate 2008 - 2010" xr:uid="{00000000-0004-0000-0000-000003000000}"/>
    <hyperlink ref="B19" location="'Centrally Prop Assessed Value '!A1" display="Centrally Assessed Property Assessed Value and Growth Rate 2008 - 2010" xr:uid="{00000000-0004-0000-0000-000004000000}"/>
    <hyperlink ref="D26" r:id="rId1" xr:uid="{00000000-0004-0000-0000-000005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5"/>
  <sheetViews>
    <sheetView workbookViewId="0">
      <pane ySplit="4" topLeftCell="A5" activePane="bottomLeft" state="frozen"/>
      <selection sqref="A1:XFD1048576"/>
      <selection pane="bottomLeft"/>
    </sheetView>
  </sheetViews>
  <sheetFormatPr defaultRowHeight="14.25" x14ac:dyDescent="0.2"/>
  <cols>
    <col min="1" max="1" width="17.7109375" style="2" customWidth="1"/>
    <col min="2" max="2" width="9.28515625" style="10" bestFit="1" customWidth="1"/>
    <col min="3" max="3" width="19" style="2" bestFit="1" customWidth="1"/>
    <col min="4" max="4" width="22.42578125" style="2" bestFit="1" customWidth="1"/>
    <col min="5" max="5" width="24.28515625" style="2" bestFit="1" customWidth="1"/>
    <col min="6" max="6" width="18.42578125" style="2" bestFit="1" customWidth="1"/>
    <col min="7" max="7" width="9.140625" style="2"/>
    <col min="8" max="8" width="16.5703125" style="2" bestFit="1" customWidth="1"/>
    <col min="9" max="9" width="9.140625" style="2"/>
    <col min="10" max="10" width="16.140625" style="2" bestFit="1" customWidth="1"/>
    <col min="11" max="16384" width="9.140625" style="2"/>
  </cols>
  <sheetData>
    <row r="1" spans="1:10" ht="23.25" x14ac:dyDescent="0.35">
      <c r="A1" s="6" t="s">
        <v>69</v>
      </c>
      <c r="B1" s="7"/>
      <c r="C1" s="8"/>
      <c r="D1" s="8"/>
      <c r="E1" s="8"/>
      <c r="F1" s="8"/>
    </row>
    <row r="2" spans="1:10" ht="15" x14ac:dyDescent="0.25">
      <c r="A2" s="9">
        <v>2025</v>
      </c>
      <c r="B2" s="9"/>
      <c r="C2" s="9"/>
      <c r="D2" s="9"/>
      <c r="E2" s="9"/>
      <c r="F2" s="9"/>
    </row>
    <row r="3" spans="1:10" ht="15" thickBot="1" x14ac:dyDescent="0.25"/>
    <row r="4" spans="1:10" s="37" customFormat="1" ht="25.5" x14ac:dyDescent="0.2">
      <c r="A4" s="34" t="s">
        <v>0</v>
      </c>
      <c r="B4" s="35" t="s">
        <v>1</v>
      </c>
      <c r="C4" s="35" t="s">
        <v>86</v>
      </c>
      <c r="D4" s="35" t="s">
        <v>87</v>
      </c>
      <c r="E4" s="35" t="s">
        <v>88</v>
      </c>
      <c r="F4" s="36" t="s">
        <v>89</v>
      </c>
    </row>
    <row r="5" spans="1:10" x14ac:dyDescent="0.2">
      <c r="A5" s="11" t="s">
        <v>4</v>
      </c>
      <c r="B5" s="12" t="s">
        <v>81</v>
      </c>
      <c r="C5" s="26">
        <v>33048053350</v>
      </c>
      <c r="D5" s="26">
        <v>4310056589</v>
      </c>
      <c r="E5" s="27">
        <v>35799075</v>
      </c>
      <c r="F5" s="28">
        <v>37393909014</v>
      </c>
      <c r="H5" s="25"/>
      <c r="J5" s="25"/>
    </row>
    <row r="6" spans="1:10" x14ac:dyDescent="0.2">
      <c r="A6" s="11" t="s">
        <v>5</v>
      </c>
      <c r="B6" s="12" t="s">
        <v>81</v>
      </c>
      <c r="C6" s="26">
        <v>2160207703</v>
      </c>
      <c r="D6" s="26">
        <v>313979575</v>
      </c>
      <c r="E6" s="27">
        <v>12800073</v>
      </c>
      <c r="F6" s="28">
        <v>2486987351</v>
      </c>
      <c r="H6" s="25"/>
      <c r="J6" s="25"/>
    </row>
    <row r="7" spans="1:10" x14ac:dyDescent="0.2">
      <c r="A7" s="11" t="s">
        <v>6</v>
      </c>
      <c r="B7" s="12" t="s">
        <v>81</v>
      </c>
      <c r="C7" s="26">
        <v>35737798168</v>
      </c>
      <c r="D7" s="26">
        <v>2710437850</v>
      </c>
      <c r="E7" s="27">
        <v>28141540</v>
      </c>
      <c r="F7" s="28">
        <v>38476377558</v>
      </c>
      <c r="H7" s="25"/>
      <c r="J7" s="25"/>
    </row>
    <row r="8" spans="1:10" x14ac:dyDescent="0.2">
      <c r="A8" s="11" t="s">
        <v>7</v>
      </c>
      <c r="B8" s="12" t="s">
        <v>82</v>
      </c>
      <c r="C8" s="26">
        <v>1726792752</v>
      </c>
      <c r="D8" s="26">
        <v>360257134</v>
      </c>
      <c r="E8" s="27">
        <v>19998905</v>
      </c>
      <c r="F8" s="28">
        <v>2107048791</v>
      </c>
      <c r="H8" s="25"/>
      <c r="J8" s="25"/>
    </row>
    <row r="9" spans="1:10" x14ac:dyDescent="0.2">
      <c r="A9" s="11" t="s">
        <v>8</v>
      </c>
      <c r="B9" s="12" t="s">
        <v>81</v>
      </c>
      <c r="C9" s="26">
        <v>87456471550</v>
      </c>
      <c r="D9" s="26">
        <v>12872899950</v>
      </c>
      <c r="E9" s="27">
        <v>145856371</v>
      </c>
      <c r="F9" s="28">
        <v>100475227871</v>
      </c>
      <c r="H9" s="25"/>
      <c r="J9" s="25"/>
    </row>
    <row r="10" spans="1:10" x14ac:dyDescent="0.2">
      <c r="A10" s="11" t="s">
        <v>9</v>
      </c>
      <c r="B10" s="12" t="s">
        <v>81</v>
      </c>
      <c r="C10" s="26">
        <v>358973520020</v>
      </c>
      <c r="D10" s="26">
        <v>12815812408</v>
      </c>
      <c r="E10" s="27">
        <v>113721947</v>
      </c>
      <c r="F10" s="28">
        <v>371903054375</v>
      </c>
      <c r="H10" s="25"/>
      <c r="J10" s="25"/>
    </row>
    <row r="11" spans="1:10" x14ac:dyDescent="0.2">
      <c r="A11" s="11" t="s">
        <v>10</v>
      </c>
      <c r="B11" s="12" t="s">
        <v>82</v>
      </c>
      <c r="C11" s="26">
        <v>674562708</v>
      </c>
      <c r="D11" s="26">
        <v>514353255</v>
      </c>
      <c r="E11" s="27"/>
      <c r="F11" s="28">
        <v>1188915963</v>
      </c>
      <c r="H11" s="25"/>
      <c r="J11" s="25"/>
    </row>
    <row r="12" spans="1:10" x14ac:dyDescent="0.2">
      <c r="A12" s="11" t="s">
        <v>11</v>
      </c>
      <c r="B12" s="12" t="s">
        <v>81</v>
      </c>
      <c r="C12" s="26">
        <v>39109694708</v>
      </c>
      <c r="D12" s="26">
        <v>2062477549</v>
      </c>
      <c r="E12" s="27">
        <v>3192820</v>
      </c>
      <c r="F12" s="28">
        <v>41175365077</v>
      </c>
      <c r="H12" s="25"/>
      <c r="J12" s="25"/>
    </row>
    <row r="13" spans="1:10" x14ac:dyDescent="0.2">
      <c r="A13" s="11" t="s">
        <v>12</v>
      </c>
      <c r="B13" s="12" t="s">
        <v>81</v>
      </c>
      <c r="C13" s="26">
        <v>18477271481</v>
      </c>
      <c r="D13" s="26">
        <v>2252801276</v>
      </c>
      <c r="E13" s="27">
        <v>1693029</v>
      </c>
      <c r="F13" s="28">
        <v>20731765786</v>
      </c>
      <c r="H13" s="25"/>
      <c r="J13" s="25"/>
    </row>
    <row r="14" spans="1:10" x14ac:dyDescent="0.2">
      <c r="A14" s="11" t="s">
        <v>13</v>
      </c>
      <c r="B14" s="12" t="s">
        <v>81</v>
      </c>
      <c r="C14" s="26">
        <v>24522787935</v>
      </c>
      <c r="D14" s="26">
        <v>2298977024</v>
      </c>
      <c r="E14" s="27">
        <v>34329523</v>
      </c>
      <c r="F14" s="28">
        <v>26856094482</v>
      </c>
      <c r="H14" s="25"/>
      <c r="J14" s="25"/>
    </row>
    <row r="15" spans="1:10" x14ac:dyDescent="0.2">
      <c r="A15" s="11" t="s">
        <v>14</v>
      </c>
      <c r="B15" s="12" t="s">
        <v>81</v>
      </c>
      <c r="C15" s="26">
        <v>175484677868</v>
      </c>
      <c r="D15" s="26">
        <v>3548257627</v>
      </c>
      <c r="E15" s="27">
        <v>216123</v>
      </c>
      <c r="F15" s="28">
        <v>179033151618</v>
      </c>
      <c r="H15" s="25"/>
      <c r="J15" s="25"/>
    </row>
    <row r="16" spans="1:10" x14ac:dyDescent="0.2">
      <c r="A16" s="11" t="s">
        <v>15</v>
      </c>
      <c r="B16" s="12" t="s">
        <v>81</v>
      </c>
      <c r="C16" s="26">
        <v>5433072215</v>
      </c>
      <c r="D16" s="26">
        <v>1182344935</v>
      </c>
      <c r="E16" s="27">
        <v>12666376</v>
      </c>
      <c r="F16" s="28">
        <v>6628083526</v>
      </c>
      <c r="H16" s="25"/>
      <c r="J16" s="25"/>
    </row>
    <row r="17" spans="1:10" x14ac:dyDescent="0.2">
      <c r="A17" s="11" t="s">
        <v>78</v>
      </c>
      <c r="B17" s="12" t="s">
        <v>81</v>
      </c>
      <c r="C17" s="26">
        <v>557092881582</v>
      </c>
      <c r="D17" s="26">
        <v>23910446668</v>
      </c>
      <c r="E17" s="27">
        <v>214759890</v>
      </c>
      <c r="F17" s="28">
        <v>581218088140</v>
      </c>
      <c r="H17" s="25"/>
      <c r="J17" s="25"/>
    </row>
    <row r="18" spans="1:10" x14ac:dyDescent="0.2">
      <c r="A18" s="11" t="s">
        <v>16</v>
      </c>
      <c r="B18" s="12" t="s">
        <v>81</v>
      </c>
      <c r="C18" s="26">
        <v>2878646340</v>
      </c>
      <c r="D18" s="26">
        <v>890281422</v>
      </c>
      <c r="E18" s="27">
        <v>4843037</v>
      </c>
      <c r="F18" s="28">
        <v>3773770799</v>
      </c>
      <c r="H18" s="25"/>
      <c r="J18" s="25"/>
    </row>
    <row r="19" spans="1:10" x14ac:dyDescent="0.2">
      <c r="A19" s="11" t="s">
        <v>17</v>
      </c>
      <c r="B19" s="12" t="s">
        <v>82</v>
      </c>
      <c r="C19" s="26">
        <v>1087079916</v>
      </c>
      <c r="D19" s="26">
        <v>124984171</v>
      </c>
      <c r="E19" s="27"/>
      <c r="F19" s="28">
        <v>1212064087</v>
      </c>
      <c r="H19" s="25"/>
      <c r="J19" s="25"/>
    </row>
    <row r="20" spans="1:10" x14ac:dyDescent="0.2">
      <c r="A20" s="11" t="s">
        <v>18</v>
      </c>
      <c r="B20" s="12" t="s">
        <v>81</v>
      </c>
      <c r="C20" s="26">
        <v>134924178114</v>
      </c>
      <c r="D20" s="26">
        <v>17103292299</v>
      </c>
      <c r="E20" s="27">
        <v>222484856</v>
      </c>
      <c r="F20" s="28">
        <v>152249955269</v>
      </c>
      <c r="H20" s="25"/>
      <c r="J20" s="25"/>
    </row>
    <row r="21" spans="1:10" x14ac:dyDescent="0.2">
      <c r="A21" s="11" t="s">
        <v>19</v>
      </c>
      <c r="B21" s="12" t="s">
        <v>81</v>
      </c>
      <c r="C21" s="26">
        <v>39655275637</v>
      </c>
      <c r="D21" s="26">
        <v>4804569679</v>
      </c>
      <c r="E21" s="27">
        <v>34074924</v>
      </c>
      <c r="F21" s="28">
        <v>44493920240</v>
      </c>
      <c r="H21" s="25"/>
      <c r="J21" s="25"/>
    </row>
    <row r="22" spans="1:10" x14ac:dyDescent="0.2">
      <c r="A22" s="11" t="s">
        <v>20</v>
      </c>
      <c r="B22" s="12" t="s">
        <v>81</v>
      </c>
      <c r="C22" s="26">
        <v>21082567869</v>
      </c>
      <c r="D22" s="26">
        <v>1250065354</v>
      </c>
      <c r="E22" s="27">
        <v>24167147</v>
      </c>
      <c r="F22" s="28">
        <v>22356800370</v>
      </c>
      <c r="H22" s="25"/>
      <c r="J22" s="25"/>
    </row>
    <row r="23" spans="1:10" x14ac:dyDescent="0.2">
      <c r="A23" s="11" t="s">
        <v>21</v>
      </c>
      <c r="B23" s="12" t="s">
        <v>82</v>
      </c>
      <c r="C23" s="26">
        <v>4892948191</v>
      </c>
      <c r="D23" s="26">
        <v>112526489</v>
      </c>
      <c r="E23" s="27">
        <v>0</v>
      </c>
      <c r="F23" s="28">
        <v>5005474680</v>
      </c>
      <c r="H23" s="25"/>
      <c r="J23" s="25"/>
    </row>
    <row r="24" spans="1:10" x14ac:dyDescent="0.2">
      <c r="A24" s="11" t="s">
        <v>22</v>
      </c>
      <c r="B24" s="12" t="s">
        <v>82</v>
      </c>
      <c r="C24" s="26">
        <v>2649570820</v>
      </c>
      <c r="D24" s="26">
        <v>938013359</v>
      </c>
      <c r="E24" s="27">
        <v>9645145</v>
      </c>
      <c r="F24" s="28">
        <v>3597229324</v>
      </c>
      <c r="H24" s="25"/>
      <c r="J24" s="25"/>
    </row>
    <row r="25" spans="1:10" x14ac:dyDescent="0.2">
      <c r="A25" s="11" t="s">
        <v>23</v>
      </c>
      <c r="B25" s="12" t="s">
        <v>82</v>
      </c>
      <c r="C25" s="26">
        <v>1449499272</v>
      </c>
      <c r="D25" s="26">
        <v>485117623</v>
      </c>
      <c r="E25" s="27"/>
      <c r="F25" s="28">
        <v>1934616895</v>
      </c>
      <c r="H25" s="25"/>
      <c r="J25" s="25"/>
    </row>
    <row r="26" spans="1:10" x14ac:dyDescent="0.2">
      <c r="A26" s="11" t="s">
        <v>24</v>
      </c>
      <c r="B26" s="12" t="s">
        <v>82</v>
      </c>
      <c r="C26" s="26">
        <v>2117449900</v>
      </c>
      <c r="D26" s="26">
        <v>211850012</v>
      </c>
      <c r="E26" s="27">
        <v>13804965</v>
      </c>
      <c r="F26" s="28">
        <v>2343104877</v>
      </c>
      <c r="H26" s="25"/>
      <c r="J26" s="25"/>
    </row>
    <row r="27" spans="1:10" x14ac:dyDescent="0.2">
      <c r="A27" s="11" t="s">
        <v>25</v>
      </c>
      <c r="B27" s="12" t="s">
        <v>82</v>
      </c>
      <c r="C27" s="26">
        <v>4686636703</v>
      </c>
      <c r="D27" s="26">
        <v>167278624</v>
      </c>
      <c r="E27" s="27"/>
      <c r="F27" s="28">
        <v>4853915327</v>
      </c>
      <c r="H27" s="25"/>
      <c r="J27" s="25"/>
    </row>
    <row r="28" spans="1:10" x14ac:dyDescent="0.2">
      <c r="A28" s="11" t="s">
        <v>26</v>
      </c>
      <c r="B28" s="12" t="s">
        <v>81</v>
      </c>
      <c r="C28" s="26">
        <v>955679134</v>
      </c>
      <c r="D28" s="26">
        <v>679561332</v>
      </c>
      <c r="E28" s="27">
        <v>20788817</v>
      </c>
      <c r="F28" s="28">
        <v>1656029283</v>
      </c>
      <c r="H28" s="25"/>
      <c r="J28" s="25"/>
    </row>
    <row r="29" spans="1:10" x14ac:dyDescent="0.2">
      <c r="A29" s="11" t="s">
        <v>27</v>
      </c>
      <c r="B29" s="12" t="s">
        <v>81</v>
      </c>
      <c r="C29" s="26">
        <v>2288744908</v>
      </c>
      <c r="D29" s="26">
        <v>1215984743</v>
      </c>
      <c r="E29" s="27">
        <v>9908239</v>
      </c>
      <c r="F29" s="28">
        <v>3514637890</v>
      </c>
      <c r="H29" s="25"/>
      <c r="J29" s="25"/>
    </row>
    <row r="30" spans="1:10" x14ac:dyDescent="0.2">
      <c r="A30" s="11" t="s">
        <v>28</v>
      </c>
      <c r="B30" s="12" t="s">
        <v>81</v>
      </c>
      <c r="C30" s="26">
        <v>5239025283</v>
      </c>
      <c r="D30" s="26">
        <v>1774426554</v>
      </c>
      <c r="E30" s="27">
        <v>4791290</v>
      </c>
      <c r="F30" s="28">
        <v>7018243127</v>
      </c>
      <c r="H30" s="25"/>
      <c r="J30" s="25"/>
    </row>
    <row r="31" spans="1:10" x14ac:dyDescent="0.2">
      <c r="A31" s="11" t="s">
        <v>29</v>
      </c>
      <c r="B31" s="12" t="s">
        <v>81</v>
      </c>
      <c r="C31" s="26">
        <v>22084864199</v>
      </c>
      <c r="D31" s="26">
        <v>2321631203</v>
      </c>
      <c r="E31" s="27">
        <v>12674645</v>
      </c>
      <c r="F31" s="28">
        <v>24419170047</v>
      </c>
      <c r="H31" s="25"/>
      <c r="J31" s="25"/>
    </row>
    <row r="32" spans="1:10" x14ac:dyDescent="0.2">
      <c r="A32" s="11" t="s">
        <v>30</v>
      </c>
      <c r="B32" s="12" t="s">
        <v>81</v>
      </c>
      <c r="C32" s="26">
        <v>10545422981</v>
      </c>
      <c r="D32" s="26">
        <v>900340568</v>
      </c>
      <c r="E32" s="27">
        <v>34749382</v>
      </c>
      <c r="F32" s="28">
        <v>11480512931</v>
      </c>
      <c r="H32" s="25"/>
      <c r="J32" s="25"/>
    </row>
    <row r="33" spans="1:10" x14ac:dyDescent="0.2">
      <c r="A33" s="11" t="s">
        <v>31</v>
      </c>
      <c r="B33" s="12" t="s">
        <v>81</v>
      </c>
      <c r="C33" s="26">
        <v>208940044443</v>
      </c>
      <c r="D33" s="26">
        <v>14813877120</v>
      </c>
      <c r="E33" s="27">
        <v>135142334</v>
      </c>
      <c r="F33" s="28">
        <v>223889063897</v>
      </c>
      <c r="H33" s="25"/>
      <c r="J33" s="25"/>
    </row>
    <row r="34" spans="1:10" x14ac:dyDescent="0.2">
      <c r="A34" s="11" t="s">
        <v>32</v>
      </c>
      <c r="B34" s="12" t="s">
        <v>82</v>
      </c>
      <c r="C34" s="26">
        <v>965881582</v>
      </c>
      <c r="D34" s="26">
        <v>167526344</v>
      </c>
      <c r="E34" s="27">
        <v>3735914</v>
      </c>
      <c r="F34" s="28">
        <v>1137143840</v>
      </c>
      <c r="H34" s="25"/>
      <c r="J34" s="25"/>
    </row>
    <row r="35" spans="1:10" x14ac:dyDescent="0.2">
      <c r="A35" s="11" t="s">
        <v>33</v>
      </c>
      <c r="B35" s="12" t="s">
        <v>81</v>
      </c>
      <c r="C35" s="26">
        <v>35183213962</v>
      </c>
      <c r="D35" s="26">
        <v>1460638944</v>
      </c>
      <c r="E35" s="27">
        <v>50962531</v>
      </c>
      <c r="F35" s="28">
        <v>36694815437</v>
      </c>
      <c r="H35" s="25"/>
      <c r="J35" s="25"/>
    </row>
    <row r="36" spans="1:10" x14ac:dyDescent="0.2">
      <c r="A36" s="11" t="s">
        <v>34</v>
      </c>
      <c r="B36" s="12" t="s">
        <v>82</v>
      </c>
      <c r="C36" s="26">
        <v>2987678528</v>
      </c>
      <c r="D36" s="26">
        <v>569241907</v>
      </c>
      <c r="E36" s="27">
        <v>25207728</v>
      </c>
      <c r="F36" s="28">
        <v>3582128163</v>
      </c>
      <c r="H36" s="25"/>
      <c r="J36" s="25"/>
    </row>
    <row r="37" spans="1:10" x14ac:dyDescent="0.2">
      <c r="A37" s="11" t="s">
        <v>35</v>
      </c>
      <c r="B37" s="12" t="s">
        <v>82</v>
      </c>
      <c r="C37" s="26">
        <v>1292301426</v>
      </c>
      <c r="D37" s="26">
        <v>288704658</v>
      </c>
      <c r="E37" s="27">
        <v>3316635</v>
      </c>
      <c r="F37" s="28">
        <v>1584322719</v>
      </c>
      <c r="H37" s="25"/>
      <c r="J37" s="25"/>
    </row>
    <row r="38" spans="1:10" x14ac:dyDescent="0.2">
      <c r="A38" s="11" t="s">
        <v>36</v>
      </c>
      <c r="B38" s="12" t="s">
        <v>82</v>
      </c>
      <c r="C38" s="26">
        <v>513465074</v>
      </c>
      <c r="D38" s="26">
        <v>78953209</v>
      </c>
      <c r="E38" s="27">
        <v>0</v>
      </c>
      <c r="F38" s="28">
        <v>592418283</v>
      </c>
      <c r="H38" s="25"/>
      <c r="J38" s="25"/>
    </row>
    <row r="39" spans="1:10" x14ac:dyDescent="0.2">
      <c r="A39" s="11" t="s">
        <v>37</v>
      </c>
      <c r="B39" s="12" t="s">
        <v>81</v>
      </c>
      <c r="C39" s="26">
        <v>51949548543</v>
      </c>
      <c r="D39" s="26">
        <v>2809427663</v>
      </c>
      <c r="E39" s="27">
        <v>5354563</v>
      </c>
      <c r="F39" s="28">
        <v>54764330769</v>
      </c>
      <c r="H39" s="25"/>
      <c r="J39" s="25"/>
    </row>
    <row r="40" spans="1:10" x14ac:dyDescent="0.2">
      <c r="A40" s="11" t="s">
        <v>38</v>
      </c>
      <c r="B40" s="12" t="s">
        <v>81</v>
      </c>
      <c r="C40" s="26">
        <v>164752595413</v>
      </c>
      <c r="D40" s="26">
        <v>7537686793</v>
      </c>
      <c r="E40" s="27">
        <v>5305373</v>
      </c>
      <c r="F40" s="28">
        <v>172295587579</v>
      </c>
      <c r="H40" s="25"/>
      <c r="J40" s="25"/>
    </row>
    <row r="41" spans="1:10" x14ac:dyDescent="0.2">
      <c r="A41" s="11" t="s">
        <v>39</v>
      </c>
      <c r="B41" s="12" t="s">
        <v>81</v>
      </c>
      <c r="C41" s="26">
        <v>36973807497</v>
      </c>
      <c r="D41" s="26">
        <v>2658441666</v>
      </c>
      <c r="E41" s="27">
        <v>6279405</v>
      </c>
      <c r="F41" s="28">
        <v>39638528568</v>
      </c>
      <c r="H41" s="25"/>
      <c r="J41" s="25"/>
    </row>
    <row r="42" spans="1:10" x14ac:dyDescent="0.2">
      <c r="A42" s="11" t="s">
        <v>40</v>
      </c>
      <c r="B42" s="12" t="s">
        <v>82</v>
      </c>
      <c r="C42" s="26">
        <v>4006853603</v>
      </c>
      <c r="D42" s="26">
        <v>619400055</v>
      </c>
      <c r="E42" s="27">
        <v>3685077</v>
      </c>
      <c r="F42" s="28">
        <v>4629938735</v>
      </c>
      <c r="H42" s="25"/>
      <c r="J42" s="25"/>
    </row>
    <row r="43" spans="1:10" x14ac:dyDescent="0.2">
      <c r="A43" s="11" t="s">
        <v>41</v>
      </c>
      <c r="B43" s="12" t="s">
        <v>82</v>
      </c>
      <c r="C43" s="26">
        <v>657634526</v>
      </c>
      <c r="D43" s="26">
        <v>179139345</v>
      </c>
      <c r="E43" s="27">
        <v>128326</v>
      </c>
      <c r="F43" s="28">
        <v>836902197</v>
      </c>
      <c r="H43" s="25"/>
      <c r="J43" s="25"/>
    </row>
    <row r="44" spans="1:10" x14ac:dyDescent="0.2">
      <c r="A44" s="11" t="s">
        <v>42</v>
      </c>
      <c r="B44" s="12" t="s">
        <v>82</v>
      </c>
      <c r="C44" s="26">
        <v>1285816224</v>
      </c>
      <c r="D44" s="26">
        <v>429802001</v>
      </c>
      <c r="E44" s="27">
        <v>8033074</v>
      </c>
      <c r="F44" s="28">
        <v>1723651299</v>
      </c>
      <c r="H44" s="25"/>
      <c r="J44" s="25"/>
    </row>
    <row r="45" spans="1:10" x14ac:dyDescent="0.2">
      <c r="A45" s="11" t="s">
        <v>43</v>
      </c>
      <c r="B45" s="12" t="s">
        <v>81</v>
      </c>
      <c r="C45" s="26">
        <v>79818586151</v>
      </c>
      <c r="D45" s="26">
        <v>5177933443</v>
      </c>
      <c r="E45" s="27">
        <v>8938576</v>
      </c>
      <c r="F45" s="28">
        <v>85005458170</v>
      </c>
      <c r="H45" s="25"/>
      <c r="J45" s="25"/>
    </row>
    <row r="46" spans="1:10" x14ac:dyDescent="0.2">
      <c r="A46" s="11" t="s">
        <v>44</v>
      </c>
      <c r="B46" s="12" t="s">
        <v>81</v>
      </c>
      <c r="C46" s="26">
        <v>45259588018</v>
      </c>
      <c r="D46" s="26">
        <v>2978345969</v>
      </c>
      <c r="E46" s="27">
        <v>30325972</v>
      </c>
      <c r="F46" s="28">
        <v>48268259959</v>
      </c>
      <c r="H46" s="25"/>
      <c r="J46" s="25"/>
    </row>
    <row r="47" spans="1:10" x14ac:dyDescent="0.2">
      <c r="A47" s="11" t="s">
        <v>45</v>
      </c>
      <c r="B47" s="12" t="s">
        <v>81</v>
      </c>
      <c r="C47" s="26">
        <v>40257661655</v>
      </c>
      <c r="D47" s="26">
        <v>3956998290</v>
      </c>
      <c r="E47" s="27">
        <v>103013626</v>
      </c>
      <c r="F47" s="28">
        <v>44317673571</v>
      </c>
      <c r="H47" s="25"/>
      <c r="J47" s="25"/>
    </row>
    <row r="48" spans="1:10" x14ac:dyDescent="0.2">
      <c r="A48" s="11" t="s">
        <v>46</v>
      </c>
      <c r="B48" s="12" t="s">
        <v>81</v>
      </c>
      <c r="C48" s="26">
        <v>55611259686</v>
      </c>
      <c r="D48" s="26">
        <v>1191609425</v>
      </c>
      <c r="E48" s="27"/>
      <c r="F48" s="28">
        <v>56802869111</v>
      </c>
      <c r="H48" s="25"/>
      <c r="J48" s="25"/>
    </row>
    <row r="49" spans="1:10" x14ac:dyDescent="0.2">
      <c r="A49" s="11" t="s">
        <v>47</v>
      </c>
      <c r="B49" s="12" t="s">
        <v>81</v>
      </c>
      <c r="C49" s="26">
        <v>20246804851</v>
      </c>
      <c r="D49" s="26">
        <v>1703658921</v>
      </c>
      <c r="E49" s="27">
        <v>51500057</v>
      </c>
      <c r="F49" s="28">
        <v>22001963829</v>
      </c>
      <c r="H49" s="25"/>
      <c r="J49" s="25"/>
    </row>
    <row r="50" spans="1:10" x14ac:dyDescent="0.2">
      <c r="A50" s="11" t="s">
        <v>48</v>
      </c>
      <c r="B50" s="12" t="s">
        <v>81</v>
      </c>
      <c r="C50" s="26">
        <v>36350715757</v>
      </c>
      <c r="D50" s="26">
        <v>1547631929</v>
      </c>
      <c r="E50" s="27">
        <v>4601569</v>
      </c>
      <c r="F50" s="28">
        <v>37902949255</v>
      </c>
      <c r="H50" s="25"/>
      <c r="J50" s="25"/>
    </row>
    <row r="51" spans="1:10" x14ac:dyDescent="0.2">
      <c r="A51" s="11" t="s">
        <v>49</v>
      </c>
      <c r="B51" s="12" t="s">
        <v>81</v>
      </c>
      <c r="C51" s="26">
        <v>4263128887</v>
      </c>
      <c r="D51" s="26">
        <v>2140879626</v>
      </c>
      <c r="E51" s="27">
        <v>12905090</v>
      </c>
      <c r="F51" s="28">
        <v>6416913603</v>
      </c>
      <c r="H51" s="25"/>
      <c r="J51" s="25"/>
    </row>
    <row r="52" spans="1:10" x14ac:dyDescent="0.2">
      <c r="A52" s="11" t="s">
        <v>50</v>
      </c>
      <c r="B52" s="12" t="s">
        <v>81</v>
      </c>
      <c r="C52" s="26">
        <v>270369532112</v>
      </c>
      <c r="D52" s="26">
        <v>19599136411</v>
      </c>
      <c r="E52" s="27">
        <v>127052702</v>
      </c>
      <c r="F52" s="28">
        <v>290095721225</v>
      </c>
      <c r="H52" s="25"/>
      <c r="J52" s="25"/>
    </row>
    <row r="53" spans="1:10" x14ac:dyDescent="0.2">
      <c r="A53" s="11" t="s">
        <v>51</v>
      </c>
      <c r="B53" s="12" t="s">
        <v>81</v>
      </c>
      <c r="C53" s="26">
        <v>64766397142</v>
      </c>
      <c r="D53" s="26">
        <v>4108736278</v>
      </c>
      <c r="E53" s="27">
        <v>7238603</v>
      </c>
      <c r="F53" s="28">
        <v>68882372023</v>
      </c>
      <c r="H53" s="25"/>
      <c r="J53" s="25"/>
    </row>
    <row r="54" spans="1:10" x14ac:dyDescent="0.2">
      <c r="A54" s="11" t="s">
        <v>52</v>
      </c>
      <c r="B54" s="12" t="s">
        <v>81</v>
      </c>
      <c r="C54" s="26">
        <v>371675133963</v>
      </c>
      <c r="D54" s="26">
        <v>15712503998</v>
      </c>
      <c r="E54" s="27">
        <v>247162217</v>
      </c>
      <c r="F54" s="28">
        <v>387634800178</v>
      </c>
      <c r="H54" s="25"/>
      <c r="J54" s="25"/>
    </row>
    <row r="55" spans="1:10" x14ac:dyDescent="0.2">
      <c r="A55" s="11" t="s">
        <v>53</v>
      </c>
      <c r="B55" s="12" t="s">
        <v>81</v>
      </c>
      <c r="C55" s="26">
        <v>70344039688</v>
      </c>
      <c r="D55" s="26">
        <v>4083241834</v>
      </c>
      <c r="E55" s="27">
        <v>24310291</v>
      </c>
      <c r="F55" s="28">
        <v>74451591813</v>
      </c>
      <c r="H55" s="25"/>
      <c r="J55" s="25"/>
    </row>
    <row r="56" spans="1:10" x14ac:dyDescent="0.2">
      <c r="A56" s="11" t="s">
        <v>54</v>
      </c>
      <c r="B56" s="12" t="s">
        <v>81</v>
      </c>
      <c r="C56" s="26">
        <v>162841927370</v>
      </c>
      <c r="D56" s="26">
        <v>7640235282</v>
      </c>
      <c r="E56" s="27">
        <v>14158317</v>
      </c>
      <c r="F56" s="28">
        <v>170496320969</v>
      </c>
      <c r="H56" s="25"/>
      <c r="J56" s="25"/>
    </row>
    <row r="57" spans="1:10" x14ac:dyDescent="0.2">
      <c r="A57" s="11" t="s">
        <v>55</v>
      </c>
      <c r="B57" s="12" t="s">
        <v>81</v>
      </c>
      <c r="C57" s="26">
        <v>79453891369</v>
      </c>
      <c r="D57" s="26">
        <v>9521638976</v>
      </c>
      <c r="E57" s="27">
        <v>135631939</v>
      </c>
      <c r="F57" s="28">
        <v>89111162284</v>
      </c>
      <c r="H57" s="25"/>
      <c r="J57" s="25"/>
    </row>
    <row r="58" spans="1:10" x14ac:dyDescent="0.2">
      <c r="A58" s="11" t="s">
        <v>56</v>
      </c>
      <c r="B58" s="12" t="s">
        <v>81</v>
      </c>
      <c r="C58" s="26">
        <v>7119399121</v>
      </c>
      <c r="D58" s="26">
        <v>3006983108</v>
      </c>
      <c r="E58" s="27">
        <v>27067479</v>
      </c>
      <c r="F58" s="28">
        <v>10153449708</v>
      </c>
      <c r="H58" s="25"/>
      <c r="J58" s="25"/>
    </row>
    <row r="59" spans="1:10" x14ac:dyDescent="0.2">
      <c r="A59" s="11" t="s">
        <v>2</v>
      </c>
      <c r="B59" s="12" t="s">
        <v>81</v>
      </c>
      <c r="C59" s="26">
        <v>66575430174</v>
      </c>
      <c r="D59" s="26">
        <v>2404488569</v>
      </c>
      <c r="E59" s="27">
        <v>36867219</v>
      </c>
      <c r="F59" s="28">
        <v>69016785962</v>
      </c>
      <c r="H59" s="25"/>
      <c r="J59" s="25"/>
    </row>
    <row r="60" spans="1:10" x14ac:dyDescent="0.2">
      <c r="A60" s="11" t="s">
        <v>3</v>
      </c>
      <c r="B60" s="12" t="s">
        <v>81</v>
      </c>
      <c r="C60" s="26">
        <v>48131214609</v>
      </c>
      <c r="D60" s="26">
        <v>6548888442</v>
      </c>
      <c r="E60" s="27">
        <v>75862330</v>
      </c>
      <c r="F60" s="28">
        <v>54755965381</v>
      </c>
      <c r="H60" s="25"/>
      <c r="J60" s="25"/>
    </row>
    <row r="61" spans="1:10" x14ac:dyDescent="0.2">
      <c r="A61" s="11" t="s">
        <v>57</v>
      </c>
      <c r="B61" s="12" t="s">
        <v>81</v>
      </c>
      <c r="C61" s="26">
        <v>24202619298</v>
      </c>
      <c r="D61" s="26">
        <v>1135959662</v>
      </c>
      <c r="E61" s="27">
        <v>4358682</v>
      </c>
      <c r="F61" s="28">
        <v>25342937642</v>
      </c>
      <c r="H61" s="25"/>
      <c r="J61" s="25"/>
    </row>
    <row r="62" spans="1:10" x14ac:dyDescent="0.2">
      <c r="A62" s="11" t="s">
        <v>58</v>
      </c>
      <c r="B62" s="12" t="s">
        <v>81</v>
      </c>
      <c r="C62" s="26">
        <v>121822942665</v>
      </c>
      <c r="D62" s="26">
        <v>4015246691</v>
      </c>
      <c r="E62" s="27">
        <v>948347</v>
      </c>
      <c r="F62" s="28">
        <v>125839137703</v>
      </c>
      <c r="H62" s="25"/>
      <c r="J62" s="25"/>
    </row>
    <row r="63" spans="1:10" x14ac:dyDescent="0.2">
      <c r="A63" s="11" t="s">
        <v>59</v>
      </c>
      <c r="B63" s="12" t="s">
        <v>81</v>
      </c>
      <c r="C63" s="26">
        <v>64024704999</v>
      </c>
      <c r="D63" s="26">
        <v>3514400190</v>
      </c>
      <c r="E63" s="27">
        <v>13003640</v>
      </c>
      <c r="F63" s="28">
        <v>67552108829</v>
      </c>
      <c r="H63" s="25"/>
      <c r="J63" s="25"/>
    </row>
    <row r="64" spans="1:10" x14ac:dyDescent="0.2">
      <c r="A64" s="11" t="s">
        <v>60</v>
      </c>
      <c r="B64" s="12" t="s">
        <v>81</v>
      </c>
      <c r="C64" s="26">
        <v>27081307722</v>
      </c>
      <c r="D64" s="26">
        <v>1701081726</v>
      </c>
      <c r="E64" s="27">
        <v>18287979</v>
      </c>
      <c r="F64" s="28">
        <v>28800677427</v>
      </c>
      <c r="H64" s="25"/>
      <c r="J64" s="25"/>
    </row>
    <row r="65" spans="1:10" x14ac:dyDescent="0.2">
      <c r="A65" s="11" t="s">
        <v>61</v>
      </c>
      <c r="B65" s="12" t="s">
        <v>82</v>
      </c>
      <c r="C65" s="26">
        <v>2843790078</v>
      </c>
      <c r="D65" s="26">
        <v>1120825917</v>
      </c>
      <c r="E65" s="27">
        <v>4442714</v>
      </c>
      <c r="F65" s="28">
        <v>3969058709</v>
      </c>
      <c r="H65" s="25"/>
      <c r="J65" s="25"/>
    </row>
    <row r="66" spans="1:10" x14ac:dyDescent="0.2">
      <c r="A66" s="11" t="s">
        <v>62</v>
      </c>
      <c r="B66" s="12" t="s">
        <v>81</v>
      </c>
      <c r="C66" s="26">
        <v>1776550908</v>
      </c>
      <c r="D66" s="26">
        <v>504179262</v>
      </c>
      <c r="E66" s="27">
        <v>1720126</v>
      </c>
      <c r="F66" s="28">
        <v>2282890749</v>
      </c>
      <c r="H66" s="25"/>
      <c r="J66" s="25"/>
    </row>
    <row r="67" spans="1:10" x14ac:dyDescent="0.2">
      <c r="A67" s="11" t="s">
        <v>63</v>
      </c>
      <c r="B67" s="12" t="s">
        <v>81</v>
      </c>
      <c r="C67" s="26">
        <v>565212676</v>
      </c>
      <c r="D67" s="26">
        <v>111943924</v>
      </c>
      <c r="E67" s="27"/>
      <c r="F67" s="28">
        <v>677156600</v>
      </c>
      <c r="H67" s="25"/>
      <c r="J67" s="25"/>
    </row>
    <row r="68" spans="1:10" x14ac:dyDescent="0.2">
      <c r="A68" s="11" t="s">
        <v>64</v>
      </c>
      <c r="B68" s="12" t="s">
        <v>81</v>
      </c>
      <c r="C68" s="26">
        <v>78125532559</v>
      </c>
      <c r="D68" s="26">
        <v>5390539582</v>
      </c>
      <c r="E68" s="27">
        <v>69733981</v>
      </c>
      <c r="F68" s="28">
        <v>83585806122</v>
      </c>
      <c r="H68" s="25"/>
      <c r="J68" s="25"/>
    </row>
    <row r="69" spans="1:10" x14ac:dyDescent="0.2">
      <c r="A69" s="11" t="s">
        <v>65</v>
      </c>
      <c r="B69" s="12" t="s">
        <v>82</v>
      </c>
      <c r="C69" s="26">
        <v>3431297840</v>
      </c>
      <c r="D69" s="26">
        <v>269627447</v>
      </c>
      <c r="E69" s="27"/>
      <c r="F69" s="28">
        <v>3700925287</v>
      </c>
      <c r="H69" s="25"/>
      <c r="J69" s="25"/>
    </row>
    <row r="70" spans="1:10" x14ac:dyDescent="0.2">
      <c r="A70" s="11" t="s">
        <v>66</v>
      </c>
      <c r="B70" s="12" t="s">
        <v>81</v>
      </c>
      <c r="C70" s="26">
        <v>48946578160</v>
      </c>
      <c r="D70" s="26">
        <v>1048261422</v>
      </c>
      <c r="E70" s="27">
        <v>3760327</v>
      </c>
      <c r="F70" s="28">
        <v>49998599909</v>
      </c>
      <c r="H70" s="25"/>
      <c r="J70" s="25"/>
    </row>
    <row r="71" spans="1:10" x14ac:dyDescent="0.2">
      <c r="A71" s="11" t="s">
        <v>67</v>
      </c>
      <c r="B71" s="12" t="s">
        <v>82</v>
      </c>
      <c r="C71" s="26">
        <v>1725286747</v>
      </c>
      <c r="D71" s="26">
        <v>331616425</v>
      </c>
      <c r="E71" s="27">
        <v>2232556</v>
      </c>
      <c r="F71" s="28">
        <v>2059135728</v>
      </c>
      <c r="H71" s="25"/>
      <c r="J71" s="25"/>
    </row>
    <row r="72" spans="1:10" x14ac:dyDescent="0.2">
      <c r="A72" s="16"/>
      <c r="B72" s="17"/>
      <c r="C72" s="29"/>
      <c r="D72" s="29"/>
      <c r="E72" s="30"/>
      <c r="F72" s="31"/>
    </row>
    <row r="73" spans="1:10" ht="15.75" thickBot="1" x14ac:dyDescent="0.3">
      <c r="A73" s="19" t="s">
        <v>68</v>
      </c>
      <c r="B73" s="20"/>
      <c r="C73" s="32">
        <f>SUM(C5:C71)</f>
        <v>3903574756333</v>
      </c>
      <c r="D73" s="32">
        <f>SUM(D5:D71)</f>
        <v>244212457726</v>
      </c>
      <c r="E73" s="32">
        <f>SUM(E5:E71)</f>
        <v>2287383418</v>
      </c>
      <c r="F73" s="33">
        <f>SUM(F5:F71)</f>
        <v>4150075037930</v>
      </c>
    </row>
    <row r="75" spans="1:10" x14ac:dyDescent="0.2">
      <c r="A75" s="24" t="s">
        <v>90</v>
      </c>
    </row>
  </sheetData>
  <phoneticPr fontId="3" type="noConversion"/>
  <conditionalFormatting sqref="A75">
    <cfRule type="expression" dxfId="9" priority="1" stopIfTrue="1">
      <formula>MOD(ROW(),5)=1</formula>
    </cfRule>
  </conditionalFormatting>
  <conditionalFormatting sqref="A4:F73">
    <cfRule type="expression" dxfId="8" priority="2" stopIfTrue="1">
      <formula>MOD(ROW(),3)=1</formula>
    </cfRule>
  </conditionalFormatting>
  <pageMargins left="0.75" right="0.75" top="1" bottom="1" header="0.5" footer="0.5"/>
  <pageSetup scale="9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6"/>
  <sheetViews>
    <sheetView zoomScaleNormal="100" zoomScaleSheetLayoutView="100" workbookViewId="0">
      <pane ySplit="4" topLeftCell="A5" activePane="bottomLeft" state="frozen"/>
      <selection sqref="A1:XFD1048576"/>
      <selection pane="bottomLeft"/>
    </sheetView>
  </sheetViews>
  <sheetFormatPr defaultRowHeight="14.25" x14ac:dyDescent="0.2"/>
  <cols>
    <col min="1" max="1" width="17.7109375" style="2" customWidth="1"/>
    <col min="2" max="2" width="9.28515625" style="10" bestFit="1" customWidth="1"/>
    <col min="3" max="3" width="18.7109375" style="2" customWidth="1"/>
    <col min="4" max="4" width="17.5703125" style="10" customWidth="1"/>
    <col min="5" max="5" width="18.7109375" style="2" customWidth="1"/>
    <col min="6" max="6" width="17.5703125" style="10" customWidth="1"/>
    <col min="7" max="7" width="18.7109375" style="2" customWidth="1"/>
    <col min="8" max="16384" width="9.140625" style="2"/>
  </cols>
  <sheetData>
    <row r="1" spans="1:7" ht="23.25" x14ac:dyDescent="0.35">
      <c r="A1" s="6" t="s">
        <v>70</v>
      </c>
      <c r="B1" s="7"/>
      <c r="C1" s="8"/>
      <c r="D1" s="7"/>
      <c r="E1" s="8"/>
      <c r="F1" s="7"/>
      <c r="G1" s="8"/>
    </row>
    <row r="2" spans="1:7" ht="15" x14ac:dyDescent="0.25">
      <c r="A2" s="9" t="s">
        <v>93</v>
      </c>
      <c r="B2" s="9"/>
      <c r="C2" s="9"/>
      <c r="D2" s="9"/>
      <c r="E2" s="9"/>
      <c r="F2" s="9"/>
      <c r="G2" s="9"/>
    </row>
    <row r="3" spans="1:7" ht="15" thickBot="1" x14ac:dyDescent="0.25"/>
    <row r="4" spans="1:7" s="37" customFormat="1" ht="25.5" x14ac:dyDescent="0.2">
      <c r="A4" s="34" t="s">
        <v>0</v>
      </c>
      <c r="B4" s="35" t="s">
        <v>1</v>
      </c>
      <c r="C4" s="38" t="s">
        <v>91</v>
      </c>
      <c r="D4" s="38" t="s">
        <v>92</v>
      </c>
      <c r="E4" s="38" t="s">
        <v>84</v>
      </c>
      <c r="F4" s="38" t="s">
        <v>85</v>
      </c>
      <c r="G4" s="39" t="s">
        <v>83</v>
      </c>
    </row>
    <row r="5" spans="1:7" x14ac:dyDescent="0.2">
      <c r="A5" s="11" t="s">
        <v>4</v>
      </c>
      <c r="B5" s="12" t="s">
        <v>81</v>
      </c>
      <c r="C5" s="13">
        <v>37393909014</v>
      </c>
      <c r="D5" s="14">
        <f>((C5-E5)/E5)</f>
        <v>5.623814599314813E-2</v>
      </c>
      <c r="E5" s="13">
        <v>35402914727</v>
      </c>
      <c r="F5" s="14">
        <f>((E5-G5)/G5)</f>
        <v>6.2703739202668515E-2</v>
      </c>
      <c r="G5" s="15">
        <v>33314002220</v>
      </c>
    </row>
    <row r="6" spans="1:7" x14ac:dyDescent="0.2">
      <c r="A6" s="11" t="s">
        <v>5</v>
      </c>
      <c r="B6" s="12" t="s">
        <v>81</v>
      </c>
      <c r="C6" s="13">
        <v>2486987351</v>
      </c>
      <c r="D6" s="14">
        <f t="shared" ref="D6:D69" si="0">((C6-E6)/E6)</f>
        <v>7.7484422700962965E-2</v>
      </c>
      <c r="E6" s="13">
        <v>2308142279</v>
      </c>
      <c r="F6" s="14">
        <f t="shared" ref="F6:F69" si="1">((E6-G6)/G6)</f>
        <v>7.4379967016613202E-2</v>
      </c>
      <c r="G6" s="15">
        <v>2148348210</v>
      </c>
    </row>
    <row r="7" spans="1:7" x14ac:dyDescent="0.2">
      <c r="A7" s="11" t="s">
        <v>6</v>
      </c>
      <c r="B7" s="12" t="s">
        <v>81</v>
      </c>
      <c r="C7" s="13">
        <v>38476377558</v>
      </c>
      <c r="D7" s="14">
        <f t="shared" si="0"/>
        <v>7.6286294723560633E-2</v>
      </c>
      <c r="E7" s="13">
        <v>35749203299</v>
      </c>
      <c r="F7" s="14">
        <f t="shared" si="1"/>
        <v>0.10976473860439551</v>
      </c>
      <c r="G7" s="15">
        <v>32213316981</v>
      </c>
    </row>
    <row r="8" spans="1:7" x14ac:dyDescent="0.2">
      <c r="A8" s="11" t="s">
        <v>7</v>
      </c>
      <c r="B8" s="12" t="s">
        <v>82</v>
      </c>
      <c r="C8" s="13">
        <v>2107048791</v>
      </c>
      <c r="D8" s="14">
        <f t="shared" si="0"/>
        <v>7.8376650855086508E-2</v>
      </c>
      <c r="E8" s="13">
        <v>1953908024</v>
      </c>
      <c r="F8" s="14">
        <f t="shared" si="1"/>
        <v>8.7673547123550424E-2</v>
      </c>
      <c r="G8" s="15">
        <v>1796410356</v>
      </c>
    </row>
    <row r="9" spans="1:7" x14ac:dyDescent="0.2">
      <c r="A9" s="11" t="s">
        <v>8</v>
      </c>
      <c r="B9" s="12" t="s">
        <v>81</v>
      </c>
      <c r="C9" s="13">
        <v>100475227871</v>
      </c>
      <c r="D9" s="14">
        <f t="shared" si="0"/>
        <v>7.0401943950299931E-2</v>
      </c>
      <c r="E9" s="13">
        <v>93866821187</v>
      </c>
      <c r="F9" s="14">
        <f t="shared" si="1"/>
        <v>9.2892165827085191E-2</v>
      </c>
      <c r="G9" s="15">
        <v>85888456448</v>
      </c>
    </row>
    <row r="10" spans="1:7" x14ac:dyDescent="0.2">
      <c r="A10" s="11" t="s">
        <v>9</v>
      </c>
      <c r="B10" s="12" t="s">
        <v>81</v>
      </c>
      <c r="C10" s="13">
        <v>371903054375</v>
      </c>
      <c r="D10" s="14">
        <f t="shared" si="0"/>
        <v>0.11348315319930302</v>
      </c>
      <c r="E10" s="13">
        <v>333999713697</v>
      </c>
      <c r="F10" s="14">
        <f t="shared" si="1"/>
        <v>4.1403160362557721E-2</v>
      </c>
      <c r="G10" s="15">
        <v>320720856638</v>
      </c>
    </row>
    <row r="11" spans="1:7" x14ac:dyDescent="0.2">
      <c r="A11" s="11" t="s">
        <v>10</v>
      </c>
      <c r="B11" s="12" t="s">
        <v>82</v>
      </c>
      <c r="C11" s="13">
        <v>1188915963</v>
      </c>
      <c r="D11" s="14">
        <f t="shared" si="0"/>
        <v>0.13878464281914488</v>
      </c>
      <c r="E11" s="13">
        <v>1044021774</v>
      </c>
      <c r="F11" s="14">
        <f t="shared" si="1"/>
        <v>6.9006473571590163E-2</v>
      </c>
      <c r="G11" s="15">
        <v>976628112</v>
      </c>
    </row>
    <row r="12" spans="1:7" x14ac:dyDescent="0.2">
      <c r="A12" s="11" t="s">
        <v>11</v>
      </c>
      <c r="B12" s="12" t="s">
        <v>81</v>
      </c>
      <c r="C12" s="13">
        <v>41175365077</v>
      </c>
      <c r="D12" s="14">
        <f t="shared" si="0"/>
        <v>7.6672189066739185E-2</v>
      </c>
      <c r="E12" s="13">
        <v>38243176981</v>
      </c>
      <c r="F12" s="14">
        <f t="shared" si="1"/>
        <v>0.16793306140303163</v>
      </c>
      <c r="G12" s="15">
        <v>32744322637</v>
      </c>
    </row>
    <row r="13" spans="1:7" x14ac:dyDescent="0.2">
      <c r="A13" s="11" t="s">
        <v>12</v>
      </c>
      <c r="B13" s="12" t="s">
        <v>81</v>
      </c>
      <c r="C13" s="13">
        <v>20731765786</v>
      </c>
      <c r="D13" s="14">
        <f t="shared" si="0"/>
        <v>7.1874943278803879E-2</v>
      </c>
      <c r="E13" s="13">
        <v>19341590095</v>
      </c>
      <c r="F13" s="14">
        <f t="shared" si="1"/>
        <v>8.8506952096258085E-2</v>
      </c>
      <c r="G13" s="15">
        <v>17768917376</v>
      </c>
    </row>
    <row r="14" spans="1:7" x14ac:dyDescent="0.2">
      <c r="A14" s="11" t="s">
        <v>13</v>
      </c>
      <c r="B14" s="12" t="s">
        <v>81</v>
      </c>
      <c r="C14" s="13">
        <v>26856094482</v>
      </c>
      <c r="D14" s="14">
        <f t="shared" si="0"/>
        <v>9.015801920272376E-2</v>
      </c>
      <c r="E14" s="13">
        <v>24635047405</v>
      </c>
      <c r="F14" s="14">
        <f t="shared" si="1"/>
        <v>8.8537454134337279E-2</v>
      </c>
      <c r="G14" s="15">
        <v>22631327302</v>
      </c>
    </row>
    <row r="15" spans="1:7" x14ac:dyDescent="0.2">
      <c r="A15" s="11" t="s">
        <v>14</v>
      </c>
      <c r="B15" s="12" t="s">
        <v>81</v>
      </c>
      <c r="C15" s="13">
        <v>179033151618</v>
      </c>
      <c r="D15" s="14">
        <f t="shared" si="0"/>
        <v>7.9625234076536669E-2</v>
      </c>
      <c r="E15" s="13">
        <v>165828980249</v>
      </c>
      <c r="F15" s="14">
        <f t="shared" si="1"/>
        <v>9.6666210536469274E-2</v>
      </c>
      <c r="G15" s="15">
        <v>151211898986</v>
      </c>
    </row>
    <row r="16" spans="1:7" x14ac:dyDescent="0.2">
      <c r="A16" s="11" t="s">
        <v>15</v>
      </c>
      <c r="B16" s="12" t="s">
        <v>81</v>
      </c>
      <c r="C16" s="13">
        <v>6628083526</v>
      </c>
      <c r="D16" s="14">
        <f t="shared" si="0"/>
        <v>9.4043724579524021E-2</v>
      </c>
      <c r="E16" s="13">
        <v>6058335126</v>
      </c>
      <c r="F16" s="14">
        <f t="shared" si="1"/>
        <v>7.3286169054750869E-2</v>
      </c>
      <c r="G16" s="15">
        <v>5644659645</v>
      </c>
    </row>
    <row r="17" spans="1:7" x14ac:dyDescent="0.2">
      <c r="A17" s="11" t="s">
        <v>78</v>
      </c>
      <c r="B17" s="12" t="s">
        <v>81</v>
      </c>
      <c r="C17" s="13">
        <v>581218088140</v>
      </c>
      <c r="D17" s="14">
        <f t="shared" si="0"/>
        <v>9.2093843693905497E-2</v>
      </c>
      <c r="E17" s="13">
        <v>532205260103</v>
      </c>
      <c r="F17" s="14">
        <f t="shared" si="1"/>
        <v>9.5327419875982283E-2</v>
      </c>
      <c r="G17" s="15">
        <v>485886914219</v>
      </c>
    </row>
    <row r="18" spans="1:7" x14ac:dyDescent="0.2">
      <c r="A18" s="11" t="s">
        <v>16</v>
      </c>
      <c r="B18" s="12" t="s">
        <v>81</v>
      </c>
      <c r="C18" s="13">
        <v>3773770799</v>
      </c>
      <c r="D18" s="14">
        <f t="shared" si="0"/>
        <v>8.8629705215952162E-2</v>
      </c>
      <c r="E18" s="13">
        <v>3466533001</v>
      </c>
      <c r="F18" s="14">
        <f t="shared" si="1"/>
        <v>6.4031944534705204E-2</v>
      </c>
      <c r="G18" s="15">
        <v>3257921925</v>
      </c>
    </row>
    <row r="19" spans="1:7" x14ac:dyDescent="0.2">
      <c r="A19" s="11" t="s">
        <v>17</v>
      </c>
      <c r="B19" s="12" t="s">
        <v>82</v>
      </c>
      <c r="C19" s="13">
        <v>1212064087</v>
      </c>
      <c r="D19" s="14">
        <f t="shared" si="0"/>
        <v>3.2306541152834406E-2</v>
      </c>
      <c r="E19" s="13">
        <v>1174131945</v>
      </c>
      <c r="F19" s="14">
        <f t="shared" si="1"/>
        <v>7.3505401476480603E-2</v>
      </c>
      <c r="G19" s="15">
        <v>1093736411</v>
      </c>
    </row>
    <row r="20" spans="1:7" x14ac:dyDescent="0.2">
      <c r="A20" s="11" t="s">
        <v>18</v>
      </c>
      <c r="B20" s="12" t="s">
        <v>81</v>
      </c>
      <c r="C20" s="13">
        <v>152249955269</v>
      </c>
      <c r="D20" s="14">
        <f t="shared" si="0"/>
        <v>7.2861170218453911E-2</v>
      </c>
      <c r="E20" s="13">
        <v>141910211214</v>
      </c>
      <c r="F20" s="14">
        <f t="shared" si="1"/>
        <v>6.53861315263327E-2</v>
      </c>
      <c r="G20" s="15">
        <v>133200730716</v>
      </c>
    </row>
    <row r="21" spans="1:7" x14ac:dyDescent="0.2">
      <c r="A21" s="11" t="s">
        <v>19</v>
      </c>
      <c r="B21" s="12" t="s">
        <v>81</v>
      </c>
      <c r="C21" s="13">
        <v>44493920240</v>
      </c>
      <c r="D21" s="14">
        <f t="shared" si="0"/>
        <v>6.9916429579373204E-2</v>
      </c>
      <c r="E21" s="13">
        <v>41586351055</v>
      </c>
      <c r="F21" s="14">
        <f t="shared" si="1"/>
        <v>8.1300371474710184E-2</v>
      </c>
      <c r="G21" s="15">
        <v>38459573447</v>
      </c>
    </row>
    <row r="22" spans="1:7" x14ac:dyDescent="0.2">
      <c r="A22" s="11" t="s">
        <v>20</v>
      </c>
      <c r="B22" s="12" t="s">
        <v>81</v>
      </c>
      <c r="C22" s="13">
        <v>22356800370</v>
      </c>
      <c r="D22" s="14">
        <f t="shared" si="0"/>
        <v>0.10044789136584463</v>
      </c>
      <c r="E22" s="13">
        <v>20316091789</v>
      </c>
      <c r="F22" s="14">
        <f t="shared" si="1"/>
        <v>0.12387762460144175</v>
      </c>
      <c r="G22" s="15">
        <v>18076782867</v>
      </c>
    </row>
    <row r="23" spans="1:7" x14ac:dyDescent="0.2">
      <c r="A23" s="11" t="s">
        <v>21</v>
      </c>
      <c r="B23" s="12" t="s">
        <v>82</v>
      </c>
      <c r="C23" s="13">
        <v>5005474680</v>
      </c>
      <c r="D23" s="14">
        <f t="shared" si="0"/>
        <v>7.0533913521720101E-2</v>
      </c>
      <c r="E23" s="13">
        <v>4675680627</v>
      </c>
      <c r="F23" s="14">
        <f t="shared" si="1"/>
        <v>0.23041741194590792</v>
      </c>
      <c r="G23" s="15">
        <v>3800076772</v>
      </c>
    </row>
    <row r="24" spans="1:7" x14ac:dyDescent="0.2">
      <c r="A24" s="11" t="s">
        <v>22</v>
      </c>
      <c r="B24" s="12" t="s">
        <v>82</v>
      </c>
      <c r="C24" s="13">
        <v>3597229324</v>
      </c>
      <c r="D24" s="14">
        <f t="shared" si="0"/>
        <v>8.5555828947095999E-2</v>
      </c>
      <c r="E24" s="13">
        <v>3313721163</v>
      </c>
      <c r="F24" s="14">
        <f t="shared" si="1"/>
        <v>7.6711496458327227E-2</v>
      </c>
      <c r="G24" s="15">
        <v>3077631449</v>
      </c>
    </row>
    <row r="25" spans="1:7" x14ac:dyDescent="0.2">
      <c r="A25" s="11" t="s">
        <v>23</v>
      </c>
      <c r="B25" s="12" t="s">
        <v>82</v>
      </c>
      <c r="C25" s="13">
        <v>1934616895</v>
      </c>
      <c r="D25" s="14">
        <f t="shared" si="0"/>
        <v>0.12018017015991526</v>
      </c>
      <c r="E25" s="13">
        <v>1727058688</v>
      </c>
      <c r="F25" s="14">
        <f t="shared" si="1"/>
        <v>0.11914639644539975</v>
      </c>
      <c r="G25" s="15">
        <v>1543192824</v>
      </c>
    </row>
    <row r="26" spans="1:7" x14ac:dyDescent="0.2">
      <c r="A26" s="11" t="s">
        <v>24</v>
      </c>
      <c r="B26" s="12" t="s">
        <v>82</v>
      </c>
      <c r="C26" s="13">
        <v>2343104877</v>
      </c>
      <c r="D26" s="14">
        <f t="shared" si="0"/>
        <v>6.8340792035109607E-2</v>
      </c>
      <c r="E26" s="13">
        <v>2193218582</v>
      </c>
      <c r="F26" s="14">
        <f t="shared" si="1"/>
        <v>8.6680452533904689E-2</v>
      </c>
      <c r="G26" s="15">
        <v>2018273704</v>
      </c>
    </row>
    <row r="27" spans="1:7" x14ac:dyDescent="0.2">
      <c r="A27" s="11" t="s">
        <v>25</v>
      </c>
      <c r="B27" s="12" t="s">
        <v>82</v>
      </c>
      <c r="C27" s="13">
        <v>4853915327</v>
      </c>
      <c r="D27" s="14">
        <f t="shared" si="0"/>
        <v>9.6533888896219069E-2</v>
      </c>
      <c r="E27" s="13">
        <v>4426598554</v>
      </c>
      <c r="F27" s="14">
        <f t="shared" si="1"/>
        <v>0.1396805708246352</v>
      </c>
      <c r="G27" s="15">
        <v>3884069508</v>
      </c>
    </row>
    <row r="28" spans="1:7" x14ac:dyDescent="0.2">
      <c r="A28" s="11" t="s">
        <v>26</v>
      </c>
      <c r="B28" s="12" t="s">
        <v>81</v>
      </c>
      <c r="C28" s="13">
        <v>1656029283</v>
      </c>
      <c r="D28" s="14">
        <f t="shared" si="0"/>
        <v>5.5418009559302525E-2</v>
      </c>
      <c r="E28" s="13">
        <v>1569074308</v>
      </c>
      <c r="F28" s="14">
        <f t="shared" si="1"/>
        <v>4.546645344949482E-2</v>
      </c>
      <c r="G28" s="15">
        <v>1500836591</v>
      </c>
    </row>
    <row r="29" spans="1:7" x14ac:dyDescent="0.2">
      <c r="A29" s="11" t="s">
        <v>27</v>
      </c>
      <c r="B29" s="12" t="s">
        <v>81</v>
      </c>
      <c r="C29" s="13">
        <v>3514637890</v>
      </c>
      <c r="D29" s="14">
        <f t="shared" si="0"/>
        <v>8.9533717022221196E-2</v>
      </c>
      <c r="E29" s="13">
        <v>3225818380</v>
      </c>
      <c r="F29" s="14">
        <f t="shared" si="1"/>
        <v>0.10952247965809454</v>
      </c>
      <c r="G29" s="15">
        <v>2907393441</v>
      </c>
    </row>
    <row r="30" spans="1:7" x14ac:dyDescent="0.2">
      <c r="A30" s="11" t="s">
        <v>28</v>
      </c>
      <c r="B30" s="12" t="s">
        <v>81</v>
      </c>
      <c r="C30" s="13">
        <v>7018243127</v>
      </c>
      <c r="D30" s="14">
        <f t="shared" si="0"/>
        <v>9.3519218323548467E-2</v>
      </c>
      <c r="E30" s="13">
        <v>6418033638</v>
      </c>
      <c r="F30" s="14">
        <f t="shared" si="1"/>
        <v>0.1203617927354632</v>
      </c>
      <c r="G30" s="15">
        <v>5728536692</v>
      </c>
    </row>
    <row r="31" spans="1:7" x14ac:dyDescent="0.2">
      <c r="A31" s="11" t="s">
        <v>29</v>
      </c>
      <c r="B31" s="12" t="s">
        <v>81</v>
      </c>
      <c r="C31" s="13">
        <v>24419170047</v>
      </c>
      <c r="D31" s="14">
        <f t="shared" si="0"/>
        <v>9.600332577094764E-2</v>
      </c>
      <c r="E31" s="13">
        <v>22280197033</v>
      </c>
      <c r="F31" s="14">
        <f t="shared" si="1"/>
        <v>0.10105672884218442</v>
      </c>
      <c r="G31" s="15">
        <v>20235285294</v>
      </c>
    </row>
    <row r="32" spans="1:7" x14ac:dyDescent="0.2">
      <c r="A32" s="11" t="s">
        <v>30</v>
      </c>
      <c r="B32" s="12" t="s">
        <v>81</v>
      </c>
      <c r="C32" s="13">
        <v>11480512931</v>
      </c>
      <c r="D32" s="14">
        <f t="shared" si="0"/>
        <v>7.7389360015232056E-2</v>
      </c>
      <c r="E32" s="13">
        <v>10655862548</v>
      </c>
      <c r="F32" s="14">
        <f t="shared" si="1"/>
        <v>8.7910948233885428E-2</v>
      </c>
      <c r="G32" s="15">
        <v>9794793007</v>
      </c>
    </row>
    <row r="33" spans="1:7" x14ac:dyDescent="0.2">
      <c r="A33" s="11" t="s">
        <v>31</v>
      </c>
      <c r="B33" s="12" t="s">
        <v>81</v>
      </c>
      <c r="C33" s="13">
        <v>223889063897</v>
      </c>
      <c r="D33" s="14">
        <f t="shared" si="0"/>
        <v>6.5761884867062512E-2</v>
      </c>
      <c r="E33" s="13">
        <v>210074189250</v>
      </c>
      <c r="F33" s="14">
        <f t="shared" si="1"/>
        <v>7.2125952047349465E-2</v>
      </c>
      <c r="G33" s="15">
        <v>195941707081</v>
      </c>
    </row>
    <row r="34" spans="1:7" x14ac:dyDescent="0.2">
      <c r="A34" s="11" t="s">
        <v>32</v>
      </c>
      <c r="B34" s="12" t="s">
        <v>82</v>
      </c>
      <c r="C34" s="13">
        <v>1137143840</v>
      </c>
      <c r="D34" s="14">
        <f t="shared" si="0"/>
        <v>0.10829932165223022</v>
      </c>
      <c r="E34" s="13">
        <v>1026025928</v>
      </c>
      <c r="F34" s="14">
        <f t="shared" si="1"/>
        <v>8.4365815146350095E-2</v>
      </c>
      <c r="G34" s="15">
        <v>946199072</v>
      </c>
    </row>
    <row r="35" spans="1:7" x14ac:dyDescent="0.2">
      <c r="A35" s="11" t="s">
        <v>33</v>
      </c>
      <c r="B35" s="12" t="s">
        <v>81</v>
      </c>
      <c r="C35" s="13">
        <v>36694815437</v>
      </c>
      <c r="D35" s="14">
        <f t="shared" si="0"/>
        <v>8.0315360651586176E-2</v>
      </c>
      <c r="E35" s="13">
        <v>33966762645</v>
      </c>
      <c r="F35" s="14">
        <f t="shared" si="1"/>
        <v>9.083832834882756E-2</v>
      </c>
      <c r="G35" s="15">
        <v>31138218893</v>
      </c>
    </row>
    <row r="36" spans="1:7" x14ac:dyDescent="0.2">
      <c r="A36" s="11" t="s">
        <v>34</v>
      </c>
      <c r="B36" s="12" t="s">
        <v>82</v>
      </c>
      <c r="C36" s="13">
        <v>3582128163</v>
      </c>
      <c r="D36" s="14">
        <f t="shared" si="0"/>
        <v>5.8184768953458525E-2</v>
      </c>
      <c r="E36" s="13">
        <v>3385163223</v>
      </c>
      <c r="F36" s="14">
        <f t="shared" si="1"/>
        <v>7.6576038838827992E-2</v>
      </c>
      <c r="G36" s="15">
        <v>3144379125</v>
      </c>
    </row>
    <row r="37" spans="1:7" x14ac:dyDescent="0.2">
      <c r="A37" s="11" t="s">
        <v>35</v>
      </c>
      <c r="B37" s="12" t="s">
        <v>82</v>
      </c>
      <c r="C37" s="13">
        <v>1584322719</v>
      </c>
      <c r="D37" s="14">
        <f t="shared" si="0"/>
        <v>5.2352098253085698E-2</v>
      </c>
      <c r="E37" s="13">
        <v>1505506305</v>
      </c>
      <c r="F37" s="14">
        <f t="shared" si="1"/>
        <v>5.1188750934642008E-2</v>
      </c>
      <c r="G37" s="15">
        <v>1432194079</v>
      </c>
    </row>
    <row r="38" spans="1:7" x14ac:dyDescent="0.2">
      <c r="A38" s="11" t="s">
        <v>36</v>
      </c>
      <c r="B38" s="12" t="s">
        <v>82</v>
      </c>
      <c r="C38" s="13">
        <v>592418283</v>
      </c>
      <c r="D38" s="14">
        <f t="shared" si="0"/>
        <v>5.2156913093315174E-2</v>
      </c>
      <c r="E38" s="13">
        <v>563051267</v>
      </c>
      <c r="F38" s="14">
        <f t="shared" si="1"/>
        <v>6.7619402224584277E-2</v>
      </c>
      <c r="G38" s="15">
        <v>527389504</v>
      </c>
    </row>
    <row r="39" spans="1:7" x14ac:dyDescent="0.2">
      <c r="A39" s="11" t="s">
        <v>37</v>
      </c>
      <c r="B39" s="12" t="s">
        <v>81</v>
      </c>
      <c r="C39" s="13">
        <v>54764330769</v>
      </c>
      <c r="D39" s="14">
        <f t="shared" si="0"/>
        <v>0.10386835955882677</v>
      </c>
      <c r="E39" s="13">
        <v>49611287700</v>
      </c>
      <c r="F39" s="14">
        <f t="shared" si="1"/>
        <v>0.13722546748074205</v>
      </c>
      <c r="G39" s="15">
        <v>43624847595</v>
      </c>
    </row>
    <row r="40" spans="1:7" x14ac:dyDescent="0.2">
      <c r="A40" s="11" t="s">
        <v>38</v>
      </c>
      <c r="B40" s="12" t="s">
        <v>81</v>
      </c>
      <c r="C40" s="13">
        <v>172295587579</v>
      </c>
      <c r="D40" s="14">
        <f t="shared" si="0"/>
        <v>7.9891578610437927E-2</v>
      </c>
      <c r="E40" s="13">
        <v>159548968611</v>
      </c>
      <c r="F40" s="14">
        <f t="shared" si="1"/>
        <v>0.13355488681655228</v>
      </c>
      <c r="G40" s="15">
        <v>140750986535</v>
      </c>
    </row>
    <row r="41" spans="1:7" x14ac:dyDescent="0.2">
      <c r="A41" s="11" t="s">
        <v>39</v>
      </c>
      <c r="B41" s="12" t="s">
        <v>81</v>
      </c>
      <c r="C41" s="13">
        <v>39638528568</v>
      </c>
      <c r="D41" s="14">
        <f t="shared" si="0"/>
        <v>6.7245718739507535E-2</v>
      </c>
      <c r="E41" s="13">
        <v>37140958143</v>
      </c>
      <c r="F41" s="14">
        <f t="shared" si="1"/>
        <v>8.4647573615180799E-2</v>
      </c>
      <c r="G41" s="15">
        <v>34242420346</v>
      </c>
    </row>
    <row r="42" spans="1:7" x14ac:dyDescent="0.2">
      <c r="A42" s="11" t="s">
        <v>40</v>
      </c>
      <c r="B42" s="12" t="s">
        <v>82</v>
      </c>
      <c r="C42" s="13">
        <v>4629938735</v>
      </c>
      <c r="D42" s="14">
        <f t="shared" si="0"/>
        <v>9.2496189146486024E-2</v>
      </c>
      <c r="E42" s="13">
        <v>4237944975</v>
      </c>
      <c r="F42" s="14">
        <f t="shared" si="1"/>
        <v>0.10063520684831161</v>
      </c>
      <c r="G42" s="15">
        <v>3850453764</v>
      </c>
    </row>
    <row r="43" spans="1:7" x14ac:dyDescent="0.2">
      <c r="A43" s="11" t="s">
        <v>41</v>
      </c>
      <c r="B43" s="12" t="s">
        <v>82</v>
      </c>
      <c r="C43" s="13">
        <v>836902197</v>
      </c>
      <c r="D43" s="14">
        <f t="shared" si="0"/>
        <v>3.6875338220221723E-2</v>
      </c>
      <c r="E43" s="13">
        <v>807138685</v>
      </c>
      <c r="F43" s="14">
        <f t="shared" si="1"/>
        <v>2.2644303985415701E-2</v>
      </c>
      <c r="G43" s="15">
        <v>789266299</v>
      </c>
    </row>
    <row r="44" spans="1:7" x14ac:dyDescent="0.2">
      <c r="A44" s="11" t="s">
        <v>42</v>
      </c>
      <c r="B44" s="12" t="s">
        <v>82</v>
      </c>
      <c r="C44" s="13">
        <v>1723651299</v>
      </c>
      <c r="D44" s="14">
        <f t="shared" si="0"/>
        <v>8.8668862521865913E-2</v>
      </c>
      <c r="E44" s="13">
        <v>1583264993</v>
      </c>
      <c r="F44" s="14">
        <f t="shared" si="1"/>
        <v>8.4604648805446117E-2</v>
      </c>
      <c r="G44" s="15">
        <v>1459762315</v>
      </c>
    </row>
    <row r="45" spans="1:7" x14ac:dyDescent="0.2">
      <c r="A45" s="11" t="s">
        <v>43</v>
      </c>
      <c r="B45" s="12" t="s">
        <v>81</v>
      </c>
      <c r="C45" s="13">
        <v>85005458170</v>
      </c>
      <c r="D45" s="14">
        <f t="shared" si="0"/>
        <v>6.7456577766817405E-2</v>
      </c>
      <c r="E45" s="13">
        <v>79633645003</v>
      </c>
      <c r="F45" s="14">
        <f t="shared" si="1"/>
        <v>0.12261464877659303</v>
      </c>
      <c r="G45" s="15">
        <v>70935868412</v>
      </c>
    </row>
    <row r="46" spans="1:7" x14ac:dyDescent="0.2">
      <c r="A46" s="11" t="s">
        <v>44</v>
      </c>
      <c r="B46" s="12" t="s">
        <v>81</v>
      </c>
      <c r="C46" s="13">
        <v>48268259959</v>
      </c>
      <c r="D46" s="14">
        <f t="shared" si="0"/>
        <v>0.11321981775211057</v>
      </c>
      <c r="E46" s="13">
        <v>43359145417</v>
      </c>
      <c r="F46" s="14">
        <f t="shared" si="1"/>
        <v>0.11978799750939903</v>
      </c>
      <c r="G46" s="15">
        <v>38720852084</v>
      </c>
    </row>
    <row r="47" spans="1:7" x14ac:dyDescent="0.2">
      <c r="A47" s="11" t="s">
        <v>45</v>
      </c>
      <c r="B47" s="12" t="s">
        <v>81</v>
      </c>
      <c r="C47" s="13">
        <v>44317673571</v>
      </c>
      <c r="D47" s="14">
        <f t="shared" si="0"/>
        <v>0.12230463460128266</v>
      </c>
      <c r="E47" s="13">
        <v>39488096373</v>
      </c>
      <c r="F47" s="14">
        <f t="shared" si="1"/>
        <v>9.256288971415029E-2</v>
      </c>
      <c r="G47" s="15">
        <v>36142630090</v>
      </c>
    </row>
    <row r="48" spans="1:7" x14ac:dyDescent="0.2">
      <c r="A48" s="11" t="s">
        <v>46</v>
      </c>
      <c r="B48" s="12" t="s">
        <v>81</v>
      </c>
      <c r="C48" s="13">
        <v>56802869111</v>
      </c>
      <c r="D48" s="14">
        <f t="shared" si="0"/>
        <v>8.0851714716695694E-2</v>
      </c>
      <c r="E48" s="13">
        <v>52553803947</v>
      </c>
      <c r="F48" s="14">
        <f t="shared" si="1"/>
        <v>9.1240472680925014E-2</v>
      </c>
      <c r="G48" s="15">
        <v>48159690978</v>
      </c>
    </row>
    <row r="49" spans="1:7" x14ac:dyDescent="0.2">
      <c r="A49" s="11" t="s">
        <v>47</v>
      </c>
      <c r="B49" s="12" t="s">
        <v>81</v>
      </c>
      <c r="C49" s="13">
        <v>22001963829</v>
      </c>
      <c r="D49" s="14">
        <f t="shared" si="0"/>
        <v>0.10514810776340663</v>
      </c>
      <c r="E49" s="13">
        <v>19908611049</v>
      </c>
      <c r="F49" s="14">
        <f t="shared" si="1"/>
        <v>0.11250504369664566</v>
      </c>
      <c r="G49" s="15">
        <v>17895299587</v>
      </c>
    </row>
    <row r="50" spans="1:7" x14ac:dyDescent="0.2">
      <c r="A50" s="11" t="s">
        <v>48</v>
      </c>
      <c r="B50" s="12" t="s">
        <v>81</v>
      </c>
      <c r="C50" s="13">
        <v>37902949255</v>
      </c>
      <c r="D50" s="14">
        <f t="shared" si="0"/>
        <v>6.8880647407084897E-2</v>
      </c>
      <c r="E50" s="13">
        <v>35460413047</v>
      </c>
      <c r="F50" s="14">
        <f t="shared" si="1"/>
        <v>7.5800594614432587E-2</v>
      </c>
      <c r="G50" s="15">
        <v>32961882736</v>
      </c>
    </row>
    <row r="51" spans="1:7" x14ac:dyDescent="0.2">
      <c r="A51" s="11" t="s">
        <v>49</v>
      </c>
      <c r="B51" s="12" t="s">
        <v>81</v>
      </c>
      <c r="C51" s="13">
        <v>6416913603</v>
      </c>
      <c r="D51" s="14">
        <f t="shared" si="0"/>
        <v>9.6418411403515605E-2</v>
      </c>
      <c r="E51" s="13">
        <v>5852613871</v>
      </c>
      <c r="F51" s="14">
        <f t="shared" si="1"/>
        <v>8.956082585394709E-2</v>
      </c>
      <c r="G51" s="15">
        <v>5371534780</v>
      </c>
    </row>
    <row r="52" spans="1:7" x14ac:dyDescent="0.2">
      <c r="A52" s="11" t="s">
        <v>50</v>
      </c>
      <c r="B52" s="12" t="s">
        <v>81</v>
      </c>
      <c r="C52" s="13">
        <v>290095721225</v>
      </c>
      <c r="D52" s="14">
        <f t="shared" si="0"/>
        <v>7.2828537445680588E-2</v>
      </c>
      <c r="E52" s="13">
        <v>270402688873</v>
      </c>
      <c r="F52" s="14">
        <f t="shared" si="1"/>
        <v>7.2649699930863523E-2</v>
      </c>
      <c r="G52" s="15">
        <v>252088532622</v>
      </c>
    </row>
    <row r="53" spans="1:7" x14ac:dyDescent="0.2">
      <c r="A53" s="11" t="s">
        <v>51</v>
      </c>
      <c r="B53" s="12" t="s">
        <v>81</v>
      </c>
      <c r="C53" s="13">
        <v>68882372023</v>
      </c>
      <c r="D53" s="14">
        <f t="shared" si="0"/>
        <v>9.5323182756083424E-2</v>
      </c>
      <c r="E53" s="13">
        <v>62887714884</v>
      </c>
      <c r="F53" s="14">
        <f t="shared" si="1"/>
        <v>0.12121684171048853</v>
      </c>
      <c r="G53" s="15">
        <v>56088806861</v>
      </c>
    </row>
    <row r="54" spans="1:7" x14ac:dyDescent="0.2">
      <c r="A54" s="11" t="s">
        <v>52</v>
      </c>
      <c r="B54" s="12" t="s">
        <v>81</v>
      </c>
      <c r="C54" s="13">
        <v>387634800178</v>
      </c>
      <c r="D54" s="14">
        <f t="shared" si="0"/>
        <v>7.5547016340849968E-2</v>
      </c>
      <c r="E54" s="13">
        <v>360407117763</v>
      </c>
      <c r="F54" s="14">
        <f t="shared" si="1"/>
        <v>8.9202977652203225E-2</v>
      </c>
      <c r="G54" s="15">
        <v>330890683516</v>
      </c>
    </row>
    <row r="55" spans="1:7" x14ac:dyDescent="0.2">
      <c r="A55" s="11" t="s">
        <v>53</v>
      </c>
      <c r="B55" s="12" t="s">
        <v>81</v>
      </c>
      <c r="C55" s="13">
        <v>74451591813</v>
      </c>
      <c r="D55" s="14">
        <f t="shared" si="0"/>
        <v>0.10363044201288861</v>
      </c>
      <c r="E55" s="13">
        <v>67460618137</v>
      </c>
      <c r="F55" s="14">
        <f t="shared" si="1"/>
        <v>0.12878795722410089</v>
      </c>
      <c r="G55" s="15">
        <v>59763764935</v>
      </c>
    </row>
    <row r="56" spans="1:7" x14ac:dyDescent="0.2">
      <c r="A56" s="11" t="s">
        <v>54</v>
      </c>
      <c r="B56" s="12" t="s">
        <v>81</v>
      </c>
      <c r="C56" s="13">
        <v>170496320969</v>
      </c>
      <c r="D56" s="14">
        <f t="shared" si="0"/>
        <v>4.0751968195885634E-2</v>
      </c>
      <c r="E56" s="13">
        <v>163820320479</v>
      </c>
      <c r="F56" s="14">
        <f t="shared" si="1"/>
        <v>8.4101531505146321E-2</v>
      </c>
      <c r="G56" s="15">
        <v>151111603220</v>
      </c>
    </row>
    <row r="57" spans="1:7" x14ac:dyDescent="0.2">
      <c r="A57" s="11" t="s">
        <v>55</v>
      </c>
      <c r="B57" s="12" t="s">
        <v>81</v>
      </c>
      <c r="C57" s="13">
        <v>89111162284</v>
      </c>
      <c r="D57" s="14">
        <f t="shared" si="0"/>
        <v>8.4733723836274213E-2</v>
      </c>
      <c r="E57" s="13">
        <v>82150264462</v>
      </c>
      <c r="F57" s="14">
        <f t="shared" si="1"/>
        <v>0.10295492461296217</v>
      </c>
      <c r="G57" s="15">
        <v>74481978029</v>
      </c>
    </row>
    <row r="58" spans="1:7" x14ac:dyDescent="0.2">
      <c r="A58" s="11" t="s">
        <v>56</v>
      </c>
      <c r="B58" s="12" t="s">
        <v>81</v>
      </c>
      <c r="C58" s="13">
        <v>10153449708</v>
      </c>
      <c r="D58" s="14">
        <f t="shared" si="0"/>
        <v>5.4853790843026856E-2</v>
      </c>
      <c r="E58" s="13">
        <v>9625456908</v>
      </c>
      <c r="F58" s="14">
        <f t="shared" si="1"/>
        <v>0.12846131960472421</v>
      </c>
      <c r="G58" s="15">
        <v>8529718069</v>
      </c>
    </row>
    <row r="59" spans="1:7" x14ac:dyDescent="0.2">
      <c r="A59" s="11" t="s">
        <v>2</v>
      </c>
      <c r="B59" s="12" t="s">
        <v>81</v>
      </c>
      <c r="C59" s="13">
        <v>69016785962</v>
      </c>
      <c r="D59" s="14">
        <f t="shared" si="0"/>
        <v>9.8320646903449452E-2</v>
      </c>
      <c r="E59" s="13">
        <v>62838467215</v>
      </c>
      <c r="F59" s="14">
        <f t="shared" si="1"/>
        <v>0.1229990936143121</v>
      </c>
      <c r="G59" s="15">
        <v>55955937607</v>
      </c>
    </row>
    <row r="60" spans="1:7" x14ac:dyDescent="0.2">
      <c r="A60" s="11" t="s">
        <v>3</v>
      </c>
      <c r="B60" s="12" t="s">
        <v>81</v>
      </c>
      <c r="C60" s="13">
        <v>54755965381</v>
      </c>
      <c r="D60" s="14">
        <f t="shared" si="0"/>
        <v>0.10593060276002467</v>
      </c>
      <c r="E60" s="13">
        <v>49511212769</v>
      </c>
      <c r="F60" s="14">
        <f t="shared" si="1"/>
        <v>0.11927678210526865</v>
      </c>
      <c r="G60" s="15">
        <v>44235003853</v>
      </c>
    </row>
    <row r="61" spans="1:7" x14ac:dyDescent="0.2">
      <c r="A61" s="11" t="s">
        <v>57</v>
      </c>
      <c r="B61" s="12" t="s">
        <v>81</v>
      </c>
      <c r="C61" s="13">
        <v>25342937642</v>
      </c>
      <c r="D61" s="14">
        <f t="shared" si="0"/>
        <v>8.6357580899231248E-2</v>
      </c>
      <c r="E61" s="13">
        <v>23328357152</v>
      </c>
      <c r="F61" s="14">
        <f t="shared" si="1"/>
        <v>9.3751265953577342E-2</v>
      </c>
      <c r="G61" s="15">
        <v>21328758995</v>
      </c>
    </row>
    <row r="62" spans="1:7" x14ac:dyDescent="0.2">
      <c r="A62" s="11" t="s">
        <v>58</v>
      </c>
      <c r="B62" s="12" t="s">
        <v>81</v>
      </c>
      <c r="C62" s="13">
        <v>125839137703</v>
      </c>
      <c r="D62" s="14">
        <f t="shared" si="0"/>
        <v>5.6812403182241504E-2</v>
      </c>
      <c r="E62" s="13">
        <v>119074243758</v>
      </c>
      <c r="F62" s="14">
        <f t="shared" si="1"/>
        <v>9.5998778005375707E-2</v>
      </c>
      <c r="G62" s="15">
        <v>108644504125</v>
      </c>
    </row>
    <row r="63" spans="1:7" x14ac:dyDescent="0.2">
      <c r="A63" s="11" t="s">
        <v>59</v>
      </c>
      <c r="B63" s="12" t="s">
        <v>81</v>
      </c>
      <c r="C63" s="13">
        <v>67552108829</v>
      </c>
      <c r="D63" s="14">
        <f t="shared" si="0"/>
        <v>6.7194208952246898E-2</v>
      </c>
      <c r="E63" s="13">
        <v>63298796285</v>
      </c>
      <c r="F63" s="14">
        <f t="shared" si="1"/>
        <v>7.7988121263299598E-2</v>
      </c>
      <c r="G63" s="15">
        <v>58719382001</v>
      </c>
    </row>
    <row r="64" spans="1:7" x14ac:dyDescent="0.2">
      <c r="A64" s="11" t="s">
        <v>60</v>
      </c>
      <c r="B64" s="12" t="s">
        <v>81</v>
      </c>
      <c r="C64" s="13">
        <v>28800677427</v>
      </c>
      <c r="D64" s="14">
        <f t="shared" si="0"/>
        <v>9.68512557739893E-2</v>
      </c>
      <c r="E64" s="13">
        <v>26257596256</v>
      </c>
      <c r="F64" s="14">
        <f t="shared" si="1"/>
        <v>7.9670682172947496E-2</v>
      </c>
      <c r="G64" s="15">
        <v>24320004877</v>
      </c>
    </row>
    <row r="65" spans="1:7" x14ac:dyDescent="0.2">
      <c r="A65" s="11" t="s">
        <v>61</v>
      </c>
      <c r="B65" s="12" t="s">
        <v>82</v>
      </c>
      <c r="C65" s="13">
        <v>3969058709</v>
      </c>
      <c r="D65" s="14">
        <f t="shared" si="0"/>
        <v>9.7076318301461392E-2</v>
      </c>
      <c r="E65" s="13">
        <v>3617851049</v>
      </c>
      <c r="F65" s="14">
        <f t="shared" si="1"/>
        <v>8.1802011585715387E-2</v>
      </c>
      <c r="G65" s="15">
        <v>3344282050</v>
      </c>
    </row>
    <row r="66" spans="1:7" x14ac:dyDescent="0.2">
      <c r="A66" s="11" t="s">
        <v>62</v>
      </c>
      <c r="B66" s="12" t="s">
        <v>81</v>
      </c>
      <c r="C66" s="13">
        <v>2282890749</v>
      </c>
      <c r="D66" s="14">
        <f t="shared" si="0"/>
        <v>-8.6042790557793694E-2</v>
      </c>
      <c r="E66" s="13">
        <v>2497809225</v>
      </c>
      <c r="F66" s="14">
        <f t="shared" si="1"/>
        <v>6.2057544955609932E-3</v>
      </c>
      <c r="G66" s="15">
        <v>2482404035</v>
      </c>
    </row>
    <row r="67" spans="1:7" x14ac:dyDescent="0.2">
      <c r="A67" s="11" t="s">
        <v>63</v>
      </c>
      <c r="B67" s="12" t="s">
        <v>81</v>
      </c>
      <c r="C67" s="13">
        <v>677156600</v>
      </c>
      <c r="D67" s="14">
        <f t="shared" si="0"/>
        <v>3.2753777561911154E-2</v>
      </c>
      <c r="E67" s="13">
        <v>655680584</v>
      </c>
      <c r="F67" s="14">
        <f t="shared" si="1"/>
        <v>5.8478545153143033E-2</v>
      </c>
      <c r="G67" s="15">
        <v>619455715</v>
      </c>
    </row>
    <row r="68" spans="1:7" x14ac:dyDescent="0.2">
      <c r="A68" s="11" t="s">
        <v>64</v>
      </c>
      <c r="B68" s="12" t="s">
        <v>81</v>
      </c>
      <c r="C68" s="13">
        <v>83585806122</v>
      </c>
      <c r="D68" s="14">
        <f t="shared" si="0"/>
        <v>7.8745681382803703E-2</v>
      </c>
      <c r="E68" s="13">
        <v>77484255617</v>
      </c>
      <c r="F68" s="14">
        <f t="shared" si="1"/>
        <v>9.7114848788030381E-2</v>
      </c>
      <c r="G68" s="15">
        <v>70625473443</v>
      </c>
    </row>
    <row r="69" spans="1:7" x14ac:dyDescent="0.2">
      <c r="A69" s="11" t="s">
        <v>65</v>
      </c>
      <c r="B69" s="12" t="s">
        <v>82</v>
      </c>
      <c r="C69" s="13">
        <v>3700925287</v>
      </c>
      <c r="D69" s="14">
        <f t="shared" si="0"/>
        <v>8.914050475602682E-2</v>
      </c>
      <c r="E69" s="13">
        <v>3398023736</v>
      </c>
      <c r="F69" s="14">
        <f t="shared" si="1"/>
        <v>9.6890157742703986E-2</v>
      </c>
      <c r="G69" s="15">
        <v>3097870568</v>
      </c>
    </row>
    <row r="70" spans="1:7" x14ac:dyDescent="0.2">
      <c r="A70" s="11" t="s">
        <v>66</v>
      </c>
      <c r="B70" s="12" t="s">
        <v>81</v>
      </c>
      <c r="C70" s="13">
        <v>49998599909</v>
      </c>
      <c r="D70" s="14">
        <f>((C70-E70)/E70)</f>
        <v>9.4607651342941204E-2</v>
      </c>
      <c r="E70" s="13">
        <v>45677188395</v>
      </c>
      <c r="F70" s="14">
        <f>((E70-G70)/G70)</f>
        <v>0.12819037262790184</v>
      </c>
      <c r="G70" s="15">
        <v>40487128328</v>
      </c>
    </row>
    <row r="71" spans="1:7" x14ac:dyDescent="0.2">
      <c r="A71" s="11" t="s">
        <v>67</v>
      </c>
      <c r="B71" s="12" t="s">
        <v>82</v>
      </c>
      <c r="C71" s="13">
        <v>2059135728</v>
      </c>
      <c r="D71" s="14">
        <f>((C71-E71)/E71)</f>
        <v>9.6301913516399468E-2</v>
      </c>
      <c r="E71" s="13">
        <v>1878256074</v>
      </c>
      <c r="F71" s="14">
        <f>((E71-G71)/G71)</f>
        <v>8.8935385218190999E-2</v>
      </c>
      <c r="G71" s="15">
        <v>1724855395</v>
      </c>
    </row>
    <row r="72" spans="1:7" x14ac:dyDescent="0.2">
      <c r="A72" s="16"/>
      <c r="B72" s="17"/>
      <c r="C72" s="13"/>
      <c r="D72" s="18"/>
      <c r="E72" s="13"/>
      <c r="F72" s="18"/>
      <c r="G72" s="15"/>
    </row>
    <row r="73" spans="1:7" ht="15.75" thickBot="1" x14ac:dyDescent="0.3">
      <c r="A73" s="19" t="s">
        <v>68</v>
      </c>
      <c r="B73" s="20"/>
      <c r="C73" s="21">
        <f>SUM(C5:C72)</f>
        <v>4150075037930</v>
      </c>
      <c r="D73" s="22">
        <f>((C73-E73)/E73)</f>
        <v>8.2001404070635067E-2</v>
      </c>
      <c r="E73" s="21">
        <f>SUM(E5:E72)</f>
        <v>3835554207524</v>
      </c>
      <c r="F73" s="22">
        <f>((E73-G73)/G73)</f>
        <v>9.0234366789949449E-2</v>
      </c>
      <c r="G73" s="23">
        <f>SUM(G5:G71)</f>
        <v>3518100625297</v>
      </c>
    </row>
    <row r="75" spans="1:7" x14ac:dyDescent="0.2">
      <c r="A75" s="24" t="s">
        <v>90</v>
      </c>
    </row>
    <row r="76" spans="1:7" x14ac:dyDescent="0.2">
      <c r="G76" s="25"/>
    </row>
  </sheetData>
  <phoneticPr fontId="3" type="noConversion"/>
  <conditionalFormatting sqref="A75">
    <cfRule type="expression" dxfId="7" priority="7" stopIfTrue="1">
      <formula>MOD(ROW(),5)=1</formula>
    </cfRule>
  </conditionalFormatting>
  <conditionalFormatting sqref="A4:G73">
    <cfRule type="expression" dxfId="6" priority="1" stopIfTrue="1">
      <formula>MOD(ROW(),3)=1</formula>
    </cfRule>
  </conditionalFormatting>
  <pageMargins left="0.7" right="0.7" top="0.5" bottom="0.5" header="0.05" footer="0.05"/>
  <pageSetup scale="90" fitToHeight="2" orientation="landscape" r:id="rId1"/>
  <rowBreaks count="1" manualBreakCount="1">
    <brk id="37" max="6" man="1"/>
  </rowBreaks>
  <ignoredErrors>
    <ignoredError sqref="E73 G7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5"/>
  <sheetViews>
    <sheetView zoomScaleNormal="100" zoomScaleSheetLayoutView="100" workbookViewId="0">
      <pane ySplit="4" topLeftCell="A5" activePane="bottomLeft" state="frozen"/>
      <selection sqref="A1:XFD1048576"/>
      <selection pane="bottomLeft"/>
    </sheetView>
  </sheetViews>
  <sheetFormatPr defaultRowHeight="14.25" x14ac:dyDescent="0.2"/>
  <cols>
    <col min="1" max="1" width="17.7109375" style="2" customWidth="1"/>
    <col min="2" max="2" width="9.28515625" style="10" bestFit="1" customWidth="1"/>
    <col min="3" max="3" width="18.7109375" style="2" customWidth="1"/>
    <col min="4" max="4" width="17.5703125" style="10" customWidth="1"/>
    <col min="5" max="5" width="18.7109375" style="2" customWidth="1"/>
    <col min="6" max="6" width="17.5703125" style="10" customWidth="1"/>
    <col min="7" max="7" width="18.7109375" style="2" customWidth="1"/>
    <col min="8" max="16384" width="9.140625" style="2"/>
  </cols>
  <sheetData>
    <row r="1" spans="1:7" ht="23.25" x14ac:dyDescent="0.35">
      <c r="A1" s="6" t="s">
        <v>71</v>
      </c>
      <c r="B1" s="7"/>
      <c r="C1" s="8"/>
      <c r="D1" s="7"/>
      <c r="E1" s="8"/>
      <c r="F1" s="7"/>
      <c r="G1" s="8"/>
    </row>
    <row r="2" spans="1:7" ht="15" x14ac:dyDescent="0.25">
      <c r="A2" s="9" t="s">
        <v>93</v>
      </c>
      <c r="B2" s="9"/>
      <c r="C2" s="9"/>
      <c r="D2" s="9"/>
      <c r="E2" s="9"/>
      <c r="F2" s="9"/>
      <c r="G2" s="9"/>
    </row>
    <row r="3" spans="1:7" ht="15" thickBot="1" x14ac:dyDescent="0.25"/>
    <row r="4" spans="1:7" s="37" customFormat="1" ht="25.5" x14ac:dyDescent="0.2">
      <c r="A4" s="34" t="s">
        <v>0</v>
      </c>
      <c r="B4" s="35" t="s">
        <v>1</v>
      </c>
      <c r="C4" s="38" t="s">
        <v>91</v>
      </c>
      <c r="D4" s="38" t="s">
        <v>92</v>
      </c>
      <c r="E4" s="38" t="s">
        <v>84</v>
      </c>
      <c r="F4" s="38" t="s">
        <v>85</v>
      </c>
      <c r="G4" s="39" t="s">
        <v>83</v>
      </c>
    </row>
    <row r="5" spans="1:7" x14ac:dyDescent="0.2">
      <c r="A5" s="11" t="s">
        <v>4</v>
      </c>
      <c r="B5" s="12" t="s">
        <v>81</v>
      </c>
      <c r="C5" s="13">
        <v>33048053350</v>
      </c>
      <c r="D5" s="14">
        <f>((C5-E5)/E5)</f>
        <v>6.3867391221530498E-2</v>
      </c>
      <c r="E5" s="13">
        <v>31064072104</v>
      </c>
      <c r="F5" s="14">
        <f>((E5-G5)/G5)</f>
        <v>7.2766914945473077E-2</v>
      </c>
      <c r="G5" s="15">
        <v>28956963224</v>
      </c>
    </row>
    <row r="6" spans="1:7" x14ac:dyDescent="0.2">
      <c r="A6" s="11" t="s">
        <v>5</v>
      </c>
      <c r="B6" s="12" t="s">
        <v>81</v>
      </c>
      <c r="C6" s="13">
        <v>2160207703</v>
      </c>
      <c r="D6" s="14">
        <f t="shared" ref="D6:D69" si="0">((C6-E6)/E6)</f>
        <v>6.4317081030010492E-2</v>
      </c>
      <c r="E6" s="13">
        <v>2029665540</v>
      </c>
      <c r="F6" s="14">
        <f t="shared" ref="F6:F69" si="1">((E6-G6)/G6)</f>
        <v>8.0193476010791756E-2</v>
      </c>
      <c r="G6" s="15">
        <v>1878983335</v>
      </c>
    </row>
    <row r="7" spans="1:7" x14ac:dyDescent="0.2">
      <c r="A7" s="11" t="s">
        <v>6</v>
      </c>
      <c r="B7" s="12" t="s">
        <v>81</v>
      </c>
      <c r="C7" s="13">
        <v>35737798168</v>
      </c>
      <c r="D7" s="14">
        <f t="shared" si="0"/>
        <v>8.1771182106973095E-2</v>
      </c>
      <c r="E7" s="13">
        <v>33036374752</v>
      </c>
      <c r="F7" s="14">
        <f t="shared" si="1"/>
        <v>0.11210911986882864</v>
      </c>
      <c r="G7" s="15">
        <v>29706055064</v>
      </c>
    </row>
    <row r="8" spans="1:7" x14ac:dyDescent="0.2">
      <c r="A8" s="11" t="s">
        <v>7</v>
      </c>
      <c r="B8" s="12" t="s">
        <v>82</v>
      </c>
      <c r="C8" s="13">
        <v>1726792752</v>
      </c>
      <c r="D8" s="14">
        <f t="shared" si="0"/>
        <v>8.3914662061247855E-2</v>
      </c>
      <c r="E8" s="13">
        <v>1593107661</v>
      </c>
      <c r="F8" s="14">
        <f t="shared" si="1"/>
        <v>9.487702541413498E-2</v>
      </c>
      <c r="G8" s="15">
        <v>1455056252</v>
      </c>
    </row>
    <row r="9" spans="1:7" x14ac:dyDescent="0.2">
      <c r="A9" s="11" t="s">
        <v>8</v>
      </c>
      <c r="B9" s="12" t="s">
        <v>81</v>
      </c>
      <c r="C9" s="13">
        <v>87456471550</v>
      </c>
      <c r="D9" s="14">
        <f t="shared" si="0"/>
        <v>7.2800096554333962E-2</v>
      </c>
      <c r="E9" s="13">
        <v>81521685010</v>
      </c>
      <c r="F9" s="14">
        <f t="shared" si="1"/>
        <v>9.7659563704543498E-2</v>
      </c>
      <c r="G9" s="15">
        <v>74268641850</v>
      </c>
    </row>
    <row r="10" spans="1:7" x14ac:dyDescent="0.2">
      <c r="A10" s="11" t="s">
        <v>9</v>
      </c>
      <c r="B10" s="12" t="s">
        <v>81</v>
      </c>
      <c r="C10" s="13">
        <v>358973520020</v>
      </c>
      <c r="D10" s="14">
        <f t="shared" si="0"/>
        <v>7.5132821399113273E-2</v>
      </c>
      <c r="E10" s="13">
        <v>333887602420</v>
      </c>
      <c r="F10" s="14">
        <f t="shared" si="1"/>
        <v>8.1349463206228725E-2</v>
      </c>
      <c r="G10" s="15">
        <v>308769379170</v>
      </c>
    </row>
    <row r="11" spans="1:7" x14ac:dyDescent="0.2">
      <c r="A11" s="11" t="s">
        <v>10</v>
      </c>
      <c r="B11" s="12" t="s">
        <v>82</v>
      </c>
      <c r="C11" s="13">
        <v>674562708</v>
      </c>
      <c r="D11" s="14">
        <f t="shared" si="0"/>
        <v>4.0635128342481015E-2</v>
      </c>
      <c r="E11" s="13">
        <v>648222119</v>
      </c>
      <c r="F11" s="14">
        <f t="shared" si="1"/>
        <v>7.4533222831811241E-2</v>
      </c>
      <c r="G11" s="15">
        <v>603259262</v>
      </c>
    </row>
    <row r="12" spans="1:7" x14ac:dyDescent="0.2">
      <c r="A12" s="11" t="s">
        <v>11</v>
      </c>
      <c r="B12" s="12" t="s">
        <v>81</v>
      </c>
      <c r="C12" s="13">
        <v>39109694708</v>
      </c>
      <c r="D12" s="14">
        <f t="shared" si="0"/>
        <v>7.6344511279730784E-2</v>
      </c>
      <c r="E12" s="13">
        <v>36335666042</v>
      </c>
      <c r="F12" s="14">
        <f t="shared" si="1"/>
        <v>0.17410153108419987</v>
      </c>
      <c r="G12" s="15">
        <v>30947635345</v>
      </c>
    </row>
    <row r="13" spans="1:7" x14ac:dyDescent="0.2">
      <c r="A13" s="11" t="s">
        <v>12</v>
      </c>
      <c r="B13" s="12" t="s">
        <v>81</v>
      </c>
      <c r="C13" s="13">
        <v>18477271481</v>
      </c>
      <c r="D13" s="14">
        <f t="shared" si="0"/>
        <v>7.2435283354789118E-2</v>
      </c>
      <c r="E13" s="13">
        <v>17229264803</v>
      </c>
      <c r="F13" s="14">
        <f t="shared" si="1"/>
        <v>9.6190899031309771E-2</v>
      </c>
      <c r="G13" s="15">
        <v>15717394496</v>
      </c>
    </row>
    <row r="14" spans="1:7" x14ac:dyDescent="0.2">
      <c r="A14" s="11" t="s">
        <v>13</v>
      </c>
      <c r="B14" s="12" t="s">
        <v>81</v>
      </c>
      <c r="C14" s="13">
        <v>24522787935</v>
      </c>
      <c r="D14" s="14">
        <f t="shared" si="0"/>
        <v>9.2687928958932159E-2</v>
      </c>
      <c r="E14" s="13">
        <v>22442627291</v>
      </c>
      <c r="F14" s="14">
        <f t="shared" si="1"/>
        <v>8.7231724104028727E-2</v>
      </c>
      <c r="G14" s="15">
        <v>20641990841</v>
      </c>
    </row>
    <row r="15" spans="1:7" x14ac:dyDescent="0.2">
      <c r="A15" s="11" t="s">
        <v>14</v>
      </c>
      <c r="B15" s="12" t="s">
        <v>81</v>
      </c>
      <c r="C15" s="13">
        <v>175484677868</v>
      </c>
      <c r="D15" s="14">
        <f t="shared" si="0"/>
        <v>8.0360028667127492E-2</v>
      </c>
      <c r="E15" s="13">
        <v>162431664641</v>
      </c>
      <c r="F15" s="14">
        <f t="shared" si="1"/>
        <v>9.8107988443811661E-2</v>
      </c>
      <c r="G15" s="15">
        <v>147919572893</v>
      </c>
    </row>
    <row r="16" spans="1:7" x14ac:dyDescent="0.2">
      <c r="A16" s="11" t="s">
        <v>15</v>
      </c>
      <c r="B16" s="12" t="s">
        <v>81</v>
      </c>
      <c r="C16" s="13">
        <v>5433072215</v>
      </c>
      <c r="D16" s="14">
        <f t="shared" si="0"/>
        <v>7.0576418803275698E-2</v>
      </c>
      <c r="E16" s="13">
        <v>5074903687</v>
      </c>
      <c r="F16" s="14">
        <f t="shared" si="1"/>
        <v>8.5517209977745839E-2</v>
      </c>
      <c r="G16" s="15">
        <v>4675102007</v>
      </c>
    </row>
    <row r="17" spans="1:7" x14ac:dyDescent="0.2">
      <c r="A17" s="11" t="s">
        <v>78</v>
      </c>
      <c r="B17" s="12" t="s">
        <v>81</v>
      </c>
      <c r="C17" s="13">
        <v>557092881582</v>
      </c>
      <c r="D17" s="14">
        <f t="shared" si="0"/>
        <v>9.3586139733271373E-2</v>
      </c>
      <c r="E17" s="13">
        <v>509418381727</v>
      </c>
      <c r="F17" s="14">
        <f t="shared" si="1"/>
        <v>9.8780568179730216E-2</v>
      </c>
      <c r="G17" s="15">
        <v>463621578757</v>
      </c>
    </row>
    <row r="18" spans="1:7" x14ac:dyDescent="0.2">
      <c r="A18" s="11" t="s">
        <v>16</v>
      </c>
      <c r="B18" s="12" t="s">
        <v>81</v>
      </c>
      <c r="C18" s="13">
        <v>2878646340</v>
      </c>
      <c r="D18" s="14">
        <f t="shared" si="0"/>
        <v>7.8601161448679513E-2</v>
      </c>
      <c r="E18" s="13">
        <v>2668870054</v>
      </c>
      <c r="F18" s="14">
        <f t="shared" si="1"/>
        <v>0.10858659221568844</v>
      </c>
      <c r="G18" s="15">
        <v>2407452943</v>
      </c>
    </row>
    <row r="19" spans="1:7" x14ac:dyDescent="0.2">
      <c r="A19" s="11" t="s">
        <v>17</v>
      </c>
      <c r="B19" s="12" t="s">
        <v>82</v>
      </c>
      <c r="C19" s="13">
        <v>1087079916</v>
      </c>
      <c r="D19" s="14">
        <f t="shared" si="0"/>
        <v>3.4178038023084258E-2</v>
      </c>
      <c r="E19" s="13">
        <v>1051153550</v>
      </c>
      <c r="F19" s="14">
        <f t="shared" si="1"/>
        <v>6.7158146519452691E-2</v>
      </c>
      <c r="G19" s="15">
        <v>985002601</v>
      </c>
    </row>
    <row r="20" spans="1:7" x14ac:dyDescent="0.2">
      <c r="A20" s="11" t="s">
        <v>18</v>
      </c>
      <c r="B20" s="12" t="s">
        <v>81</v>
      </c>
      <c r="C20" s="13">
        <v>134924178114</v>
      </c>
      <c r="D20" s="14">
        <f t="shared" si="0"/>
        <v>8.0338797164731857E-2</v>
      </c>
      <c r="E20" s="13">
        <v>124890616229</v>
      </c>
      <c r="F20" s="14">
        <f t="shared" si="1"/>
        <v>7.1615608092186325E-2</v>
      </c>
      <c r="G20" s="15">
        <v>116544230306</v>
      </c>
    </row>
    <row r="21" spans="1:7" x14ac:dyDescent="0.2">
      <c r="A21" s="11" t="s">
        <v>19</v>
      </c>
      <c r="B21" s="12" t="s">
        <v>81</v>
      </c>
      <c r="C21" s="13">
        <v>39655275637</v>
      </c>
      <c r="D21" s="14">
        <f t="shared" si="0"/>
        <v>6.9727629714370493E-2</v>
      </c>
      <c r="E21" s="13">
        <v>37070441611</v>
      </c>
      <c r="F21" s="14">
        <f t="shared" si="1"/>
        <v>8.2327700433151671E-2</v>
      </c>
      <c r="G21" s="15">
        <v>34250663266</v>
      </c>
    </row>
    <row r="22" spans="1:7" x14ac:dyDescent="0.2">
      <c r="A22" s="11" t="s">
        <v>20</v>
      </c>
      <c r="B22" s="12" t="s">
        <v>81</v>
      </c>
      <c r="C22" s="13">
        <v>21082567869</v>
      </c>
      <c r="D22" s="14">
        <f t="shared" si="0"/>
        <v>9.4784939665821424E-2</v>
      </c>
      <c r="E22" s="13">
        <v>19257268807</v>
      </c>
      <c r="F22" s="14">
        <f t="shared" si="1"/>
        <v>0.12498681685247376</v>
      </c>
      <c r="G22" s="15">
        <v>17117772865</v>
      </c>
    </row>
    <row r="23" spans="1:7" x14ac:dyDescent="0.2">
      <c r="A23" s="11" t="s">
        <v>21</v>
      </c>
      <c r="B23" s="12" t="s">
        <v>82</v>
      </c>
      <c r="C23" s="13">
        <v>4892948191</v>
      </c>
      <c r="D23" s="14">
        <f t="shared" si="0"/>
        <v>6.9718623968293147E-2</v>
      </c>
      <c r="E23" s="13">
        <v>4574051607</v>
      </c>
      <c r="F23" s="14">
        <f t="shared" si="1"/>
        <v>0.23443259665202662</v>
      </c>
      <c r="G23" s="15">
        <v>3705387900</v>
      </c>
    </row>
    <row r="24" spans="1:7" x14ac:dyDescent="0.2">
      <c r="A24" s="11" t="s">
        <v>22</v>
      </c>
      <c r="B24" s="12" t="s">
        <v>82</v>
      </c>
      <c r="C24" s="13">
        <v>2649570820</v>
      </c>
      <c r="D24" s="14">
        <f t="shared" si="0"/>
        <v>6.905330571564125E-2</v>
      </c>
      <c r="E24" s="13">
        <v>2478427227</v>
      </c>
      <c r="F24" s="14">
        <f t="shared" si="1"/>
        <v>8.9958970641971114E-2</v>
      </c>
      <c r="G24" s="15">
        <v>2273872039</v>
      </c>
    </row>
    <row r="25" spans="1:7" x14ac:dyDescent="0.2">
      <c r="A25" s="11" t="s">
        <v>23</v>
      </c>
      <c r="B25" s="12" t="s">
        <v>82</v>
      </c>
      <c r="C25" s="13">
        <v>1449499272</v>
      </c>
      <c r="D25" s="14">
        <f t="shared" si="0"/>
        <v>0.10127696900916389</v>
      </c>
      <c r="E25" s="13">
        <v>1316198661</v>
      </c>
      <c r="F25" s="14">
        <f t="shared" si="1"/>
        <v>0.10365015891148791</v>
      </c>
      <c r="G25" s="15">
        <v>1192586845</v>
      </c>
    </row>
    <row r="26" spans="1:7" x14ac:dyDescent="0.2">
      <c r="A26" s="11" t="s">
        <v>24</v>
      </c>
      <c r="B26" s="12" t="s">
        <v>82</v>
      </c>
      <c r="C26" s="13">
        <v>2117449900</v>
      </c>
      <c r="D26" s="14">
        <f t="shared" si="0"/>
        <v>7.5921421992248411E-2</v>
      </c>
      <c r="E26" s="13">
        <v>1968033963</v>
      </c>
      <c r="F26" s="14">
        <f t="shared" si="1"/>
        <v>8.7416684495599847E-2</v>
      </c>
      <c r="G26" s="15">
        <v>1809825057</v>
      </c>
    </row>
    <row r="27" spans="1:7" x14ac:dyDescent="0.2">
      <c r="A27" s="11" t="s">
        <v>25</v>
      </c>
      <c r="B27" s="12" t="s">
        <v>82</v>
      </c>
      <c r="C27" s="13">
        <v>4686636703</v>
      </c>
      <c r="D27" s="14">
        <f t="shared" si="0"/>
        <v>9.7586192272052258E-2</v>
      </c>
      <c r="E27" s="13">
        <v>4269948671</v>
      </c>
      <c r="F27" s="14">
        <f t="shared" si="1"/>
        <v>0.1417681111506531</v>
      </c>
      <c r="G27" s="15">
        <v>3739768723</v>
      </c>
    </row>
    <row r="28" spans="1:7" x14ac:dyDescent="0.2">
      <c r="A28" s="11" t="s">
        <v>26</v>
      </c>
      <c r="B28" s="12" t="s">
        <v>81</v>
      </c>
      <c r="C28" s="13">
        <v>955679134</v>
      </c>
      <c r="D28" s="14">
        <f t="shared" si="0"/>
        <v>8.1170837443336322E-2</v>
      </c>
      <c r="E28" s="13">
        <v>883929811</v>
      </c>
      <c r="F28" s="14">
        <f t="shared" si="1"/>
        <v>8.2969438857598415E-2</v>
      </c>
      <c r="G28" s="15">
        <v>816209377</v>
      </c>
    </row>
    <row r="29" spans="1:7" x14ac:dyDescent="0.2">
      <c r="A29" s="11" t="s">
        <v>27</v>
      </c>
      <c r="B29" s="12" t="s">
        <v>81</v>
      </c>
      <c r="C29" s="13">
        <v>2288744908</v>
      </c>
      <c r="D29" s="14">
        <f t="shared" si="0"/>
        <v>0.10494622734573798</v>
      </c>
      <c r="E29" s="13">
        <v>2071363159</v>
      </c>
      <c r="F29" s="14">
        <f t="shared" si="1"/>
        <v>0.1362431644650805</v>
      </c>
      <c r="G29" s="15">
        <v>1822992845</v>
      </c>
    </row>
    <row r="30" spans="1:7" x14ac:dyDescent="0.2">
      <c r="A30" s="11" t="s">
        <v>28</v>
      </c>
      <c r="B30" s="12" t="s">
        <v>81</v>
      </c>
      <c r="C30" s="13">
        <v>5239025283</v>
      </c>
      <c r="D30" s="14">
        <f t="shared" si="0"/>
        <v>9.5686982252048358E-2</v>
      </c>
      <c r="E30" s="13">
        <v>4781498154</v>
      </c>
      <c r="F30" s="14">
        <f t="shared" si="1"/>
        <v>0.10398713126253947</v>
      </c>
      <c r="G30" s="15">
        <v>4331117654</v>
      </c>
    </row>
    <row r="31" spans="1:7" x14ac:dyDescent="0.2">
      <c r="A31" s="11" t="s">
        <v>29</v>
      </c>
      <c r="B31" s="12" t="s">
        <v>81</v>
      </c>
      <c r="C31" s="13">
        <v>22084864199</v>
      </c>
      <c r="D31" s="14">
        <f t="shared" si="0"/>
        <v>9.4610424980064639E-2</v>
      </c>
      <c r="E31" s="13">
        <v>20176003896</v>
      </c>
      <c r="F31" s="14">
        <f t="shared" si="1"/>
        <v>0.10860889323625206</v>
      </c>
      <c r="G31" s="15">
        <v>18199388458</v>
      </c>
    </row>
    <row r="32" spans="1:7" x14ac:dyDescent="0.2">
      <c r="A32" s="11" t="s">
        <v>30</v>
      </c>
      <c r="B32" s="12" t="s">
        <v>81</v>
      </c>
      <c r="C32" s="13">
        <v>10545422981</v>
      </c>
      <c r="D32" s="14">
        <f t="shared" si="0"/>
        <v>8.017833503658367E-2</v>
      </c>
      <c r="E32" s="13">
        <v>9762668477</v>
      </c>
      <c r="F32" s="14">
        <f t="shared" si="1"/>
        <v>9.3713517122970311E-2</v>
      </c>
      <c r="G32" s="15">
        <v>8926166061</v>
      </c>
    </row>
    <row r="33" spans="1:7" x14ac:dyDescent="0.2">
      <c r="A33" s="11" t="s">
        <v>31</v>
      </c>
      <c r="B33" s="12" t="s">
        <v>81</v>
      </c>
      <c r="C33" s="13">
        <v>208940044443</v>
      </c>
      <c r="D33" s="14">
        <f t="shared" si="0"/>
        <v>6.890756477093854E-2</v>
      </c>
      <c r="E33" s="13">
        <v>195470638743</v>
      </c>
      <c r="F33" s="14">
        <f t="shared" si="1"/>
        <v>7.630954867290056E-2</v>
      </c>
      <c r="G33" s="15">
        <v>181611915442</v>
      </c>
    </row>
    <row r="34" spans="1:7" x14ac:dyDescent="0.2">
      <c r="A34" s="11" t="s">
        <v>32</v>
      </c>
      <c r="B34" s="12" t="s">
        <v>82</v>
      </c>
      <c r="C34" s="13">
        <v>965881582</v>
      </c>
      <c r="D34" s="14">
        <f t="shared" si="0"/>
        <v>9.3803621916822594E-2</v>
      </c>
      <c r="E34" s="13">
        <v>883048440</v>
      </c>
      <c r="F34" s="14">
        <f t="shared" si="1"/>
        <v>7.3893358964971179E-2</v>
      </c>
      <c r="G34" s="15">
        <v>822286899</v>
      </c>
    </row>
    <row r="35" spans="1:7" x14ac:dyDescent="0.2">
      <c r="A35" s="11" t="s">
        <v>33</v>
      </c>
      <c r="B35" s="12" t="s">
        <v>81</v>
      </c>
      <c r="C35" s="13">
        <v>35183213962</v>
      </c>
      <c r="D35" s="14">
        <f t="shared" si="0"/>
        <v>7.8893565820629091E-2</v>
      </c>
      <c r="E35" s="13">
        <v>32610458600</v>
      </c>
      <c r="F35" s="14">
        <f t="shared" si="1"/>
        <v>9.3570856535897265E-2</v>
      </c>
      <c r="G35" s="15">
        <v>29820160628</v>
      </c>
    </row>
    <row r="36" spans="1:7" x14ac:dyDescent="0.2">
      <c r="A36" s="11" t="s">
        <v>34</v>
      </c>
      <c r="B36" s="12" t="s">
        <v>82</v>
      </c>
      <c r="C36" s="13">
        <v>2987678528</v>
      </c>
      <c r="D36" s="14">
        <f t="shared" si="0"/>
        <v>6.5007696446056001E-2</v>
      </c>
      <c r="E36" s="13">
        <v>2805311678</v>
      </c>
      <c r="F36" s="14">
        <f t="shared" si="1"/>
        <v>8.6562845296628624E-2</v>
      </c>
      <c r="G36" s="15">
        <v>2581821834</v>
      </c>
    </row>
    <row r="37" spans="1:7" x14ac:dyDescent="0.2">
      <c r="A37" s="11" t="s">
        <v>35</v>
      </c>
      <c r="B37" s="12" t="s">
        <v>82</v>
      </c>
      <c r="C37" s="13">
        <v>1292301426</v>
      </c>
      <c r="D37" s="14">
        <f t="shared" si="0"/>
        <v>5.7768501503760367E-2</v>
      </c>
      <c r="E37" s="13">
        <v>1221724247</v>
      </c>
      <c r="F37" s="14">
        <f t="shared" si="1"/>
        <v>6.0638598459672004E-2</v>
      </c>
      <c r="G37" s="15">
        <v>1151876095</v>
      </c>
    </row>
    <row r="38" spans="1:7" x14ac:dyDescent="0.2">
      <c r="A38" s="11" t="s">
        <v>36</v>
      </c>
      <c r="B38" s="12" t="s">
        <v>82</v>
      </c>
      <c r="C38" s="13">
        <v>513465074</v>
      </c>
      <c r="D38" s="14">
        <f t="shared" si="0"/>
        <v>5.3565255364163018E-2</v>
      </c>
      <c r="E38" s="13">
        <v>487359536</v>
      </c>
      <c r="F38" s="14">
        <f t="shared" si="1"/>
        <v>6.7109808434229284E-2</v>
      </c>
      <c r="G38" s="15">
        <v>456709827</v>
      </c>
    </row>
    <row r="39" spans="1:7" x14ac:dyDescent="0.2">
      <c r="A39" s="11" t="s">
        <v>37</v>
      </c>
      <c r="B39" s="12" t="s">
        <v>81</v>
      </c>
      <c r="C39" s="13">
        <v>51949548543</v>
      </c>
      <c r="D39" s="14">
        <f t="shared" si="0"/>
        <v>0.10537950089056845</v>
      </c>
      <c r="E39" s="13">
        <v>46997025457</v>
      </c>
      <c r="F39" s="14">
        <f t="shared" si="1"/>
        <v>0.14237222361390992</v>
      </c>
      <c r="G39" s="15">
        <v>41139853093</v>
      </c>
    </row>
    <row r="40" spans="1:7" x14ac:dyDescent="0.2">
      <c r="A40" s="11" t="s">
        <v>38</v>
      </c>
      <c r="B40" s="12" t="s">
        <v>81</v>
      </c>
      <c r="C40" s="13">
        <v>164752595413</v>
      </c>
      <c r="D40" s="14">
        <f t="shared" si="0"/>
        <v>8.0813889621683718E-2</v>
      </c>
      <c r="E40" s="13">
        <v>152433825097</v>
      </c>
      <c r="F40" s="14">
        <f t="shared" si="1"/>
        <v>0.13795354253356759</v>
      </c>
      <c r="G40" s="15">
        <v>133954348222</v>
      </c>
    </row>
    <row r="41" spans="1:7" x14ac:dyDescent="0.2">
      <c r="A41" s="11" t="s">
        <v>39</v>
      </c>
      <c r="B41" s="12" t="s">
        <v>81</v>
      </c>
      <c r="C41" s="13">
        <v>36973807497</v>
      </c>
      <c r="D41" s="14">
        <f t="shared" si="0"/>
        <v>7.0819921343786008E-2</v>
      </c>
      <c r="E41" s="13">
        <v>34528501721</v>
      </c>
      <c r="F41" s="14">
        <f t="shared" si="1"/>
        <v>8.2496105612489851E-2</v>
      </c>
      <c r="G41" s="15">
        <v>31897114033</v>
      </c>
    </row>
    <row r="42" spans="1:7" x14ac:dyDescent="0.2">
      <c r="A42" s="11" t="s">
        <v>40</v>
      </c>
      <c r="B42" s="12" t="s">
        <v>82</v>
      </c>
      <c r="C42" s="13">
        <v>4006853603</v>
      </c>
      <c r="D42" s="14">
        <f t="shared" si="0"/>
        <v>7.1260678572956676E-2</v>
      </c>
      <c r="E42" s="13">
        <v>3740316137</v>
      </c>
      <c r="F42" s="14">
        <f t="shared" si="1"/>
        <v>8.9095796306771682E-2</v>
      </c>
      <c r="G42" s="15">
        <v>3434331626</v>
      </c>
    </row>
    <row r="43" spans="1:7" x14ac:dyDescent="0.2">
      <c r="A43" s="11" t="s">
        <v>41</v>
      </c>
      <c r="B43" s="12" t="s">
        <v>82</v>
      </c>
      <c r="C43" s="13">
        <v>657634526</v>
      </c>
      <c r="D43" s="14">
        <f t="shared" si="0"/>
        <v>1.9478681724030993E-2</v>
      </c>
      <c r="E43" s="13">
        <v>645069424</v>
      </c>
      <c r="F43" s="14">
        <f t="shared" si="1"/>
        <v>2.3415780957560171E-2</v>
      </c>
      <c r="G43" s="15">
        <v>630310218</v>
      </c>
    </row>
    <row r="44" spans="1:7" x14ac:dyDescent="0.2">
      <c r="A44" s="11" t="s">
        <v>42</v>
      </c>
      <c r="B44" s="12" t="s">
        <v>82</v>
      </c>
      <c r="C44" s="13">
        <v>1285816224</v>
      </c>
      <c r="D44" s="14">
        <f t="shared" si="0"/>
        <v>6.767425413444414E-2</v>
      </c>
      <c r="E44" s="13">
        <v>1204315098</v>
      </c>
      <c r="F44" s="14">
        <f t="shared" si="1"/>
        <v>8.8015368341065339E-2</v>
      </c>
      <c r="G44" s="15">
        <v>1106891624</v>
      </c>
    </row>
    <row r="45" spans="1:7" x14ac:dyDescent="0.2">
      <c r="A45" s="11" t="s">
        <v>43</v>
      </c>
      <c r="B45" s="12" t="s">
        <v>81</v>
      </c>
      <c r="C45" s="13">
        <v>79818586151</v>
      </c>
      <c r="D45" s="14">
        <f t="shared" si="0"/>
        <v>6.5189916660203379E-2</v>
      </c>
      <c r="E45" s="13">
        <v>74933666666</v>
      </c>
      <c r="F45" s="14">
        <f t="shared" si="1"/>
        <v>0.12914320350087935</v>
      </c>
      <c r="G45" s="15">
        <v>66363297794</v>
      </c>
    </row>
    <row r="46" spans="1:7" x14ac:dyDescent="0.2">
      <c r="A46" s="11" t="s">
        <v>44</v>
      </c>
      <c r="B46" s="12" t="s">
        <v>81</v>
      </c>
      <c r="C46" s="13">
        <v>45259588018</v>
      </c>
      <c r="D46" s="14">
        <f t="shared" si="0"/>
        <v>0.11618488885529354</v>
      </c>
      <c r="E46" s="13">
        <v>40548468690</v>
      </c>
      <c r="F46" s="14">
        <f t="shared" si="1"/>
        <v>0.12355899937022724</v>
      </c>
      <c r="G46" s="15">
        <v>36089309696</v>
      </c>
    </row>
    <row r="47" spans="1:7" x14ac:dyDescent="0.2">
      <c r="A47" s="11" t="s">
        <v>45</v>
      </c>
      <c r="B47" s="12" t="s">
        <v>81</v>
      </c>
      <c r="C47" s="13">
        <v>40257661655</v>
      </c>
      <c r="D47" s="14">
        <f t="shared" si="0"/>
        <v>0.12973975660584131</v>
      </c>
      <c r="E47" s="13">
        <v>35634456006</v>
      </c>
      <c r="F47" s="14">
        <f t="shared" si="1"/>
        <v>9.9163005337359347E-2</v>
      </c>
      <c r="G47" s="15">
        <v>32419628238</v>
      </c>
    </row>
    <row r="48" spans="1:7" x14ac:dyDescent="0.2">
      <c r="A48" s="11" t="s">
        <v>46</v>
      </c>
      <c r="B48" s="12" t="s">
        <v>81</v>
      </c>
      <c r="C48" s="13">
        <v>55611259686</v>
      </c>
      <c r="D48" s="14">
        <f t="shared" si="0"/>
        <v>8.0764241980955803E-2</v>
      </c>
      <c r="E48" s="13">
        <v>51455495589</v>
      </c>
      <c r="F48" s="14">
        <f t="shared" si="1"/>
        <v>9.286256255292713E-2</v>
      </c>
      <c r="G48" s="15">
        <v>47083226521</v>
      </c>
    </row>
    <row r="49" spans="1:7" x14ac:dyDescent="0.2">
      <c r="A49" s="11" t="s">
        <v>47</v>
      </c>
      <c r="B49" s="12" t="s">
        <v>81</v>
      </c>
      <c r="C49" s="13">
        <v>20246804851</v>
      </c>
      <c r="D49" s="14">
        <f t="shared" si="0"/>
        <v>0.11157156797468105</v>
      </c>
      <c r="E49" s="13">
        <v>18214576042</v>
      </c>
      <c r="F49" s="14">
        <f t="shared" si="1"/>
        <v>0.1189945994244003</v>
      </c>
      <c r="G49" s="15">
        <v>16277626408</v>
      </c>
    </row>
    <row r="50" spans="1:7" x14ac:dyDescent="0.2">
      <c r="A50" s="11" t="s">
        <v>48</v>
      </c>
      <c r="B50" s="12" t="s">
        <v>81</v>
      </c>
      <c r="C50" s="13">
        <v>36350715757</v>
      </c>
      <c r="D50" s="14">
        <f t="shared" si="0"/>
        <v>6.2549936583708443E-2</v>
      </c>
      <c r="E50" s="13">
        <v>34210830480</v>
      </c>
      <c r="F50" s="14">
        <f t="shared" si="1"/>
        <v>7.7471831651582015E-2</v>
      </c>
      <c r="G50" s="15">
        <v>31751020746</v>
      </c>
    </row>
    <row r="51" spans="1:7" x14ac:dyDescent="0.2">
      <c r="A51" s="11" t="s">
        <v>49</v>
      </c>
      <c r="B51" s="12" t="s">
        <v>81</v>
      </c>
      <c r="C51" s="13">
        <v>4263128887</v>
      </c>
      <c r="D51" s="14">
        <f t="shared" si="0"/>
        <v>9.9733886195089952E-2</v>
      </c>
      <c r="E51" s="13">
        <v>3876509527</v>
      </c>
      <c r="F51" s="14">
        <f t="shared" si="1"/>
        <v>0.11368691681871544</v>
      </c>
      <c r="G51" s="15">
        <v>3480789321</v>
      </c>
    </row>
    <row r="52" spans="1:7" x14ac:dyDescent="0.2">
      <c r="A52" s="11" t="s">
        <v>50</v>
      </c>
      <c r="B52" s="12" t="s">
        <v>81</v>
      </c>
      <c r="C52" s="13">
        <v>270369532112</v>
      </c>
      <c r="D52" s="14">
        <f t="shared" si="0"/>
        <v>7.7323432612405374E-2</v>
      </c>
      <c r="E52" s="13">
        <v>250964124540</v>
      </c>
      <c r="F52" s="14">
        <f t="shared" si="1"/>
        <v>7.6104140796574599E-2</v>
      </c>
      <c r="G52" s="15">
        <v>233215462171</v>
      </c>
    </row>
    <row r="53" spans="1:7" x14ac:dyDescent="0.2">
      <c r="A53" s="11" t="s">
        <v>51</v>
      </c>
      <c r="B53" s="12" t="s">
        <v>81</v>
      </c>
      <c r="C53" s="13">
        <v>64766397142</v>
      </c>
      <c r="D53" s="14">
        <f t="shared" si="0"/>
        <v>9.3112557542280761E-2</v>
      </c>
      <c r="E53" s="13">
        <v>59249522563</v>
      </c>
      <c r="F53" s="14">
        <f t="shared" si="1"/>
        <v>0.12451243796569153</v>
      </c>
      <c r="G53" s="15">
        <v>52689077117</v>
      </c>
    </row>
    <row r="54" spans="1:7" x14ac:dyDescent="0.2">
      <c r="A54" s="11" t="s">
        <v>52</v>
      </c>
      <c r="B54" s="12" t="s">
        <v>81</v>
      </c>
      <c r="C54" s="13">
        <v>371675133963</v>
      </c>
      <c r="D54" s="14">
        <f t="shared" si="0"/>
        <v>7.7056394584635299E-2</v>
      </c>
      <c r="E54" s="13">
        <v>345084190421</v>
      </c>
      <c r="F54" s="14">
        <f t="shared" si="1"/>
        <v>9.1301410420865314E-2</v>
      </c>
      <c r="G54" s="15">
        <v>316213455903</v>
      </c>
    </row>
    <row r="55" spans="1:7" x14ac:dyDescent="0.2">
      <c r="A55" s="11" t="s">
        <v>53</v>
      </c>
      <c r="B55" s="12" t="s">
        <v>81</v>
      </c>
      <c r="C55" s="13">
        <v>70344039688</v>
      </c>
      <c r="D55" s="14">
        <f t="shared" si="0"/>
        <v>0.10615272055155303</v>
      </c>
      <c r="E55" s="13">
        <v>63593424652</v>
      </c>
      <c r="F55" s="14">
        <f t="shared" si="1"/>
        <v>0.1327393380842212</v>
      </c>
      <c r="G55" s="15">
        <v>56141269676</v>
      </c>
    </row>
    <row r="56" spans="1:7" x14ac:dyDescent="0.2">
      <c r="A56" s="11" t="s">
        <v>54</v>
      </c>
      <c r="B56" s="12" t="s">
        <v>81</v>
      </c>
      <c r="C56" s="13">
        <v>162841927370</v>
      </c>
      <c r="D56" s="14">
        <f t="shared" si="0"/>
        <v>4.1002533120010974E-2</v>
      </c>
      <c r="E56" s="13">
        <v>156427983784</v>
      </c>
      <c r="F56" s="14">
        <f t="shared" si="1"/>
        <v>8.6496460279472123E-2</v>
      </c>
      <c r="G56" s="15">
        <v>143974683308</v>
      </c>
    </row>
    <row r="57" spans="1:7" x14ac:dyDescent="0.2">
      <c r="A57" s="11" t="s">
        <v>55</v>
      </c>
      <c r="B57" s="12" t="s">
        <v>81</v>
      </c>
      <c r="C57" s="13">
        <v>79453891369</v>
      </c>
      <c r="D57" s="14">
        <f t="shared" si="0"/>
        <v>9.6778614155921386E-2</v>
      </c>
      <c r="E57" s="13">
        <v>72442961910</v>
      </c>
      <c r="F57" s="14">
        <f t="shared" si="1"/>
        <v>0.11031625987928655</v>
      </c>
      <c r="G57" s="15">
        <v>65245340024</v>
      </c>
    </row>
    <row r="58" spans="1:7" x14ac:dyDescent="0.2">
      <c r="A58" s="11" t="s">
        <v>56</v>
      </c>
      <c r="B58" s="12" t="s">
        <v>81</v>
      </c>
      <c r="C58" s="13">
        <v>7119399121</v>
      </c>
      <c r="D58" s="14">
        <f t="shared" si="0"/>
        <v>5.4649164739149436E-2</v>
      </c>
      <c r="E58" s="13">
        <v>6750490456</v>
      </c>
      <c r="F58" s="14">
        <f t="shared" si="1"/>
        <v>9.5931905292639827E-2</v>
      </c>
      <c r="G58" s="15">
        <v>6159589317</v>
      </c>
    </row>
    <row r="59" spans="1:7" x14ac:dyDescent="0.2">
      <c r="A59" s="11" t="s">
        <v>2</v>
      </c>
      <c r="B59" s="12" t="s">
        <v>81</v>
      </c>
      <c r="C59" s="13">
        <v>66575430174</v>
      </c>
      <c r="D59" s="14">
        <f t="shared" si="0"/>
        <v>9.9388387710746193E-2</v>
      </c>
      <c r="E59" s="13">
        <v>60556788591</v>
      </c>
      <c r="F59" s="14">
        <f t="shared" si="1"/>
        <v>0.1257067751132302</v>
      </c>
      <c r="G59" s="15">
        <v>53794460449</v>
      </c>
    </row>
    <row r="60" spans="1:7" x14ac:dyDescent="0.2">
      <c r="A60" s="11" t="s">
        <v>3</v>
      </c>
      <c r="B60" s="12" t="s">
        <v>81</v>
      </c>
      <c r="C60" s="13">
        <v>48131214609</v>
      </c>
      <c r="D60" s="14">
        <f t="shared" si="0"/>
        <v>0.105482460684166</v>
      </c>
      <c r="E60" s="13">
        <v>43538650608</v>
      </c>
      <c r="F60" s="14">
        <f t="shared" si="1"/>
        <v>0.12528194300830248</v>
      </c>
      <c r="G60" s="15">
        <v>38691326097</v>
      </c>
    </row>
    <row r="61" spans="1:7" x14ac:dyDescent="0.2">
      <c r="A61" s="11" t="s">
        <v>57</v>
      </c>
      <c r="B61" s="12" t="s">
        <v>81</v>
      </c>
      <c r="C61" s="13">
        <v>24202619298</v>
      </c>
      <c r="D61" s="14">
        <f t="shared" si="0"/>
        <v>8.9691144579994567E-2</v>
      </c>
      <c r="E61" s="13">
        <v>22210531322</v>
      </c>
      <c r="F61" s="14">
        <f t="shared" si="1"/>
        <v>9.37701671577192E-2</v>
      </c>
      <c r="G61" s="15">
        <v>20306397074</v>
      </c>
    </row>
    <row r="62" spans="1:7" x14ac:dyDescent="0.2">
      <c r="A62" s="11" t="s">
        <v>58</v>
      </c>
      <c r="B62" s="12" t="s">
        <v>81</v>
      </c>
      <c r="C62" s="13">
        <v>121822942665</v>
      </c>
      <c r="D62" s="14">
        <f t="shared" si="0"/>
        <v>5.7399817079296811E-2</v>
      </c>
      <c r="E62" s="13">
        <v>115209914639</v>
      </c>
      <c r="F62" s="14">
        <f t="shared" si="1"/>
        <v>9.7236815313101632E-2</v>
      </c>
      <c r="G62" s="15">
        <v>105000044686</v>
      </c>
    </row>
    <row r="63" spans="1:7" x14ac:dyDescent="0.2">
      <c r="A63" s="11" t="s">
        <v>59</v>
      </c>
      <c r="B63" s="12" t="s">
        <v>81</v>
      </c>
      <c r="C63" s="13">
        <v>64024704999</v>
      </c>
      <c r="D63" s="14">
        <f t="shared" si="0"/>
        <v>6.9866105958238361E-2</v>
      </c>
      <c r="E63" s="13">
        <v>59843661410</v>
      </c>
      <c r="F63" s="14">
        <f t="shared" si="1"/>
        <v>8.1410088238597578E-2</v>
      </c>
      <c r="G63" s="15">
        <v>55338545535</v>
      </c>
    </row>
    <row r="64" spans="1:7" x14ac:dyDescent="0.2">
      <c r="A64" s="11" t="s">
        <v>60</v>
      </c>
      <c r="B64" s="12" t="s">
        <v>81</v>
      </c>
      <c r="C64" s="13">
        <v>27081307722</v>
      </c>
      <c r="D64" s="14">
        <f t="shared" si="0"/>
        <v>9.7011447265191203E-2</v>
      </c>
      <c r="E64" s="13">
        <v>24686440410</v>
      </c>
      <c r="F64" s="14">
        <f t="shared" si="1"/>
        <v>7.7302871062673098E-2</v>
      </c>
      <c r="G64" s="15">
        <v>22915041882</v>
      </c>
    </row>
    <row r="65" spans="1:7" x14ac:dyDescent="0.2">
      <c r="A65" s="11" t="s">
        <v>61</v>
      </c>
      <c r="B65" s="12" t="s">
        <v>82</v>
      </c>
      <c r="C65" s="13">
        <v>2843790078</v>
      </c>
      <c r="D65" s="14">
        <f t="shared" si="0"/>
        <v>8.3220192713642727E-2</v>
      </c>
      <c r="E65" s="13">
        <v>2625311176</v>
      </c>
      <c r="F65" s="14">
        <f t="shared" si="1"/>
        <v>8.0735513588589256E-2</v>
      </c>
      <c r="G65" s="15">
        <v>2429189328</v>
      </c>
    </row>
    <row r="66" spans="1:7" x14ac:dyDescent="0.2">
      <c r="A66" s="11" t="s">
        <v>62</v>
      </c>
      <c r="B66" s="12" t="s">
        <v>81</v>
      </c>
      <c r="C66" s="13">
        <v>1776550908</v>
      </c>
      <c r="D66" s="14">
        <f t="shared" si="0"/>
        <v>5.7388245013120946E-2</v>
      </c>
      <c r="E66" s="13">
        <v>1680131131</v>
      </c>
      <c r="F66" s="14">
        <f t="shared" si="1"/>
        <v>7.7183403891417812E-2</v>
      </c>
      <c r="G66" s="15">
        <v>1559744724</v>
      </c>
    </row>
    <row r="67" spans="1:7" x14ac:dyDescent="0.2">
      <c r="A67" s="11" t="s">
        <v>63</v>
      </c>
      <c r="B67" s="12" t="s">
        <v>81</v>
      </c>
      <c r="C67" s="13">
        <v>565212676</v>
      </c>
      <c r="D67" s="14">
        <f t="shared" si="0"/>
        <v>4.8848813387513311E-2</v>
      </c>
      <c r="E67" s="13">
        <v>538888607</v>
      </c>
      <c r="F67" s="14">
        <f t="shared" si="1"/>
        <v>5.6873096958167842E-2</v>
      </c>
      <c r="G67" s="15">
        <v>509889606</v>
      </c>
    </row>
    <row r="68" spans="1:7" x14ac:dyDescent="0.2">
      <c r="A68" s="11" t="s">
        <v>64</v>
      </c>
      <c r="B68" s="12" t="s">
        <v>81</v>
      </c>
      <c r="C68" s="13">
        <v>78125532559</v>
      </c>
      <c r="D68" s="14">
        <f t="shared" si="0"/>
        <v>7.9937847595725711E-2</v>
      </c>
      <c r="E68" s="13">
        <v>72342619284</v>
      </c>
      <c r="F68" s="14">
        <f t="shared" si="1"/>
        <v>0.10122344418361613</v>
      </c>
      <c r="G68" s="15">
        <v>65692952385</v>
      </c>
    </row>
    <row r="69" spans="1:7" x14ac:dyDescent="0.2">
      <c r="A69" s="11" t="s">
        <v>65</v>
      </c>
      <c r="B69" s="12" t="s">
        <v>82</v>
      </c>
      <c r="C69" s="13">
        <v>3431297840</v>
      </c>
      <c r="D69" s="14">
        <f t="shared" si="0"/>
        <v>9.0776036280015182E-2</v>
      </c>
      <c r="E69" s="13">
        <v>3145740029</v>
      </c>
      <c r="F69" s="14">
        <f t="shared" si="1"/>
        <v>0.10330503150110254</v>
      </c>
      <c r="G69" s="15">
        <v>2851197030</v>
      </c>
    </row>
    <row r="70" spans="1:7" x14ac:dyDescent="0.2">
      <c r="A70" s="11" t="s">
        <v>66</v>
      </c>
      <c r="B70" s="12" t="s">
        <v>81</v>
      </c>
      <c r="C70" s="13">
        <v>48946578160</v>
      </c>
      <c r="D70" s="14">
        <f>((C70-E70)/E70)</f>
        <v>9.4343720890587915E-2</v>
      </c>
      <c r="E70" s="13">
        <v>44726878060</v>
      </c>
      <c r="F70" s="14">
        <f>((E70-G70)/G70)</f>
        <v>0.1290103033301522</v>
      </c>
      <c r="G70" s="15">
        <v>39616005211</v>
      </c>
    </row>
    <row r="71" spans="1:7" x14ac:dyDescent="0.2">
      <c r="A71" s="11" t="s">
        <v>67</v>
      </c>
      <c r="B71" s="12" t="s">
        <v>82</v>
      </c>
      <c r="C71" s="13">
        <v>1725286747</v>
      </c>
      <c r="D71" s="14">
        <f>((C71-E71)/E71)</f>
        <v>0.10334893858756249</v>
      </c>
      <c r="E71" s="13">
        <v>1563681884</v>
      </c>
      <c r="F71" s="14">
        <f>((E71-G71)/G71)</f>
        <v>9.0138675828129899E-2</v>
      </c>
      <c r="G71" s="15">
        <v>1434388045</v>
      </c>
    </row>
    <row r="72" spans="1:7" x14ac:dyDescent="0.2">
      <c r="A72" s="16"/>
      <c r="B72" s="17"/>
      <c r="C72" s="13"/>
      <c r="D72" s="18"/>
      <c r="E72" s="13"/>
      <c r="F72" s="18"/>
      <c r="G72" s="15"/>
    </row>
    <row r="73" spans="1:7" ht="15.75" thickBot="1" x14ac:dyDescent="0.3">
      <c r="A73" s="19" t="s">
        <v>68</v>
      </c>
      <c r="B73" s="20"/>
      <c r="C73" s="21">
        <f>SUM(C5:C72)</f>
        <v>3903574756333</v>
      </c>
      <c r="D73" s="22">
        <f>((C73-E73)/E73)</f>
        <v>8.0419630562256442E-2</v>
      </c>
      <c r="E73" s="21">
        <f>SUM(E5:E72)</f>
        <v>3613017244329</v>
      </c>
      <c r="F73" s="22" t="e">
        <f>((E73-G73)/G73)</f>
        <v>#DIV/0!</v>
      </c>
      <c r="G73" s="23"/>
    </row>
    <row r="75" spans="1:7" x14ac:dyDescent="0.2">
      <c r="A75" s="24" t="s">
        <v>90</v>
      </c>
    </row>
  </sheetData>
  <phoneticPr fontId="3" type="noConversion"/>
  <conditionalFormatting sqref="A75">
    <cfRule type="expression" dxfId="5" priority="8" stopIfTrue="1">
      <formula>MOD(ROW(),5)=1</formula>
    </cfRule>
  </conditionalFormatting>
  <conditionalFormatting sqref="A4:G73">
    <cfRule type="expression" dxfId="4" priority="1" stopIfTrue="1">
      <formula>MOD(ROW(),3)=1</formula>
    </cfRule>
  </conditionalFormatting>
  <pageMargins left="0.7" right="0.7" top="0.5" bottom="0.5" header="0.05" footer="0.05"/>
  <pageSetup scale="78" fitToHeight="2" orientation="landscape" r:id="rId1"/>
  <rowBreaks count="1" manualBreakCount="1">
    <brk id="37" max="8" man="1"/>
  </rowBreaks>
  <ignoredErrors>
    <ignoredError sqref="E73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5"/>
  <sheetViews>
    <sheetView zoomScaleNormal="100" zoomScaleSheetLayoutView="100" workbookViewId="0">
      <pane ySplit="4" topLeftCell="A5" activePane="bottomLeft" state="frozen"/>
      <selection sqref="A1:XFD1048576"/>
      <selection pane="bottomLeft"/>
    </sheetView>
  </sheetViews>
  <sheetFormatPr defaultRowHeight="14.25" x14ac:dyDescent="0.2"/>
  <cols>
    <col min="1" max="1" width="17.7109375" style="2" customWidth="1"/>
    <col min="2" max="2" width="9.28515625" style="10" bestFit="1" customWidth="1"/>
    <col min="3" max="3" width="18.7109375" style="2" customWidth="1"/>
    <col min="4" max="4" width="17.5703125" style="10" customWidth="1"/>
    <col min="5" max="5" width="18.7109375" style="2" customWidth="1"/>
    <col min="6" max="6" width="17.5703125" style="10" customWidth="1"/>
    <col min="7" max="7" width="18.7109375" style="2" customWidth="1"/>
    <col min="8" max="16384" width="9.140625" style="2"/>
  </cols>
  <sheetData>
    <row r="1" spans="1:7" ht="23.25" x14ac:dyDescent="0.35">
      <c r="A1" s="6" t="s">
        <v>72</v>
      </c>
      <c r="B1" s="7"/>
      <c r="C1" s="8"/>
      <c r="D1" s="7"/>
      <c r="E1" s="8"/>
      <c r="F1" s="7"/>
      <c r="G1" s="8"/>
    </row>
    <row r="2" spans="1:7" ht="15" x14ac:dyDescent="0.25">
      <c r="A2" s="9" t="s">
        <v>93</v>
      </c>
      <c r="B2" s="9"/>
      <c r="C2" s="9"/>
      <c r="D2" s="9"/>
      <c r="E2" s="9"/>
      <c r="F2" s="9"/>
      <c r="G2" s="9"/>
    </row>
    <row r="3" spans="1:7" ht="15" thickBot="1" x14ac:dyDescent="0.25"/>
    <row r="4" spans="1:7" s="37" customFormat="1" ht="25.5" x14ac:dyDescent="0.2">
      <c r="A4" s="34" t="s">
        <v>0</v>
      </c>
      <c r="B4" s="35" t="s">
        <v>1</v>
      </c>
      <c r="C4" s="38" t="s">
        <v>91</v>
      </c>
      <c r="D4" s="38" t="s">
        <v>92</v>
      </c>
      <c r="E4" s="38" t="s">
        <v>84</v>
      </c>
      <c r="F4" s="38" t="s">
        <v>85</v>
      </c>
      <c r="G4" s="39" t="s">
        <v>83</v>
      </c>
    </row>
    <row r="5" spans="1:7" x14ac:dyDescent="0.2">
      <c r="A5" s="11" t="s">
        <v>4</v>
      </c>
      <c r="B5" s="12" t="s">
        <v>81</v>
      </c>
      <c r="C5" s="13">
        <v>4310056589</v>
      </c>
      <c r="D5" s="14">
        <f>((C5-E5)/E5)</f>
        <v>1.261723510988892E-3</v>
      </c>
      <c r="E5" s="13">
        <v>4304625342</v>
      </c>
      <c r="F5" s="14">
        <f>((E5-G5)/G5)</f>
        <v>-4.4802233524161321E-3</v>
      </c>
      <c r="G5" s="15">
        <v>4323997818</v>
      </c>
    </row>
    <row r="6" spans="1:7" x14ac:dyDescent="0.2">
      <c r="A6" s="11" t="s">
        <v>5</v>
      </c>
      <c r="B6" s="12" t="s">
        <v>81</v>
      </c>
      <c r="C6" s="13">
        <v>313979575</v>
      </c>
      <c r="D6" s="14">
        <f t="shared" ref="D6:D69" si="0">((C6-E6)/E6)</f>
        <v>0.19350496062811942</v>
      </c>
      <c r="E6" s="13">
        <v>263073540</v>
      </c>
      <c r="F6" s="14">
        <f t="shared" ref="F6:F69" si="1">((E6-G6)/G6)</f>
        <v>3.6981833227002769E-2</v>
      </c>
      <c r="G6" s="15">
        <v>253691561</v>
      </c>
    </row>
    <row r="7" spans="1:7" x14ac:dyDescent="0.2">
      <c r="A7" s="11" t="s">
        <v>6</v>
      </c>
      <c r="B7" s="12" t="s">
        <v>81</v>
      </c>
      <c r="C7" s="13">
        <v>2710437850</v>
      </c>
      <c r="D7" s="14">
        <f t="shared" si="0"/>
        <v>1.2103442892545002E-2</v>
      </c>
      <c r="E7" s="13">
        <v>2678024533</v>
      </c>
      <c r="F7" s="14">
        <f t="shared" si="1"/>
        <v>8.3568885044515928E-2</v>
      </c>
      <c r="G7" s="15">
        <v>2471485265</v>
      </c>
    </row>
    <row r="8" spans="1:7" x14ac:dyDescent="0.2">
      <c r="A8" s="11" t="s">
        <v>7</v>
      </c>
      <c r="B8" s="12" t="s">
        <v>82</v>
      </c>
      <c r="C8" s="13">
        <v>360257134</v>
      </c>
      <c r="D8" s="14">
        <f t="shared" si="0"/>
        <v>5.4366253160654514E-2</v>
      </c>
      <c r="E8" s="13">
        <v>341681207</v>
      </c>
      <c r="F8" s="14">
        <f t="shared" si="1"/>
        <v>6.0199788743961161E-2</v>
      </c>
      <c r="G8" s="15">
        <v>322280018</v>
      </c>
    </row>
    <row r="9" spans="1:7" x14ac:dyDescent="0.2">
      <c r="A9" s="11" t="s">
        <v>8</v>
      </c>
      <c r="B9" s="12" t="s">
        <v>81</v>
      </c>
      <c r="C9" s="13">
        <v>12872899950</v>
      </c>
      <c r="D9" s="14">
        <f t="shared" si="0"/>
        <v>5.5283089494728294E-2</v>
      </c>
      <c r="E9" s="13">
        <v>12198527654</v>
      </c>
      <c r="F9" s="14">
        <f t="shared" si="1"/>
        <v>6.0515323523178337E-2</v>
      </c>
      <c r="G9" s="15">
        <v>11502452990</v>
      </c>
    </row>
    <row r="10" spans="1:7" x14ac:dyDescent="0.2">
      <c r="A10" s="11" t="s">
        <v>9</v>
      </c>
      <c r="B10" s="12" t="s">
        <v>81</v>
      </c>
      <c r="C10" s="13">
        <v>12815812408</v>
      </c>
      <c r="D10" s="14">
        <f t="shared" si="0"/>
        <v>5.6417263924273583E-2</v>
      </c>
      <c r="E10" s="13">
        <v>12131392439</v>
      </c>
      <c r="F10" s="14">
        <f t="shared" si="1"/>
        <v>2.3706724894040642E-2</v>
      </c>
      <c r="G10" s="15">
        <v>11850456917</v>
      </c>
    </row>
    <row r="11" spans="1:7" x14ac:dyDescent="0.2">
      <c r="A11" s="11" t="s">
        <v>10</v>
      </c>
      <c r="B11" s="12" t="s">
        <v>82</v>
      </c>
      <c r="C11" s="13">
        <v>514353255</v>
      </c>
      <c r="D11" s="14">
        <f t="shared" si="0"/>
        <v>0.29952931616375461</v>
      </c>
      <c r="E11" s="13">
        <v>395799655</v>
      </c>
      <c r="F11" s="14">
        <f t="shared" si="1"/>
        <v>6.0076798051042553E-2</v>
      </c>
      <c r="G11" s="15">
        <v>373368850</v>
      </c>
    </row>
    <row r="12" spans="1:7" x14ac:dyDescent="0.2">
      <c r="A12" s="11" t="s">
        <v>11</v>
      </c>
      <c r="B12" s="12" t="s">
        <v>81</v>
      </c>
      <c r="C12" s="13">
        <v>2062477549</v>
      </c>
      <c r="D12" s="14">
        <f t="shared" si="0"/>
        <v>8.3065606053425167E-2</v>
      </c>
      <c r="E12" s="13">
        <v>1904296044</v>
      </c>
      <c r="F12" s="14">
        <f t="shared" si="1"/>
        <v>6.1525656517466956E-2</v>
      </c>
      <c r="G12" s="15">
        <v>1793923710</v>
      </c>
    </row>
    <row r="13" spans="1:7" x14ac:dyDescent="0.2">
      <c r="A13" s="11" t="s">
        <v>12</v>
      </c>
      <c r="B13" s="12" t="s">
        <v>81</v>
      </c>
      <c r="C13" s="13">
        <v>2252801276</v>
      </c>
      <c r="D13" s="14">
        <f t="shared" si="0"/>
        <v>6.7316755820374094E-2</v>
      </c>
      <c r="E13" s="13">
        <v>2110714803</v>
      </c>
      <c r="F13" s="14">
        <f t="shared" si="1"/>
        <v>2.9610500069751758E-2</v>
      </c>
      <c r="G13" s="15">
        <v>2050012896</v>
      </c>
    </row>
    <row r="14" spans="1:7" x14ac:dyDescent="0.2">
      <c r="A14" s="11" t="s">
        <v>13</v>
      </c>
      <c r="B14" s="12" t="s">
        <v>81</v>
      </c>
      <c r="C14" s="13">
        <v>2298977024</v>
      </c>
      <c r="D14" s="14">
        <f t="shared" si="0"/>
        <v>5.6979045519845548E-2</v>
      </c>
      <c r="E14" s="13">
        <v>2175045034</v>
      </c>
      <c r="F14" s="14">
        <f t="shared" si="1"/>
        <v>0.10296603957705952</v>
      </c>
      <c r="G14" s="15">
        <v>1971996377</v>
      </c>
    </row>
    <row r="15" spans="1:7" x14ac:dyDescent="0.2">
      <c r="A15" s="11" t="s">
        <v>14</v>
      </c>
      <c r="B15" s="12" t="s">
        <v>81</v>
      </c>
      <c r="C15" s="13">
        <v>3548257627</v>
      </c>
      <c r="D15" s="14">
        <f t="shared" si="0"/>
        <v>4.4493408396495508E-2</v>
      </c>
      <c r="E15" s="13">
        <v>3397108683</v>
      </c>
      <c r="F15" s="14">
        <f t="shared" si="1"/>
        <v>3.1881991058558698E-2</v>
      </c>
      <c r="G15" s="15">
        <v>3292148436</v>
      </c>
    </row>
    <row r="16" spans="1:7" x14ac:dyDescent="0.2">
      <c r="A16" s="11" t="s">
        <v>15</v>
      </c>
      <c r="B16" s="12" t="s">
        <v>81</v>
      </c>
      <c r="C16" s="13">
        <v>1182344935</v>
      </c>
      <c r="D16" s="14">
        <f t="shared" si="0"/>
        <v>0.22155194817252591</v>
      </c>
      <c r="E16" s="13">
        <v>967903933</v>
      </c>
      <c r="F16" s="14">
        <f t="shared" si="1"/>
        <v>1.4879083992126445E-2</v>
      </c>
      <c r="G16" s="15">
        <v>953713549</v>
      </c>
    </row>
    <row r="17" spans="1:7" x14ac:dyDescent="0.2">
      <c r="A17" s="11" t="s">
        <v>78</v>
      </c>
      <c r="B17" s="12" t="s">
        <v>81</v>
      </c>
      <c r="C17" s="13">
        <v>23910446668</v>
      </c>
      <c r="D17" s="14">
        <f t="shared" si="0"/>
        <v>5.9257769065964715E-2</v>
      </c>
      <c r="E17" s="13">
        <v>22572831058</v>
      </c>
      <c r="F17" s="14">
        <f t="shared" si="1"/>
        <v>2.2141714957522412E-2</v>
      </c>
      <c r="G17" s="15">
        <v>22083856600</v>
      </c>
    </row>
    <row r="18" spans="1:7" x14ac:dyDescent="0.2">
      <c r="A18" s="11" t="s">
        <v>16</v>
      </c>
      <c r="B18" s="12" t="s">
        <v>81</v>
      </c>
      <c r="C18" s="13">
        <v>890281422</v>
      </c>
      <c r="D18" s="14">
        <f t="shared" si="0"/>
        <v>0.12283255184087212</v>
      </c>
      <c r="E18" s="13">
        <v>792888860</v>
      </c>
      <c r="F18" s="14">
        <f t="shared" si="1"/>
        <v>-6.280884178820216E-2</v>
      </c>
      <c r="G18" s="15">
        <v>846026825</v>
      </c>
    </row>
    <row r="19" spans="1:7" x14ac:dyDescent="0.2">
      <c r="A19" s="11" t="s">
        <v>17</v>
      </c>
      <c r="B19" s="12" t="s">
        <v>82</v>
      </c>
      <c r="C19" s="13">
        <v>124984171</v>
      </c>
      <c r="D19" s="14">
        <f t="shared" si="0"/>
        <v>1.6309986807032242E-2</v>
      </c>
      <c r="E19" s="13">
        <v>122978395</v>
      </c>
      <c r="F19" s="14">
        <f t="shared" si="1"/>
        <v>0.13100419271613861</v>
      </c>
      <c r="G19" s="15">
        <v>108733810</v>
      </c>
    </row>
    <row r="20" spans="1:7" x14ac:dyDescent="0.2">
      <c r="A20" s="11" t="s">
        <v>18</v>
      </c>
      <c r="B20" s="12" t="s">
        <v>81</v>
      </c>
      <c r="C20" s="13">
        <v>17103292299</v>
      </c>
      <c r="D20" s="14">
        <f t="shared" si="0"/>
        <v>1.803478616746285E-2</v>
      </c>
      <c r="E20" s="13">
        <v>16800302437</v>
      </c>
      <c r="F20" s="14">
        <f t="shared" si="1"/>
        <v>2.2658090831890312E-2</v>
      </c>
      <c r="G20" s="15">
        <v>16428073652</v>
      </c>
    </row>
    <row r="21" spans="1:7" x14ac:dyDescent="0.2">
      <c r="A21" s="11" t="s">
        <v>19</v>
      </c>
      <c r="B21" s="12" t="s">
        <v>81</v>
      </c>
      <c r="C21" s="13">
        <v>4804569679</v>
      </c>
      <c r="D21" s="14">
        <f t="shared" si="0"/>
        <v>7.1679975877943294E-2</v>
      </c>
      <c r="E21" s="13">
        <v>4483213074</v>
      </c>
      <c r="F21" s="14">
        <f t="shared" si="1"/>
        <v>7.3343980589507932E-2</v>
      </c>
      <c r="G21" s="15">
        <v>4176865157</v>
      </c>
    </row>
    <row r="22" spans="1:7" x14ac:dyDescent="0.2">
      <c r="A22" s="11" t="s">
        <v>20</v>
      </c>
      <c r="B22" s="12" t="s">
        <v>81</v>
      </c>
      <c r="C22" s="13">
        <v>1250065354</v>
      </c>
      <c r="D22" s="14">
        <f t="shared" si="0"/>
        <v>0.20871314396621662</v>
      </c>
      <c r="E22" s="13">
        <v>1034211765</v>
      </c>
      <c r="F22" s="14">
        <f t="shared" si="1"/>
        <v>0.11268234193178794</v>
      </c>
      <c r="G22" s="15">
        <v>929476209</v>
      </c>
    </row>
    <row r="23" spans="1:7" x14ac:dyDescent="0.2">
      <c r="A23" s="11" t="s">
        <v>21</v>
      </c>
      <c r="B23" s="12" t="s">
        <v>82</v>
      </c>
      <c r="C23" s="13">
        <v>112526489</v>
      </c>
      <c r="D23" s="14">
        <f t="shared" si="0"/>
        <v>0.11479614044008508</v>
      </c>
      <c r="E23" s="13">
        <v>100939073</v>
      </c>
      <c r="F23" s="14">
        <f t="shared" si="1"/>
        <v>7.3018380801456201E-2</v>
      </c>
      <c r="G23" s="15">
        <v>94070218</v>
      </c>
    </row>
    <row r="24" spans="1:7" x14ac:dyDescent="0.2">
      <c r="A24" s="11" t="s">
        <v>22</v>
      </c>
      <c r="B24" s="12" t="s">
        <v>82</v>
      </c>
      <c r="C24" s="13">
        <v>938013359</v>
      </c>
      <c r="D24" s="14">
        <f t="shared" si="0"/>
        <v>0.13444887012285622</v>
      </c>
      <c r="E24" s="13">
        <v>826844985</v>
      </c>
      <c r="F24" s="14">
        <f t="shared" si="1"/>
        <v>3.9369088665586895E-2</v>
      </c>
      <c r="G24" s="15">
        <v>795525857</v>
      </c>
    </row>
    <row r="25" spans="1:7" x14ac:dyDescent="0.2">
      <c r="A25" s="11" t="s">
        <v>23</v>
      </c>
      <c r="B25" s="12" t="s">
        <v>82</v>
      </c>
      <c r="C25" s="13">
        <v>485117623</v>
      </c>
      <c r="D25" s="14">
        <f t="shared" si="0"/>
        <v>0.18073696908947534</v>
      </c>
      <c r="E25" s="13">
        <v>410860027</v>
      </c>
      <c r="F25" s="14">
        <f t="shared" si="1"/>
        <v>0.17185687526452595</v>
      </c>
      <c r="G25" s="15">
        <v>350605979</v>
      </c>
    </row>
    <row r="26" spans="1:7" x14ac:dyDescent="0.2">
      <c r="A26" s="11" t="s">
        <v>24</v>
      </c>
      <c r="B26" s="12" t="s">
        <v>82</v>
      </c>
      <c r="C26" s="13">
        <v>211850012</v>
      </c>
      <c r="D26" s="14">
        <f t="shared" si="0"/>
        <v>1.0814449585296993E-2</v>
      </c>
      <c r="E26" s="13">
        <v>209583482</v>
      </c>
      <c r="F26" s="14">
        <f t="shared" si="1"/>
        <v>0.10392996647275332</v>
      </c>
      <c r="G26" s="15">
        <v>189852154</v>
      </c>
    </row>
    <row r="27" spans="1:7" x14ac:dyDescent="0.2">
      <c r="A27" s="11" t="s">
        <v>25</v>
      </c>
      <c r="B27" s="12" t="s">
        <v>82</v>
      </c>
      <c r="C27" s="13">
        <v>167278624</v>
      </c>
      <c r="D27" s="14">
        <f t="shared" si="0"/>
        <v>7.1910304309559581E-2</v>
      </c>
      <c r="E27" s="13">
        <v>156056550</v>
      </c>
      <c r="F27" s="14">
        <f t="shared" si="1"/>
        <v>8.5024092155582126E-2</v>
      </c>
      <c r="G27" s="15">
        <v>143827728</v>
      </c>
    </row>
    <row r="28" spans="1:7" x14ac:dyDescent="0.2">
      <c r="A28" s="11" t="s">
        <v>26</v>
      </c>
      <c r="B28" s="12" t="s">
        <v>81</v>
      </c>
      <c r="C28" s="13">
        <v>679561332</v>
      </c>
      <c r="D28" s="14">
        <f t="shared" si="0"/>
        <v>3.3871482447104619E-2</v>
      </c>
      <c r="E28" s="13">
        <v>657297685</v>
      </c>
      <c r="F28" s="14">
        <f t="shared" si="1"/>
        <v>2.0693025033102631E-3</v>
      </c>
      <c r="G28" s="15">
        <v>655940346</v>
      </c>
    </row>
    <row r="29" spans="1:7" x14ac:dyDescent="0.2">
      <c r="A29" s="11" t="s">
        <v>27</v>
      </c>
      <c r="B29" s="12" t="s">
        <v>81</v>
      </c>
      <c r="C29" s="13">
        <v>1215984743</v>
      </c>
      <c r="D29" s="14">
        <f t="shared" si="0"/>
        <v>6.2018900220686367E-2</v>
      </c>
      <c r="E29" s="13">
        <v>1144974673</v>
      </c>
      <c r="F29" s="14">
        <f t="shared" si="1"/>
        <v>6.5154638738310733E-2</v>
      </c>
      <c r="G29" s="15">
        <v>1074937508</v>
      </c>
    </row>
    <row r="30" spans="1:7" x14ac:dyDescent="0.2">
      <c r="A30" s="11" t="s">
        <v>28</v>
      </c>
      <c r="B30" s="12" t="s">
        <v>81</v>
      </c>
      <c r="C30" s="13">
        <v>1774426554</v>
      </c>
      <c r="D30" s="14">
        <f t="shared" si="0"/>
        <v>8.7817433782898691E-2</v>
      </c>
      <c r="E30" s="13">
        <v>1631180471</v>
      </c>
      <c r="F30" s="14">
        <f t="shared" si="1"/>
        <v>0.17257247835470849</v>
      </c>
      <c r="G30" s="15">
        <v>1391112704</v>
      </c>
    </row>
    <row r="31" spans="1:7" x14ac:dyDescent="0.2">
      <c r="A31" s="11" t="s">
        <v>29</v>
      </c>
      <c r="B31" s="12" t="s">
        <v>81</v>
      </c>
      <c r="C31" s="13">
        <v>2321631203</v>
      </c>
      <c r="D31" s="14">
        <f t="shared" si="0"/>
        <v>0.10972302832191493</v>
      </c>
      <c r="E31" s="13">
        <v>2092081667</v>
      </c>
      <c r="F31" s="14">
        <f t="shared" si="1"/>
        <v>3.3738316891884633E-2</v>
      </c>
      <c r="G31" s="15">
        <v>2023801994</v>
      </c>
    </row>
    <row r="32" spans="1:7" x14ac:dyDescent="0.2">
      <c r="A32" s="11" t="s">
        <v>30</v>
      </c>
      <c r="B32" s="12" t="s">
        <v>81</v>
      </c>
      <c r="C32" s="13">
        <v>900340568</v>
      </c>
      <c r="D32" s="14">
        <f t="shared" si="0"/>
        <v>5.0115456642384412E-2</v>
      </c>
      <c r="E32" s="13">
        <v>857372932</v>
      </c>
      <c r="F32" s="14">
        <f t="shared" si="1"/>
        <v>3.3139931321041774E-2</v>
      </c>
      <c r="G32" s="15">
        <v>829871062</v>
      </c>
    </row>
    <row r="33" spans="1:7" x14ac:dyDescent="0.2">
      <c r="A33" s="11" t="s">
        <v>31</v>
      </c>
      <c r="B33" s="12" t="s">
        <v>81</v>
      </c>
      <c r="C33" s="13">
        <v>14813877120</v>
      </c>
      <c r="D33" s="14">
        <f t="shared" si="0"/>
        <v>2.3575430998462151E-2</v>
      </c>
      <c r="E33" s="13">
        <v>14472677510</v>
      </c>
      <c r="F33" s="14">
        <f t="shared" si="1"/>
        <v>1.9296123924514744E-2</v>
      </c>
      <c r="G33" s="15">
        <v>14198697680</v>
      </c>
    </row>
    <row r="34" spans="1:7" x14ac:dyDescent="0.2">
      <c r="A34" s="11" t="s">
        <v>32</v>
      </c>
      <c r="B34" s="12" t="s">
        <v>82</v>
      </c>
      <c r="C34" s="13">
        <v>167526344</v>
      </c>
      <c r="D34" s="14">
        <f t="shared" si="0"/>
        <v>0.20513586550663593</v>
      </c>
      <c r="E34" s="13">
        <v>139010338</v>
      </c>
      <c r="F34" s="14">
        <f t="shared" si="1"/>
        <v>0.1596093488227491</v>
      </c>
      <c r="G34" s="15">
        <v>119876869</v>
      </c>
    </row>
    <row r="35" spans="1:7" x14ac:dyDescent="0.2">
      <c r="A35" s="11" t="s">
        <v>33</v>
      </c>
      <c r="B35" s="12" t="s">
        <v>81</v>
      </c>
      <c r="C35" s="13">
        <v>1460638944</v>
      </c>
      <c r="D35" s="14">
        <f t="shared" si="0"/>
        <v>0.11894846530515504</v>
      </c>
      <c r="E35" s="13">
        <v>1305367485</v>
      </c>
      <c r="F35" s="14">
        <f t="shared" si="1"/>
        <v>1.1827965924065605E-2</v>
      </c>
      <c r="G35" s="15">
        <v>1290108130</v>
      </c>
    </row>
    <row r="36" spans="1:7" x14ac:dyDescent="0.2">
      <c r="A36" s="11" t="s">
        <v>34</v>
      </c>
      <c r="B36" s="12" t="s">
        <v>82</v>
      </c>
      <c r="C36" s="13">
        <v>569241907</v>
      </c>
      <c r="D36" s="14">
        <f t="shared" si="0"/>
        <v>3.230329205592633E-2</v>
      </c>
      <c r="E36" s="13">
        <v>551428937</v>
      </c>
      <c r="F36" s="14">
        <f t="shared" si="1"/>
        <v>3.3122368288620703E-2</v>
      </c>
      <c r="G36" s="15">
        <v>533749877</v>
      </c>
    </row>
    <row r="37" spans="1:7" x14ac:dyDescent="0.2">
      <c r="A37" s="11" t="s">
        <v>35</v>
      </c>
      <c r="B37" s="12" t="s">
        <v>82</v>
      </c>
      <c r="C37" s="13">
        <v>288704658</v>
      </c>
      <c r="D37" s="14">
        <f t="shared" si="0"/>
        <v>2.8751384110630003E-2</v>
      </c>
      <c r="E37" s="13">
        <v>280635985</v>
      </c>
      <c r="F37" s="14">
        <f t="shared" si="1"/>
        <v>1.2238259724871768E-2</v>
      </c>
      <c r="G37" s="15">
        <v>277243013</v>
      </c>
    </row>
    <row r="38" spans="1:7" x14ac:dyDescent="0.2">
      <c r="A38" s="11" t="s">
        <v>36</v>
      </c>
      <c r="B38" s="12" t="s">
        <v>82</v>
      </c>
      <c r="C38" s="13">
        <v>78953209</v>
      </c>
      <c r="D38" s="14">
        <f t="shared" si="0"/>
        <v>4.3088960404406657E-2</v>
      </c>
      <c r="E38" s="13">
        <v>75691731</v>
      </c>
      <c r="F38" s="14">
        <f t="shared" si="1"/>
        <v>7.0912236907930415E-2</v>
      </c>
      <c r="G38" s="15">
        <v>70679677</v>
      </c>
    </row>
    <row r="39" spans="1:7" x14ac:dyDescent="0.2">
      <c r="A39" s="11" t="s">
        <v>37</v>
      </c>
      <c r="B39" s="12" t="s">
        <v>81</v>
      </c>
      <c r="C39" s="13">
        <v>2809427663</v>
      </c>
      <c r="D39" s="14">
        <f t="shared" si="0"/>
        <v>7.6868151680312691E-2</v>
      </c>
      <c r="E39" s="13">
        <v>2608887317</v>
      </c>
      <c r="F39" s="14">
        <f t="shared" si="1"/>
        <v>5.2883996182798522E-2</v>
      </c>
      <c r="G39" s="15">
        <v>2477848772</v>
      </c>
    </row>
    <row r="40" spans="1:7" x14ac:dyDescent="0.2">
      <c r="A40" s="11" t="s">
        <v>38</v>
      </c>
      <c r="B40" s="12" t="s">
        <v>81</v>
      </c>
      <c r="C40" s="13">
        <v>7537686793</v>
      </c>
      <c r="D40" s="14">
        <f t="shared" si="0"/>
        <v>6.0210919410913749E-2</v>
      </c>
      <c r="E40" s="13">
        <v>7109610602</v>
      </c>
      <c r="F40" s="14">
        <f t="shared" si="1"/>
        <v>4.6789030109678831E-2</v>
      </c>
      <c r="G40" s="15">
        <v>6791827577</v>
      </c>
    </row>
    <row r="41" spans="1:7" x14ac:dyDescent="0.2">
      <c r="A41" s="11" t="s">
        <v>39</v>
      </c>
      <c r="B41" s="12" t="s">
        <v>81</v>
      </c>
      <c r="C41" s="13">
        <v>2658441666</v>
      </c>
      <c r="D41" s="14">
        <f t="shared" si="0"/>
        <v>1.9921403872461788E-2</v>
      </c>
      <c r="E41" s="13">
        <v>2606516204</v>
      </c>
      <c r="F41" s="14">
        <f t="shared" si="1"/>
        <v>0.11414910071316589</v>
      </c>
      <c r="G41" s="15">
        <v>2339468032</v>
      </c>
    </row>
    <row r="42" spans="1:7" x14ac:dyDescent="0.2">
      <c r="A42" s="11" t="s">
        <v>40</v>
      </c>
      <c r="B42" s="12" t="s">
        <v>82</v>
      </c>
      <c r="C42" s="13">
        <v>619400055</v>
      </c>
      <c r="D42" s="14">
        <f t="shared" si="0"/>
        <v>0.25352751901665233</v>
      </c>
      <c r="E42" s="13">
        <v>494125614</v>
      </c>
      <c r="F42" s="14">
        <f t="shared" si="1"/>
        <v>0.19614051390896606</v>
      </c>
      <c r="G42" s="15">
        <v>413099973</v>
      </c>
    </row>
    <row r="43" spans="1:7" x14ac:dyDescent="0.2">
      <c r="A43" s="11" t="s">
        <v>41</v>
      </c>
      <c r="B43" s="12" t="s">
        <v>82</v>
      </c>
      <c r="C43" s="13">
        <v>179139345</v>
      </c>
      <c r="D43" s="14">
        <f t="shared" si="0"/>
        <v>0.11137927871729809</v>
      </c>
      <c r="E43" s="13">
        <v>161186508</v>
      </c>
      <c r="F43" s="14">
        <f t="shared" si="1"/>
        <v>1.9170230262029544E-2</v>
      </c>
      <c r="G43" s="15">
        <v>158154647</v>
      </c>
    </row>
    <row r="44" spans="1:7" x14ac:dyDescent="0.2">
      <c r="A44" s="11" t="s">
        <v>42</v>
      </c>
      <c r="B44" s="12" t="s">
        <v>82</v>
      </c>
      <c r="C44" s="13">
        <v>429802001</v>
      </c>
      <c r="D44" s="14">
        <f t="shared" si="0"/>
        <v>0.16059893041936399</v>
      </c>
      <c r="E44" s="13">
        <v>370327759</v>
      </c>
      <c r="F44" s="14">
        <f t="shared" si="1"/>
        <v>7.53357932953585E-2</v>
      </c>
      <c r="G44" s="15">
        <v>344383365</v>
      </c>
    </row>
    <row r="45" spans="1:7" x14ac:dyDescent="0.2">
      <c r="A45" s="11" t="s">
        <v>43</v>
      </c>
      <c r="B45" s="12" t="s">
        <v>81</v>
      </c>
      <c r="C45" s="13">
        <v>5177933443</v>
      </c>
      <c r="D45" s="14">
        <f t="shared" si="0"/>
        <v>0.10371070338602295</v>
      </c>
      <c r="E45" s="13">
        <v>4691386454</v>
      </c>
      <c r="F45" s="14">
        <f t="shared" si="1"/>
        <v>2.7966925841489097E-2</v>
      </c>
      <c r="G45" s="15">
        <v>4563752331</v>
      </c>
    </row>
    <row r="46" spans="1:7" x14ac:dyDescent="0.2">
      <c r="A46" s="11" t="s">
        <v>44</v>
      </c>
      <c r="B46" s="12" t="s">
        <v>81</v>
      </c>
      <c r="C46" s="13">
        <v>2978345969</v>
      </c>
      <c r="D46" s="14">
        <f t="shared" si="0"/>
        <v>7.0667523040795557E-2</v>
      </c>
      <c r="E46" s="13">
        <v>2781765492</v>
      </c>
      <c r="F46" s="14">
        <f t="shared" si="1"/>
        <v>6.8499551236144707E-2</v>
      </c>
      <c r="G46" s="15">
        <v>2603431596</v>
      </c>
    </row>
    <row r="47" spans="1:7" x14ac:dyDescent="0.2">
      <c r="A47" s="11" t="s">
        <v>45</v>
      </c>
      <c r="B47" s="12" t="s">
        <v>81</v>
      </c>
      <c r="C47" s="13">
        <v>3956998290</v>
      </c>
      <c r="D47" s="14">
        <f t="shared" si="0"/>
        <v>5.5319916603874281E-2</v>
      </c>
      <c r="E47" s="13">
        <v>3749572265</v>
      </c>
      <c r="F47" s="14">
        <f t="shared" si="1"/>
        <v>2.800713135050184E-2</v>
      </c>
      <c r="G47" s="15">
        <v>3647418535</v>
      </c>
    </row>
    <row r="48" spans="1:7" x14ac:dyDescent="0.2">
      <c r="A48" s="11" t="s">
        <v>46</v>
      </c>
      <c r="B48" s="12" t="s">
        <v>81</v>
      </c>
      <c r="C48" s="13">
        <v>1191609425</v>
      </c>
      <c r="D48" s="14">
        <f t="shared" si="0"/>
        <v>8.4949792397009144E-2</v>
      </c>
      <c r="E48" s="13">
        <v>1098308358</v>
      </c>
      <c r="F48" s="14">
        <f t="shared" si="1"/>
        <v>2.0292264048249947E-2</v>
      </c>
      <c r="G48" s="15">
        <v>1076464457</v>
      </c>
    </row>
    <row r="49" spans="1:7" x14ac:dyDescent="0.2">
      <c r="A49" s="11" t="s">
        <v>47</v>
      </c>
      <c r="B49" s="12" t="s">
        <v>81</v>
      </c>
      <c r="C49" s="13">
        <v>1703658921</v>
      </c>
      <c r="D49" s="14">
        <f t="shared" si="0"/>
        <v>3.7118256781923147E-2</v>
      </c>
      <c r="E49" s="13">
        <v>1642685306</v>
      </c>
      <c r="F49" s="14">
        <f t="shared" si="1"/>
        <v>4.7692580432060372E-2</v>
      </c>
      <c r="G49" s="15">
        <v>1567907740</v>
      </c>
    </row>
    <row r="50" spans="1:7" x14ac:dyDescent="0.2">
      <c r="A50" s="11" t="s">
        <v>48</v>
      </c>
      <c r="B50" s="12" t="s">
        <v>81</v>
      </c>
      <c r="C50" s="13">
        <v>1547631929</v>
      </c>
      <c r="D50" s="14">
        <f t="shared" si="0"/>
        <v>0.24291098109065604</v>
      </c>
      <c r="E50" s="13">
        <v>1245167154</v>
      </c>
      <c r="F50" s="14">
        <f t="shared" si="1"/>
        <v>3.2026229898771887E-2</v>
      </c>
      <c r="G50" s="15">
        <v>1206526654</v>
      </c>
    </row>
    <row r="51" spans="1:7" x14ac:dyDescent="0.2">
      <c r="A51" s="11" t="s">
        <v>49</v>
      </c>
      <c r="B51" s="12" t="s">
        <v>81</v>
      </c>
      <c r="C51" s="13">
        <v>2140879626</v>
      </c>
      <c r="D51" s="14">
        <f t="shared" si="0"/>
        <v>9.0171290877067836E-2</v>
      </c>
      <c r="E51" s="13">
        <v>1963801142</v>
      </c>
      <c r="F51" s="14">
        <f t="shared" si="1"/>
        <v>4.5449167239293931E-2</v>
      </c>
      <c r="G51" s="15">
        <v>1878428147</v>
      </c>
    </row>
    <row r="52" spans="1:7" x14ac:dyDescent="0.2">
      <c r="A52" s="11" t="s">
        <v>50</v>
      </c>
      <c r="B52" s="12" t="s">
        <v>81</v>
      </c>
      <c r="C52" s="13">
        <v>19599136411</v>
      </c>
      <c r="D52" s="14">
        <f t="shared" si="0"/>
        <v>1.4851203094501669E-2</v>
      </c>
      <c r="E52" s="13">
        <v>19312325148</v>
      </c>
      <c r="F52" s="14">
        <f t="shared" si="1"/>
        <v>2.562980962022476E-2</v>
      </c>
      <c r="G52" s="15">
        <v>18829722934</v>
      </c>
    </row>
    <row r="53" spans="1:7" x14ac:dyDescent="0.2">
      <c r="A53" s="11" t="s">
        <v>51</v>
      </c>
      <c r="B53" s="12" t="s">
        <v>81</v>
      </c>
      <c r="C53" s="13">
        <v>4108736278</v>
      </c>
      <c r="D53" s="14">
        <f t="shared" si="0"/>
        <v>0.1314845999674368</v>
      </c>
      <c r="E53" s="13">
        <v>3631279010</v>
      </c>
      <c r="F53" s="14">
        <f t="shared" si="1"/>
        <v>7.0281798511871205E-2</v>
      </c>
      <c r="G53" s="15">
        <v>3392825156</v>
      </c>
    </row>
    <row r="54" spans="1:7" x14ac:dyDescent="0.2">
      <c r="A54" s="11" t="s">
        <v>52</v>
      </c>
      <c r="B54" s="12" t="s">
        <v>81</v>
      </c>
      <c r="C54" s="13">
        <v>15712503998</v>
      </c>
      <c r="D54" s="14">
        <f t="shared" si="0"/>
        <v>4.2364122252256976E-2</v>
      </c>
      <c r="E54" s="13">
        <v>15073910990</v>
      </c>
      <c r="F54" s="14">
        <f t="shared" si="1"/>
        <v>4.0634084699587292E-2</v>
      </c>
      <c r="G54" s="15">
        <v>14485313533</v>
      </c>
    </row>
    <row r="55" spans="1:7" x14ac:dyDescent="0.2">
      <c r="A55" s="11" t="s">
        <v>53</v>
      </c>
      <c r="B55" s="12" t="s">
        <v>81</v>
      </c>
      <c r="C55" s="13">
        <v>4083241834</v>
      </c>
      <c r="D55" s="14">
        <f t="shared" si="0"/>
        <v>6.2249268250766529E-2</v>
      </c>
      <c r="E55" s="13">
        <v>3843958246</v>
      </c>
      <c r="F55" s="14">
        <f t="shared" si="1"/>
        <v>6.7973401586806398E-2</v>
      </c>
      <c r="G55" s="15">
        <v>3599301481</v>
      </c>
    </row>
    <row r="56" spans="1:7" x14ac:dyDescent="0.2">
      <c r="A56" s="11" t="s">
        <v>54</v>
      </c>
      <c r="B56" s="12" t="s">
        <v>81</v>
      </c>
      <c r="C56" s="13">
        <v>7640235282</v>
      </c>
      <c r="D56" s="14">
        <f t="shared" si="0"/>
        <v>3.5431895864591993E-2</v>
      </c>
      <c r="E56" s="13">
        <v>7378790737</v>
      </c>
      <c r="F56" s="14">
        <f t="shared" si="1"/>
        <v>3.5853327964277981E-2</v>
      </c>
      <c r="G56" s="15">
        <v>7123393378</v>
      </c>
    </row>
    <row r="57" spans="1:7" x14ac:dyDescent="0.2">
      <c r="A57" s="11" t="s">
        <v>55</v>
      </c>
      <c r="B57" s="12" t="s">
        <v>81</v>
      </c>
      <c r="C57" s="13">
        <v>9521638976</v>
      </c>
      <c r="D57" s="14">
        <f t="shared" si="0"/>
        <v>-5.8758123387746587E-3</v>
      </c>
      <c r="E57" s="13">
        <v>9577917019</v>
      </c>
      <c r="F57" s="14">
        <f t="shared" si="1"/>
        <v>5.1486445737050385E-2</v>
      </c>
      <c r="G57" s="15">
        <v>9108930560</v>
      </c>
    </row>
    <row r="58" spans="1:7" x14ac:dyDescent="0.2">
      <c r="A58" s="11" t="s">
        <v>56</v>
      </c>
      <c r="B58" s="12" t="s">
        <v>81</v>
      </c>
      <c r="C58" s="13">
        <v>3006983108</v>
      </c>
      <c r="D58" s="14">
        <f t="shared" si="0"/>
        <v>5.2746000825141838E-2</v>
      </c>
      <c r="E58" s="13">
        <v>2856323468</v>
      </c>
      <c r="F58" s="14">
        <f t="shared" si="1"/>
        <v>0.2146759102470378</v>
      </c>
      <c r="G58" s="15">
        <v>2351510756</v>
      </c>
    </row>
    <row r="59" spans="1:7" x14ac:dyDescent="0.2">
      <c r="A59" s="11" t="s">
        <v>2</v>
      </c>
      <c r="B59" s="12" t="s">
        <v>81</v>
      </c>
      <c r="C59" s="13">
        <v>2404488569</v>
      </c>
      <c r="D59" s="14">
        <f t="shared" si="0"/>
        <v>7.1438307644912241E-2</v>
      </c>
      <c r="E59" s="13">
        <v>2244168938</v>
      </c>
      <c r="F59" s="14">
        <f t="shared" si="1"/>
        <v>6.0207569831018222E-2</v>
      </c>
      <c r="G59" s="15">
        <v>2116726009</v>
      </c>
    </row>
    <row r="60" spans="1:7" x14ac:dyDescent="0.2">
      <c r="A60" s="11" t="s">
        <v>3</v>
      </c>
      <c r="B60" s="12" t="s">
        <v>81</v>
      </c>
      <c r="C60" s="13">
        <v>6548888442</v>
      </c>
      <c r="D60" s="14">
        <f t="shared" si="0"/>
        <v>0.11169057633648785</v>
      </c>
      <c r="E60" s="13">
        <v>5890927369</v>
      </c>
      <c r="F60" s="14">
        <f t="shared" si="1"/>
        <v>7.470368725912982E-2</v>
      </c>
      <c r="G60" s="15">
        <v>5481443340</v>
      </c>
    </row>
    <row r="61" spans="1:7" x14ac:dyDescent="0.2">
      <c r="A61" s="11" t="s">
        <v>57</v>
      </c>
      <c r="B61" s="12" t="s">
        <v>81</v>
      </c>
      <c r="C61" s="13">
        <v>1135959662</v>
      </c>
      <c r="D61" s="14">
        <f t="shared" si="0"/>
        <v>2.0001323570546816E-2</v>
      </c>
      <c r="E61" s="13">
        <v>1113684498</v>
      </c>
      <c r="F61" s="14">
        <f t="shared" si="1"/>
        <v>9.3657580376319133E-2</v>
      </c>
      <c r="G61" s="15">
        <v>1018311872</v>
      </c>
    </row>
    <row r="62" spans="1:7" x14ac:dyDescent="0.2">
      <c r="A62" s="11" t="s">
        <v>58</v>
      </c>
      <c r="B62" s="12" t="s">
        <v>81</v>
      </c>
      <c r="C62" s="13">
        <v>4015246691</v>
      </c>
      <c r="D62" s="14">
        <f t="shared" si="0"/>
        <v>3.9311325235273038E-2</v>
      </c>
      <c r="E62" s="13">
        <v>3863372402</v>
      </c>
      <c r="F62" s="14">
        <f t="shared" si="1"/>
        <v>6.0306200295757451E-2</v>
      </c>
      <c r="G62" s="15">
        <v>3643638414</v>
      </c>
    </row>
    <row r="63" spans="1:7" x14ac:dyDescent="0.2">
      <c r="A63" s="11" t="s">
        <v>59</v>
      </c>
      <c r="B63" s="12" t="s">
        <v>81</v>
      </c>
      <c r="C63" s="13">
        <v>3514400190</v>
      </c>
      <c r="D63" s="14">
        <f t="shared" si="0"/>
        <v>2.0808144363393351E-2</v>
      </c>
      <c r="E63" s="13">
        <v>3442762687</v>
      </c>
      <c r="F63" s="14">
        <f t="shared" si="1"/>
        <v>2.205764606119151E-2</v>
      </c>
      <c r="G63" s="15">
        <v>3368462337</v>
      </c>
    </row>
    <row r="64" spans="1:7" x14ac:dyDescent="0.2">
      <c r="A64" s="11" t="s">
        <v>60</v>
      </c>
      <c r="B64" s="12" t="s">
        <v>81</v>
      </c>
      <c r="C64" s="13">
        <v>1701081726</v>
      </c>
      <c r="D64" s="14">
        <f t="shared" si="0"/>
        <v>9.4838594677449387E-2</v>
      </c>
      <c r="E64" s="13">
        <v>1553728316</v>
      </c>
      <c r="F64" s="14">
        <f t="shared" si="1"/>
        <v>0.11956065035501642</v>
      </c>
      <c r="G64" s="15">
        <v>1387801827</v>
      </c>
    </row>
    <row r="65" spans="1:7" x14ac:dyDescent="0.2">
      <c r="A65" s="11" t="s">
        <v>61</v>
      </c>
      <c r="B65" s="12" t="s">
        <v>82</v>
      </c>
      <c r="C65" s="13">
        <v>1120825917</v>
      </c>
      <c r="D65" s="14">
        <f t="shared" si="0"/>
        <v>0.13405290105145631</v>
      </c>
      <c r="E65" s="13">
        <v>988336537</v>
      </c>
      <c r="F65" s="14">
        <f t="shared" si="1"/>
        <v>8.4905877350926792E-2</v>
      </c>
      <c r="G65" s="15">
        <v>910988278</v>
      </c>
    </row>
    <row r="66" spans="1:7" x14ac:dyDescent="0.2">
      <c r="A66" s="11" t="s">
        <v>62</v>
      </c>
      <c r="B66" s="12" t="s">
        <v>81</v>
      </c>
      <c r="C66" s="13">
        <v>504179262</v>
      </c>
      <c r="D66" s="14">
        <f t="shared" si="0"/>
        <v>-0.38154104804233413</v>
      </c>
      <c r="E66" s="13">
        <v>815218634</v>
      </c>
      <c r="F66" s="14">
        <f t="shared" si="1"/>
        <v>-0.11407699659683695</v>
      </c>
      <c r="G66" s="15">
        <v>920191293</v>
      </c>
    </row>
    <row r="67" spans="1:7" x14ac:dyDescent="0.2">
      <c r="A67" s="11" t="s">
        <v>63</v>
      </c>
      <c r="B67" s="12" t="s">
        <v>81</v>
      </c>
      <c r="C67" s="13">
        <v>111943924</v>
      </c>
      <c r="D67" s="14">
        <f t="shared" si="0"/>
        <v>-4.1510154417541884E-2</v>
      </c>
      <c r="E67" s="13">
        <v>116791977</v>
      </c>
      <c r="F67" s="14">
        <f t="shared" si="1"/>
        <v>6.5949845859726575E-2</v>
      </c>
      <c r="G67" s="15">
        <v>109566109</v>
      </c>
    </row>
    <row r="68" spans="1:7" x14ac:dyDescent="0.2">
      <c r="A68" s="11" t="s">
        <v>64</v>
      </c>
      <c r="B68" s="12" t="s">
        <v>81</v>
      </c>
      <c r="C68" s="13">
        <v>5390539582</v>
      </c>
      <c r="D68" s="14">
        <f t="shared" si="0"/>
        <v>6.2814377168924407E-2</v>
      </c>
      <c r="E68" s="13">
        <v>5071948308</v>
      </c>
      <c r="F68" s="14">
        <f t="shared" si="1"/>
        <v>4.4755321653786075E-2</v>
      </c>
      <c r="G68" s="15">
        <v>4854675734</v>
      </c>
    </row>
    <row r="69" spans="1:7" x14ac:dyDescent="0.2">
      <c r="A69" s="11" t="s">
        <v>65</v>
      </c>
      <c r="B69" s="12" t="s">
        <v>82</v>
      </c>
      <c r="C69" s="13">
        <v>269627447</v>
      </c>
      <c r="D69" s="14">
        <f t="shared" si="0"/>
        <v>6.8746968269338141E-2</v>
      </c>
      <c r="E69" s="13">
        <v>252283707</v>
      </c>
      <c r="F69" s="14">
        <f t="shared" si="1"/>
        <v>2.274329482394662E-2</v>
      </c>
      <c r="G69" s="15">
        <v>246673538</v>
      </c>
    </row>
    <row r="70" spans="1:7" x14ac:dyDescent="0.2">
      <c r="A70" s="11" t="s">
        <v>66</v>
      </c>
      <c r="B70" s="12" t="s">
        <v>81</v>
      </c>
      <c r="C70" s="13">
        <v>1048261422</v>
      </c>
      <c r="D70" s="14">
        <f>((C70-E70)/E70)</f>
        <v>0.10724406299878715</v>
      </c>
      <c r="E70" s="13">
        <v>946730226</v>
      </c>
      <c r="F70" s="14">
        <f>((E70-G70)/G70)</f>
        <v>9.1181668161571638E-2</v>
      </c>
      <c r="G70" s="15">
        <v>867619255</v>
      </c>
    </row>
    <row r="71" spans="1:7" x14ac:dyDescent="0.2">
      <c r="A71" s="11" t="s">
        <v>67</v>
      </c>
      <c r="B71" s="12" t="s">
        <v>82</v>
      </c>
      <c r="C71" s="13">
        <v>331616425</v>
      </c>
      <c r="D71" s="14">
        <f>((C71-E71)/E71)</f>
        <v>6.1284849031194778E-2</v>
      </c>
      <c r="E71" s="13">
        <v>312466936</v>
      </c>
      <c r="F71" s="14">
        <f>((E71-G71)/G71)</f>
        <v>8.3406623867495769E-2</v>
      </c>
      <c r="G71" s="15">
        <v>288411506</v>
      </c>
    </row>
    <row r="72" spans="1:7" x14ac:dyDescent="0.2">
      <c r="A72" s="16"/>
      <c r="B72" s="17"/>
      <c r="C72" s="13"/>
      <c r="D72" s="18"/>
      <c r="E72" s="13"/>
      <c r="F72" s="18"/>
      <c r="G72" s="15"/>
    </row>
    <row r="73" spans="1:7" ht="15.75" thickBot="1" x14ac:dyDescent="0.3">
      <c r="A73" s="19" t="s">
        <v>68</v>
      </c>
      <c r="B73" s="20"/>
      <c r="C73" s="21">
        <f>SUM(C5:C71)</f>
        <v>244212457726</v>
      </c>
      <c r="D73" s="22">
        <f>((C73-E73)/E73)</f>
        <v>5.0842205967176771E-2</v>
      </c>
      <c r="E73" s="21">
        <f>SUM(E5:E71)</f>
        <v>232396887315</v>
      </c>
      <c r="F73" s="22">
        <f>((E73-G73)/G73)</f>
        <v>4.2387743646840628E-2</v>
      </c>
      <c r="G73" s="23">
        <f>SUM(G5:G71)</f>
        <v>222946680572</v>
      </c>
    </row>
    <row r="75" spans="1:7" x14ac:dyDescent="0.2">
      <c r="A75" s="24" t="s">
        <v>90</v>
      </c>
    </row>
  </sheetData>
  <phoneticPr fontId="3" type="noConversion"/>
  <conditionalFormatting sqref="A75">
    <cfRule type="expression" dxfId="3" priority="9" stopIfTrue="1">
      <formula>MOD(ROW(),5)=1</formula>
    </cfRule>
  </conditionalFormatting>
  <conditionalFormatting sqref="A4:G73">
    <cfRule type="expression" dxfId="2" priority="1" stopIfTrue="1">
      <formula>MOD(ROW(),3)=1</formula>
    </cfRule>
  </conditionalFormatting>
  <pageMargins left="0.7" right="0.7" top="0.5" bottom="0.5" header="0.05" footer="0.05"/>
  <pageSetup scale="78" fitToHeight="2" orientation="landscape" r:id="rId1"/>
  <rowBreaks count="1" manualBreakCount="1">
    <brk id="37" max="8" man="1"/>
  </rowBreaks>
  <ignoredErrors>
    <ignoredError sqref="E73 G7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5"/>
  <sheetViews>
    <sheetView zoomScaleNormal="100" zoomScaleSheetLayoutView="100" workbookViewId="0">
      <pane ySplit="4" topLeftCell="A5" activePane="bottomLeft" state="frozen"/>
      <selection sqref="A1:XFD1048576"/>
      <selection pane="bottomLeft"/>
    </sheetView>
  </sheetViews>
  <sheetFormatPr defaultRowHeight="14.25" x14ac:dyDescent="0.2"/>
  <cols>
    <col min="1" max="1" width="17.7109375" style="2" customWidth="1"/>
    <col min="2" max="2" width="9.28515625" style="10" bestFit="1" customWidth="1"/>
    <col min="3" max="3" width="18.7109375" style="2" customWidth="1"/>
    <col min="4" max="4" width="17.5703125" style="10" customWidth="1"/>
    <col min="5" max="5" width="18.7109375" style="2" customWidth="1"/>
    <col min="6" max="6" width="17.5703125" style="10" customWidth="1"/>
    <col min="7" max="7" width="18.7109375" style="2" customWidth="1"/>
    <col min="8" max="16384" width="9.140625" style="2"/>
  </cols>
  <sheetData>
    <row r="1" spans="1:7" ht="23.25" x14ac:dyDescent="0.35">
      <c r="A1" s="6" t="s">
        <v>73</v>
      </c>
      <c r="B1" s="7"/>
      <c r="C1" s="8"/>
      <c r="D1" s="7"/>
      <c r="E1" s="8"/>
      <c r="F1" s="7"/>
      <c r="G1" s="8"/>
    </row>
    <row r="2" spans="1:7" ht="15" x14ac:dyDescent="0.25">
      <c r="A2" s="9" t="s">
        <v>93</v>
      </c>
      <c r="B2" s="9"/>
      <c r="C2" s="9"/>
      <c r="D2" s="9"/>
      <c r="E2" s="9"/>
      <c r="F2" s="9"/>
      <c r="G2" s="9"/>
    </row>
    <row r="3" spans="1:7" ht="15" thickBot="1" x14ac:dyDescent="0.25"/>
    <row r="4" spans="1:7" s="37" customFormat="1" ht="25.5" x14ac:dyDescent="0.2">
      <c r="A4" s="34" t="s">
        <v>0</v>
      </c>
      <c r="B4" s="35" t="s">
        <v>1</v>
      </c>
      <c r="C4" s="38" t="s">
        <v>91</v>
      </c>
      <c r="D4" s="38" t="s">
        <v>92</v>
      </c>
      <c r="E4" s="38" t="s">
        <v>84</v>
      </c>
      <c r="F4" s="38" t="s">
        <v>85</v>
      </c>
      <c r="G4" s="39" t="s">
        <v>83</v>
      </c>
    </row>
    <row r="5" spans="1:7" x14ac:dyDescent="0.2">
      <c r="A5" s="11" t="s">
        <v>4</v>
      </c>
      <c r="B5" s="12" t="s">
        <v>81</v>
      </c>
      <c r="C5" s="13">
        <v>35799075</v>
      </c>
      <c r="D5" s="14">
        <f>((C5-E5)/E5)</f>
        <v>4.6227927929165386E-2</v>
      </c>
      <c r="E5" s="13">
        <v>34217281</v>
      </c>
      <c r="F5" s="14">
        <f>((E5-G5)/G5)</f>
        <v>3.5595068674609605E-2</v>
      </c>
      <c r="G5" s="15">
        <v>33041178</v>
      </c>
    </row>
    <row r="6" spans="1:7" x14ac:dyDescent="0.2">
      <c r="A6" s="11" t="s">
        <v>5</v>
      </c>
      <c r="B6" s="12" t="s">
        <v>81</v>
      </c>
      <c r="C6" s="13">
        <v>12800073</v>
      </c>
      <c r="D6" s="14">
        <f t="shared" ref="D6:D68" si="0">((C6-E6)/E6)</f>
        <v>-0.16899905013237834</v>
      </c>
      <c r="E6" s="13">
        <v>15403199</v>
      </c>
      <c r="F6" s="14">
        <f t="shared" ref="F6:F68" si="1">((E6-G6)/G6)</f>
        <v>-1.7234070599236383E-2</v>
      </c>
      <c r="G6" s="15">
        <v>15673314</v>
      </c>
    </row>
    <row r="7" spans="1:7" x14ac:dyDescent="0.2">
      <c r="A7" s="11" t="s">
        <v>6</v>
      </c>
      <c r="B7" s="12" t="s">
        <v>81</v>
      </c>
      <c r="C7" s="13">
        <v>28141540</v>
      </c>
      <c r="D7" s="14">
        <f t="shared" si="0"/>
        <v>-0.19142832203205068</v>
      </c>
      <c r="E7" s="13">
        <v>34804014</v>
      </c>
      <c r="F7" s="14">
        <f t="shared" si="1"/>
        <v>-2.7186389604035615E-2</v>
      </c>
      <c r="G7" s="15">
        <v>35776652</v>
      </c>
    </row>
    <row r="8" spans="1:7" x14ac:dyDescent="0.2">
      <c r="A8" s="11" t="s">
        <v>7</v>
      </c>
      <c r="B8" s="12" t="s">
        <v>82</v>
      </c>
      <c r="C8" s="13">
        <v>19998905</v>
      </c>
      <c r="D8" s="14">
        <f t="shared" si="0"/>
        <v>4.6014008149732132E-2</v>
      </c>
      <c r="E8" s="13">
        <v>19119156</v>
      </c>
      <c r="F8" s="14">
        <f t="shared" si="1"/>
        <v>2.3628917265026486E-3</v>
      </c>
      <c r="G8" s="15">
        <v>19074086</v>
      </c>
    </row>
    <row r="9" spans="1:7" x14ac:dyDescent="0.2">
      <c r="A9" s="11" t="s">
        <v>8</v>
      </c>
      <c r="B9" s="12" t="s">
        <v>81</v>
      </c>
      <c r="C9" s="13">
        <v>145856371</v>
      </c>
      <c r="D9" s="14">
        <f t="shared" si="0"/>
        <v>-5.1303429337460826E-3</v>
      </c>
      <c r="E9" s="13">
        <v>146608523</v>
      </c>
      <c r="F9" s="14">
        <f t="shared" si="1"/>
        <v>0.24920342775126259</v>
      </c>
      <c r="G9" s="15">
        <v>117361608</v>
      </c>
    </row>
    <row r="10" spans="1:7" x14ac:dyDescent="0.2">
      <c r="A10" s="11" t="s">
        <v>9</v>
      </c>
      <c r="B10" s="12" t="s">
        <v>81</v>
      </c>
      <c r="C10" s="13">
        <v>113721947</v>
      </c>
      <c r="D10" s="14">
        <f t="shared" si="0"/>
        <v>1.436670817691248E-2</v>
      </c>
      <c r="E10" s="13">
        <v>112111277</v>
      </c>
      <c r="F10" s="14">
        <f t="shared" si="1"/>
        <v>0.1097868294145416</v>
      </c>
      <c r="G10" s="15">
        <v>101020551</v>
      </c>
    </row>
    <row r="11" spans="1:7" x14ac:dyDescent="0.2">
      <c r="A11" s="11" t="s">
        <v>10</v>
      </c>
      <c r="B11" s="12" t="s">
        <v>82</v>
      </c>
      <c r="C11" s="13"/>
      <c r="D11" s="14" t="s">
        <v>79</v>
      </c>
      <c r="E11" s="13"/>
      <c r="F11" s="14" t="s">
        <v>79</v>
      </c>
      <c r="G11" s="15"/>
    </row>
    <row r="12" spans="1:7" x14ac:dyDescent="0.2">
      <c r="A12" s="11" t="s">
        <v>11</v>
      </c>
      <c r="B12" s="12" t="s">
        <v>81</v>
      </c>
      <c r="C12" s="13">
        <v>3192820</v>
      </c>
      <c r="D12" s="14">
        <f t="shared" si="0"/>
        <v>-6.866476199067155E-3</v>
      </c>
      <c r="E12" s="13">
        <v>3214895</v>
      </c>
      <c r="F12" s="14">
        <f t="shared" si="1"/>
        <v>0.16330725847830824</v>
      </c>
      <c r="G12" s="15">
        <v>2763582</v>
      </c>
    </row>
    <row r="13" spans="1:7" x14ac:dyDescent="0.2">
      <c r="A13" s="11" t="s">
        <v>12</v>
      </c>
      <c r="B13" s="12" t="s">
        <v>81</v>
      </c>
      <c r="C13" s="13">
        <v>1693029</v>
      </c>
      <c r="D13" s="14">
        <f t="shared" si="0"/>
        <v>5.1251514291621988E-2</v>
      </c>
      <c r="E13" s="13">
        <v>1610489</v>
      </c>
      <c r="F13" s="14">
        <f t="shared" si="1"/>
        <v>6.6560307923792569E-2</v>
      </c>
      <c r="G13" s="15">
        <v>1509984</v>
      </c>
    </row>
    <row r="14" spans="1:7" x14ac:dyDescent="0.2">
      <c r="A14" s="11" t="s">
        <v>13</v>
      </c>
      <c r="B14" s="12" t="s">
        <v>81</v>
      </c>
      <c r="C14" s="13">
        <v>34329523</v>
      </c>
      <c r="D14" s="14">
        <f t="shared" si="0"/>
        <v>0.97579078772586947</v>
      </c>
      <c r="E14" s="13">
        <v>17375080</v>
      </c>
      <c r="F14" s="14">
        <f t="shared" si="1"/>
        <v>2.0182139832771282E-3</v>
      </c>
      <c r="G14" s="15">
        <v>17340084</v>
      </c>
    </row>
    <row r="15" spans="1:7" x14ac:dyDescent="0.2">
      <c r="A15" s="11" t="s">
        <v>14</v>
      </c>
      <c r="B15" s="12" t="s">
        <v>81</v>
      </c>
      <c r="C15" s="13">
        <v>216123</v>
      </c>
      <c r="D15" s="14">
        <f t="shared" si="0"/>
        <v>4.4450888002899598E-2</v>
      </c>
      <c r="E15" s="13">
        <v>206925</v>
      </c>
      <c r="F15" s="14">
        <f t="shared" si="1"/>
        <v>0.16474442324254041</v>
      </c>
      <c r="G15" s="15">
        <v>177657</v>
      </c>
    </row>
    <row r="16" spans="1:7" x14ac:dyDescent="0.2">
      <c r="A16" s="11" t="s">
        <v>15</v>
      </c>
      <c r="B16" s="12" t="s">
        <v>81</v>
      </c>
      <c r="C16" s="13">
        <v>12666376</v>
      </c>
      <c r="D16" s="14">
        <f t="shared" si="0"/>
        <v>-0.18426204440043364</v>
      </c>
      <c r="E16" s="13">
        <v>15527506</v>
      </c>
      <c r="F16" s="14">
        <f t="shared" si="1"/>
        <v>-1.9981142494213459E-2</v>
      </c>
      <c r="G16" s="15">
        <v>15844089</v>
      </c>
    </row>
    <row r="17" spans="1:7" x14ac:dyDescent="0.2">
      <c r="A17" s="11" t="s">
        <v>78</v>
      </c>
      <c r="B17" s="12" t="s">
        <v>81</v>
      </c>
      <c r="C17" s="13">
        <v>214759890</v>
      </c>
      <c r="D17" s="14">
        <f t="shared" si="0"/>
        <v>3.3290396098305704E-3</v>
      </c>
      <c r="E17" s="13">
        <v>214047318</v>
      </c>
      <c r="F17" s="14">
        <f t="shared" si="1"/>
        <v>0.17946142950797211</v>
      </c>
      <c r="G17" s="15">
        <v>181478862</v>
      </c>
    </row>
    <row r="18" spans="1:7" x14ac:dyDescent="0.2">
      <c r="A18" s="11" t="s">
        <v>16</v>
      </c>
      <c r="B18" s="12" t="s">
        <v>81</v>
      </c>
      <c r="C18" s="13">
        <v>4843037</v>
      </c>
      <c r="D18" s="14">
        <f t="shared" si="0"/>
        <v>1.4442552052361007E-2</v>
      </c>
      <c r="E18" s="13">
        <v>4774087</v>
      </c>
      <c r="F18" s="14">
        <f t="shared" si="1"/>
        <v>7.4722707909693417E-2</v>
      </c>
      <c r="G18" s="15">
        <v>4442157</v>
      </c>
    </row>
    <row r="19" spans="1:7" x14ac:dyDescent="0.2">
      <c r="A19" s="11" t="s">
        <v>17</v>
      </c>
      <c r="B19" s="12" t="s">
        <v>82</v>
      </c>
      <c r="C19" s="13"/>
      <c r="D19" s="14" t="s">
        <v>79</v>
      </c>
      <c r="E19" s="13"/>
      <c r="F19" s="14" t="s">
        <v>79</v>
      </c>
      <c r="G19" s="15"/>
    </row>
    <row r="20" spans="1:7" x14ac:dyDescent="0.2">
      <c r="A20" s="11" t="s">
        <v>18</v>
      </c>
      <c r="B20" s="12" t="s">
        <v>81</v>
      </c>
      <c r="C20" s="13">
        <v>222484856</v>
      </c>
      <c r="D20" s="14">
        <f t="shared" si="0"/>
        <v>1.4557302695028196E-2</v>
      </c>
      <c r="E20" s="13">
        <v>219292548</v>
      </c>
      <c r="F20" s="14">
        <f t="shared" si="1"/>
        <v>-3.9987478174514035E-2</v>
      </c>
      <c r="G20" s="15">
        <v>228426758</v>
      </c>
    </row>
    <row r="21" spans="1:7" x14ac:dyDescent="0.2">
      <c r="A21" s="11" t="s">
        <v>19</v>
      </c>
      <c r="B21" s="12" t="s">
        <v>81</v>
      </c>
      <c r="C21" s="13">
        <v>34074924</v>
      </c>
      <c r="D21" s="14">
        <f t="shared" si="0"/>
        <v>4.2162295080463062E-2</v>
      </c>
      <c r="E21" s="13">
        <v>32696370</v>
      </c>
      <c r="F21" s="14">
        <f t="shared" si="1"/>
        <v>2.0325963868836547E-2</v>
      </c>
      <c r="G21" s="15">
        <v>32045024</v>
      </c>
    </row>
    <row r="22" spans="1:7" x14ac:dyDescent="0.2">
      <c r="A22" s="11" t="s">
        <v>20</v>
      </c>
      <c r="B22" s="12" t="s">
        <v>81</v>
      </c>
      <c r="C22" s="13">
        <v>24167147</v>
      </c>
      <c r="D22" s="14">
        <f t="shared" si="0"/>
        <v>-1.8043398666551108E-2</v>
      </c>
      <c r="E22" s="13">
        <v>24611217</v>
      </c>
      <c r="F22" s="14">
        <f t="shared" si="1"/>
        <v>-0.16667605139644609</v>
      </c>
      <c r="G22" s="15">
        <v>29533793</v>
      </c>
    </row>
    <row r="23" spans="1:7" x14ac:dyDescent="0.2">
      <c r="A23" s="11" t="s">
        <v>21</v>
      </c>
      <c r="B23" s="12" t="s">
        <v>82</v>
      </c>
      <c r="C23" s="13">
        <v>0</v>
      </c>
      <c r="D23" s="14">
        <f t="shared" si="0"/>
        <v>-1</v>
      </c>
      <c r="E23" s="13">
        <v>689947</v>
      </c>
      <c r="F23" s="14">
        <f t="shared" si="1"/>
        <v>0.11523888958933426</v>
      </c>
      <c r="G23" s="15">
        <v>618654</v>
      </c>
    </row>
    <row r="24" spans="1:7" x14ac:dyDescent="0.2">
      <c r="A24" s="11" t="s">
        <v>22</v>
      </c>
      <c r="B24" s="12" t="s">
        <v>82</v>
      </c>
      <c r="C24" s="13">
        <v>9645145</v>
      </c>
      <c r="D24" s="14">
        <f t="shared" si="0"/>
        <v>0.14157899601974258</v>
      </c>
      <c r="E24" s="13">
        <v>8448951</v>
      </c>
      <c r="F24" s="14">
        <f t="shared" si="1"/>
        <v>2.6161002425077001E-2</v>
      </c>
      <c r="G24" s="15">
        <v>8233553</v>
      </c>
    </row>
    <row r="25" spans="1:7" x14ac:dyDescent="0.2">
      <c r="A25" s="11" t="s">
        <v>23</v>
      </c>
      <c r="B25" s="12" t="s">
        <v>82</v>
      </c>
      <c r="C25" s="13"/>
      <c r="D25" s="14" t="s">
        <v>79</v>
      </c>
      <c r="E25" s="13"/>
      <c r="F25" s="14" t="s">
        <v>79</v>
      </c>
      <c r="G25" s="15"/>
    </row>
    <row r="26" spans="1:7" x14ac:dyDescent="0.2">
      <c r="A26" s="11" t="s">
        <v>24</v>
      </c>
      <c r="B26" s="12" t="s">
        <v>82</v>
      </c>
      <c r="C26" s="13">
        <v>13804965</v>
      </c>
      <c r="D26" s="14">
        <f t="shared" si="0"/>
        <v>-0.11513083950227473</v>
      </c>
      <c r="E26" s="13">
        <v>15601137</v>
      </c>
      <c r="F26" s="14">
        <f t="shared" si="1"/>
        <v>-0.1610710148413467</v>
      </c>
      <c r="G26" s="15">
        <v>18596493</v>
      </c>
    </row>
    <row r="27" spans="1:7" x14ac:dyDescent="0.2">
      <c r="A27" s="11" t="s">
        <v>25</v>
      </c>
      <c r="B27" s="12" t="s">
        <v>82</v>
      </c>
      <c r="C27" s="13"/>
      <c r="D27" s="14">
        <f t="shared" si="0"/>
        <v>-1</v>
      </c>
      <c r="E27" s="13">
        <v>593333</v>
      </c>
      <c r="F27" s="14">
        <f t="shared" si="1"/>
        <v>0.25425265877050757</v>
      </c>
      <c r="G27" s="15">
        <v>473057</v>
      </c>
    </row>
    <row r="28" spans="1:7" x14ac:dyDescent="0.2">
      <c r="A28" s="11" t="s">
        <v>26</v>
      </c>
      <c r="B28" s="12" t="s">
        <v>81</v>
      </c>
      <c r="C28" s="13">
        <v>20788817</v>
      </c>
      <c r="D28" s="14">
        <f t="shared" si="0"/>
        <v>-0.25345791827085989</v>
      </c>
      <c r="E28" s="13">
        <v>27846812</v>
      </c>
      <c r="F28" s="14">
        <f t="shared" si="1"/>
        <v>-2.9283642954678776E-2</v>
      </c>
      <c r="G28" s="15">
        <v>28686868</v>
      </c>
    </row>
    <row r="29" spans="1:7" x14ac:dyDescent="0.2">
      <c r="A29" s="11" t="s">
        <v>27</v>
      </c>
      <c r="B29" s="12" t="s">
        <v>81</v>
      </c>
      <c r="C29" s="13">
        <v>9908239</v>
      </c>
      <c r="D29" s="14">
        <f t="shared" si="0"/>
        <v>4.5112476620549784E-2</v>
      </c>
      <c r="E29" s="13">
        <v>9480548</v>
      </c>
      <c r="F29" s="14">
        <f t="shared" si="1"/>
        <v>1.8450636832289841E-3</v>
      </c>
      <c r="G29" s="15">
        <v>9463088</v>
      </c>
    </row>
    <row r="30" spans="1:7" x14ac:dyDescent="0.2">
      <c r="A30" s="11" t="s">
        <v>28</v>
      </c>
      <c r="B30" s="12" t="s">
        <v>81</v>
      </c>
      <c r="C30" s="13">
        <v>4791290</v>
      </c>
      <c r="D30" s="14">
        <f t="shared" si="0"/>
        <v>-0.10527014593615365</v>
      </c>
      <c r="E30" s="13">
        <v>5355013</v>
      </c>
      <c r="F30" s="14">
        <f t="shared" si="1"/>
        <v>-0.15085166754567708</v>
      </c>
      <c r="G30" s="15">
        <v>6306334</v>
      </c>
    </row>
    <row r="31" spans="1:7" x14ac:dyDescent="0.2">
      <c r="A31" s="11" t="s">
        <v>29</v>
      </c>
      <c r="B31" s="12" t="s">
        <v>81</v>
      </c>
      <c r="C31" s="13">
        <v>12674645</v>
      </c>
      <c r="D31" s="14">
        <f t="shared" si="0"/>
        <v>4.6499310158056785E-2</v>
      </c>
      <c r="E31" s="13">
        <v>12111470</v>
      </c>
      <c r="F31" s="14">
        <f t="shared" si="1"/>
        <v>1.3748009275358869E-3</v>
      </c>
      <c r="G31" s="15">
        <v>12094842</v>
      </c>
    </row>
    <row r="32" spans="1:7" x14ac:dyDescent="0.2">
      <c r="A32" s="11" t="s">
        <v>30</v>
      </c>
      <c r="B32" s="12" t="s">
        <v>81</v>
      </c>
      <c r="C32" s="13">
        <v>34749382</v>
      </c>
      <c r="D32" s="14">
        <f t="shared" si="0"/>
        <v>-2.9919679550111457E-2</v>
      </c>
      <c r="E32" s="13">
        <v>35821139</v>
      </c>
      <c r="F32" s="14">
        <f t="shared" si="1"/>
        <v>-7.5723856537500217E-2</v>
      </c>
      <c r="G32" s="15">
        <v>38755884</v>
      </c>
    </row>
    <row r="33" spans="1:7" x14ac:dyDescent="0.2">
      <c r="A33" s="11" t="s">
        <v>31</v>
      </c>
      <c r="B33" s="12" t="s">
        <v>81</v>
      </c>
      <c r="C33" s="13">
        <v>135142334</v>
      </c>
      <c r="D33" s="14">
        <f t="shared" si="0"/>
        <v>3.2621985419956416E-2</v>
      </c>
      <c r="E33" s="13">
        <v>130872997</v>
      </c>
      <c r="F33" s="14">
        <f t="shared" si="1"/>
        <v>-1.6855238920658426E-3</v>
      </c>
      <c r="G33" s="15">
        <v>131093959</v>
      </c>
    </row>
    <row r="34" spans="1:7" x14ac:dyDescent="0.2">
      <c r="A34" s="11" t="s">
        <v>32</v>
      </c>
      <c r="B34" s="12" t="s">
        <v>82</v>
      </c>
      <c r="C34" s="13">
        <v>3735914</v>
      </c>
      <c r="D34" s="14">
        <f t="shared" si="0"/>
        <v>-5.8287687634699971E-2</v>
      </c>
      <c r="E34" s="13">
        <v>3967150</v>
      </c>
      <c r="F34" s="14">
        <f t="shared" si="1"/>
        <v>-1.6889433856780059E-2</v>
      </c>
      <c r="G34" s="15">
        <v>4035304</v>
      </c>
    </row>
    <row r="35" spans="1:7" x14ac:dyDescent="0.2">
      <c r="A35" s="11" t="s">
        <v>33</v>
      </c>
      <c r="B35" s="12" t="s">
        <v>81</v>
      </c>
      <c r="C35" s="13">
        <v>50962531</v>
      </c>
      <c r="D35" s="14">
        <f t="shared" si="0"/>
        <v>5.0986953182547074E-4</v>
      </c>
      <c r="E35" s="13">
        <v>50936560</v>
      </c>
      <c r="F35" s="14">
        <f t="shared" si="1"/>
        <v>0.82240837119391375</v>
      </c>
      <c r="G35" s="15">
        <v>27950135</v>
      </c>
    </row>
    <row r="36" spans="1:7" x14ac:dyDescent="0.2">
      <c r="A36" s="11" t="s">
        <v>34</v>
      </c>
      <c r="B36" s="12" t="s">
        <v>82</v>
      </c>
      <c r="C36" s="13">
        <v>25207728</v>
      </c>
      <c r="D36" s="14">
        <f t="shared" si="0"/>
        <v>-0.11310995810095963</v>
      </c>
      <c r="E36" s="13">
        <v>28422608</v>
      </c>
      <c r="F36" s="14">
        <f t="shared" si="1"/>
        <v>-1.3357880717790219E-2</v>
      </c>
      <c r="G36" s="15">
        <v>28807414</v>
      </c>
    </row>
    <row r="37" spans="1:7" x14ac:dyDescent="0.2">
      <c r="A37" s="11" t="s">
        <v>35</v>
      </c>
      <c r="B37" s="12" t="s">
        <v>82</v>
      </c>
      <c r="C37" s="13">
        <v>3316635</v>
      </c>
      <c r="D37" s="14">
        <f t="shared" si="0"/>
        <v>5.4214253769699558E-2</v>
      </c>
      <c r="E37" s="13">
        <v>3146073</v>
      </c>
      <c r="F37" s="14">
        <f t="shared" si="1"/>
        <v>2.3122819694884927E-2</v>
      </c>
      <c r="G37" s="15">
        <v>3074971</v>
      </c>
    </row>
    <row r="38" spans="1:7" x14ac:dyDescent="0.2">
      <c r="A38" s="11" t="s">
        <v>36</v>
      </c>
      <c r="B38" s="12" t="s">
        <v>82</v>
      </c>
      <c r="C38" s="13">
        <v>0</v>
      </c>
      <c r="D38" s="14" t="s">
        <v>79</v>
      </c>
      <c r="E38" s="13"/>
      <c r="F38" s="14" t="s">
        <v>79</v>
      </c>
      <c r="G38" s="15"/>
    </row>
    <row r="39" spans="1:7" x14ac:dyDescent="0.2">
      <c r="A39" s="11" t="s">
        <v>37</v>
      </c>
      <c r="B39" s="12" t="s">
        <v>81</v>
      </c>
      <c r="C39" s="13">
        <v>5354563</v>
      </c>
      <c r="D39" s="14">
        <f t="shared" si="0"/>
        <v>-3.7885172744703834E-3</v>
      </c>
      <c r="E39" s="13">
        <v>5374926</v>
      </c>
      <c r="F39" s="14">
        <f t="shared" si="1"/>
        <v>-0.24781288965578044</v>
      </c>
      <c r="G39" s="15">
        <v>7145730</v>
      </c>
    </row>
    <row r="40" spans="1:7" x14ac:dyDescent="0.2">
      <c r="A40" s="11" t="s">
        <v>38</v>
      </c>
      <c r="B40" s="12" t="s">
        <v>81</v>
      </c>
      <c r="C40" s="13">
        <v>5305373</v>
      </c>
      <c r="D40" s="14">
        <f t="shared" si="0"/>
        <v>-4.112463744227271E-2</v>
      </c>
      <c r="E40" s="13">
        <v>5532912</v>
      </c>
      <c r="F40" s="14">
        <f t="shared" si="1"/>
        <v>0.15011757036761111</v>
      </c>
      <c r="G40" s="15">
        <v>4810736</v>
      </c>
    </row>
    <row r="41" spans="1:7" x14ac:dyDescent="0.2">
      <c r="A41" s="11" t="s">
        <v>39</v>
      </c>
      <c r="B41" s="12" t="s">
        <v>81</v>
      </c>
      <c r="C41" s="13">
        <v>6279405</v>
      </c>
      <c r="D41" s="14">
        <f t="shared" si="0"/>
        <v>5.7100092959551318E-2</v>
      </c>
      <c r="E41" s="13">
        <v>5940218</v>
      </c>
      <c r="F41" s="14">
        <f t="shared" si="1"/>
        <v>1.7460105123408756E-2</v>
      </c>
      <c r="G41" s="15">
        <v>5838281</v>
      </c>
    </row>
    <row r="42" spans="1:7" x14ac:dyDescent="0.2">
      <c r="A42" s="11" t="s">
        <v>40</v>
      </c>
      <c r="B42" s="12" t="s">
        <v>82</v>
      </c>
      <c r="C42" s="13">
        <v>3685077</v>
      </c>
      <c r="D42" s="14">
        <f t="shared" si="0"/>
        <v>5.1910183305435224E-2</v>
      </c>
      <c r="E42" s="13">
        <v>3503224</v>
      </c>
      <c r="F42" s="14">
        <f t="shared" si="1"/>
        <v>0.15917694765176621</v>
      </c>
      <c r="G42" s="15">
        <v>3022165</v>
      </c>
    </row>
    <row r="43" spans="1:7" x14ac:dyDescent="0.2">
      <c r="A43" s="11" t="s">
        <v>41</v>
      </c>
      <c r="B43" s="12" t="s">
        <v>82</v>
      </c>
      <c r="C43" s="13">
        <v>128326</v>
      </c>
      <c r="D43" s="14">
        <f t="shared" si="0"/>
        <v>-0.85462977752553659</v>
      </c>
      <c r="E43" s="13">
        <v>882753</v>
      </c>
      <c r="F43" s="14">
        <f t="shared" si="1"/>
        <v>0.10146687063438786</v>
      </c>
      <c r="G43" s="15">
        <v>801434</v>
      </c>
    </row>
    <row r="44" spans="1:7" x14ac:dyDescent="0.2">
      <c r="A44" s="11" t="s">
        <v>42</v>
      </c>
      <c r="B44" s="12" t="s">
        <v>82</v>
      </c>
      <c r="C44" s="13">
        <v>8033074</v>
      </c>
      <c r="D44" s="14">
        <f t="shared" si="0"/>
        <v>-6.8319729589048472E-2</v>
      </c>
      <c r="E44" s="13">
        <v>8622136</v>
      </c>
      <c r="F44" s="14">
        <f t="shared" si="1"/>
        <v>1.5883683506442429E-2</v>
      </c>
      <c r="G44" s="15">
        <v>8487326</v>
      </c>
    </row>
    <row r="45" spans="1:7" x14ac:dyDescent="0.2">
      <c r="A45" s="11" t="s">
        <v>43</v>
      </c>
      <c r="B45" s="12" t="s">
        <v>81</v>
      </c>
      <c r="C45" s="13">
        <v>8938576</v>
      </c>
      <c r="D45" s="14">
        <f t="shared" si="0"/>
        <v>4.0351224522028523E-2</v>
      </c>
      <c r="E45" s="13">
        <v>8591883</v>
      </c>
      <c r="F45" s="14">
        <f t="shared" si="1"/>
        <v>-2.567437417267095E-2</v>
      </c>
      <c r="G45" s="15">
        <v>8818287</v>
      </c>
    </row>
    <row r="46" spans="1:7" x14ac:dyDescent="0.2">
      <c r="A46" s="11" t="s">
        <v>44</v>
      </c>
      <c r="B46" s="12" t="s">
        <v>81</v>
      </c>
      <c r="C46" s="13">
        <v>30325972</v>
      </c>
      <c r="D46" s="14">
        <f t="shared" si="0"/>
        <v>4.8933814138344488E-2</v>
      </c>
      <c r="E46" s="13">
        <v>28911235</v>
      </c>
      <c r="F46" s="14">
        <f t="shared" si="1"/>
        <v>2.8474580154127283E-2</v>
      </c>
      <c r="G46" s="15">
        <v>28110792</v>
      </c>
    </row>
    <row r="47" spans="1:7" x14ac:dyDescent="0.2">
      <c r="A47" s="11" t="s">
        <v>45</v>
      </c>
      <c r="B47" s="12" t="s">
        <v>81</v>
      </c>
      <c r="C47" s="13">
        <v>103013626</v>
      </c>
      <c r="D47" s="14">
        <f t="shared" si="0"/>
        <v>-1.0132557236414286E-2</v>
      </c>
      <c r="E47" s="13">
        <v>104068102</v>
      </c>
      <c r="F47" s="14">
        <f t="shared" si="1"/>
        <v>0.37686603513312333</v>
      </c>
      <c r="G47" s="15">
        <v>75583317</v>
      </c>
    </row>
    <row r="48" spans="1:7" x14ac:dyDescent="0.2">
      <c r="A48" s="11" t="s">
        <v>46</v>
      </c>
      <c r="B48" s="12" t="s">
        <v>81</v>
      </c>
      <c r="C48" s="13"/>
      <c r="D48" s="14" t="s">
        <v>79</v>
      </c>
      <c r="E48" s="13"/>
      <c r="F48" s="14" t="s">
        <v>79</v>
      </c>
      <c r="G48" s="15"/>
    </row>
    <row r="49" spans="1:7" x14ac:dyDescent="0.2">
      <c r="A49" s="11" t="s">
        <v>47</v>
      </c>
      <c r="B49" s="12" t="s">
        <v>81</v>
      </c>
      <c r="C49" s="13">
        <v>51500057</v>
      </c>
      <c r="D49" s="14">
        <f t="shared" si="0"/>
        <v>2.9280793670054669E-3</v>
      </c>
      <c r="E49" s="13">
        <v>51349701</v>
      </c>
      <c r="F49" s="14">
        <f t="shared" si="1"/>
        <v>3.1834583032614258E-2</v>
      </c>
      <c r="G49" s="15">
        <v>49765439</v>
      </c>
    </row>
    <row r="50" spans="1:7" x14ac:dyDescent="0.2">
      <c r="A50" s="11" t="s">
        <v>48</v>
      </c>
      <c r="B50" s="12" t="s">
        <v>81</v>
      </c>
      <c r="C50" s="13">
        <v>4601569</v>
      </c>
      <c r="D50" s="14">
        <f t="shared" si="0"/>
        <v>4.2160495518765745E-2</v>
      </c>
      <c r="E50" s="13">
        <v>4415413</v>
      </c>
      <c r="F50" s="14">
        <f t="shared" si="1"/>
        <v>1.847077135428488E-2</v>
      </c>
      <c r="G50" s="15">
        <v>4335336</v>
      </c>
    </row>
    <row r="51" spans="1:7" x14ac:dyDescent="0.2">
      <c r="A51" s="11" t="s">
        <v>49</v>
      </c>
      <c r="B51" s="12" t="s">
        <v>81</v>
      </c>
      <c r="C51" s="13">
        <v>12905090</v>
      </c>
      <c r="D51" s="14">
        <f t="shared" si="0"/>
        <v>4.8921248305928818E-2</v>
      </c>
      <c r="E51" s="13">
        <v>12303202</v>
      </c>
      <c r="F51" s="14">
        <f t="shared" si="1"/>
        <v>-1.1455421442600464E-3</v>
      </c>
      <c r="G51" s="15">
        <v>12317312</v>
      </c>
    </row>
    <row r="52" spans="1:7" x14ac:dyDescent="0.2">
      <c r="A52" s="11" t="s">
        <v>50</v>
      </c>
      <c r="B52" s="12" t="s">
        <v>81</v>
      </c>
      <c r="C52" s="13">
        <v>127052702</v>
      </c>
      <c r="D52" s="14">
        <f t="shared" si="0"/>
        <v>6.444251046139121E-3</v>
      </c>
      <c r="E52" s="13">
        <v>126239185</v>
      </c>
      <c r="F52" s="14">
        <f t="shared" si="1"/>
        <v>1.9122587344506954</v>
      </c>
      <c r="G52" s="15">
        <v>43347517</v>
      </c>
    </row>
    <row r="53" spans="1:7" x14ac:dyDescent="0.2">
      <c r="A53" s="11" t="s">
        <v>51</v>
      </c>
      <c r="B53" s="12" t="s">
        <v>81</v>
      </c>
      <c r="C53" s="13">
        <v>7238603</v>
      </c>
      <c r="D53" s="14">
        <f t="shared" si="0"/>
        <v>4.7052996747867989E-2</v>
      </c>
      <c r="E53" s="13">
        <v>6913311</v>
      </c>
      <c r="F53" s="14">
        <f t="shared" si="1"/>
        <v>1.2633628538009799E-3</v>
      </c>
      <c r="G53" s="15">
        <v>6904588</v>
      </c>
    </row>
    <row r="54" spans="1:7" x14ac:dyDescent="0.2">
      <c r="A54" s="11" t="s">
        <v>52</v>
      </c>
      <c r="B54" s="12" t="s">
        <v>81</v>
      </c>
      <c r="C54" s="13">
        <v>247162217</v>
      </c>
      <c r="D54" s="14">
        <f t="shared" si="0"/>
        <v>-7.4458363280496534E-3</v>
      </c>
      <c r="E54" s="13">
        <v>249016352</v>
      </c>
      <c r="F54" s="14">
        <f t="shared" si="1"/>
        <v>0.29754081618190809</v>
      </c>
      <c r="G54" s="15">
        <v>191914080</v>
      </c>
    </row>
    <row r="55" spans="1:7" x14ac:dyDescent="0.2">
      <c r="A55" s="11" t="s">
        <v>53</v>
      </c>
      <c r="B55" s="12" t="s">
        <v>81</v>
      </c>
      <c r="C55" s="13">
        <v>24310291</v>
      </c>
      <c r="D55" s="14">
        <f t="shared" si="0"/>
        <v>4.626817051462221E-2</v>
      </c>
      <c r="E55" s="13">
        <v>23235239</v>
      </c>
      <c r="F55" s="14">
        <f t="shared" si="1"/>
        <v>1.7875914825088003E-3</v>
      </c>
      <c r="G55" s="15">
        <v>23193778</v>
      </c>
    </row>
    <row r="56" spans="1:7" x14ac:dyDescent="0.2">
      <c r="A56" s="11" t="s">
        <v>54</v>
      </c>
      <c r="B56" s="12" t="s">
        <v>81</v>
      </c>
      <c r="C56" s="13">
        <v>14158317</v>
      </c>
      <c r="D56" s="14">
        <f t="shared" si="0"/>
        <v>4.5206031201336962E-2</v>
      </c>
      <c r="E56" s="13">
        <v>13545958</v>
      </c>
      <c r="F56" s="14">
        <f t="shared" si="1"/>
        <v>1.435992398348313E-3</v>
      </c>
      <c r="G56" s="15">
        <v>13526534</v>
      </c>
    </row>
    <row r="57" spans="1:7" x14ac:dyDescent="0.2">
      <c r="A57" s="11" t="s">
        <v>55</v>
      </c>
      <c r="B57" s="12" t="s">
        <v>81</v>
      </c>
      <c r="C57" s="13">
        <v>135631939</v>
      </c>
      <c r="D57" s="14">
        <f t="shared" si="0"/>
        <v>4.8277468548203147E-2</v>
      </c>
      <c r="E57" s="13">
        <v>129385533</v>
      </c>
      <c r="F57" s="14">
        <f t="shared" si="1"/>
        <v>1.3140095317074114E-2</v>
      </c>
      <c r="G57" s="15">
        <v>127707445</v>
      </c>
    </row>
    <row r="58" spans="1:7" x14ac:dyDescent="0.2">
      <c r="A58" s="11" t="s">
        <v>56</v>
      </c>
      <c r="B58" s="12" t="s">
        <v>81</v>
      </c>
      <c r="C58" s="13">
        <v>27067479</v>
      </c>
      <c r="D58" s="14">
        <f t="shared" si="0"/>
        <v>0.4518855457903091</v>
      </c>
      <c r="E58" s="13">
        <v>18642984</v>
      </c>
      <c r="F58" s="14">
        <f t="shared" si="1"/>
        <v>1.3421423014592978E-3</v>
      </c>
      <c r="G58" s="15">
        <v>18617996</v>
      </c>
    </row>
    <row r="59" spans="1:7" x14ac:dyDescent="0.2">
      <c r="A59" s="11" t="s">
        <v>2</v>
      </c>
      <c r="B59" s="12" t="s">
        <v>81</v>
      </c>
      <c r="C59" s="13">
        <v>36867219</v>
      </c>
      <c r="D59" s="14">
        <f t="shared" si="0"/>
        <v>-1.7128029277557803E-2</v>
      </c>
      <c r="E59" s="13">
        <v>37509686</v>
      </c>
      <c r="F59" s="14">
        <f t="shared" si="1"/>
        <v>-0.1618162474442835</v>
      </c>
      <c r="G59" s="15">
        <v>44751149</v>
      </c>
    </row>
    <row r="60" spans="1:7" x14ac:dyDescent="0.2">
      <c r="A60" s="11" t="s">
        <v>3</v>
      </c>
      <c r="B60" s="12" t="s">
        <v>81</v>
      </c>
      <c r="C60" s="13">
        <v>75862330</v>
      </c>
      <c r="D60" s="14">
        <f t="shared" si="0"/>
        <v>-7.0710806735441917E-2</v>
      </c>
      <c r="E60" s="13">
        <v>81634792</v>
      </c>
      <c r="F60" s="14">
        <f t="shared" si="1"/>
        <v>0.31173066683874723</v>
      </c>
      <c r="G60" s="15">
        <v>62234416</v>
      </c>
    </row>
    <row r="61" spans="1:7" x14ac:dyDescent="0.2">
      <c r="A61" s="11" t="s">
        <v>57</v>
      </c>
      <c r="B61" s="12" t="s">
        <v>81</v>
      </c>
      <c r="C61" s="13">
        <v>4358682</v>
      </c>
      <c r="D61" s="14">
        <f t="shared" si="0"/>
        <v>5.2483114128497786E-2</v>
      </c>
      <c r="E61" s="13">
        <v>4141332</v>
      </c>
      <c r="F61" s="14">
        <f t="shared" si="1"/>
        <v>2.2538739654754794E-2</v>
      </c>
      <c r="G61" s="15">
        <v>4050049</v>
      </c>
    </row>
    <row r="62" spans="1:7" x14ac:dyDescent="0.2">
      <c r="A62" s="11" t="s">
        <v>58</v>
      </c>
      <c r="B62" s="12" t="s">
        <v>81</v>
      </c>
      <c r="C62" s="13">
        <v>948347</v>
      </c>
      <c r="D62" s="14">
        <f t="shared" si="0"/>
        <v>-8.748668624054972E-3</v>
      </c>
      <c r="E62" s="13">
        <v>956717</v>
      </c>
      <c r="F62" s="14">
        <f t="shared" si="1"/>
        <v>0.16527145945616759</v>
      </c>
      <c r="G62" s="15">
        <v>821025</v>
      </c>
    </row>
    <row r="63" spans="1:7" x14ac:dyDescent="0.2">
      <c r="A63" s="11" t="s">
        <v>59</v>
      </c>
      <c r="B63" s="12" t="s">
        <v>81</v>
      </c>
      <c r="C63" s="13">
        <v>13003640</v>
      </c>
      <c r="D63" s="14">
        <f t="shared" si="0"/>
        <v>5.1038021730675287E-2</v>
      </c>
      <c r="E63" s="13">
        <v>12372188</v>
      </c>
      <c r="F63" s="14">
        <f t="shared" si="1"/>
        <v>-1.5685952522395718E-4</v>
      </c>
      <c r="G63" s="15">
        <v>12374129</v>
      </c>
    </row>
    <row r="64" spans="1:7" x14ac:dyDescent="0.2">
      <c r="A64" s="11" t="s">
        <v>60</v>
      </c>
      <c r="B64" s="12" t="s">
        <v>81</v>
      </c>
      <c r="C64" s="13">
        <v>18287979</v>
      </c>
      <c r="D64" s="14">
        <f t="shared" si="0"/>
        <v>4.9372974827758154E-2</v>
      </c>
      <c r="E64" s="13">
        <v>17427530</v>
      </c>
      <c r="F64" s="14">
        <f t="shared" si="1"/>
        <v>1.5521204617308099E-2</v>
      </c>
      <c r="G64" s="15">
        <v>17161168</v>
      </c>
    </row>
    <row r="65" spans="1:7" x14ac:dyDescent="0.2">
      <c r="A65" s="11" t="s">
        <v>61</v>
      </c>
      <c r="B65" s="12" t="s">
        <v>82</v>
      </c>
      <c r="C65" s="13">
        <v>4442714</v>
      </c>
      <c r="D65" s="14">
        <f t="shared" si="0"/>
        <v>5.694952770846775E-2</v>
      </c>
      <c r="E65" s="13">
        <v>4203336</v>
      </c>
      <c r="F65" s="14">
        <f t="shared" si="1"/>
        <v>2.4093884579738448E-2</v>
      </c>
      <c r="G65" s="15">
        <v>4104444</v>
      </c>
    </row>
    <row r="66" spans="1:7" x14ac:dyDescent="0.2">
      <c r="A66" s="11" t="s">
        <v>62</v>
      </c>
      <c r="B66" s="12" t="s">
        <v>81</v>
      </c>
      <c r="C66" s="13">
        <v>1720126</v>
      </c>
      <c r="D66" s="14">
        <f t="shared" si="0"/>
        <v>-0.30060826360257942</v>
      </c>
      <c r="E66" s="13">
        <v>2459460</v>
      </c>
      <c r="F66" s="14">
        <f t="shared" si="1"/>
        <v>-3.467559798996604E-3</v>
      </c>
      <c r="G66" s="15">
        <v>2468018</v>
      </c>
    </row>
    <row r="67" spans="1:7" x14ac:dyDescent="0.2">
      <c r="A67" s="11" t="s">
        <v>63</v>
      </c>
      <c r="B67" s="12" t="s">
        <v>81</v>
      </c>
      <c r="C67" s="13"/>
      <c r="D67" s="14" t="s">
        <v>79</v>
      </c>
      <c r="E67" s="13"/>
      <c r="F67" s="14" t="s">
        <v>79</v>
      </c>
      <c r="G67" s="15"/>
    </row>
    <row r="68" spans="1:7" x14ac:dyDescent="0.2">
      <c r="A68" s="11" t="s">
        <v>64</v>
      </c>
      <c r="B68" s="12" t="s">
        <v>81</v>
      </c>
      <c r="C68" s="13">
        <v>69733981</v>
      </c>
      <c r="D68" s="14">
        <f t="shared" si="0"/>
        <v>6.5945332788524289E-4</v>
      </c>
      <c r="E68" s="13">
        <v>69688025</v>
      </c>
      <c r="F68" s="14">
        <f t="shared" si="1"/>
        <v>-0.10478855480131344</v>
      </c>
      <c r="G68" s="15">
        <v>77845324</v>
      </c>
    </row>
    <row r="69" spans="1:7" x14ac:dyDescent="0.2">
      <c r="A69" s="11" t="s">
        <v>65</v>
      </c>
      <c r="B69" s="12" t="s">
        <v>82</v>
      </c>
      <c r="C69" s="13"/>
      <c r="D69" s="14" t="s">
        <v>79</v>
      </c>
      <c r="E69" s="13"/>
      <c r="F69" s="14" t="s">
        <v>79</v>
      </c>
      <c r="G69" s="15"/>
    </row>
    <row r="70" spans="1:7" x14ac:dyDescent="0.2">
      <c r="A70" s="11" t="s">
        <v>66</v>
      </c>
      <c r="B70" s="12" t="s">
        <v>81</v>
      </c>
      <c r="C70" s="13">
        <v>3760327</v>
      </c>
      <c r="D70" s="14">
        <f>((C70-E70)/E70)</f>
        <v>5.0338690805224087E-2</v>
      </c>
      <c r="E70" s="13">
        <v>3580109</v>
      </c>
      <c r="F70" s="14">
        <f>((E70-G70)/G70)</f>
        <v>2.1760845604079156E-2</v>
      </c>
      <c r="G70" s="15">
        <v>3503862</v>
      </c>
    </row>
    <row r="71" spans="1:7" x14ac:dyDescent="0.2">
      <c r="A71" s="11" t="s">
        <v>67</v>
      </c>
      <c r="B71" s="12" t="s">
        <v>82</v>
      </c>
      <c r="C71" s="13">
        <v>2232556</v>
      </c>
      <c r="D71" s="14">
        <f>((C71-E71)/E71)</f>
        <v>5.9462219552080572E-2</v>
      </c>
      <c r="E71" s="13">
        <v>2107254</v>
      </c>
      <c r="F71" s="14">
        <f>((E71-G71)/G71)</f>
        <v>2.500676121339946E-2</v>
      </c>
      <c r="G71" s="15">
        <v>2055844</v>
      </c>
    </row>
    <row r="72" spans="1:7" x14ac:dyDescent="0.2">
      <c r="A72" s="16"/>
      <c r="B72" s="17"/>
      <c r="C72" s="13"/>
      <c r="D72" s="18"/>
      <c r="E72" s="13"/>
      <c r="F72" s="18"/>
      <c r="G72" s="15"/>
    </row>
    <row r="73" spans="1:7" ht="15.75" thickBot="1" x14ac:dyDescent="0.3">
      <c r="A73" s="19" t="s">
        <v>68</v>
      </c>
      <c r="B73" s="20"/>
      <c r="C73" s="21">
        <f>SUM(C5:C71)</f>
        <v>2287383418</v>
      </c>
      <c r="D73" s="22">
        <f>((C73-E73)/E73)</f>
        <v>7.0065247517986625E-3</v>
      </c>
      <c r="E73" s="21">
        <f>SUM(E5:E71)</f>
        <v>2271468319</v>
      </c>
      <c r="F73" s="22">
        <f>((E73-G73)/G73)</f>
        <v>0.12486935238973143</v>
      </c>
      <c r="G73" s="23">
        <f>SUM(G5:G71)</f>
        <v>2019317456</v>
      </c>
    </row>
    <row r="75" spans="1:7" x14ac:dyDescent="0.2">
      <c r="A75" s="24" t="s">
        <v>90</v>
      </c>
    </row>
  </sheetData>
  <phoneticPr fontId="3" type="noConversion"/>
  <conditionalFormatting sqref="A75">
    <cfRule type="expression" dxfId="1" priority="39" stopIfTrue="1">
      <formula>MOD(ROW(),5)=1</formula>
    </cfRule>
  </conditionalFormatting>
  <conditionalFormatting sqref="A4:G73">
    <cfRule type="expression" dxfId="0" priority="1" stopIfTrue="1">
      <formula>MOD(ROW(),3)=1</formula>
    </cfRule>
  </conditionalFormatting>
  <pageMargins left="0.7" right="0.7" top="0.5" bottom="0.5" header="0.05" footer="0.05"/>
  <pageSetup scale="78" fitToHeight="2" orientation="landscape" r:id="rId1"/>
  <rowBreaks count="1" manualBreakCount="1">
    <brk id="37" max="8" man="1"/>
  </rowBreaks>
  <ignoredErrors>
    <ignoredError sqref="E73 G73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1166BEE4B88A42947F6C3C78DF4222" ma:contentTypeVersion="3" ma:contentTypeDescription="Create a new document." ma:contentTypeScope="" ma:versionID="56528aa3969daa96996fae423c61dab6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f328a1cd662c37536c074f55b1464a7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A9D5512-F910-4217-A422-0EC2FF1B4351}"/>
</file>

<file path=customXml/itemProps2.xml><?xml version="1.0" encoding="utf-8"?>
<ds:datastoreItem xmlns:ds="http://schemas.openxmlformats.org/officeDocument/2006/customXml" ds:itemID="{EEF1516B-7741-4F4A-9138-32735EEC4B85}"/>
</file>

<file path=customXml/itemProps3.xml><?xml version="1.0" encoding="utf-8"?>
<ds:datastoreItem xmlns:ds="http://schemas.openxmlformats.org/officeDocument/2006/customXml" ds:itemID="{CDC2DC48-7BCB-441C-BA48-C8019B005E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Report Index</vt:lpstr>
      <vt:lpstr>Assessed Value All Property</vt:lpstr>
      <vt:lpstr>All Property Assessed Value</vt:lpstr>
      <vt:lpstr>Real Property Assessed Value</vt:lpstr>
      <vt:lpstr>Personal Prop Assessed Value</vt:lpstr>
      <vt:lpstr>Centrally Prop Assessed Value </vt:lpstr>
      <vt:lpstr>'All Property Assessed Value'!Print_Area</vt:lpstr>
      <vt:lpstr>'Assessed Value All Property'!Print_Area</vt:lpstr>
      <vt:lpstr>'Centrally Prop Assessed Value '!Print_Area</vt:lpstr>
      <vt:lpstr>'Personal Prop Assessed Value'!Print_Area</vt:lpstr>
      <vt:lpstr>'Real Property Assessed Value'!Print_Area</vt:lpstr>
      <vt:lpstr>'Report Index'!Print_Area</vt:lpstr>
      <vt:lpstr>'All Property Assessed Value'!Print_Titles</vt:lpstr>
      <vt:lpstr>'Assessed Value All Property'!Print_Titles</vt:lpstr>
    </vt:vector>
  </TitlesOfParts>
  <Company>Florida Dept. of Revenue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Florida Dept. of Revenue</dc:creator>
  <cp:lastModifiedBy>Allison Kever</cp:lastModifiedBy>
  <cp:lastPrinted>2011-02-11T15:25:28Z</cp:lastPrinted>
  <dcterms:created xsi:type="dcterms:W3CDTF">2010-08-10T15:50:22Z</dcterms:created>
  <dcterms:modified xsi:type="dcterms:W3CDTF">2025-11-17T13:29:16Z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0x010100211166BEE4B88A42947F6C3C78DF4222</vt:lpwstr>
  </property>
</Properties>
</file>