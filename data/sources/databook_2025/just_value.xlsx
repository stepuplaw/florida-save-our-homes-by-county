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J:\Research &amp; Analysis\Data Book Documentation\2025 Data Book\Final\Drafts\"/>
    </mc:Choice>
  </mc:AlternateContent>
  <xr:revisionPtr revIDLastSave="0" documentId="13_ncr:1_{CD82C0FC-AFD4-4096-97C1-D393500FCA9A}" xr6:coauthVersionLast="47" xr6:coauthVersionMax="47" xr10:uidLastSave="{00000000-0000-0000-0000-000000000000}"/>
  <bookViews>
    <workbookView xWindow="20370" yWindow="-120" windowWidth="29040" windowHeight="15720" tabRatio="728" xr2:uid="{00000000-000D-0000-FFFF-FFFF00000000}"/>
  </bookViews>
  <sheets>
    <sheet name="Report Index" sheetId="10" r:id="rId1"/>
    <sheet name="Just Value All Property Types" sheetId="9" r:id="rId2"/>
    <sheet name="All Property Just Value" sheetId="4" r:id="rId3"/>
    <sheet name="Real Property Just Value" sheetId="6" r:id="rId4"/>
    <sheet name="Personal Property Just Value" sheetId="7" r:id="rId5"/>
    <sheet name="Centrally Assessed Just Value " sheetId="8" r:id="rId6"/>
  </sheets>
  <definedNames>
    <definedName name="_xlnm._FilterDatabase" localSheetId="2" hidden="1">'All Property Just Value'!$A$4:$G$4</definedName>
    <definedName name="_xlnm._FilterDatabase" localSheetId="5" hidden="1">'Centrally Assessed Just Value '!$A$4:$G$73</definedName>
    <definedName name="_xlnm._FilterDatabase" localSheetId="1" hidden="1">'Just Value All Property Types'!$A$4:$F$4</definedName>
    <definedName name="_xlnm._FilterDatabase" localSheetId="4" hidden="1">'Personal Property Just Value'!$A$4:$G$4</definedName>
    <definedName name="_xlnm._FilterDatabase" localSheetId="3" hidden="1">'Real Property Just Value'!$A$4:$G$4</definedName>
    <definedName name="_xlnm.Print_Area" localSheetId="2">'All Property Just Value'!$A$1:$G$75</definedName>
    <definedName name="_xlnm.Print_Area" localSheetId="5">'Centrally Assessed Just Value '!$A$1:$G$75</definedName>
    <definedName name="_xlnm.Print_Area" localSheetId="1">'Just Value All Property Types'!$A$1:$F$75</definedName>
    <definedName name="_xlnm.Print_Area" localSheetId="4">'Personal Property Just Value'!$A$1:$G$75</definedName>
    <definedName name="_xlnm.Print_Area" localSheetId="3">'Real Property Just Value'!$A$1:$G$75</definedName>
    <definedName name="_xlnm.Print_Area" localSheetId="0">'Report Index'!$A$1:$I$20</definedName>
    <definedName name="_xlnm.Print_Titles" localSheetId="2">'All Property Just Value'!$1:$4</definedName>
    <definedName name="_xlnm.Print_Titles" localSheetId="5">'Centrally Assessed Just Value '!$1:$4</definedName>
    <definedName name="_xlnm.Print_Titles" localSheetId="1">'Just Value All Property Types'!$1:$4</definedName>
    <definedName name="_xlnm.Print_Titles" localSheetId="4">'Personal Property Just Value'!$1:$4</definedName>
    <definedName name="_xlnm.Print_Titles" localSheetId="3">'Real Property Just Value'!$1:$4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8" l="1"/>
  <c r="E73" i="8"/>
  <c r="C73" i="4" l="1"/>
  <c r="E73" i="4"/>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F12" i="6"/>
  <c r="F11" i="6"/>
  <c r="F10" i="6"/>
  <c r="F9" i="6"/>
  <c r="F8" i="6"/>
  <c r="F7" i="6"/>
  <c r="F6" i="6"/>
  <c r="F5" i="6"/>
  <c r="F71" i="7"/>
  <c r="F70" i="7"/>
  <c r="F69" i="7"/>
  <c r="F68" i="7"/>
  <c r="F67" i="7"/>
  <c r="F66" i="7"/>
  <c r="F65" i="7"/>
  <c r="F64" i="7"/>
  <c r="F63" i="7"/>
  <c r="F62" i="7"/>
  <c r="F61" i="7"/>
  <c r="F60" i="7"/>
  <c r="F59" i="7"/>
  <c r="F58" i="7"/>
  <c r="F57" i="7"/>
  <c r="F56" i="7"/>
  <c r="F55" i="7"/>
  <c r="F54" i="7"/>
  <c r="F53" i="7"/>
  <c r="F52" i="7"/>
  <c r="F51" i="7"/>
  <c r="F50" i="7"/>
  <c r="F49" i="7"/>
  <c r="F48" i="7"/>
  <c r="F47"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F10" i="7"/>
  <c r="F9" i="7"/>
  <c r="F8" i="7"/>
  <c r="F7" i="7"/>
  <c r="F6" i="7"/>
  <c r="F5" i="7"/>
  <c r="F71" i="8"/>
  <c r="F70" i="8"/>
  <c r="F68" i="8"/>
  <c r="F66" i="8"/>
  <c r="F65" i="8"/>
  <c r="F64" i="8"/>
  <c r="F63" i="8"/>
  <c r="F62" i="8"/>
  <c r="F61" i="8"/>
  <c r="F60" i="8"/>
  <c r="F59" i="8"/>
  <c r="F58" i="8"/>
  <c r="F57" i="8"/>
  <c r="F56" i="8"/>
  <c r="F55" i="8"/>
  <c r="F54" i="8"/>
  <c r="F53" i="8"/>
  <c r="F52" i="8"/>
  <c r="F51" i="8"/>
  <c r="F50" i="8"/>
  <c r="F49" i="8"/>
  <c r="F47" i="8"/>
  <c r="F46" i="8"/>
  <c r="F45" i="8"/>
  <c r="F44" i="8"/>
  <c r="F43" i="8"/>
  <c r="F42" i="8"/>
  <c r="F41" i="8"/>
  <c r="F40" i="8"/>
  <c r="F39" i="8"/>
  <c r="F37" i="8"/>
  <c r="F36" i="8"/>
  <c r="F35" i="8"/>
  <c r="F34" i="8"/>
  <c r="F33" i="8"/>
  <c r="F32" i="8"/>
  <c r="F31" i="8"/>
  <c r="F30" i="8"/>
  <c r="F29" i="8"/>
  <c r="F28" i="8"/>
  <c r="F27" i="8"/>
  <c r="F26" i="8"/>
  <c r="F24" i="8"/>
  <c r="F23" i="8"/>
  <c r="F22" i="8"/>
  <c r="F21" i="8"/>
  <c r="F20" i="8"/>
  <c r="F18" i="8"/>
  <c r="F17" i="8"/>
  <c r="F16" i="8"/>
  <c r="F15" i="8"/>
  <c r="F14" i="8"/>
  <c r="F13" i="8"/>
  <c r="F12" i="8"/>
  <c r="F10" i="8"/>
  <c r="F9" i="8"/>
  <c r="F8" i="8"/>
  <c r="F7" i="8"/>
  <c r="F6" i="8"/>
  <c r="F5" i="8"/>
  <c r="F70" i="4"/>
  <c r="F69" i="4"/>
  <c r="F68" i="4"/>
  <c r="F67" i="4"/>
  <c r="F65" i="4"/>
  <c r="F55" i="4"/>
  <c r="F54" i="4"/>
  <c r="F52" i="4"/>
  <c r="F44" i="4"/>
  <c r="F42" i="4"/>
  <c r="F50" i="4"/>
  <c r="F48" i="4"/>
  <c r="F38" i="4"/>
  <c r="F24" i="4"/>
  <c r="F23" i="4"/>
  <c r="F19" i="4"/>
  <c r="F18" i="4"/>
  <c r="F16" i="4"/>
  <c r="F15" i="4"/>
  <c r="D71" i="4"/>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G73" i="6"/>
  <c r="D18" i="8"/>
  <c r="D6" i="8"/>
  <c r="D7" i="8"/>
  <c r="D8" i="8"/>
  <c r="D9" i="8"/>
  <c r="D10" i="8"/>
  <c r="D12" i="8"/>
  <c r="D13" i="8"/>
  <c r="D14" i="8"/>
  <c r="D15" i="8"/>
  <c r="D16" i="8"/>
  <c r="D17" i="8"/>
  <c r="D20" i="8"/>
  <c r="D21" i="8"/>
  <c r="D22" i="8"/>
  <c r="D23" i="8"/>
  <c r="D24" i="8"/>
  <c r="D26" i="8"/>
  <c r="D27" i="8"/>
  <c r="D28" i="8"/>
  <c r="D29" i="8"/>
  <c r="D30" i="8"/>
  <c r="D31" i="8"/>
  <c r="D32" i="8"/>
  <c r="D33" i="8"/>
  <c r="D34" i="8"/>
  <c r="D35" i="8"/>
  <c r="D36" i="8"/>
  <c r="D37" i="8"/>
  <c r="D39" i="8"/>
  <c r="D40" i="8"/>
  <c r="D41" i="8"/>
  <c r="D42" i="8"/>
  <c r="D43" i="8"/>
  <c r="D44" i="8"/>
  <c r="D45" i="8"/>
  <c r="D46" i="8"/>
  <c r="D47" i="8"/>
  <c r="D49" i="8"/>
  <c r="D50" i="8"/>
  <c r="D51" i="8"/>
  <c r="D52" i="8"/>
  <c r="D53" i="8"/>
  <c r="D54" i="8"/>
  <c r="D55" i="8"/>
  <c r="D56" i="8"/>
  <c r="D57" i="8"/>
  <c r="D58" i="8"/>
  <c r="D59" i="8"/>
  <c r="D60" i="8"/>
  <c r="D61" i="8"/>
  <c r="D62" i="8"/>
  <c r="D63" i="8"/>
  <c r="D64" i="8"/>
  <c r="D65" i="8"/>
  <c r="D66" i="8"/>
  <c r="D68" i="8"/>
  <c r="D70" i="8"/>
  <c r="D71" i="8"/>
  <c r="D5" i="8"/>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5" i="7"/>
  <c r="D6" i="6"/>
  <c r="D7" i="6"/>
  <c r="D8" i="6"/>
  <c r="D9" i="6"/>
  <c r="D10" i="6"/>
  <c r="D11"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G73" i="8"/>
  <c r="F73" i="8" s="1"/>
  <c r="G73" i="7"/>
  <c r="E73" i="7"/>
  <c r="E73" i="6"/>
  <c r="D73" i="9"/>
  <c r="E73" i="9"/>
  <c r="C73" i="9"/>
  <c r="F45" i="4"/>
  <c r="F25" i="4"/>
  <c r="F26" i="4"/>
  <c r="F29" i="4"/>
  <c r="F34" i="4"/>
  <c r="F35" i="4"/>
  <c r="F30" i="4"/>
  <c r="F36" i="4"/>
  <c r="F56" i="4"/>
  <c r="F71" i="4"/>
  <c r="F53" i="4"/>
  <c r="F31" i="4"/>
  <c r="F32" i="4"/>
  <c r="G73" i="4"/>
  <c r="F39" i="4"/>
  <c r="F14" i="4"/>
  <c r="F43" i="4"/>
  <c r="F51" i="4"/>
  <c r="F11" i="4"/>
  <c r="F12" i="4"/>
  <c r="F62" i="4"/>
  <c r="F40" i="4"/>
  <c r="F7" i="4"/>
  <c r="F10" i="4"/>
  <c r="F49" i="4"/>
  <c r="F33" i="4"/>
  <c r="F57" i="4"/>
  <c r="F63" i="4"/>
  <c r="F6" i="4"/>
  <c r="F66" i="4"/>
  <c r="F28" i="4"/>
  <c r="F58" i="4"/>
  <c r="F61" i="4"/>
  <c r="F27" i="4"/>
  <c r="F13" i="4"/>
  <c r="F41" i="4"/>
  <c r="F59" i="4"/>
  <c r="F22" i="4"/>
  <c r="F60" i="4"/>
  <c r="F37" i="4"/>
  <c r="F21" i="4"/>
  <c r="F8" i="4"/>
  <c r="F20" i="4"/>
  <c r="F17" i="4"/>
  <c r="F46" i="4"/>
  <c r="F9" i="4"/>
  <c r="F47" i="4"/>
  <c r="F64" i="4"/>
  <c r="F5" i="4"/>
  <c r="D12" i="6"/>
  <c r="D6" i="4"/>
  <c r="F73" i="9"/>
  <c r="C73" i="6"/>
  <c r="D5" i="6"/>
  <c r="C73" i="7"/>
  <c r="D5" i="4"/>
  <c r="D73" i="6" l="1"/>
  <c r="D73" i="4"/>
  <c r="F73" i="4"/>
  <c r="F73" i="6"/>
  <c r="D73" i="8"/>
  <c r="D73" i="7"/>
  <c r="F73" i="7"/>
</calcChain>
</file>

<file path=xl/sharedStrings.xml><?xml version="1.0" encoding="utf-8"?>
<sst xmlns="http://schemas.openxmlformats.org/spreadsheetml/2006/main" count="747" uniqueCount="94">
  <si>
    <t>County</t>
  </si>
  <si>
    <t>Status</t>
  </si>
  <si>
    <t>Saint Johns</t>
  </si>
  <si>
    <t>Saint Lucie</t>
  </si>
  <si>
    <t>Alachua</t>
  </si>
  <si>
    <t>Baker</t>
  </si>
  <si>
    <t>Bay</t>
  </si>
  <si>
    <t>Bradford</t>
  </si>
  <si>
    <t>Brevard</t>
  </si>
  <si>
    <t>Broward</t>
  </si>
  <si>
    <t>Calhoun</t>
  </si>
  <si>
    <t>Charlotte</t>
  </si>
  <si>
    <t>Citrus</t>
  </si>
  <si>
    <t>Clay</t>
  </si>
  <si>
    <t>Collier</t>
  </si>
  <si>
    <t>Columbia</t>
  </si>
  <si>
    <t>DeSoto</t>
  </si>
  <si>
    <t>Dixie</t>
  </si>
  <si>
    <t>Duval</t>
  </si>
  <si>
    <t>Escambia</t>
  </si>
  <si>
    <t>Flagler</t>
  </si>
  <si>
    <t>Franklin</t>
  </si>
  <si>
    <t>Gadsden</t>
  </si>
  <si>
    <t>Gilchrist</t>
  </si>
  <si>
    <t>Glades</t>
  </si>
  <si>
    <t>Gulf</t>
  </si>
  <si>
    <t>Hamilton</t>
  </si>
  <si>
    <t>Hardee</t>
  </si>
  <si>
    <t>Hendry</t>
  </si>
  <si>
    <t>Hernando</t>
  </si>
  <si>
    <t>Highlands</t>
  </si>
  <si>
    <t>Hillsborough</t>
  </si>
  <si>
    <t>Holmes</t>
  </si>
  <si>
    <t>Indian River</t>
  </si>
  <si>
    <t>Jackson</t>
  </si>
  <si>
    <t>Jefferson</t>
  </si>
  <si>
    <t>Lafayette</t>
  </si>
  <si>
    <t>Lake</t>
  </si>
  <si>
    <t>Lee</t>
  </si>
  <si>
    <t>Leon</t>
  </si>
  <si>
    <t>Levy</t>
  </si>
  <si>
    <t>Liberty</t>
  </si>
  <si>
    <t>Madison</t>
  </si>
  <si>
    <t>Manatee</t>
  </si>
  <si>
    <t>Marion</t>
  </si>
  <si>
    <t>Martin</t>
  </si>
  <si>
    <t>Monroe</t>
  </si>
  <si>
    <t>Nassau</t>
  </si>
  <si>
    <t>Okaloosa</t>
  </si>
  <si>
    <t>Okeechobee</t>
  </si>
  <si>
    <t>Orange</t>
  </si>
  <si>
    <t>Osceola</t>
  </si>
  <si>
    <t>Palm Beach</t>
  </si>
  <si>
    <t>Pasco</t>
  </si>
  <si>
    <t>Pinellas</t>
  </si>
  <si>
    <t>Polk</t>
  </si>
  <si>
    <t>Putnam</t>
  </si>
  <si>
    <t>Santa Rosa</t>
  </si>
  <si>
    <t>Sarasota</t>
  </si>
  <si>
    <t>Seminole</t>
  </si>
  <si>
    <t>Sumter</t>
  </si>
  <si>
    <t>Suwannee</t>
  </si>
  <si>
    <t>Taylor</t>
  </si>
  <si>
    <t>Union</t>
  </si>
  <si>
    <t>Volusia</t>
  </si>
  <si>
    <t>Wakulla</t>
  </si>
  <si>
    <t>Walton</t>
  </si>
  <si>
    <t>Washington</t>
  </si>
  <si>
    <t>Statewide</t>
  </si>
  <si>
    <t>Real Property Just Value and Growth Rate</t>
  </si>
  <si>
    <t>Personal Property Just Value and Growth Rate</t>
  </si>
  <si>
    <t>Centrally Assessed Property Just Value and Growth Rate</t>
  </si>
  <si>
    <t>Just Value All Property Types</t>
  </si>
  <si>
    <t>All Property Types Just Value and Growth Rate</t>
  </si>
  <si>
    <t>Statewide Just Value Summary Information by County</t>
  </si>
  <si>
    <t>Just Value is the value of the property without regard to a possible agricultural classification or Save Our Homes Deferred Amount.  Just Value is the reflection of the value of land if it were not classified as agricultural and had no SOH deferred amount.</t>
  </si>
  <si>
    <t xml:space="preserve">Contact Information: </t>
  </si>
  <si>
    <t xml:space="preserve">Property Tax Oversight, Research &amp; Analysis  </t>
  </si>
  <si>
    <t>Miami-Dade</t>
  </si>
  <si>
    <t xml:space="preserve">n/a </t>
  </si>
  <si>
    <t>PTOResearchAnalysis@floridarevenue.com</t>
  </si>
  <si>
    <t>R-NVAB</t>
  </si>
  <si>
    <t>R-Final</t>
  </si>
  <si>
    <t>2023 Value</t>
  </si>
  <si>
    <t>2024 Value</t>
  </si>
  <si>
    <t>Percent increase 2023-2024</t>
  </si>
  <si>
    <t xml:space="preserve"> 2025 Real Property
 Just Value</t>
  </si>
  <si>
    <t>2025 Personal Property Just Value</t>
  </si>
  <si>
    <t xml:space="preserve"> 2025 Central Assessment Just Value</t>
  </si>
  <si>
    <t>2025 Total
 Just Value</t>
  </si>
  <si>
    <t>Data Extract: November 2025</t>
  </si>
  <si>
    <t>2025 Value</t>
  </si>
  <si>
    <t>Percent increase 2024-2025</t>
  </si>
  <si>
    <t>2023-2025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</si>
</sst>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2" x14ac:knownFonts="1">
    <font>
      <sz val="10"/>
      <name val="Arial"/>
    </font>
    <font>
      <sz val="10"/>
      <name val="Arial"/>
      <family val="2"/>
    </font>
    <font>
      <sz val="10"/>
      <name val="Arial"/>
      <family val="2"/>
    </font>
    <font>
      <sz val="8"/>
      <name val="Arial"/>
      <family val="2"/>
    </font>
    <font>
      <u/>
      <sz val="10"/>
      <color indexed="12"/>
      <name val="Arial"/>
      <family val="2"/>
    </font>
    <font>
      <sz val="10"/>
      <name val="Arial"/>
      <family val="2"/>
    </font>
    <font>
      <b/>
      <sz val="11"/>
      <name val="Arial"/>
      <family val="2"/>
    </font>
    <font>
      <sz val="11"/>
      <name val="Arial"/>
      <family val="2"/>
    </font>
    <font>
      <u/>
      <sz val="11"/>
      <color indexed="12"/>
      <name val="Arial"/>
      <family val="2"/>
    </font>
    <font>
      <i/>
      <sz val="11"/>
      <name val="Arial"/>
      <family val="2"/>
    </font>
    <font>
      <b/>
      <sz val="18"/>
      <name val="Arial"/>
      <family val="2"/>
    </font>
    <font>
      <b/>
      <sz val="10"/>
      <name val="Arial"/>
      <family val="2"/>
    </font>
  </fonts>
  <fills count="3">
    <fill>
      <patternFill patternType="none"/>
    </fill>
    <fill>
      <patternFill patternType="gray125"/>
    </fill>
    <fill>
      <patternFill patternType="solid">
        <fgColor indexed="22"/>
        <bgColor indexed="64"/>
      </patternFill>
    </fill>
  </fills>
  <borders count="22">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7">
    <xf numFmtId="0" fontId="0" fillId="0" borderId="0"/>
    <xf numFmtId="43" fontId="1" fillId="0" borderId="0" applyFont="0" applyFill="0" applyBorder="0" applyAlignment="0" applyProtection="0"/>
    <xf numFmtId="0" fontId="5" fillId="0" borderId="0" applyNumberFormat="0" applyFill="0" applyBorder="0" applyAlignment="0" applyProtection="0"/>
    <xf numFmtId="0" fontId="4" fillId="0" borderId="0" applyNumberFormat="0" applyFill="0" applyBorder="0" applyAlignment="0" applyProtection="0">
      <alignment vertical="top"/>
      <protection locked="0"/>
    </xf>
    <xf numFmtId="0" fontId="5" fillId="0" borderId="0" applyNumberFormat="0" applyFill="0" applyBorder="0" applyAlignment="0" applyProtection="0"/>
    <xf numFmtId="9" fontId="1" fillId="0" borderId="0" applyFont="0" applyFill="0" applyBorder="0" applyAlignment="0" applyProtection="0"/>
    <xf numFmtId="0" fontId="1" fillId="0" borderId="0"/>
  </cellStyleXfs>
  <cellXfs count="49">
    <xf numFmtId="0" fontId="0" fillId="0" borderId="0" xfId="0"/>
    <xf numFmtId="0" fontId="6" fillId="0" borderId="0" xfId="0" applyFont="1"/>
    <xf numFmtId="0" fontId="7" fillId="0" borderId="0" xfId="0" applyFont="1"/>
    <xf numFmtId="3" fontId="7" fillId="0" borderId="0" xfId="0" applyNumberFormat="1" applyFont="1" applyAlignment="1">
      <alignment wrapText="1"/>
    </xf>
    <xf numFmtId="0" fontId="7" fillId="0" borderId="0" xfId="0" applyFont="1" applyAlignment="1">
      <alignment horizontal="left"/>
    </xf>
    <xf numFmtId="0" fontId="9" fillId="0" borderId="0" xfId="0" applyFont="1"/>
    <xf numFmtId="0" fontId="8" fillId="0" borderId="0" xfId="3" applyFont="1" applyAlignment="1" applyProtection="1"/>
    <xf numFmtId="0" fontId="10" fillId="0" borderId="0" xfId="0" applyFont="1" applyAlignment="1"/>
    <xf numFmtId="0" fontId="6" fillId="0" borderId="0" xfId="0" applyFont="1" applyAlignment="1">
      <alignment horizontal="center"/>
    </xf>
    <xf numFmtId="0" fontId="6" fillId="0" borderId="0" xfId="0" applyFont="1" applyAlignment="1"/>
    <xf numFmtId="0" fontId="6" fillId="0" borderId="0" xfId="0" applyFont="1" applyAlignment="1">
      <alignment horizontal="left"/>
    </xf>
    <xf numFmtId="0" fontId="7" fillId="0" borderId="0" xfId="0" applyFont="1" applyAlignment="1">
      <alignment horizontal="center"/>
    </xf>
    <xf numFmtId="0" fontId="7" fillId="0" borderId="1" xfId="0" applyFont="1" applyBorder="1"/>
    <xf numFmtId="0" fontId="7" fillId="0" borderId="2" xfId="0" applyFont="1" applyBorder="1" applyAlignment="1">
      <alignment horizontal="center"/>
    </xf>
    <xf numFmtId="3" fontId="7" fillId="0" borderId="2" xfId="0" applyNumberFormat="1" applyFont="1" applyBorder="1"/>
    <xf numFmtId="10" fontId="7" fillId="0" borderId="2" xfId="5" applyNumberFormat="1" applyFont="1" applyBorder="1" applyAlignment="1">
      <alignment horizontal="right"/>
    </xf>
    <xf numFmtId="3" fontId="7" fillId="0" borderId="3" xfId="0" applyNumberFormat="1" applyFont="1" applyBorder="1"/>
    <xf numFmtId="3" fontId="7" fillId="0" borderId="0" xfId="0" applyNumberFormat="1" applyFont="1"/>
    <xf numFmtId="0" fontId="7" fillId="0" borderId="4" xfId="0" applyFont="1" applyBorder="1"/>
    <xf numFmtId="0" fontId="7" fillId="0" borderId="5" xfId="0" applyFont="1" applyBorder="1" applyAlignment="1">
      <alignment horizontal="center"/>
    </xf>
    <xf numFmtId="2" fontId="7" fillId="0" borderId="5" xfId="0" applyNumberFormat="1" applyFont="1" applyBorder="1" applyAlignment="1">
      <alignment horizontal="center"/>
    </xf>
    <xf numFmtId="0" fontId="6" fillId="2" borderId="6" xfId="0" applyFont="1" applyFill="1" applyBorder="1"/>
    <xf numFmtId="0" fontId="6" fillId="2" borderId="7" xfId="0" applyFont="1" applyFill="1" applyBorder="1" applyAlignment="1">
      <alignment horizontal="center"/>
    </xf>
    <xf numFmtId="3" fontId="6" fillId="2" borderId="7" xfId="0" applyNumberFormat="1" applyFont="1" applyFill="1" applyBorder="1"/>
    <xf numFmtId="10" fontId="6" fillId="2" borderId="7" xfId="5" applyNumberFormat="1" applyFont="1" applyFill="1" applyBorder="1" applyAlignment="1">
      <alignment horizontal="right"/>
    </xf>
    <xf numFmtId="3" fontId="6" fillId="2" borderId="8" xfId="0" applyNumberFormat="1" applyFont="1" applyFill="1" applyBorder="1"/>
    <xf numFmtId="0" fontId="7" fillId="0" borderId="0" xfId="0" applyFont="1" applyFill="1" applyBorder="1"/>
    <xf numFmtId="3" fontId="7" fillId="0" borderId="2" xfId="0" applyNumberFormat="1" applyFont="1" applyBorder="1" applyAlignment="1">
      <alignment horizontal="right"/>
    </xf>
    <xf numFmtId="3" fontId="7" fillId="0" borderId="2" xfId="4" applyNumberFormat="1" applyFont="1" applyBorder="1"/>
    <xf numFmtId="3" fontId="7" fillId="0" borderId="3" xfId="1" applyNumberFormat="1" applyFont="1" applyBorder="1"/>
    <xf numFmtId="3" fontId="7" fillId="0" borderId="2" xfId="0" applyNumberFormat="1" applyFont="1" applyFill="1" applyBorder="1" applyAlignment="1">
      <alignment horizontal="right"/>
    </xf>
    <xf numFmtId="3" fontId="7" fillId="0" borderId="2" xfId="1" applyNumberFormat="1" applyFont="1" applyBorder="1" applyAlignment="1"/>
    <xf numFmtId="3" fontId="7" fillId="0" borderId="2" xfId="1" applyNumberFormat="1" applyFont="1" applyBorder="1"/>
    <xf numFmtId="0" fontId="11" fillId="2" borderId="9"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2" fillId="0" borderId="0" xfId="0" applyFont="1" applyAlignment="1">
      <alignment horizontal="center" vertical="center"/>
    </xf>
    <xf numFmtId="0" fontId="11" fillId="2" borderId="12"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8" fillId="0" borderId="0" xfId="3" applyFont="1" applyAlignment="1" applyProtection="1">
      <alignment horizontal="left"/>
    </xf>
    <xf numFmtId="3" fontId="7" fillId="0" borderId="14" xfId="0" applyNumberFormat="1" applyFont="1" applyBorder="1" applyAlignment="1">
      <alignment horizontal="left" vertical="center" wrapText="1"/>
    </xf>
    <xf numFmtId="3" fontId="7" fillId="0" borderId="15" xfId="0" applyNumberFormat="1" applyFont="1" applyBorder="1" applyAlignment="1">
      <alignment horizontal="left" vertical="center" wrapText="1"/>
    </xf>
    <xf numFmtId="3" fontId="7" fillId="0" borderId="16" xfId="0" applyNumberFormat="1" applyFont="1" applyBorder="1" applyAlignment="1">
      <alignment horizontal="left" vertical="center" wrapText="1"/>
    </xf>
    <xf numFmtId="3" fontId="7" fillId="0" borderId="17" xfId="0" applyNumberFormat="1" applyFont="1" applyBorder="1" applyAlignment="1">
      <alignment horizontal="left" vertical="center" wrapText="1"/>
    </xf>
    <xf numFmtId="3" fontId="7" fillId="0" borderId="0" xfId="0" applyNumberFormat="1" applyFont="1" applyBorder="1" applyAlignment="1">
      <alignment horizontal="left" vertical="center" wrapText="1"/>
    </xf>
    <xf numFmtId="3" fontId="7" fillId="0" borderId="18" xfId="0" applyNumberFormat="1" applyFont="1" applyBorder="1" applyAlignment="1">
      <alignment horizontal="left" vertical="center" wrapText="1"/>
    </xf>
    <xf numFmtId="3" fontId="7" fillId="0" borderId="19" xfId="0" applyNumberFormat="1" applyFont="1" applyBorder="1" applyAlignment="1">
      <alignment horizontal="left" vertical="center" wrapText="1"/>
    </xf>
    <xf numFmtId="3" fontId="7" fillId="0" borderId="20" xfId="0" applyNumberFormat="1" applyFont="1" applyBorder="1" applyAlignment="1">
      <alignment horizontal="left" vertical="center" wrapText="1"/>
    </xf>
    <xf numFmtId="3" fontId="7" fillId="0" borderId="21" xfId="0" applyNumberFormat="1" applyFont="1" applyBorder="1" applyAlignment="1">
      <alignment horizontal="left" vertical="center" wrapText="1"/>
    </xf>
  </cellXfs>
  <cellStyles count="7">
    <cellStyle name="Comma" xfId="1" builtinId="3"/>
    <cellStyle name="Comma 2" xfId="2" xr:uid="{00000000-0005-0000-0000-000001000000}"/>
    <cellStyle name="Hyperlink" xfId="3" builtinId="8"/>
    <cellStyle name="Normal" xfId="0" builtinId="0"/>
    <cellStyle name="Normal 2" xfId="4" xr:uid="{00000000-0005-0000-0000-000004000000}"/>
    <cellStyle name="Normal 3" xfId="6" xr:uid="{E1D0AD4D-D76E-4D49-AF8E-07ADB0AF94C8}"/>
    <cellStyle name="Percent" xfId="5" builtinId="5"/>
  </cellStyles>
  <dxfs count="10">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PTOResearchAnalysis@floridarevenue.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26"/>
  <sheetViews>
    <sheetView tabSelected="1" workbookViewId="0"/>
  </sheetViews>
  <sheetFormatPr defaultRowHeight="14.25" x14ac:dyDescent="0.2"/>
  <cols>
    <col min="1" max="16384" width="9.140625" style="2"/>
  </cols>
  <sheetData>
    <row r="2" spans="1:11" ht="15" x14ac:dyDescent="0.25">
      <c r="A2" s="1" t="s">
        <v>74</v>
      </c>
    </row>
    <row r="3" spans="1:11" ht="15" thickBot="1" x14ac:dyDescent="0.25"/>
    <row r="4" spans="1:11" x14ac:dyDescent="0.2">
      <c r="B4" s="40" t="s">
        <v>75</v>
      </c>
      <c r="C4" s="41"/>
      <c r="D4" s="41"/>
      <c r="E4" s="41"/>
      <c r="F4" s="41"/>
      <c r="G4" s="41"/>
      <c r="H4" s="42"/>
      <c r="I4" s="3"/>
      <c r="J4" s="3"/>
      <c r="K4" s="3"/>
    </row>
    <row r="5" spans="1:11" x14ac:dyDescent="0.2">
      <c r="B5" s="43"/>
      <c r="C5" s="44"/>
      <c r="D5" s="44"/>
      <c r="E5" s="44"/>
      <c r="F5" s="44"/>
      <c r="G5" s="44"/>
      <c r="H5" s="45"/>
      <c r="I5" s="3"/>
      <c r="J5" s="3"/>
      <c r="K5" s="3"/>
    </row>
    <row r="6" spans="1:11" x14ac:dyDescent="0.2">
      <c r="B6" s="43"/>
      <c r="C6" s="44"/>
      <c r="D6" s="44"/>
      <c r="E6" s="44"/>
      <c r="F6" s="44"/>
      <c r="G6" s="44"/>
      <c r="H6" s="45"/>
      <c r="I6" s="3"/>
      <c r="J6" s="3"/>
      <c r="K6" s="3"/>
    </row>
    <row r="7" spans="1:11" x14ac:dyDescent="0.2">
      <c r="B7" s="43"/>
      <c r="C7" s="44"/>
      <c r="D7" s="44"/>
      <c r="E7" s="44"/>
      <c r="F7" s="44"/>
      <c r="G7" s="44"/>
      <c r="H7" s="45"/>
      <c r="I7" s="3"/>
      <c r="J7" s="3"/>
      <c r="K7" s="3"/>
    </row>
    <row r="8" spans="1:11" x14ac:dyDescent="0.2">
      <c r="B8" s="43"/>
      <c r="C8" s="44"/>
      <c r="D8" s="44"/>
      <c r="E8" s="44"/>
      <c r="F8" s="44"/>
      <c r="G8" s="44"/>
      <c r="H8" s="45"/>
      <c r="I8" s="3"/>
      <c r="J8" s="3"/>
      <c r="K8" s="3"/>
    </row>
    <row r="9" spans="1:11" ht="15" thickBot="1" x14ac:dyDescent="0.25">
      <c r="B9" s="46"/>
      <c r="C9" s="47"/>
      <c r="D9" s="47"/>
      <c r="E9" s="47"/>
      <c r="F9" s="47"/>
      <c r="G9" s="47"/>
      <c r="H9" s="48"/>
      <c r="I9" s="3"/>
      <c r="J9" s="3"/>
      <c r="K9" s="3"/>
    </row>
    <row r="10" spans="1:11" x14ac:dyDescent="0.2">
      <c r="B10" s="3"/>
      <c r="C10" s="3"/>
      <c r="D10" s="3"/>
      <c r="E10" s="3"/>
      <c r="F10" s="3"/>
      <c r="G10" s="3"/>
      <c r="H10" s="3"/>
      <c r="I10" s="3"/>
      <c r="J10" s="3"/>
      <c r="K10" s="3"/>
    </row>
    <row r="11" spans="1:11" x14ac:dyDescent="0.2">
      <c r="B11" s="39" t="s">
        <v>72</v>
      </c>
      <c r="C11" s="39"/>
      <c r="D11" s="39"/>
      <c r="E11" s="39"/>
      <c r="F11" s="39"/>
      <c r="G11" s="39"/>
      <c r="H11" s="39"/>
      <c r="I11" s="3"/>
      <c r="J11" s="3"/>
      <c r="K11" s="3"/>
    </row>
    <row r="12" spans="1:11" x14ac:dyDescent="0.2">
      <c r="B12" s="4"/>
      <c r="C12" s="3"/>
      <c r="D12" s="3"/>
      <c r="E12" s="3"/>
      <c r="F12" s="3"/>
      <c r="G12" s="3"/>
      <c r="H12" s="3"/>
      <c r="I12" s="3"/>
      <c r="J12" s="3"/>
      <c r="K12" s="3"/>
    </row>
    <row r="13" spans="1:11" x14ac:dyDescent="0.2">
      <c r="B13" s="39" t="s">
        <v>73</v>
      </c>
      <c r="C13" s="39"/>
      <c r="D13" s="39"/>
      <c r="E13" s="39"/>
      <c r="F13" s="39"/>
      <c r="G13" s="39"/>
      <c r="H13" s="39"/>
    </row>
    <row r="15" spans="1:11" x14ac:dyDescent="0.2">
      <c r="B15" s="39" t="s">
        <v>69</v>
      </c>
      <c r="C15" s="39"/>
      <c r="D15" s="39"/>
      <c r="E15" s="39"/>
      <c r="F15" s="39"/>
      <c r="G15" s="39"/>
      <c r="H15" s="39"/>
    </row>
    <row r="17" spans="1:8" x14ac:dyDescent="0.2">
      <c r="B17" s="39" t="s">
        <v>70</v>
      </c>
      <c r="C17" s="39"/>
      <c r="D17" s="39"/>
      <c r="E17" s="39"/>
      <c r="F17" s="39"/>
      <c r="G17" s="39"/>
      <c r="H17" s="39"/>
    </row>
    <row r="19" spans="1:8" x14ac:dyDescent="0.2">
      <c r="B19" s="39" t="s">
        <v>71</v>
      </c>
      <c r="C19" s="39"/>
      <c r="D19" s="39"/>
      <c r="E19" s="39"/>
      <c r="F19" s="39"/>
      <c r="G19" s="39"/>
      <c r="H19" s="39"/>
    </row>
    <row r="25" spans="1:8" x14ac:dyDescent="0.2">
      <c r="A25" s="5" t="s">
        <v>76</v>
      </c>
      <c r="D25" s="5" t="s">
        <v>77</v>
      </c>
    </row>
    <row r="26" spans="1:8" x14ac:dyDescent="0.2">
      <c r="D26" s="6" t="s">
        <v>80</v>
      </c>
    </row>
  </sheetData>
  <mergeCells count="6">
    <mergeCell ref="B17:H17"/>
    <mergeCell ref="B19:H19"/>
    <mergeCell ref="B4:H9"/>
    <mergeCell ref="B11:H11"/>
    <mergeCell ref="B13:H13"/>
    <mergeCell ref="B15:H15"/>
  </mergeCells>
  <phoneticPr fontId="3" type="noConversion"/>
  <hyperlinks>
    <hyperlink ref="B11" location="'Just Value All Property Types'!A1" display="Just Value All Property Types 2010" xr:uid="{00000000-0004-0000-0000-000000000000}"/>
    <hyperlink ref="B13" location="'All Property Just Value'!A1" display="All Property Types Just Value and Growth Rate 2008 - 2010" xr:uid="{00000000-0004-0000-0000-000001000000}"/>
    <hyperlink ref="B15" location="'Real Property Just Value'!A1" display="Real Property Just Value and Growth Rate 2008 - 2010" xr:uid="{00000000-0004-0000-0000-000002000000}"/>
    <hyperlink ref="B17" location="'Personal Property Just Value'!A1" display="Personal Property Just Value and Growth Rate 2008 - 2010" xr:uid="{00000000-0004-0000-0000-000003000000}"/>
    <hyperlink ref="B19" location="'Centrally Assessed Just Value '!A1" display="Centrally Assessed Property Just Value and Growth Rate 2008 - 2010" xr:uid="{00000000-0004-0000-0000-000004000000}"/>
    <hyperlink ref="D26" r:id="rId1" xr:uid="{00000000-0004-0000-0000-000005000000}"/>
  </hyperlinks>
  <pageMargins left="0.75" right="0.75" top="1" bottom="1" header="0.5" footer="0.5"/>
  <pageSetup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5"/>
  <sheetViews>
    <sheetView zoomScaleNormal="100" workbookViewId="0">
      <pane ySplit="4" topLeftCell="A5" activePane="bottomLeft" state="frozen"/>
      <selection pane="bottomLeft"/>
    </sheetView>
  </sheetViews>
  <sheetFormatPr defaultRowHeight="14.25" x14ac:dyDescent="0.2"/>
  <cols>
    <col min="1" max="1" width="17.7109375" style="2" customWidth="1"/>
    <col min="2" max="2" width="9.28515625" style="11" bestFit="1" customWidth="1"/>
    <col min="3" max="3" width="19.28515625" style="2" bestFit="1" customWidth="1"/>
    <col min="4" max="4" width="19.140625" style="2" bestFit="1" customWidth="1"/>
    <col min="5" max="5" width="22" style="2" bestFit="1" customWidth="1"/>
    <col min="6" max="6" width="18.42578125" style="2" bestFit="1" customWidth="1"/>
    <col min="7" max="8" width="9.140625" style="2"/>
    <col min="9" max="9" width="16.5703125" style="2" bestFit="1" customWidth="1"/>
    <col min="10" max="16384" width="9.140625" style="2"/>
  </cols>
  <sheetData>
    <row r="1" spans="1:11" ht="23.25" x14ac:dyDescent="0.35">
      <c r="A1" s="7" t="s">
        <v>72</v>
      </c>
      <c r="B1" s="8"/>
      <c r="C1" s="9"/>
      <c r="D1" s="9"/>
      <c r="E1" s="9"/>
      <c r="F1" s="9"/>
    </row>
    <row r="2" spans="1:11" ht="15" x14ac:dyDescent="0.25">
      <c r="A2" s="10">
        <v>2025</v>
      </c>
      <c r="B2" s="10"/>
      <c r="C2" s="10"/>
      <c r="D2" s="10"/>
      <c r="E2" s="10"/>
      <c r="F2" s="10"/>
    </row>
    <row r="3" spans="1:11" ht="15" thickBot="1" x14ac:dyDescent="0.25"/>
    <row r="4" spans="1:11" s="36" customFormat="1" ht="25.5" x14ac:dyDescent="0.2">
      <c r="A4" s="33" t="s">
        <v>0</v>
      </c>
      <c r="B4" s="34" t="s">
        <v>1</v>
      </c>
      <c r="C4" s="34" t="s">
        <v>86</v>
      </c>
      <c r="D4" s="34" t="s">
        <v>87</v>
      </c>
      <c r="E4" s="34" t="s">
        <v>88</v>
      </c>
      <c r="F4" s="35" t="s">
        <v>89</v>
      </c>
    </row>
    <row r="5" spans="1:11" x14ac:dyDescent="0.2">
      <c r="A5" s="12" t="s">
        <v>4</v>
      </c>
      <c r="B5" s="13" t="s">
        <v>81</v>
      </c>
      <c r="C5" s="27">
        <v>42775630101</v>
      </c>
      <c r="D5" s="28">
        <v>4331387352</v>
      </c>
      <c r="E5" s="27">
        <v>35859761</v>
      </c>
      <c r="F5" s="29">
        <v>47142877214</v>
      </c>
      <c r="I5" s="17"/>
      <c r="K5" s="17"/>
    </row>
    <row r="6" spans="1:11" x14ac:dyDescent="0.2">
      <c r="A6" s="12" t="s">
        <v>5</v>
      </c>
      <c r="B6" s="13" t="s">
        <v>81</v>
      </c>
      <c r="C6" s="27">
        <v>3164290547</v>
      </c>
      <c r="D6" s="28">
        <v>316676760</v>
      </c>
      <c r="E6" s="27">
        <v>13382383</v>
      </c>
      <c r="F6" s="29">
        <v>3494349690</v>
      </c>
      <c r="I6" s="17"/>
      <c r="K6" s="17"/>
    </row>
    <row r="7" spans="1:11" x14ac:dyDescent="0.2">
      <c r="A7" s="12" t="s">
        <v>6</v>
      </c>
      <c r="B7" s="13" t="s">
        <v>81</v>
      </c>
      <c r="C7" s="27">
        <v>42748637806</v>
      </c>
      <c r="D7" s="28">
        <v>2802208680</v>
      </c>
      <c r="E7" s="27">
        <v>28141540</v>
      </c>
      <c r="F7" s="29">
        <v>45578988026</v>
      </c>
      <c r="I7" s="17"/>
      <c r="K7" s="17"/>
    </row>
    <row r="8" spans="1:11" x14ac:dyDescent="0.2">
      <c r="A8" s="12" t="s">
        <v>7</v>
      </c>
      <c r="B8" s="13" t="s">
        <v>82</v>
      </c>
      <c r="C8" s="27">
        <v>2615445430</v>
      </c>
      <c r="D8" s="28">
        <v>362081573</v>
      </c>
      <c r="E8" s="27">
        <v>19998905</v>
      </c>
      <c r="F8" s="29">
        <v>2997525908</v>
      </c>
      <c r="I8" s="17"/>
      <c r="K8" s="17"/>
    </row>
    <row r="9" spans="1:11" x14ac:dyDescent="0.2">
      <c r="A9" s="12" t="s">
        <v>8</v>
      </c>
      <c r="B9" s="13" t="s">
        <v>81</v>
      </c>
      <c r="C9" s="27">
        <v>114769350080</v>
      </c>
      <c r="D9" s="28">
        <v>12874656310</v>
      </c>
      <c r="E9" s="27">
        <v>145856371</v>
      </c>
      <c r="F9" s="29">
        <v>127789862761</v>
      </c>
      <c r="I9" s="17"/>
      <c r="K9" s="17"/>
    </row>
    <row r="10" spans="1:11" x14ac:dyDescent="0.2">
      <c r="A10" s="12" t="s">
        <v>9</v>
      </c>
      <c r="B10" s="13" t="s">
        <v>81</v>
      </c>
      <c r="C10" s="27">
        <v>482394442030</v>
      </c>
      <c r="D10" s="28">
        <v>12827002466</v>
      </c>
      <c r="E10" s="27">
        <v>113721947</v>
      </c>
      <c r="F10" s="29">
        <v>495335166443</v>
      </c>
      <c r="I10" s="17"/>
      <c r="K10" s="17"/>
    </row>
    <row r="11" spans="1:11" x14ac:dyDescent="0.2">
      <c r="A11" s="12" t="s">
        <v>10</v>
      </c>
      <c r="B11" s="13" t="s">
        <v>82</v>
      </c>
      <c r="C11" s="27">
        <v>1112484464</v>
      </c>
      <c r="D11" s="28">
        <v>514353255</v>
      </c>
      <c r="E11" s="27"/>
      <c r="F11" s="29">
        <v>1626837719</v>
      </c>
      <c r="I11" s="17"/>
      <c r="K11" s="17"/>
    </row>
    <row r="12" spans="1:11" x14ac:dyDescent="0.2">
      <c r="A12" s="12" t="s">
        <v>11</v>
      </c>
      <c r="B12" s="13" t="s">
        <v>81</v>
      </c>
      <c r="C12" s="27">
        <v>49853772966</v>
      </c>
      <c r="D12" s="28">
        <v>2062477549</v>
      </c>
      <c r="E12" s="27">
        <v>3547613</v>
      </c>
      <c r="F12" s="29">
        <v>51919798128</v>
      </c>
      <c r="I12" s="17"/>
      <c r="K12" s="17"/>
    </row>
    <row r="13" spans="1:11" x14ac:dyDescent="0.2">
      <c r="A13" s="12" t="s">
        <v>12</v>
      </c>
      <c r="B13" s="13" t="s">
        <v>81</v>
      </c>
      <c r="C13" s="27">
        <v>24852690385</v>
      </c>
      <c r="D13" s="28">
        <v>4174911181</v>
      </c>
      <c r="E13" s="27">
        <v>1719356</v>
      </c>
      <c r="F13" s="29">
        <v>29029320922</v>
      </c>
      <c r="I13" s="17"/>
      <c r="K13" s="17"/>
    </row>
    <row r="14" spans="1:11" x14ac:dyDescent="0.2">
      <c r="A14" s="12" t="s">
        <v>13</v>
      </c>
      <c r="B14" s="13" t="s">
        <v>81</v>
      </c>
      <c r="C14" s="27">
        <v>32665325170</v>
      </c>
      <c r="D14" s="28">
        <v>2303877930</v>
      </c>
      <c r="E14" s="27">
        <v>34329523</v>
      </c>
      <c r="F14" s="29">
        <v>35003532623</v>
      </c>
      <c r="I14" s="17"/>
      <c r="K14" s="17"/>
    </row>
    <row r="15" spans="1:11" x14ac:dyDescent="0.2">
      <c r="A15" s="12" t="s">
        <v>14</v>
      </c>
      <c r="B15" s="13" t="s">
        <v>81</v>
      </c>
      <c r="C15" s="27">
        <v>224996077673</v>
      </c>
      <c r="D15" s="28">
        <v>3548693291</v>
      </c>
      <c r="E15" s="27">
        <v>216123</v>
      </c>
      <c r="F15" s="29">
        <v>228544987087</v>
      </c>
      <c r="I15" s="17"/>
      <c r="K15" s="17"/>
    </row>
    <row r="16" spans="1:11" x14ac:dyDescent="0.2">
      <c r="A16" s="12" t="s">
        <v>15</v>
      </c>
      <c r="B16" s="13" t="s">
        <v>81</v>
      </c>
      <c r="C16" s="27">
        <v>7666822503</v>
      </c>
      <c r="D16" s="28">
        <v>1182579497</v>
      </c>
      <c r="E16" s="27">
        <v>13146965</v>
      </c>
      <c r="F16" s="29">
        <v>8862548965</v>
      </c>
      <c r="I16" s="17"/>
      <c r="K16" s="17"/>
    </row>
    <row r="17" spans="1:11" x14ac:dyDescent="0.2">
      <c r="A17" s="12" t="s">
        <v>78</v>
      </c>
      <c r="B17" s="13" t="s">
        <v>81</v>
      </c>
      <c r="C17" s="27">
        <v>767584789463</v>
      </c>
      <c r="D17" s="28">
        <v>24220710578</v>
      </c>
      <c r="E17" s="27">
        <v>214759890</v>
      </c>
      <c r="F17" s="29">
        <v>792020259931</v>
      </c>
      <c r="I17" s="17"/>
      <c r="K17" s="17"/>
    </row>
    <row r="18" spans="1:11" x14ac:dyDescent="0.2">
      <c r="A18" s="12" t="s">
        <v>16</v>
      </c>
      <c r="B18" s="13" t="s">
        <v>81</v>
      </c>
      <c r="C18" s="27">
        <v>5611056578</v>
      </c>
      <c r="D18" s="28">
        <v>890281422</v>
      </c>
      <c r="E18" s="27">
        <v>5099557</v>
      </c>
      <c r="F18" s="29">
        <v>6506437557</v>
      </c>
      <c r="I18" s="17"/>
      <c r="K18" s="17"/>
    </row>
    <row r="19" spans="1:11" x14ac:dyDescent="0.2">
      <c r="A19" s="12" t="s">
        <v>17</v>
      </c>
      <c r="B19" s="13" t="s">
        <v>82</v>
      </c>
      <c r="C19" s="27">
        <v>1830690151</v>
      </c>
      <c r="D19" s="28">
        <v>124984171</v>
      </c>
      <c r="E19" s="27"/>
      <c r="F19" s="29">
        <v>1955674322</v>
      </c>
      <c r="I19" s="17"/>
      <c r="K19" s="17"/>
    </row>
    <row r="20" spans="1:11" x14ac:dyDescent="0.2">
      <c r="A20" s="12" t="s">
        <v>18</v>
      </c>
      <c r="B20" s="13" t="s">
        <v>81</v>
      </c>
      <c r="C20" s="27">
        <v>167209403409</v>
      </c>
      <c r="D20" s="28">
        <v>17182948573</v>
      </c>
      <c r="E20" s="27">
        <v>222563393</v>
      </c>
      <c r="F20" s="29">
        <v>184614915375</v>
      </c>
      <c r="I20" s="17"/>
      <c r="K20" s="17"/>
    </row>
    <row r="21" spans="1:11" x14ac:dyDescent="0.2">
      <c r="A21" s="12" t="s">
        <v>19</v>
      </c>
      <c r="B21" s="13" t="s">
        <v>81</v>
      </c>
      <c r="C21" s="27">
        <v>48010719600</v>
      </c>
      <c r="D21" s="28">
        <v>5330561738</v>
      </c>
      <c r="E21" s="27">
        <v>34284428</v>
      </c>
      <c r="F21" s="29">
        <v>53375565766</v>
      </c>
      <c r="I21" s="17"/>
      <c r="K21" s="17"/>
    </row>
    <row r="22" spans="1:11" x14ac:dyDescent="0.2">
      <c r="A22" s="12" t="s">
        <v>20</v>
      </c>
      <c r="B22" s="13" t="s">
        <v>81</v>
      </c>
      <c r="C22" s="27">
        <v>26975164369</v>
      </c>
      <c r="D22" s="28">
        <v>1250123105</v>
      </c>
      <c r="E22" s="27">
        <v>24167147</v>
      </c>
      <c r="F22" s="29">
        <v>28249454621</v>
      </c>
      <c r="I22" s="17"/>
      <c r="K22" s="17"/>
    </row>
    <row r="23" spans="1:11" x14ac:dyDescent="0.2">
      <c r="A23" s="12" t="s">
        <v>21</v>
      </c>
      <c r="B23" s="13" t="s">
        <v>82</v>
      </c>
      <c r="C23" s="27">
        <v>6048587050</v>
      </c>
      <c r="D23" s="28">
        <v>112526489</v>
      </c>
      <c r="E23" s="27"/>
      <c r="F23" s="29">
        <v>6161113539</v>
      </c>
      <c r="I23" s="17"/>
      <c r="K23" s="17"/>
    </row>
    <row r="24" spans="1:11" x14ac:dyDescent="0.2">
      <c r="A24" s="12" t="s">
        <v>22</v>
      </c>
      <c r="B24" s="13" t="s">
        <v>82</v>
      </c>
      <c r="C24" s="27">
        <v>4529773345</v>
      </c>
      <c r="D24" s="28">
        <v>938014259</v>
      </c>
      <c r="E24" s="27">
        <v>11239209</v>
      </c>
      <c r="F24" s="29">
        <v>5479026813</v>
      </c>
      <c r="I24" s="17"/>
      <c r="K24" s="17"/>
    </row>
    <row r="25" spans="1:11" x14ac:dyDescent="0.2">
      <c r="A25" s="12" t="s">
        <v>23</v>
      </c>
      <c r="B25" s="13" t="s">
        <v>82</v>
      </c>
      <c r="C25" s="27">
        <v>2889133570</v>
      </c>
      <c r="D25" s="28">
        <v>486352453</v>
      </c>
      <c r="E25" s="27"/>
      <c r="F25" s="29">
        <v>3375486023</v>
      </c>
      <c r="I25" s="17"/>
      <c r="K25" s="17"/>
    </row>
    <row r="26" spans="1:11" x14ac:dyDescent="0.2">
      <c r="A26" s="12" t="s">
        <v>24</v>
      </c>
      <c r="B26" s="13" t="s">
        <v>82</v>
      </c>
      <c r="C26" s="27">
        <v>6298107176</v>
      </c>
      <c r="D26" s="28">
        <v>212202204</v>
      </c>
      <c r="E26" s="27">
        <v>13804965</v>
      </c>
      <c r="F26" s="29">
        <v>6524114345</v>
      </c>
      <c r="I26" s="17"/>
      <c r="K26" s="17"/>
    </row>
    <row r="27" spans="1:11" x14ac:dyDescent="0.2">
      <c r="A27" s="12" t="s">
        <v>25</v>
      </c>
      <c r="B27" s="13" t="s">
        <v>82</v>
      </c>
      <c r="C27" s="27">
        <v>6880334427</v>
      </c>
      <c r="D27" s="28">
        <v>167278624</v>
      </c>
      <c r="E27" s="27"/>
      <c r="F27" s="29">
        <v>7047613051</v>
      </c>
      <c r="I27" s="17"/>
      <c r="K27" s="17"/>
    </row>
    <row r="28" spans="1:11" x14ac:dyDescent="0.2">
      <c r="A28" s="12" t="s">
        <v>26</v>
      </c>
      <c r="B28" s="13" t="s">
        <v>81</v>
      </c>
      <c r="C28" s="27">
        <v>2050748155</v>
      </c>
      <c r="D28" s="28">
        <v>731577472</v>
      </c>
      <c r="E28" s="27">
        <v>20788817</v>
      </c>
      <c r="F28" s="29">
        <v>2803114444</v>
      </c>
      <c r="I28" s="17"/>
      <c r="K28" s="17"/>
    </row>
    <row r="29" spans="1:11" x14ac:dyDescent="0.2">
      <c r="A29" s="12" t="s">
        <v>27</v>
      </c>
      <c r="B29" s="13" t="s">
        <v>81</v>
      </c>
      <c r="C29" s="27">
        <v>5680098072</v>
      </c>
      <c r="D29" s="28">
        <v>1223980608</v>
      </c>
      <c r="E29" s="27">
        <v>9908239</v>
      </c>
      <c r="F29" s="29">
        <v>6913986919</v>
      </c>
      <c r="I29" s="17"/>
      <c r="K29" s="17"/>
    </row>
    <row r="30" spans="1:11" x14ac:dyDescent="0.2">
      <c r="A30" s="12" t="s">
        <v>28</v>
      </c>
      <c r="B30" s="13" t="s">
        <v>81</v>
      </c>
      <c r="C30" s="27">
        <v>8944026495</v>
      </c>
      <c r="D30" s="28">
        <v>1824828811</v>
      </c>
      <c r="E30" s="27">
        <v>4791290</v>
      </c>
      <c r="F30" s="29">
        <v>10773646596</v>
      </c>
      <c r="I30" s="17"/>
      <c r="K30" s="17"/>
    </row>
    <row r="31" spans="1:11" x14ac:dyDescent="0.2">
      <c r="A31" s="12" t="s">
        <v>29</v>
      </c>
      <c r="B31" s="13" t="s">
        <v>81</v>
      </c>
      <c r="C31" s="27">
        <v>31927207928</v>
      </c>
      <c r="D31" s="28">
        <v>2346438392</v>
      </c>
      <c r="E31" s="27">
        <v>12674645</v>
      </c>
      <c r="F31" s="29">
        <v>34286320965</v>
      </c>
      <c r="I31" s="17"/>
      <c r="K31" s="17"/>
    </row>
    <row r="32" spans="1:11" x14ac:dyDescent="0.2">
      <c r="A32" s="12" t="s">
        <v>30</v>
      </c>
      <c r="B32" s="13" t="s">
        <v>81</v>
      </c>
      <c r="C32" s="27">
        <v>16663946144</v>
      </c>
      <c r="D32" s="28">
        <v>900340568</v>
      </c>
      <c r="E32" s="27">
        <v>34749382</v>
      </c>
      <c r="F32" s="29">
        <v>17599036094</v>
      </c>
      <c r="I32" s="17"/>
      <c r="K32" s="17"/>
    </row>
    <row r="33" spans="1:11" x14ac:dyDescent="0.2">
      <c r="A33" s="12" t="s">
        <v>31</v>
      </c>
      <c r="B33" s="13" t="s">
        <v>81</v>
      </c>
      <c r="C33" s="27">
        <v>261942230217</v>
      </c>
      <c r="D33" s="28">
        <v>15092515050</v>
      </c>
      <c r="E33" s="27">
        <v>135142334</v>
      </c>
      <c r="F33" s="29">
        <v>277169887601</v>
      </c>
      <c r="I33" s="17"/>
      <c r="K33" s="17"/>
    </row>
    <row r="34" spans="1:11" x14ac:dyDescent="0.2">
      <c r="A34" s="12" t="s">
        <v>32</v>
      </c>
      <c r="B34" s="13" t="s">
        <v>82</v>
      </c>
      <c r="C34" s="27">
        <v>1766213292</v>
      </c>
      <c r="D34" s="28">
        <v>167526344</v>
      </c>
      <c r="E34" s="27">
        <v>4419411</v>
      </c>
      <c r="F34" s="29">
        <v>1938159047</v>
      </c>
      <c r="I34" s="17"/>
      <c r="K34" s="17"/>
    </row>
    <row r="35" spans="1:11" x14ac:dyDescent="0.2">
      <c r="A35" s="12" t="s">
        <v>33</v>
      </c>
      <c r="B35" s="13" t="s">
        <v>81</v>
      </c>
      <c r="C35" s="27">
        <v>49064683352</v>
      </c>
      <c r="D35" s="28">
        <v>1461319860</v>
      </c>
      <c r="E35" s="27">
        <v>50962531</v>
      </c>
      <c r="F35" s="29">
        <v>50576965743</v>
      </c>
      <c r="I35" s="17"/>
      <c r="K35" s="17"/>
    </row>
    <row r="36" spans="1:11" x14ac:dyDescent="0.2">
      <c r="A36" s="12" t="s">
        <v>34</v>
      </c>
      <c r="B36" s="13" t="s">
        <v>82</v>
      </c>
      <c r="C36" s="27">
        <v>4186933692</v>
      </c>
      <c r="D36" s="28">
        <v>595485839</v>
      </c>
      <c r="E36" s="27">
        <v>26108726</v>
      </c>
      <c r="F36" s="29">
        <v>4808528257</v>
      </c>
      <c r="I36" s="17"/>
      <c r="K36" s="17"/>
    </row>
    <row r="37" spans="1:11" x14ac:dyDescent="0.2">
      <c r="A37" s="12" t="s">
        <v>35</v>
      </c>
      <c r="B37" s="13" t="s">
        <v>82</v>
      </c>
      <c r="C37" s="27">
        <v>2523722407</v>
      </c>
      <c r="D37" s="28">
        <v>288704658</v>
      </c>
      <c r="E37" s="27">
        <v>3762387</v>
      </c>
      <c r="F37" s="29">
        <v>2816189452</v>
      </c>
      <c r="I37" s="17"/>
      <c r="K37" s="17"/>
    </row>
    <row r="38" spans="1:11" x14ac:dyDescent="0.2">
      <c r="A38" s="12" t="s">
        <v>36</v>
      </c>
      <c r="B38" s="13" t="s">
        <v>82</v>
      </c>
      <c r="C38" s="27">
        <v>1032812732</v>
      </c>
      <c r="D38" s="28">
        <v>78953209</v>
      </c>
      <c r="E38" s="27"/>
      <c r="F38" s="29">
        <v>1111765941</v>
      </c>
      <c r="I38" s="17"/>
      <c r="K38" s="17"/>
    </row>
    <row r="39" spans="1:11" x14ac:dyDescent="0.2">
      <c r="A39" s="12" t="s">
        <v>37</v>
      </c>
      <c r="B39" s="13" t="s">
        <v>81</v>
      </c>
      <c r="C39" s="27">
        <v>66714106336</v>
      </c>
      <c r="D39" s="28">
        <v>2822350888</v>
      </c>
      <c r="E39" s="27">
        <v>5354563</v>
      </c>
      <c r="F39" s="29">
        <v>69541811787</v>
      </c>
      <c r="I39" s="17"/>
      <c r="K39" s="17"/>
    </row>
    <row r="40" spans="1:11" x14ac:dyDescent="0.2">
      <c r="A40" s="12" t="s">
        <v>38</v>
      </c>
      <c r="B40" s="13" t="s">
        <v>81</v>
      </c>
      <c r="C40" s="27">
        <v>212351482798</v>
      </c>
      <c r="D40" s="28">
        <v>7575694572</v>
      </c>
      <c r="E40" s="27">
        <v>5972950</v>
      </c>
      <c r="F40" s="29">
        <v>219933150320</v>
      </c>
      <c r="I40" s="17"/>
      <c r="K40" s="17"/>
    </row>
    <row r="41" spans="1:11" x14ac:dyDescent="0.2">
      <c r="A41" s="12" t="s">
        <v>39</v>
      </c>
      <c r="B41" s="13" t="s">
        <v>81</v>
      </c>
      <c r="C41" s="27">
        <v>43125334803</v>
      </c>
      <c r="D41" s="28">
        <v>2658621899</v>
      </c>
      <c r="E41" s="27">
        <v>7138855</v>
      </c>
      <c r="F41" s="29">
        <v>45791095557</v>
      </c>
      <c r="I41" s="17"/>
      <c r="K41" s="17"/>
    </row>
    <row r="42" spans="1:11" x14ac:dyDescent="0.2">
      <c r="A42" s="12" t="s">
        <v>40</v>
      </c>
      <c r="B42" s="13" t="s">
        <v>82</v>
      </c>
      <c r="C42" s="27">
        <v>7719286358</v>
      </c>
      <c r="D42" s="28">
        <v>631244060</v>
      </c>
      <c r="E42" s="27">
        <v>3743326</v>
      </c>
      <c r="F42" s="29">
        <v>8354273744</v>
      </c>
      <c r="I42" s="17"/>
      <c r="K42" s="17"/>
    </row>
    <row r="43" spans="1:11" x14ac:dyDescent="0.2">
      <c r="A43" s="12" t="s">
        <v>41</v>
      </c>
      <c r="B43" s="13" t="s">
        <v>82</v>
      </c>
      <c r="C43" s="27">
        <v>926578191</v>
      </c>
      <c r="D43" s="28">
        <v>179139345</v>
      </c>
      <c r="E43" s="27">
        <v>163260</v>
      </c>
      <c r="F43" s="29">
        <v>1105880796</v>
      </c>
      <c r="I43" s="17"/>
      <c r="K43" s="17"/>
    </row>
    <row r="44" spans="1:11" x14ac:dyDescent="0.2">
      <c r="A44" s="12" t="s">
        <v>42</v>
      </c>
      <c r="B44" s="13" t="s">
        <v>82</v>
      </c>
      <c r="C44" s="27">
        <v>2200014556</v>
      </c>
      <c r="D44" s="28">
        <v>429937001</v>
      </c>
      <c r="E44" s="27">
        <v>8840105</v>
      </c>
      <c r="F44" s="29">
        <v>2638791662</v>
      </c>
      <c r="I44" s="17"/>
      <c r="K44" s="17"/>
    </row>
    <row r="45" spans="1:11" x14ac:dyDescent="0.2">
      <c r="A45" s="12" t="s">
        <v>43</v>
      </c>
      <c r="B45" s="13" t="s">
        <v>81</v>
      </c>
      <c r="C45" s="27">
        <v>99856844464</v>
      </c>
      <c r="D45" s="28">
        <v>5418920711</v>
      </c>
      <c r="E45" s="27">
        <v>9020515</v>
      </c>
      <c r="F45" s="29">
        <v>105284785690</v>
      </c>
      <c r="I45" s="17"/>
      <c r="K45" s="17"/>
    </row>
    <row r="46" spans="1:11" x14ac:dyDescent="0.2">
      <c r="A46" s="12" t="s">
        <v>44</v>
      </c>
      <c r="B46" s="13" t="s">
        <v>81</v>
      </c>
      <c r="C46" s="27">
        <v>63739031386</v>
      </c>
      <c r="D46" s="28">
        <v>2993134687</v>
      </c>
      <c r="E46" s="27">
        <v>30450058</v>
      </c>
      <c r="F46" s="29">
        <v>66762616131</v>
      </c>
      <c r="I46" s="17"/>
      <c r="K46" s="17"/>
    </row>
    <row r="47" spans="1:11" x14ac:dyDescent="0.2">
      <c r="A47" s="12" t="s">
        <v>45</v>
      </c>
      <c r="B47" s="13" t="s">
        <v>81</v>
      </c>
      <c r="C47" s="27">
        <v>57594138577</v>
      </c>
      <c r="D47" s="28">
        <v>4005778737</v>
      </c>
      <c r="E47" s="27">
        <v>103013626</v>
      </c>
      <c r="F47" s="29">
        <v>61702930940</v>
      </c>
      <c r="I47" s="17"/>
      <c r="K47" s="17"/>
    </row>
    <row r="48" spans="1:11" x14ac:dyDescent="0.2">
      <c r="A48" s="12" t="s">
        <v>46</v>
      </c>
      <c r="B48" s="13" t="s">
        <v>81</v>
      </c>
      <c r="C48" s="27">
        <v>72246717784</v>
      </c>
      <c r="D48" s="28">
        <v>1191609425</v>
      </c>
      <c r="E48" s="27"/>
      <c r="F48" s="29">
        <v>73438327209</v>
      </c>
      <c r="I48" s="17"/>
      <c r="K48" s="17"/>
    </row>
    <row r="49" spans="1:11" x14ac:dyDescent="0.2">
      <c r="A49" s="12" t="s">
        <v>47</v>
      </c>
      <c r="B49" s="13" t="s">
        <v>81</v>
      </c>
      <c r="C49" s="27">
        <v>28812152489</v>
      </c>
      <c r="D49" s="28">
        <v>1941946195</v>
      </c>
      <c r="E49" s="27">
        <v>53098620</v>
      </c>
      <c r="F49" s="29">
        <v>30807197304</v>
      </c>
      <c r="I49" s="17"/>
      <c r="K49" s="17"/>
    </row>
    <row r="50" spans="1:11" x14ac:dyDescent="0.2">
      <c r="A50" s="12" t="s">
        <v>48</v>
      </c>
      <c r="B50" s="13" t="s">
        <v>81</v>
      </c>
      <c r="C50" s="27">
        <v>43274826076</v>
      </c>
      <c r="D50" s="28">
        <v>1550071822</v>
      </c>
      <c r="E50" s="27">
        <v>5229667</v>
      </c>
      <c r="F50" s="29">
        <v>44830127565</v>
      </c>
      <c r="I50" s="17"/>
      <c r="K50" s="17"/>
    </row>
    <row r="51" spans="1:11" x14ac:dyDescent="0.2">
      <c r="A51" s="12" t="s">
        <v>49</v>
      </c>
      <c r="B51" s="13" t="s">
        <v>81</v>
      </c>
      <c r="C51" s="27">
        <v>8952767969</v>
      </c>
      <c r="D51" s="28">
        <v>2140943879</v>
      </c>
      <c r="E51" s="27">
        <v>12905090</v>
      </c>
      <c r="F51" s="29">
        <v>11106616938</v>
      </c>
      <c r="I51" s="17"/>
      <c r="K51" s="17"/>
    </row>
    <row r="52" spans="1:11" x14ac:dyDescent="0.2">
      <c r="A52" s="12" t="s">
        <v>50</v>
      </c>
      <c r="B52" s="13" t="s">
        <v>81</v>
      </c>
      <c r="C52" s="27">
        <v>330475736417</v>
      </c>
      <c r="D52" s="28">
        <v>19632783440</v>
      </c>
      <c r="E52" s="27">
        <v>127052702</v>
      </c>
      <c r="F52" s="29">
        <v>350235572559</v>
      </c>
      <c r="I52" s="17"/>
      <c r="K52" s="17"/>
    </row>
    <row r="53" spans="1:11" x14ac:dyDescent="0.2">
      <c r="A53" s="12" t="s">
        <v>51</v>
      </c>
      <c r="B53" s="13" t="s">
        <v>81</v>
      </c>
      <c r="C53" s="27">
        <v>79656620922</v>
      </c>
      <c r="D53" s="28">
        <v>4133987162</v>
      </c>
      <c r="E53" s="27">
        <v>7238603</v>
      </c>
      <c r="F53" s="29">
        <v>83797846687</v>
      </c>
      <c r="I53" s="17"/>
      <c r="K53" s="17"/>
    </row>
    <row r="54" spans="1:11" x14ac:dyDescent="0.2">
      <c r="A54" s="12" t="s">
        <v>52</v>
      </c>
      <c r="B54" s="13" t="s">
        <v>81</v>
      </c>
      <c r="C54" s="27">
        <v>513305769954</v>
      </c>
      <c r="D54" s="28">
        <v>15786371229</v>
      </c>
      <c r="E54" s="27">
        <v>247162217</v>
      </c>
      <c r="F54" s="29">
        <v>529339303400</v>
      </c>
      <c r="I54" s="17"/>
      <c r="K54" s="17"/>
    </row>
    <row r="55" spans="1:11" x14ac:dyDescent="0.2">
      <c r="A55" s="12" t="s">
        <v>53</v>
      </c>
      <c r="B55" s="13" t="s">
        <v>81</v>
      </c>
      <c r="C55" s="27">
        <v>92671916059</v>
      </c>
      <c r="D55" s="28">
        <v>4100104288</v>
      </c>
      <c r="E55" s="27">
        <v>24310291</v>
      </c>
      <c r="F55" s="29">
        <v>96796330638</v>
      </c>
      <c r="I55" s="17"/>
      <c r="K55" s="17"/>
    </row>
    <row r="56" spans="1:11" x14ac:dyDescent="0.2">
      <c r="A56" s="12" t="s">
        <v>54</v>
      </c>
      <c r="B56" s="13" t="s">
        <v>81</v>
      </c>
      <c r="C56" s="27">
        <v>219158809521</v>
      </c>
      <c r="D56" s="28">
        <v>7674900388</v>
      </c>
      <c r="E56" s="27">
        <v>14158317</v>
      </c>
      <c r="F56" s="29">
        <v>226847868226</v>
      </c>
      <c r="I56" s="17"/>
      <c r="K56" s="17"/>
    </row>
    <row r="57" spans="1:11" x14ac:dyDescent="0.2">
      <c r="A57" s="12" t="s">
        <v>55</v>
      </c>
      <c r="B57" s="13" t="s">
        <v>81</v>
      </c>
      <c r="C57" s="27">
        <v>100886756729</v>
      </c>
      <c r="D57" s="28">
        <v>10208190759</v>
      </c>
      <c r="E57" s="27">
        <v>136007354</v>
      </c>
      <c r="F57" s="29">
        <v>111230954842</v>
      </c>
      <c r="I57" s="17"/>
      <c r="K57" s="17"/>
    </row>
    <row r="58" spans="1:11" x14ac:dyDescent="0.2">
      <c r="A58" s="12" t="s">
        <v>56</v>
      </c>
      <c r="B58" s="13" t="s">
        <v>81</v>
      </c>
      <c r="C58" s="27">
        <v>9921152976</v>
      </c>
      <c r="D58" s="28">
        <v>3703435418</v>
      </c>
      <c r="E58" s="27">
        <v>27067479</v>
      </c>
      <c r="F58" s="29">
        <v>13651655873</v>
      </c>
      <c r="I58" s="17"/>
      <c r="K58" s="17"/>
    </row>
    <row r="59" spans="1:11" x14ac:dyDescent="0.2">
      <c r="A59" s="12" t="s">
        <v>2</v>
      </c>
      <c r="B59" s="13" t="s">
        <v>81</v>
      </c>
      <c r="C59" s="27">
        <v>87870072120</v>
      </c>
      <c r="D59" s="28">
        <v>2404860742</v>
      </c>
      <c r="E59" s="27">
        <v>36867219</v>
      </c>
      <c r="F59" s="29">
        <v>90311800081</v>
      </c>
      <c r="I59" s="17"/>
      <c r="K59" s="17"/>
    </row>
    <row r="60" spans="1:11" x14ac:dyDescent="0.2">
      <c r="A60" s="12" t="s">
        <v>3</v>
      </c>
      <c r="B60" s="13" t="s">
        <v>81</v>
      </c>
      <c r="C60" s="27">
        <v>67295221291</v>
      </c>
      <c r="D60" s="28">
        <v>7106914978</v>
      </c>
      <c r="E60" s="27">
        <v>75862330</v>
      </c>
      <c r="F60" s="29">
        <v>74477998599</v>
      </c>
      <c r="I60" s="17"/>
      <c r="K60" s="17"/>
    </row>
    <row r="61" spans="1:11" x14ac:dyDescent="0.2">
      <c r="A61" s="12" t="s">
        <v>57</v>
      </c>
      <c r="B61" s="13" t="s">
        <v>81</v>
      </c>
      <c r="C61" s="27">
        <v>31523198433</v>
      </c>
      <c r="D61" s="28">
        <v>1136862727</v>
      </c>
      <c r="E61" s="27">
        <v>4940952</v>
      </c>
      <c r="F61" s="29">
        <v>32665002112</v>
      </c>
      <c r="I61" s="17"/>
      <c r="K61" s="17"/>
    </row>
    <row r="62" spans="1:11" x14ac:dyDescent="0.2">
      <c r="A62" s="12" t="s">
        <v>58</v>
      </c>
      <c r="B62" s="13" t="s">
        <v>81</v>
      </c>
      <c r="C62" s="27">
        <v>149242316100</v>
      </c>
      <c r="D62" s="28">
        <v>4016715333</v>
      </c>
      <c r="E62" s="27">
        <v>1053273</v>
      </c>
      <c r="F62" s="29">
        <v>153260084706</v>
      </c>
      <c r="I62" s="17"/>
      <c r="K62" s="17"/>
    </row>
    <row r="63" spans="1:11" x14ac:dyDescent="0.2">
      <c r="A63" s="12" t="s">
        <v>59</v>
      </c>
      <c r="B63" s="13" t="s">
        <v>81</v>
      </c>
      <c r="C63" s="27">
        <v>83771188771</v>
      </c>
      <c r="D63" s="28">
        <v>3514400190</v>
      </c>
      <c r="E63" s="27">
        <v>13003640</v>
      </c>
      <c r="F63" s="29">
        <v>87298592601</v>
      </c>
      <c r="I63" s="17"/>
      <c r="K63" s="17"/>
    </row>
    <row r="64" spans="1:11" x14ac:dyDescent="0.2">
      <c r="A64" s="12" t="s">
        <v>60</v>
      </c>
      <c r="B64" s="13" t="s">
        <v>81</v>
      </c>
      <c r="C64" s="27">
        <v>34035824810</v>
      </c>
      <c r="D64" s="28">
        <v>1741179006</v>
      </c>
      <c r="E64" s="27">
        <v>18287979</v>
      </c>
      <c r="F64" s="29">
        <v>35795291795</v>
      </c>
      <c r="I64" s="17"/>
      <c r="K64" s="17"/>
    </row>
    <row r="65" spans="1:11" x14ac:dyDescent="0.2">
      <c r="A65" s="12" t="s">
        <v>61</v>
      </c>
      <c r="B65" s="13" t="s">
        <v>82</v>
      </c>
      <c r="C65" s="27">
        <v>4273584742</v>
      </c>
      <c r="D65" s="28">
        <v>1175100904</v>
      </c>
      <c r="E65" s="27">
        <v>5042759</v>
      </c>
      <c r="F65" s="29">
        <v>5453728405</v>
      </c>
      <c r="I65" s="17"/>
      <c r="K65" s="17"/>
    </row>
    <row r="66" spans="1:11" x14ac:dyDescent="0.2">
      <c r="A66" s="12" t="s">
        <v>62</v>
      </c>
      <c r="B66" s="13" t="s">
        <v>81</v>
      </c>
      <c r="C66" s="27">
        <v>2747784368</v>
      </c>
      <c r="D66" s="28">
        <v>504176262</v>
      </c>
      <c r="E66" s="27">
        <v>1720126</v>
      </c>
      <c r="F66" s="29">
        <v>3253680756</v>
      </c>
      <c r="I66" s="17"/>
      <c r="K66" s="17"/>
    </row>
    <row r="67" spans="1:11" x14ac:dyDescent="0.2">
      <c r="A67" s="12" t="s">
        <v>63</v>
      </c>
      <c r="B67" s="13" t="s">
        <v>81</v>
      </c>
      <c r="C67" s="27">
        <v>1061909741</v>
      </c>
      <c r="D67" s="28">
        <v>112743996</v>
      </c>
      <c r="E67" s="27"/>
      <c r="F67" s="29">
        <v>1174653737</v>
      </c>
      <c r="I67" s="17"/>
      <c r="K67" s="17"/>
    </row>
    <row r="68" spans="1:11" x14ac:dyDescent="0.2">
      <c r="A68" s="12" t="s">
        <v>64</v>
      </c>
      <c r="B68" s="13" t="s">
        <v>81</v>
      </c>
      <c r="C68" s="27">
        <v>102987638848</v>
      </c>
      <c r="D68" s="28">
        <v>5465608810</v>
      </c>
      <c r="E68" s="27">
        <v>69733981</v>
      </c>
      <c r="F68" s="29">
        <v>108522981639</v>
      </c>
      <c r="I68" s="17"/>
      <c r="K68" s="17"/>
    </row>
    <row r="69" spans="1:11" x14ac:dyDescent="0.2">
      <c r="A69" s="12" t="s">
        <v>65</v>
      </c>
      <c r="B69" s="13" t="s">
        <v>82</v>
      </c>
      <c r="C69" s="27">
        <v>4658335774</v>
      </c>
      <c r="D69" s="28">
        <v>273982612</v>
      </c>
      <c r="E69" s="27"/>
      <c r="F69" s="29">
        <v>4932318386</v>
      </c>
      <c r="I69" s="17"/>
      <c r="K69" s="17"/>
    </row>
    <row r="70" spans="1:11" x14ac:dyDescent="0.2">
      <c r="A70" s="12" t="s">
        <v>66</v>
      </c>
      <c r="B70" s="13" t="s">
        <v>81</v>
      </c>
      <c r="C70" s="27">
        <v>59995072496</v>
      </c>
      <c r="D70" s="28">
        <v>1284253612</v>
      </c>
      <c r="E70" s="27">
        <v>4262041</v>
      </c>
      <c r="F70" s="29">
        <v>61283588149</v>
      </c>
      <c r="I70" s="17"/>
      <c r="K70" s="17"/>
    </row>
    <row r="71" spans="1:11" x14ac:dyDescent="0.2">
      <c r="A71" s="12" t="s">
        <v>67</v>
      </c>
      <c r="B71" s="13" t="s">
        <v>82</v>
      </c>
      <c r="C71" s="30">
        <v>2635370994</v>
      </c>
      <c r="D71" s="28">
        <v>331616425</v>
      </c>
      <c r="E71" s="30">
        <v>2534783</v>
      </c>
      <c r="F71" s="29">
        <v>2969522202</v>
      </c>
      <c r="I71" s="17"/>
      <c r="K71" s="17"/>
    </row>
    <row r="72" spans="1:11" x14ac:dyDescent="0.2">
      <c r="A72" s="12"/>
      <c r="B72" s="13"/>
      <c r="C72" s="31"/>
      <c r="D72" s="31"/>
      <c r="E72" s="32"/>
      <c r="F72" s="29"/>
      <c r="I72" s="17"/>
      <c r="K72" s="17"/>
    </row>
    <row r="73" spans="1:11" ht="15.75" thickBot="1" x14ac:dyDescent="0.3">
      <c r="A73" s="21" t="s">
        <v>68</v>
      </c>
      <c r="B73" s="22"/>
      <c r="C73" s="23">
        <f>SUM(C5:C71)</f>
        <v>5144952913632</v>
      </c>
      <c r="D73" s="23">
        <f>SUM(D5:D71)</f>
        <v>250776141773</v>
      </c>
      <c r="E73" s="23">
        <f>SUM(E5:E71)</f>
        <v>2300383519</v>
      </c>
      <c r="F73" s="25">
        <f>SUM(F5:F71)</f>
        <v>5398029438924</v>
      </c>
      <c r="I73" s="17"/>
      <c r="K73" s="17"/>
    </row>
    <row r="74" spans="1:11" x14ac:dyDescent="0.2">
      <c r="I74" s="17"/>
      <c r="K74" s="17"/>
    </row>
    <row r="75" spans="1:11" x14ac:dyDescent="0.2">
      <c r="A75" s="26" t="s">
        <v>90</v>
      </c>
      <c r="F75" s="17"/>
    </row>
  </sheetData>
  <phoneticPr fontId="3" type="noConversion"/>
  <conditionalFormatting sqref="A75">
    <cfRule type="expression" dxfId="9" priority="1" stopIfTrue="1">
      <formula>MOD(ROW(),5)=1</formula>
    </cfRule>
  </conditionalFormatting>
  <conditionalFormatting sqref="A4:F73">
    <cfRule type="expression" dxfId="8" priority="2" stopIfTrue="1">
      <formula>MOD(ROW(),3)=1</formula>
    </cfRule>
  </conditionalFormatting>
  <pageMargins left="0.75" right="0.75" top="1" bottom="1" header="0.5" footer="0.5"/>
  <pageSetup scale="87"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76"/>
  <sheetViews>
    <sheetView zoomScaleNormal="100" zoomScaleSheetLayoutView="100" workbookViewId="0">
      <pane ySplit="4" topLeftCell="A5" activePane="bottomLeft" state="frozen"/>
      <selection pane="bottomLeft"/>
    </sheetView>
  </sheetViews>
  <sheetFormatPr defaultRowHeight="14.25" x14ac:dyDescent="0.2"/>
  <cols>
    <col min="1" max="1" width="17.7109375" style="2" customWidth="1"/>
    <col min="2" max="2" width="9.28515625" style="11" bestFit="1" customWidth="1"/>
    <col min="3" max="3" width="18.7109375" style="2" customWidth="1"/>
    <col min="4" max="4" width="16.42578125" style="11" bestFit="1" customWidth="1"/>
    <col min="5" max="5" width="18.7109375" style="2" customWidth="1"/>
    <col min="6" max="6" width="16.42578125" style="11" bestFit="1" customWidth="1"/>
    <col min="7" max="7" width="18.7109375" style="2" customWidth="1"/>
    <col min="8" max="16384" width="9.140625" style="2"/>
  </cols>
  <sheetData>
    <row r="1" spans="1:18" ht="23.25" x14ac:dyDescent="0.35">
      <c r="A1" s="7" t="s">
        <v>73</v>
      </c>
      <c r="B1" s="8"/>
      <c r="C1" s="9"/>
      <c r="D1" s="8"/>
      <c r="E1" s="9"/>
      <c r="F1" s="8"/>
      <c r="G1" s="9"/>
    </row>
    <row r="2" spans="1:18" ht="15" x14ac:dyDescent="0.25">
      <c r="A2" s="10" t="s">
        <v>93</v>
      </c>
      <c r="B2" s="10"/>
      <c r="C2" s="10"/>
      <c r="D2" s="10"/>
      <c r="E2" s="10"/>
      <c r="F2" s="10"/>
      <c r="G2" s="10"/>
    </row>
    <row r="3" spans="1:18" ht="15" thickBot="1" x14ac:dyDescent="0.25"/>
    <row r="4" spans="1:18" s="36" customFormat="1" ht="25.5" x14ac:dyDescent="0.2">
      <c r="A4" s="33" t="s">
        <v>0</v>
      </c>
      <c r="B4" s="34" t="s">
        <v>1</v>
      </c>
      <c r="C4" s="37" t="s">
        <v>91</v>
      </c>
      <c r="D4" s="37" t="s">
        <v>92</v>
      </c>
      <c r="E4" s="37" t="s">
        <v>84</v>
      </c>
      <c r="F4" s="37" t="s">
        <v>85</v>
      </c>
      <c r="G4" s="38" t="s">
        <v>83</v>
      </c>
    </row>
    <row r="5" spans="1:18" x14ac:dyDescent="0.2">
      <c r="A5" s="12" t="s">
        <v>4</v>
      </c>
      <c r="B5" s="13" t="s">
        <v>81</v>
      </c>
      <c r="C5" s="14">
        <v>47142877214</v>
      </c>
      <c r="D5" s="15">
        <f>((C5-E5)/E5)</f>
        <v>5.5087124016082067E-2</v>
      </c>
      <c r="E5" s="14">
        <v>44681501784</v>
      </c>
      <c r="F5" s="15">
        <f>((E5-G5)/G5)</f>
        <v>8.0757040986501133E-2</v>
      </c>
      <c r="G5" s="16">
        <v>41342781115</v>
      </c>
    </row>
    <row r="6" spans="1:18" x14ac:dyDescent="0.2">
      <c r="A6" s="12" t="s">
        <v>5</v>
      </c>
      <c r="B6" s="13" t="s">
        <v>81</v>
      </c>
      <c r="C6" s="14">
        <v>3494349690</v>
      </c>
      <c r="D6" s="15">
        <f t="shared" ref="D6:F69" si="0">((C6-E6)/E6)</f>
        <v>6.313541750001038E-2</v>
      </c>
      <c r="E6" s="14">
        <v>3286834050</v>
      </c>
      <c r="F6" s="15">
        <f t="shared" si="0"/>
        <v>7.6818197634868621E-2</v>
      </c>
      <c r="G6" s="16">
        <v>3052357452</v>
      </c>
    </row>
    <row r="7" spans="1:18" x14ac:dyDescent="0.2">
      <c r="A7" s="12" t="s">
        <v>6</v>
      </c>
      <c r="B7" s="13" t="s">
        <v>81</v>
      </c>
      <c r="C7" s="14">
        <v>45578988026</v>
      </c>
      <c r="D7" s="15">
        <f t="shared" si="0"/>
        <v>4.289568443408396E-2</v>
      </c>
      <c r="E7" s="14">
        <v>43704263721</v>
      </c>
      <c r="F7" s="15">
        <f t="shared" si="0"/>
        <v>7.8561777034140426E-2</v>
      </c>
      <c r="G7" s="16">
        <v>40520872009</v>
      </c>
      <c r="R7" s="17"/>
    </row>
    <row r="8" spans="1:18" x14ac:dyDescent="0.2">
      <c r="A8" s="12" t="s">
        <v>7</v>
      </c>
      <c r="B8" s="13" t="s">
        <v>82</v>
      </c>
      <c r="C8" s="14">
        <v>2997525908</v>
      </c>
      <c r="D8" s="15">
        <f t="shared" si="0"/>
        <v>7.4077743099629709E-2</v>
      </c>
      <c r="E8" s="14">
        <v>2790790450</v>
      </c>
      <c r="F8" s="15">
        <f t="shared" si="0"/>
        <v>9.984791866677363E-2</v>
      </c>
      <c r="G8" s="16">
        <v>2537433042</v>
      </c>
      <c r="R8" s="17"/>
    </row>
    <row r="9" spans="1:18" x14ac:dyDescent="0.2">
      <c r="A9" s="12" t="s">
        <v>8</v>
      </c>
      <c r="B9" s="13" t="s">
        <v>81</v>
      </c>
      <c r="C9" s="14">
        <v>127789862761</v>
      </c>
      <c r="D9" s="15">
        <f t="shared" si="0"/>
        <v>2.1675460061985296E-2</v>
      </c>
      <c r="E9" s="14">
        <v>125078723877</v>
      </c>
      <c r="F9" s="15">
        <f t="shared" si="0"/>
        <v>5.6543758702825499E-2</v>
      </c>
      <c r="G9" s="16">
        <v>118384802188</v>
      </c>
      <c r="R9" s="17"/>
    </row>
    <row r="10" spans="1:18" x14ac:dyDescent="0.2">
      <c r="A10" s="12" t="s">
        <v>9</v>
      </c>
      <c r="B10" s="13" t="s">
        <v>81</v>
      </c>
      <c r="C10" s="14">
        <v>495335166443</v>
      </c>
      <c r="D10" s="15">
        <f t="shared" si="0"/>
        <v>8.743878056929312E-2</v>
      </c>
      <c r="E10" s="14">
        <v>455506254967</v>
      </c>
      <c r="F10" s="15">
        <f t="shared" si="0"/>
        <v>5.3952251641110734E-2</v>
      </c>
      <c r="G10" s="16">
        <v>432188701393</v>
      </c>
      <c r="R10" s="17"/>
    </row>
    <row r="11" spans="1:18" x14ac:dyDescent="0.2">
      <c r="A11" s="12" t="s">
        <v>10</v>
      </c>
      <c r="B11" s="13" t="s">
        <v>82</v>
      </c>
      <c r="C11" s="14">
        <v>1626837719</v>
      </c>
      <c r="D11" s="15">
        <f t="shared" si="0"/>
        <v>0.10654670580936135</v>
      </c>
      <c r="E11" s="14">
        <v>1470193450</v>
      </c>
      <c r="F11" s="15">
        <f t="shared" si="0"/>
        <v>9.5875080835309795E-2</v>
      </c>
      <c r="G11" s="16">
        <v>1341570290</v>
      </c>
      <c r="R11" s="17"/>
    </row>
    <row r="12" spans="1:18" x14ac:dyDescent="0.2">
      <c r="A12" s="12" t="s">
        <v>11</v>
      </c>
      <c r="B12" s="13" t="s">
        <v>81</v>
      </c>
      <c r="C12" s="14">
        <v>51919798128</v>
      </c>
      <c r="D12" s="15">
        <f t="shared" si="0"/>
        <v>-1.9970905490204499E-2</v>
      </c>
      <c r="E12" s="14">
        <v>52977813025</v>
      </c>
      <c r="F12" s="15">
        <f t="shared" si="0"/>
        <v>8.7582319307335857E-2</v>
      </c>
      <c r="G12" s="16">
        <v>48711543103</v>
      </c>
      <c r="R12" s="17"/>
    </row>
    <row r="13" spans="1:18" x14ac:dyDescent="0.2">
      <c r="A13" s="12" t="s">
        <v>12</v>
      </c>
      <c r="B13" s="13" t="s">
        <v>81</v>
      </c>
      <c r="C13" s="14">
        <v>29029320922</v>
      </c>
      <c r="D13" s="15">
        <f t="shared" si="0"/>
        <v>2.9865104300012869E-2</v>
      </c>
      <c r="E13" s="14">
        <v>28187498344</v>
      </c>
      <c r="F13" s="15">
        <f t="shared" si="0"/>
        <v>4.7588058916957818E-2</v>
      </c>
      <c r="G13" s="16">
        <v>26907044333</v>
      </c>
      <c r="R13" s="17"/>
    </row>
    <row r="14" spans="1:18" x14ac:dyDescent="0.2">
      <c r="A14" s="12" t="s">
        <v>13</v>
      </c>
      <c r="B14" s="13" t="s">
        <v>81</v>
      </c>
      <c r="C14" s="14">
        <v>35003532623</v>
      </c>
      <c r="D14" s="15">
        <f t="shared" si="0"/>
        <v>6.2845168725788797E-2</v>
      </c>
      <c r="E14" s="14">
        <v>32933802263</v>
      </c>
      <c r="F14" s="15">
        <f t="shared" si="0"/>
        <v>6.2134940752723654E-2</v>
      </c>
      <c r="G14" s="16">
        <v>31007173382</v>
      </c>
      <c r="R14" s="17"/>
    </row>
    <row r="15" spans="1:18" x14ac:dyDescent="0.2">
      <c r="A15" s="12" t="s">
        <v>14</v>
      </c>
      <c r="B15" s="13" t="s">
        <v>81</v>
      </c>
      <c r="C15" s="14">
        <v>228544987087</v>
      </c>
      <c r="D15" s="15">
        <f t="shared" si="0"/>
        <v>2.6569594093274307E-2</v>
      </c>
      <c r="E15" s="14">
        <v>222629803573</v>
      </c>
      <c r="F15" s="15">
        <f t="shared" si="0"/>
        <v>3.4139617284202799E-3</v>
      </c>
      <c r="G15" s="16">
        <v>221872339896</v>
      </c>
      <c r="R15" s="17"/>
    </row>
    <row r="16" spans="1:18" x14ac:dyDescent="0.2">
      <c r="A16" s="12" t="s">
        <v>15</v>
      </c>
      <c r="B16" s="13" t="s">
        <v>81</v>
      </c>
      <c r="C16" s="14">
        <v>8862548965</v>
      </c>
      <c r="D16" s="15">
        <f t="shared" si="0"/>
        <v>9.6118808496454877E-2</v>
      </c>
      <c r="E16" s="14">
        <v>8085390832</v>
      </c>
      <c r="F16" s="15">
        <f t="shared" si="0"/>
        <v>8.3948789893402848E-2</v>
      </c>
      <c r="G16" s="16">
        <v>7459200017</v>
      </c>
      <c r="R16" s="17"/>
    </row>
    <row r="17" spans="1:18" x14ac:dyDescent="0.2">
      <c r="A17" s="12" t="s">
        <v>78</v>
      </c>
      <c r="B17" s="13" t="s">
        <v>81</v>
      </c>
      <c r="C17" s="14">
        <v>792020259931</v>
      </c>
      <c r="D17" s="15">
        <f t="shared" si="0"/>
        <v>5.9195808216615166E-2</v>
      </c>
      <c r="E17" s="14">
        <v>747756225796</v>
      </c>
      <c r="F17" s="15">
        <f t="shared" si="0"/>
        <v>0.10711467682799534</v>
      </c>
      <c r="G17" s="16">
        <v>675409911409</v>
      </c>
      <c r="R17" s="17"/>
    </row>
    <row r="18" spans="1:18" x14ac:dyDescent="0.2">
      <c r="A18" s="12" t="s">
        <v>16</v>
      </c>
      <c r="B18" s="13" t="s">
        <v>81</v>
      </c>
      <c r="C18" s="14">
        <v>6506437557</v>
      </c>
      <c r="D18" s="15">
        <f t="shared" si="0"/>
        <v>4.7048269685542203E-2</v>
      </c>
      <c r="E18" s="14">
        <v>6214076032</v>
      </c>
      <c r="F18" s="15">
        <f t="shared" si="0"/>
        <v>4.6528921323196908E-2</v>
      </c>
      <c r="G18" s="16">
        <v>5937796754</v>
      </c>
      <c r="R18" s="17"/>
    </row>
    <row r="19" spans="1:18" x14ac:dyDescent="0.2">
      <c r="A19" s="12" t="s">
        <v>17</v>
      </c>
      <c r="B19" s="13" t="s">
        <v>82</v>
      </c>
      <c r="C19" s="14">
        <v>1955674322</v>
      </c>
      <c r="D19" s="15">
        <f t="shared" si="0"/>
        <v>1.5250283726258963E-2</v>
      </c>
      <c r="E19" s="14">
        <v>1926297735</v>
      </c>
      <c r="F19" s="15">
        <f t="shared" si="0"/>
        <v>6.1612663331068004E-2</v>
      </c>
      <c r="G19" s="16">
        <v>1814501467</v>
      </c>
      <c r="R19" s="17"/>
    </row>
    <row r="20" spans="1:18" x14ac:dyDescent="0.2">
      <c r="A20" s="12" t="s">
        <v>18</v>
      </c>
      <c r="B20" s="13" t="s">
        <v>81</v>
      </c>
      <c r="C20" s="14">
        <v>184614915375</v>
      </c>
      <c r="D20" s="15">
        <f t="shared" si="0"/>
        <v>6.123117080047636E-2</v>
      </c>
      <c r="E20" s="14">
        <v>173962959678</v>
      </c>
      <c r="F20" s="15">
        <f t="shared" si="0"/>
        <v>3.9108398777151866E-2</v>
      </c>
      <c r="G20" s="16">
        <v>167415603495</v>
      </c>
      <c r="R20" s="17"/>
    </row>
    <row r="21" spans="1:18" x14ac:dyDescent="0.2">
      <c r="A21" s="12" t="s">
        <v>19</v>
      </c>
      <c r="B21" s="13" t="s">
        <v>81</v>
      </c>
      <c r="C21" s="14">
        <v>53375565766</v>
      </c>
      <c r="D21" s="15">
        <f t="shared" si="0"/>
        <v>4.0571838324498406E-2</v>
      </c>
      <c r="E21" s="14">
        <v>51294455414</v>
      </c>
      <c r="F21" s="15">
        <f t="shared" si="0"/>
        <v>6.8451330481166375E-2</v>
      </c>
      <c r="G21" s="16">
        <v>48008228312</v>
      </c>
      <c r="R21" s="17"/>
    </row>
    <row r="22" spans="1:18" x14ac:dyDescent="0.2">
      <c r="A22" s="12" t="s">
        <v>20</v>
      </c>
      <c r="B22" s="13" t="s">
        <v>81</v>
      </c>
      <c r="C22" s="14">
        <v>28249454621</v>
      </c>
      <c r="D22" s="15">
        <f t="shared" si="0"/>
        <v>5.8260668046931544E-2</v>
      </c>
      <c r="E22" s="14">
        <v>26694230896</v>
      </c>
      <c r="F22" s="15">
        <f t="shared" si="0"/>
        <v>9.0196169180409347E-2</v>
      </c>
      <c r="G22" s="16">
        <v>24485713352</v>
      </c>
      <c r="R22" s="17"/>
    </row>
    <row r="23" spans="1:18" x14ac:dyDescent="0.2">
      <c r="A23" s="12" t="s">
        <v>21</v>
      </c>
      <c r="B23" s="13" t="s">
        <v>82</v>
      </c>
      <c r="C23" s="14">
        <v>6161113539</v>
      </c>
      <c r="D23" s="15">
        <f t="shared" si="0"/>
        <v>1.005604943641984E-2</v>
      </c>
      <c r="E23" s="14">
        <v>6099773911</v>
      </c>
      <c r="F23" s="15">
        <f t="shared" si="0"/>
        <v>0.21469480846309025</v>
      </c>
      <c r="G23" s="16">
        <v>5021651421</v>
      </c>
      <c r="R23" s="17"/>
    </row>
    <row r="24" spans="1:18" x14ac:dyDescent="0.2">
      <c r="A24" s="12" t="s">
        <v>22</v>
      </c>
      <c r="B24" s="13" t="s">
        <v>82</v>
      </c>
      <c r="C24" s="14">
        <v>5479026813</v>
      </c>
      <c r="D24" s="15">
        <f t="shared" si="0"/>
        <v>6.0285482750719925E-2</v>
      </c>
      <c r="E24" s="14">
        <v>5167501491</v>
      </c>
      <c r="F24" s="15">
        <f t="shared" si="0"/>
        <v>0.19797598229265939</v>
      </c>
      <c r="G24" s="16">
        <v>4313526788</v>
      </c>
      <c r="R24" s="17"/>
    </row>
    <row r="25" spans="1:18" x14ac:dyDescent="0.2">
      <c r="A25" s="12" t="s">
        <v>23</v>
      </c>
      <c r="B25" s="13" t="s">
        <v>82</v>
      </c>
      <c r="C25" s="14">
        <v>3375486023</v>
      </c>
      <c r="D25" s="15">
        <f t="shared" si="0"/>
        <v>0.11337638972761474</v>
      </c>
      <c r="E25" s="14">
        <v>3031756425</v>
      </c>
      <c r="F25" s="15">
        <f t="shared" si="0"/>
        <v>0.19547181393960988</v>
      </c>
      <c r="G25" s="16">
        <v>2536033380</v>
      </c>
      <c r="R25" s="17"/>
    </row>
    <row r="26" spans="1:18" x14ac:dyDescent="0.2">
      <c r="A26" s="12" t="s">
        <v>24</v>
      </c>
      <c r="B26" s="13" t="s">
        <v>82</v>
      </c>
      <c r="C26" s="14">
        <v>6524114345</v>
      </c>
      <c r="D26" s="15">
        <f t="shared" si="0"/>
        <v>2.9671441712958345E-2</v>
      </c>
      <c r="E26" s="14">
        <v>6336112745</v>
      </c>
      <c r="F26" s="15">
        <f t="shared" si="0"/>
        <v>0.1050913311655612</v>
      </c>
      <c r="G26" s="16">
        <v>5733564789</v>
      </c>
      <c r="R26" s="17"/>
    </row>
    <row r="27" spans="1:18" x14ac:dyDescent="0.2">
      <c r="A27" s="12" t="s">
        <v>25</v>
      </c>
      <c r="B27" s="13" t="s">
        <v>82</v>
      </c>
      <c r="C27" s="14">
        <v>7047613051</v>
      </c>
      <c r="D27" s="15">
        <f t="shared" si="0"/>
        <v>5.0040883548283475E-2</v>
      </c>
      <c r="E27" s="14">
        <v>6711751096</v>
      </c>
      <c r="F27" s="15">
        <f t="shared" si="0"/>
        <v>0.17101906747908677</v>
      </c>
      <c r="G27" s="16">
        <v>5731547233</v>
      </c>
      <c r="R27" s="17"/>
    </row>
    <row r="28" spans="1:18" x14ac:dyDescent="0.2">
      <c r="A28" s="12" t="s">
        <v>26</v>
      </c>
      <c r="B28" s="13" t="s">
        <v>81</v>
      </c>
      <c r="C28" s="14">
        <v>2803114444</v>
      </c>
      <c r="D28" s="15">
        <f t="shared" si="0"/>
        <v>4.4431947566920385E-2</v>
      </c>
      <c r="E28" s="14">
        <v>2683865091</v>
      </c>
      <c r="F28" s="15">
        <f t="shared" si="0"/>
        <v>0.16818685826880761</v>
      </c>
      <c r="G28" s="16">
        <v>2297462150</v>
      </c>
      <c r="R28" s="17"/>
    </row>
    <row r="29" spans="1:18" x14ac:dyDescent="0.2">
      <c r="A29" s="12" t="s">
        <v>27</v>
      </c>
      <c r="B29" s="13" t="s">
        <v>81</v>
      </c>
      <c r="C29" s="14">
        <v>6913986919</v>
      </c>
      <c r="D29" s="15">
        <f t="shared" si="0"/>
        <v>0.16725519523841934</v>
      </c>
      <c r="E29" s="14">
        <v>5923286482</v>
      </c>
      <c r="F29" s="15">
        <f t="shared" si="0"/>
        <v>7.0109980922166235E-2</v>
      </c>
      <c r="G29" s="16">
        <v>5535212817</v>
      </c>
      <c r="R29" s="17"/>
    </row>
    <row r="30" spans="1:18" x14ac:dyDescent="0.2">
      <c r="A30" s="12" t="s">
        <v>28</v>
      </c>
      <c r="B30" s="13" t="s">
        <v>81</v>
      </c>
      <c r="C30" s="14">
        <v>10773646596</v>
      </c>
      <c r="D30" s="15">
        <f t="shared" si="0"/>
        <v>5.7546425295121703E-2</v>
      </c>
      <c r="E30" s="14">
        <v>10187398244</v>
      </c>
      <c r="F30" s="15">
        <f t="shared" si="0"/>
        <v>5.4953538492048211E-2</v>
      </c>
      <c r="G30" s="16">
        <v>9656726929</v>
      </c>
      <c r="R30" s="17"/>
    </row>
    <row r="31" spans="1:18" x14ac:dyDescent="0.2">
      <c r="A31" s="12" t="s">
        <v>29</v>
      </c>
      <c r="B31" s="13" t="s">
        <v>81</v>
      </c>
      <c r="C31" s="14">
        <v>34286320965</v>
      </c>
      <c r="D31" s="15">
        <f t="shared" si="0"/>
        <v>4.8549239385581498E-2</v>
      </c>
      <c r="E31" s="14">
        <v>32698818212</v>
      </c>
      <c r="F31" s="15">
        <f t="shared" si="0"/>
        <v>5.5345054159361542E-2</v>
      </c>
      <c r="G31" s="16">
        <v>30984006684</v>
      </c>
      <c r="R31" s="17"/>
    </row>
    <row r="32" spans="1:18" x14ac:dyDescent="0.2">
      <c r="A32" s="12" t="s">
        <v>30</v>
      </c>
      <c r="B32" s="13" t="s">
        <v>81</v>
      </c>
      <c r="C32" s="14">
        <v>17599036094</v>
      </c>
      <c r="D32" s="15">
        <f t="shared" si="0"/>
        <v>5.3227577156476066E-2</v>
      </c>
      <c r="E32" s="14">
        <v>16709623329</v>
      </c>
      <c r="F32" s="15">
        <f t="shared" si="0"/>
        <v>4.5326821878852688E-2</v>
      </c>
      <c r="G32" s="16">
        <v>15985070869</v>
      </c>
      <c r="R32" s="17"/>
    </row>
    <row r="33" spans="1:18" x14ac:dyDescent="0.2">
      <c r="A33" s="12" t="s">
        <v>31</v>
      </c>
      <c r="B33" s="13" t="s">
        <v>81</v>
      </c>
      <c r="C33" s="14">
        <v>277169887601</v>
      </c>
      <c r="D33" s="15">
        <f t="shared" si="0"/>
        <v>2.613088814560335E-2</v>
      </c>
      <c r="E33" s="14">
        <v>270111630790</v>
      </c>
      <c r="F33" s="15">
        <f t="shared" si="0"/>
        <v>5.9073445608272768E-2</v>
      </c>
      <c r="G33" s="16">
        <v>255045230253</v>
      </c>
      <c r="R33" s="17"/>
    </row>
    <row r="34" spans="1:18" x14ac:dyDescent="0.2">
      <c r="A34" s="12" t="s">
        <v>32</v>
      </c>
      <c r="B34" s="13" t="s">
        <v>82</v>
      </c>
      <c r="C34" s="14">
        <v>1938159047</v>
      </c>
      <c r="D34" s="15">
        <f t="shared" si="0"/>
        <v>0.1911405195318622</v>
      </c>
      <c r="E34" s="14">
        <v>1627145593</v>
      </c>
      <c r="F34" s="15">
        <f t="shared" si="0"/>
        <v>0.20193707485478951</v>
      </c>
      <c r="G34" s="16">
        <v>1353769367</v>
      </c>
      <c r="R34" s="17"/>
    </row>
    <row r="35" spans="1:18" x14ac:dyDescent="0.2">
      <c r="A35" s="12" t="s">
        <v>33</v>
      </c>
      <c r="B35" s="13" t="s">
        <v>81</v>
      </c>
      <c r="C35" s="14">
        <v>50576965743</v>
      </c>
      <c r="D35" s="15">
        <f t="shared" si="0"/>
        <v>4.0314187057712447E-2</v>
      </c>
      <c r="E35" s="14">
        <v>48617010488</v>
      </c>
      <c r="F35" s="15">
        <f t="shared" si="0"/>
        <v>6.2311246994129141E-2</v>
      </c>
      <c r="G35" s="16">
        <v>45765316545</v>
      </c>
      <c r="R35" s="17"/>
    </row>
    <row r="36" spans="1:18" x14ac:dyDescent="0.2">
      <c r="A36" s="12" t="s">
        <v>34</v>
      </c>
      <c r="B36" s="13" t="s">
        <v>82</v>
      </c>
      <c r="C36" s="14">
        <v>4808528257</v>
      </c>
      <c r="D36" s="15">
        <f t="shared" si="0"/>
        <v>3.2979324523345441E-2</v>
      </c>
      <c r="E36" s="14">
        <v>4655009198</v>
      </c>
      <c r="F36" s="15">
        <f t="shared" si="0"/>
        <v>7.9659645667161605E-2</v>
      </c>
      <c r="G36" s="16">
        <v>4311552457</v>
      </c>
      <c r="R36" s="17"/>
    </row>
    <row r="37" spans="1:18" x14ac:dyDescent="0.2">
      <c r="A37" s="12" t="s">
        <v>35</v>
      </c>
      <c r="B37" s="13" t="s">
        <v>82</v>
      </c>
      <c r="C37" s="14">
        <v>2816189452</v>
      </c>
      <c r="D37" s="15">
        <f t="shared" si="0"/>
        <v>4.6119641280078449E-2</v>
      </c>
      <c r="E37" s="14">
        <v>2692033818</v>
      </c>
      <c r="F37" s="15">
        <f t="shared" si="0"/>
        <v>6.4750337736185992E-2</v>
      </c>
      <c r="G37" s="16">
        <v>2528323986</v>
      </c>
      <c r="R37" s="17"/>
    </row>
    <row r="38" spans="1:18" x14ac:dyDescent="0.2">
      <c r="A38" s="12" t="s">
        <v>36</v>
      </c>
      <c r="B38" s="13" t="s">
        <v>82</v>
      </c>
      <c r="C38" s="14">
        <v>1111765941</v>
      </c>
      <c r="D38" s="15">
        <f t="shared" si="0"/>
        <v>5.5111141564773106E-2</v>
      </c>
      <c r="E38" s="14">
        <v>1053695575</v>
      </c>
      <c r="F38" s="15">
        <f t="shared" si="0"/>
        <v>6.5431354642959932E-2</v>
      </c>
      <c r="G38" s="16">
        <v>988984950</v>
      </c>
      <c r="R38" s="17"/>
    </row>
    <row r="39" spans="1:18" x14ac:dyDescent="0.2">
      <c r="A39" s="12" t="s">
        <v>37</v>
      </c>
      <c r="B39" s="13" t="s">
        <v>81</v>
      </c>
      <c r="C39" s="14">
        <v>69541811787</v>
      </c>
      <c r="D39" s="15">
        <f t="shared" si="0"/>
        <v>7.6740727825524088E-2</v>
      </c>
      <c r="E39" s="14">
        <v>64585475398</v>
      </c>
      <c r="F39" s="15">
        <f t="shared" si="0"/>
        <v>0.12194818206635576</v>
      </c>
      <c r="G39" s="16">
        <v>57565470875</v>
      </c>
      <c r="R39" s="17"/>
    </row>
    <row r="40" spans="1:18" x14ac:dyDescent="0.2">
      <c r="A40" s="12" t="s">
        <v>38</v>
      </c>
      <c r="B40" s="13" t="s">
        <v>81</v>
      </c>
      <c r="C40" s="14">
        <v>219933150320</v>
      </c>
      <c r="D40" s="15">
        <f t="shared" si="0"/>
        <v>2.11507523624921E-3</v>
      </c>
      <c r="E40" s="14">
        <v>219468956964</v>
      </c>
      <c r="F40" s="15">
        <f t="shared" si="0"/>
        <v>7.5887600436304825E-2</v>
      </c>
      <c r="G40" s="16">
        <v>203988740901</v>
      </c>
      <c r="R40" s="17"/>
    </row>
    <row r="41" spans="1:18" x14ac:dyDescent="0.2">
      <c r="A41" s="12" t="s">
        <v>39</v>
      </c>
      <c r="B41" s="13" t="s">
        <v>81</v>
      </c>
      <c r="C41" s="14">
        <v>45791095557</v>
      </c>
      <c r="D41" s="15">
        <f t="shared" si="0"/>
        <v>5.6717577055669169E-2</v>
      </c>
      <c r="E41" s="14">
        <v>43333333855</v>
      </c>
      <c r="F41" s="15">
        <f t="shared" si="0"/>
        <v>7.3322028718971644E-2</v>
      </c>
      <c r="G41" s="16">
        <v>40373096513</v>
      </c>
      <c r="R41" s="17"/>
    </row>
    <row r="42" spans="1:18" x14ac:dyDescent="0.2">
      <c r="A42" s="12" t="s">
        <v>40</v>
      </c>
      <c r="B42" s="13" t="s">
        <v>82</v>
      </c>
      <c r="C42" s="14">
        <v>8354273744</v>
      </c>
      <c r="D42" s="15">
        <f t="shared" si="0"/>
        <v>7.3323085985263006E-2</v>
      </c>
      <c r="E42" s="14">
        <v>7783559166</v>
      </c>
      <c r="F42" s="15">
        <f t="shared" si="0"/>
        <v>-1.9084412370410527E-2</v>
      </c>
      <c r="G42" s="16">
        <v>7934993861</v>
      </c>
      <c r="R42" s="17"/>
    </row>
    <row r="43" spans="1:18" x14ac:dyDescent="0.2">
      <c r="A43" s="12" t="s">
        <v>41</v>
      </c>
      <c r="B43" s="13" t="s">
        <v>82</v>
      </c>
      <c r="C43" s="14">
        <v>1105880796</v>
      </c>
      <c r="D43" s="15">
        <f t="shared" si="0"/>
        <v>3.3522075803688815E-2</v>
      </c>
      <c r="E43" s="14">
        <v>1070011780</v>
      </c>
      <c r="F43" s="15">
        <f t="shared" si="0"/>
        <v>1.7185077588820957E-2</v>
      </c>
      <c r="G43" s="16">
        <v>1051934209</v>
      </c>
      <c r="R43" s="17"/>
    </row>
    <row r="44" spans="1:18" x14ac:dyDescent="0.2">
      <c r="A44" s="12" t="s">
        <v>42</v>
      </c>
      <c r="B44" s="13" t="s">
        <v>82</v>
      </c>
      <c r="C44" s="14">
        <v>2638791662</v>
      </c>
      <c r="D44" s="15">
        <f t="shared" si="0"/>
        <v>3.7903643808839635E-2</v>
      </c>
      <c r="E44" s="14">
        <v>2542424509</v>
      </c>
      <c r="F44" s="15">
        <f t="shared" si="0"/>
        <v>3.6710837686646056E-2</v>
      </c>
      <c r="G44" s="16">
        <v>2452395033</v>
      </c>
      <c r="R44" s="17"/>
    </row>
    <row r="45" spans="1:18" x14ac:dyDescent="0.2">
      <c r="A45" s="12" t="s">
        <v>43</v>
      </c>
      <c r="B45" s="13" t="s">
        <v>81</v>
      </c>
      <c r="C45" s="14">
        <v>105284785690</v>
      </c>
      <c r="D45" s="15">
        <f t="shared" si="0"/>
        <v>-1.4475422979777081E-2</v>
      </c>
      <c r="E45" s="14">
        <v>106831212681</v>
      </c>
      <c r="F45" s="15">
        <f t="shared" si="0"/>
        <v>5.9055451985893473E-2</v>
      </c>
      <c r="G45" s="16">
        <v>100874050061</v>
      </c>
      <c r="R45" s="17"/>
    </row>
    <row r="46" spans="1:18" x14ac:dyDescent="0.2">
      <c r="A46" s="12" t="s">
        <v>44</v>
      </c>
      <c r="B46" s="13" t="s">
        <v>81</v>
      </c>
      <c r="C46" s="14">
        <v>66762616131</v>
      </c>
      <c r="D46" s="15">
        <f t="shared" si="0"/>
        <v>8.1506757760894277E-2</v>
      </c>
      <c r="E46" s="14">
        <v>61731113238</v>
      </c>
      <c r="F46" s="15">
        <f t="shared" si="0"/>
        <v>9.0340076171980255E-2</v>
      </c>
      <c r="G46" s="16">
        <v>56616384729</v>
      </c>
      <c r="R46" s="17"/>
    </row>
    <row r="47" spans="1:18" x14ac:dyDescent="0.2">
      <c r="A47" s="12" t="s">
        <v>45</v>
      </c>
      <c r="B47" s="13" t="s">
        <v>81</v>
      </c>
      <c r="C47" s="14">
        <v>61702930940</v>
      </c>
      <c r="D47" s="15">
        <f t="shared" si="0"/>
        <v>8.4322532448992751E-2</v>
      </c>
      <c r="E47" s="14">
        <v>56904591663</v>
      </c>
      <c r="F47" s="15">
        <f t="shared" si="0"/>
        <v>6.4724281861153046E-2</v>
      </c>
      <c r="G47" s="16">
        <v>53445377956</v>
      </c>
      <c r="R47" s="17"/>
    </row>
    <row r="48" spans="1:18" x14ac:dyDescent="0.2">
      <c r="A48" s="12" t="s">
        <v>46</v>
      </c>
      <c r="B48" s="13" t="s">
        <v>81</v>
      </c>
      <c r="C48" s="14">
        <v>73438327209</v>
      </c>
      <c r="D48" s="15">
        <f t="shared" si="0"/>
        <v>2.568132213467118E-2</v>
      </c>
      <c r="E48" s="14">
        <v>71599555948</v>
      </c>
      <c r="F48" s="15">
        <f t="shared" si="0"/>
        <v>5.3059029631267844E-2</v>
      </c>
      <c r="G48" s="16">
        <v>67991968098</v>
      </c>
      <c r="R48" s="17"/>
    </row>
    <row r="49" spans="1:18" x14ac:dyDescent="0.2">
      <c r="A49" s="12" t="s">
        <v>47</v>
      </c>
      <c r="B49" s="13" t="s">
        <v>81</v>
      </c>
      <c r="C49" s="14">
        <v>30807197304</v>
      </c>
      <c r="D49" s="15">
        <f t="shared" si="0"/>
        <v>9.8583499466073435E-2</v>
      </c>
      <c r="E49" s="14">
        <v>28042654308</v>
      </c>
      <c r="F49" s="15">
        <f t="shared" si="0"/>
        <v>8.6168685345432719E-2</v>
      </c>
      <c r="G49" s="16">
        <v>25817955062</v>
      </c>
      <c r="R49" s="17"/>
    </row>
    <row r="50" spans="1:18" x14ac:dyDescent="0.2">
      <c r="A50" s="12" t="s">
        <v>48</v>
      </c>
      <c r="B50" s="13" t="s">
        <v>81</v>
      </c>
      <c r="C50" s="14">
        <v>44830127565</v>
      </c>
      <c r="D50" s="15">
        <f t="shared" si="0"/>
        <v>3.9820453280265837E-2</v>
      </c>
      <c r="E50" s="14">
        <v>43113335022</v>
      </c>
      <c r="F50" s="15">
        <f t="shared" si="0"/>
        <v>2.9888976651741728E-2</v>
      </c>
      <c r="G50" s="16">
        <v>41862119121</v>
      </c>
      <c r="R50" s="17"/>
    </row>
    <row r="51" spans="1:18" x14ac:dyDescent="0.2">
      <c r="A51" s="12" t="s">
        <v>49</v>
      </c>
      <c r="B51" s="13" t="s">
        <v>81</v>
      </c>
      <c r="C51" s="14">
        <v>11106616938</v>
      </c>
      <c r="D51" s="15">
        <f t="shared" si="0"/>
        <v>0.12395897890784323</v>
      </c>
      <c r="E51" s="14">
        <v>9881692434</v>
      </c>
      <c r="F51" s="15">
        <f t="shared" si="0"/>
        <v>1.0160929076830133E-2</v>
      </c>
      <c r="G51" s="16">
        <v>9782295226</v>
      </c>
      <c r="R51" s="17"/>
    </row>
    <row r="52" spans="1:18" x14ac:dyDescent="0.2">
      <c r="A52" s="12" t="s">
        <v>50</v>
      </c>
      <c r="B52" s="13" t="s">
        <v>81</v>
      </c>
      <c r="C52" s="14">
        <v>350235572559</v>
      </c>
      <c r="D52" s="15">
        <f t="shared" si="0"/>
        <v>5.657386448664134E-2</v>
      </c>
      <c r="E52" s="14">
        <v>331482335813</v>
      </c>
      <c r="F52" s="15">
        <f t="shared" si="0"/>
        <v>5.1578704555254214E-2</v>
      </c>
      <c r="G52" s="16">
        <v>315223515251</v>
      </c>
      <c r="R52" s="17"/>
    </row>
    <row r="53" spans="1:18" x14ac:dyDescent="0.2">
      <c r="A53" s="12" t="s">
        <v>51</v>
      </c>
      <c r="B53" s="13" t="s">
        <v>81</v>
      </c>
      <c r="C53" s="14">
        <v>83797846687</v>
      </c>
      <c r="D53" s="15">
        <f t="shared" si="0"/>
        <v>4.6799162517129886E-2</v>
      </c>
      <c r="E53" s="14">
        <v>80051503371</v>
      </c>
      <c r="F53" s="15">
        <f t="shared" si="0"/>
        <v>8.2334650966597242E-2</v>
      </c>
      <c r="G53" s="16">
        <v>73961877964</v>
      </c>
      <c r="R53" s="17"/>
    </row>
    <row r="54" spans="1:18" x14ac:dyDescent="0.2">
      <c r="A54" s="12" t="s">
        <v>52</v>
      </c>
      <c r="B54" s="13" t="s">
        <v>81</v>
      </c>
      <c r="C54" s="14">
        <v>529339303400</v>
      </c>
      <c r="D54" s="15">
        <f t="shared" si="0"/>
        <v>3.1149090701500213E-2</v>
      </c>
      <c r="E54" s="14">
        <v>513348950383</v>
      </c>
      <c r="F54" s="15">
        <f t="shared" si="0"/>
        <v>5.631006282883997E-2</v>
      </c>
      <c r="G54" s="16">
        <v>485983205545</v>
      </c>
      <c r="R54" s="17"/>
    </row>
    <row r="55" spans="1:18" x14ac:dyDescent="0.2">
      <c r="A55" s="12" t="s">
        <v>53</v>
      </c>
      <c r="B55" s="13" t="s">
        <v>81</v>
      </c>
      <c r="C55" s="14">
        <v>96796330638</v>
      </c>
      <c r="D55" s="15">
        <f t="shared" si="0"/>
        <v>4.7821974078754319E-2</v>
      </c>
      <c r="E55" s="14">
        <v>92378603458</v>
      </c>
      <c r="F55" s="15">
        <f t="shared" si="0"/>
        <v>9.2574803629508387E-2</v>
      </c>
      <c r="G55" s="16">
        <v>84551284865</v>
      </c>
      <c r="R55" s="17"/>
    </row>
    <row r="56" spans="1:18" x14ac:dyDescent="0.2">
      <c r="A56" s="12" t="s">
        <v>54</v>
      </c>
      <c r="B56" s="13" t="s">
        <v>81</v>
      </c>
      <c r="C56" s="14">
        <v>226847868226</v>
      </c>
      <c r="D56" s="15">
        <f t="shared" si="0"/>
        <v>-7.4476572726981279E-3</v>
      </c>
      <c r="E56" s="14">
        <v>228550030523</v>
      </c>
      <c r="F56" s="15">
        <f t="shared" si="0"/>
        <v>6.6551866504506341E-2</v>
      </c>
      <c r="G56" s="16">
        <v>214288716471</v>
      </c>
      <c r="R56" s="17"/>
    </row>
    <row r="57" spans="1:18" x14ac:dyDescent="0.2">
      <c r="A57" s="12" t="s">
        <v>55</v>
      </c>
      <c r="B57" s="13" t="s">
        <v>81</v>
      </c>
      <c r="C57" s="14">
        <v>111230954842</v>
      </c>
      <c r="D57" s="15">
        <f t="shared" si="0"/>
        <v>4.5171986360578009E-2</v>
      </c>
      <c r="E57" s="14">
        <v>106423589891</v>
      </c>
      <c r="F57" s="15">
        <f t="shared" si="0"/>
        <v>6.2787582082316967E-2</v>
      </c>
      <c r="G57" s="16">
        <v>100136275287</v>
      </c>
      <c r="R57" s="17"/>
    </row>
    <row r="58" spans="1:18" x14ac:dyDescent="0.2">
      <c r="A58" s="12" t="s">
        <v>56</v>
      </c>
      <c r="B58" s="13" t="s">
        <v>81</v>
      </c>
      <c r="C58" s="14">
        <v>13651655873</v>
      </c>
      <c r="D58" s="15">
        <f t="shared" si="0"/>
        <v>9.2019489409265597E-4</v>
      </c>
      <c r="E58" s="14">
        <v>13639105238</v>
      </c>
      <c r="F58" s="15">
        <f t="shared" si="0"/>
        <v>8.2296299652099295E-2</v>
      </c>
      <c r="G58" s="16">
        <v>12602006717</v>
      </c>
      <c r="R58" s="17"/>
    </row>
    <row r="59" spans="1:18" x14ac:dyDescent="0.2">
      <c r="A59" s="12" t="s">
        <v>2</v>
      </c>
      <c r="B59" s="13" t="s">
        <v>81</v>
      </c>
      <c r="C59" s="14">
        <v>90311800081</v>
      </c>
      <c r="D59" s="15">
        <f t="shared" si="0"/>
        <v>6.1549898742222782E-2</v>
      </c>
      <c r="E59" s="14">
        <v>85075416792</v>
      </c>
      <c r="F59" s="15">
        <f t="shared" si="0"/>
        <v>7.5875463957259887E-2</v>
      </c>
      <c r="G59" s="16">
        <v>79075524670</v>
      </c>
      <c r="R59" s="17"/>
    </row>
    <row r="60" spans="1:18" x14ac:dyDescent="0.2">
      <c r="A60" s="12" t="s">
        <v>3</v>
      </c>
      <c r="B60" s="13" t="s">
        <v>81</v>
      </c>
      <c r="C60" s="14">
        <v>74477998599</v>
      </c>
      <c r="D60" s="15">
        <f t="shared" si="0"/>
        <v>5.5109093329120659E-2</v>
      </c>
      <c r="E60" s="14">
        <v>70587960117</v>
      </c>
      <c r="F60" s="15">
        <f t="shared" si="0"/>
        <v>6.8433724026724138E-2</v>
      </c>
      <c r="G60" s="16">
        <v>66066765331</v>
      </c>
      <c r="R60" s="17"/>
    </row>
    <row r="61" spans="1:18" x14ac:dyDescent="0.2">
      <c r="A61" s="12" t="s">
        <v>57</v>
      </c>
      <c r="B61" s="13" t="s">
        <v>81</v>
      </c>
      <c r="C61" s="14">
        <v>32665002112</v>
      </c>
      <c r="D61" s="15">
        <f t="shared" si="0"/>
        <v>7.6177539368965361E-2</v>
      </c>
      <c r="E61" s="14">
        <v>30352800460</v>
      </c>
      <c r="F61" s="15">
        <f t="shared" si="0"/>
        <v>7.4768316675722132E-2</v>
      </c>
      <c r="G61" s="16">
        <v>28241249755</v>
      </c>
      <c r="R61" s="17"/>
    </row>
    <row r="62" spans="1:18" x14ac:dyDescent="0.2">
      <c r="A62" s="12" t="s">
        <v>58</v>
      </c>
      <c r="B62" s="13" t="s">
        <v>81</v>
      </c>
      <c r="C62" s="14">
        <v>153260084706</v>
      </c>
      <c r="D62" s="15">
        <f t="shared" si="0"/>
        <v>-6.7023282098663773E-3</v>
      </c>
      <c r="E62" s="14">
        <v>154294215177</v>
      </c>
      <c r="F62" s="15">
        <f t="shared" si="0"/>
        <v>2.7280714104245714E-2</v>
      </c>
      <c r="G62" s="16">
        <v>150196740831</v>
      </c>
      <c r="R62" s="17"/>
    </row>
    <row r="63" spans="1:18" x14ac:dyDescent="0.2">
      <c r="A63" s="12" t="s">
        <v>59</v>
      </c>
      <c r="B63" s="13" t="s">
        <v>81</v>
      </c>
      <c r="C63" s="14">
        <v>87298592601</v>
      </c>
      <c r="D63" s="15">
        <f t="shared" si="0"/>
        <v>4.4495272340989003E-2</v>
      </c>
      <c r="E63" s="14">
        <v>83579691467</v>
      </c>
      <c r="F63" s="15">
        <f t="shared" si="0"/>
        <v>7.2198388644531347E-2</v>
      </c>
      <c r="G63" s="16">
        <v>77951704043</v>
      </c>
      <c r="R63" s="17"/>
    </row>
    <row r="64" spans="1:18" x14ac:dyDescent="0.2">
      <c r="A64" s="12" t="s">
        <v>60</v>
      </c>
      <c r="B64" s="13" t="s">
        <v>81</v>
      </c>
      <c r="C64" s="14">
        <v>35795291795</v>
      </c>
      <c r="D64" s="15">
        <f t="shared" si="0"/>
        <v>8.9049438993002175E-2</v>
      </c>
      <c r="E64" s="14">
        <v>32868380914</v>
      </c>
      <c r="F64" s="15">
        <f t="shared" si="0"/>
        <v>3.929471174894935E-2</v>
      </c>
      <c r="G64" s="16">
        <v>31625659731</v>
      </c>
      <c r="R64" s="17"/>
    </row>
    <row r="65" spans="1:18" x14ac:dyDescent="0.2">
      <c r="A65" s="12" t="s">
        <v>61</v>
      </c>
      <c r="B65" s="13" t="s">
        <v>82</v>
      </c>
      <c r="C65" s="14">
        <v>5453728405</v>
      </c>
      <c r="D65" s="15">
        <f t="shared" si="0"/>
        <v>8.9073780673009584E-2</v>
      </c>
      <c r="E65" s="14">
        <v>5007675790</v>
      </c>
      <c r="F65" s="15">
        <f t="shared" si="0"/>
        <v>8.2545284659032409E-2</v>
      </c>
      <c r="G65" s="16">
        <v>4625834929</v>
      </c>
      <c r="R65" s="17"/>
    </row>
    <row r="66" spans="1:18" x14ac:dyDescent="0.2">
      <c r="A66" s="12" t="s">
        <v>62</v>
      </c>
      <c r="B66" s="13" t="s">
        <v>81</v>
      </c>
      <c r="C66" s="14">
        <v>3253680756</v>
      </c>
      <c r="D66" s="15">
        <f t="shared" si="0"/>
        <v>-0.13714037685655783</v>
      </c>
      <c r="E66" s="14">
        <v>3770811229</v>
      </c>
      <c r="F66" s="15">
        <f t="shared" si="0"/>
        <v>1.7097706790523675E-2</v>
      </c>
      <c r="G66" s="16">
        <v>3707422801</v>
      </c>
      <c r="R66" s="17"/>
    </row>
    <row r="67" spans="1:18" x14ac:dyDescent="0.2">
      <c r="A67" s="12" t="s">
        <v>63</v>
      </c>
      <c r="B67" s="13" t="s">
        <v>81</v>
      </c>
      <c r="C67" s="14">
        <v>1174653737</v>
      </c>
      <c r="D67" s="15">
        <f t="shared" si="0"/>
        <v>7.1760530161974825E-2</v>
      </c>
      <c r="E67" s="14">
        <v>1096003915</v>
      </c>
      <c r="F67" s="15">
        <f t="shared" si="0"/>
        <v>3.9476448729298591E-2</v>
      </c>
      <c r="G67" s="16">
        <v>1054380709</v>
      </c>
      <c r="R67" s="17"/>
    </row>
    <row r="68" spans="1:18" x14ac:dyDescent="0.2">
      <c r="A68" s="12" t="s">
        <v>64</v>
      </c>
      <c r="B68" s="13" t="s">
        <v>81</v>
      </c>
      <c r="C68" s="14">
        <v>108522981639</v>
      </c>
      <c r="D68" s="15">
        <f t="shared" si="0"/>
        <v>3.8136493877883072E-2</v>
      </c>
      <c r="E68" s="14">
        <v>104536332437</v>
      </c>
      <c r="F68" s="15">
        <f t="shared" si="0"/>
        <v>6.9278747711547961E-2</v>
      </c>
      <c r="G68" s="16">
        <v>97763406091</v>
      </c>
      <c r="R68" s="17"/>
    </row>
    <row r="69" spans="1:18" x14ac:dyDescent="0.2">
      <c r="A69" s="12" t="s">
        <v>65</v>
      </c>
      <c r="B69" s="13" t="s">
        <v>82</v>
      </c>
      <c r="C69" s="14">
        <v>4932318386</v>
      </c>
      <c r="D69" s="15">
        <f t="shared" si="0"/>
        <v>7.9381421429326943E-2</v>
      </c>
      <c r="E69" s="14">
        <v>4569578731</v>
      </c>
      <c r="F69" s="15">
        <f t="shared" si="0"/>
        <v>6.3767550213697718E-2</v>
      </c>
      <c r="G69" s="16">
        <v>4295655315</v>
      </c>
      <c r="R69" s="17"/>
    </row>
    <row r="70" spans="1:18" x14ac:dyDescent="0.2">
      <c r="A70" s="12" t="s">
        <v>66</v>
      </c>
      <c r="B70" s="13" t="s">
        <v>81</v>
      </c>
      <c r="C70" s="14">
        <v>61283588149</v>
      </c>
      <c r="D70" s="15">
        <f t="shared" ref="D70:F73" si="1">((C70-E70)/E70)</f>
        <v>5.581192874537215E-2</v>
      </c>
      <c r="E70" s="14">
        <v>58044038413</v>
      </c>
      <c r="F70" s="15">
        <f t="shared" si="1"/>
        <v>8.2156543593413164E-2</v>
      </c>
      <c r="G70" s="16">
        <v>53637376918</v>
      </c>
      <c r="R70" s="17"/>
    </row>
    <row r="71" spans="1:18" x14ac:dyDescent="0.2">
      <c r="A71" s="12" t="s">
        <v>67</v>
      </c>
      <c r="B71" s="13" t="s">
        <v>82</v>
      </c>
      <c r="C71" s="14">
        <v>2969522202</v>
      </c>
      <c r="D71" s="15">
        <f t="shared" si="1"/>
        <v>9.540100494114527E-2</v>
      </c>
      <c r="E71" s="14">
        <v>2710899651</v>
      </c>
      <c r="F71" s="15">
        <f t="shared" si="1"/>
        <v>9.7723490407872121E-2</v>
      </c>
      <c r="G71" s="16">
        <v>2469565127</v>
      </c>
      <c r="R71" s="17"/>
    </row>
    <row r="72" spans="1:18" x14ac:dyDescent="0.2">
      <c r="A72" s="18"/>
      <c r="B72" s="19"/>
      <c r="C72" s="14"/>
      <c r="D72" s="20"/>
      <c r="E72" s="14"/>
      <c r="F72" s="20"/>
      <c r="G72" s="16"/>
      <c r="R72" s="17"/>
    </row>
    <row r="73" spans="1:18" ht="15.75" thickBot="1" x14ac:dyDescent="0.3">
      <c r="A73" s="21" t="s">
        <v>68</v>
      </c>
      <c r="B73" s="22"/>
      <c r="C73" s="23">
        <f>SUM(C5:C71)</f>
        <v>5398029438924</v>
      </c>
      <c r="D73" s="24">
        <f t="shared" si="1"/>
        <v>4.355253174907036E-2</v>
      </c>
      <c r="E73" s="23">
        <f>SUM(E5:E71)</f>
        <v>5172743369111</v>
      </c>
      <c r="F73" s="24">
        <f t="shared" si="1"/>
        <v>6.579775669648831E-2</v>
      </c>
      <c r="G73" s="25">
        <f>SUM(G5:G71)</f>
        <v>4853400503623</v>
      </c>
      <c r="R73" s="17"/>
    </row>
    <row r="74" spans="1:18" x14ac:dyDescent="0.2">
      <c r="R74" s="17"/>
    </row>
    <row r="75" spans="1:18" x14ac:dyDescent="0.2">
      <c r="A75" s="26" t="s">
        <v>90</v>
      </c>
      <c r="R75" s="17"/>
    </row>
    <row r="76" spans="1:18" x14ac:dyDescent="0.2">
      <c r="C76" s="17"/>
      <c r="E76" s="17"/>
      <c r="G76" s="17"/>
    </row>
  </sheetData>
  <phoneticPr fontId="3" type="noConversion"/>
  <conditionalFormatting sqref="A75">
    <cfRule type="expression" dxfId="7" priority="5" stopIfTrue="1">
      <formula>MOD(ROW(),5)=1</formula>
    </cfRule>
  </conditionalFormatting>
  <conditionalFormatting sqref="A4:G73">
    <cfRule type="expression" dxfId="6" priority="1" stopIfTrue="1">
      <formula>MOD(ROW(),3)=1</formula>
    </cfRule>
  </conditionalFormatting>
  <pageMargins left="0.7" right="0.7" top="0.5" bottom="0.5" header="0.05" footer="0.05"/>
  <pageSetup scale="78" fitToHeight="2" orientation="landscape" r:id="rId1"/>
  <rowBreaks count="1" manualBreakCount="1">
    <brk id="37" max="6" man="1"/>
  </rowBreaks>
  <ignoredErrors>
    <ignoredError sqref="E73"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5"/>
  <sheetViews>
    <sheetView zoomScale="93" zoomScaleNormal="93" zoomScaleSheetLayoutView="100" workbookViewId="0">
      <pane ySplit="4" topLeftCell="A5" activePane="bottomLeft" state="frozen"/>
      <selection sqref="A1:XFD1048576"/>
      <selection pane="bottomLeft"/>
    </sheetView>
  </sheetViews>
  <sheetFormatPr defaultRowHeight="14.25" x14ac:dyDescent="0.2"/>
  <cols>
    <col min="1" max="1" width="17.7109375" style="2" customWidth="1"/>
    <col min="2" max="2" width="9.28515625" style="11" bestFit="1" customWidth="1"/>
    <col min="3" max="3" width="19.85546875" style="2" bestFit="1" customWidth="1"/>
    <col min="4" max="4" width="16.42578125" style="11" bestFit="1" customWidth="1"/>
    <col min="5" max="5" width="19.85546875" style="2" bestFit="1" customWidth="1"/>
    <col min="6" max="6" width="16.42578125" style="11" bestFit="1" customWidth="1"/>
    <col min="7" max="7" width="19.85546875" style="2" bestFit="1" customWidth="1"/>
    <col min="8" max="16384" width="9.140625" style="2"/>
  </cols>
  <sheetData>
    <row r="1" spans="1:7" ht="23.25" x14ac:dyDescent="0.35">
      <c r="A1" s="7" t="s">
        <v>69</v>
      </c>
      <c r="B1" s="8"/>
      <c r="C1" s="9"/>
      <c r="D1" s="8"/>
      <c r="E1" s="9"/>
      <c r="F1" s="8"/>
      <c r="G1" s="9"/>
    </row>
    <row r="2" spans="1:7" ht="15" x14ac:dyDescent="0.25">
      <c r="A2" s="10" t="s">
        <v>93</v>
      </c>
      <c r="B2" s="10"/>
      <c r="C2" s="10"/>
      <c r="D2" s="10"/>
      <c r="E2" s="10"/>
      <c r="F2" s="10"/>
      <c r="G2" s="10"/>
    </row>
    <row r="3" spans="1:7" ht="15" thickBot="1" x14ac:dyDescent="0.25"/>
    <row r="4" spans="1:7" s="36" customFormat="1" ht="25.5" x14ac:dyDescent="0.2">
      <c r="A4" s="33" t="s">
        <v>0</v>
      </c>
      <c r="B4" s="34" t="s">
        <v>1</v>
      </c>
      <c r="C4" s="37" t="s">
        <v>91</v>
      </c>
      <c r="D4" s="37" t="s">
        <v>92</v>
      </c>
      <c r="E4" s="37" t="s">
        <v>84</v>
      </c>
      <c r="F4" s="37" t="s">
        <v>85</v>
      </c>
      <c r="G4" s="38" t="s">
        <v>83</v>
      </c>
    </row>
    <row r="5" spans="1:7" x14ac:dyDescent="0.2">
      <c r="A5" s="12" t="s">
        <v>4</v>
      </c>
      <c r="B5" s="13" t="s">
        <v>81</v>
      </c>
      <c r="C5" s="14">
        <v>42775630101</v>
      </c>
      <c r="D5" s="15">
        <f>((C5-E5)/E5)</f>
        <v>6.0918189708770464E-2</v>
      </c>
      <c r="E5" s="14">
        <v>40319442645</v>
      </c>
      <c r="F5" s="15">
        <f>((E5-G5)/G5)</f>
        <v>9.0814392309049419E-2</v>
      </c>
      <c r="G5" s="16">
        <v>36962697714</v>
      </c>
    </row>
    <row r="6" spans="1:7" x14ac:dyDescent="0.2">
      <c r="A6" s="12" t="s">
        <v>5</v>
      </c>
      <c r="B6" s="13" t="s">
        <v>81</v>
      </c>
      <c r="C6" s="14">
        <v>3164290547</v>
      </c>
      <c r="D6" s="15">
        <f t="shared" ref="D6:F69" si="0">((C6-E6)/E6)</f>
        <v>5.2051898888931927E-2</v>
      </c>
      <c r="E6" s="14">
        <v>3007732366</v>
      </c>
      <c r="F6" s="15">
        <f t="shared" si="0"/>
        <v>8.095317097855452E-2</v>
      </c>
      <c r="G6" s="16">
        <v>2782481653</v>
      </c>
    </row>
    <row r="7" spans="1:7" x14ac:dyDescent="0.2">
      <c r="A7" s="12" t="s">
        <v>6</v>
      </c>
      <c r="B7" s="13" t="s">
        <v>81</v>
      </c>
      <c r="C7" s="14">
        <v>42748637806</v>
      </c>
      <c r="D7" s="15">
        <f t="shared" si="0"/>
        <v>4.6559033672893241E-2</v>
      </c>
      <c r="E7" s="14">
        <v>40846848033</v>
      </c>
      <c r="F7" s="15">
        <f t="shared" si="0"/>
        <v>7.8634700952753114E-2</v>
      </c>
      <c r="G7" s="16">
        <v>37869028316</v>
      </c>
    </row>
    <row r="8" spans="1:7" x14ac:dyDescent="0.2">
      <c r="A8" s="12" t="s">
        <v>7</v>
      </c>
      <c r="B8" s="13" t="s">
        <v>82</v>
      </c>
      <c r="C8" s="14">
        <v>2615445430</v>
      </c>
      <c r="D8" s="15">
        <f t="shared" si="0"/>
        <v>7.7128091386292438E-2</v>
      </c>
      <c r="E8" s="14">
        <v>2428165648</v>
      </c>
      <c r="F8" s="15">
        <f t="shared" si="0"/>
        <v>0.10663806546359729</v>
      </c>
      <c r="G8" s="16">
        <v>2194182293</v>
      </c>
    </row>
    <row r="9" spans="1:7" x14ac:dyDescent="0.2">
      <c r="A9" s="12" t="s">
        <v>8</v>
      </c>
      <c r="B9" s="13" t="s">
        <v>81</v>
      </c>
      <c r="C9" s="14">
        <v>114769350080</v>
      </c>
      <c r="D9" s="15">
        <f t="shared" si="0"/>
        <v>1.8084794486143023E-2</v>
      </c>
      <c r="E9" s="14">
        <v>112730639630</v>
      </c>
      <c r="F9" s="15">
        <f t="shared" si="0"/>
        <v>5.5895064288349013E-2</v>
      </c>
      <c r="G9" s="16">
        <v>106763108800</v>
      </c>
    </row>
    <row r="10" spans="1:7" x14ac:dyDescent="0.2">
      <c r="A10" s="12" t="s">
        <v>9</v>
      </c>
      <c r="B10" s="13" t="s">
        <v>81</v>
      </c>
      <c r="C10" s="14">
        <v>482394442030</v>
      </c>
      <c r="D10" s="15">
        <f t="shared" si="0"/>
        <v>5.9289955117165241E-2</v>
      </c>
      <c r="E10" s="14">
        <v>455394143690</v>
      </c>
      <c r="F10" s="15">
        <f t="shared" si="0"/>
        <v>8.3972599569622483E-2</v>
      </c>
      <c r="G10" s="16">
        <v>420115917940</v>
      </c>
    </row>
    <row r="11" spans="1:7" x14ac:dyDescent="0.2">
      <c r="A11" s="12" t="s">
        <v>10</v>
      </c>
      <c r="B11" s="13" t="s">
        <v>82</v>
      </c>
      <c r="C11" s="14">
        <v>1112484464</v>
      </c>
      <c r="D11" s="15">
        <f t="shared" si="0"/>
        <v>3.5453172921572948E-2</v>
      </c>
      <c r="E11" s="14">
        <v>1074393795</v>
      </c>
      <c r="F11" s="15">
        <f t="shared" si="0"/>
        <v>0.10968002175249812</v>
      </c>
      <c r="G11" s="16">
        <v>968201440</v>
      </c>
    </row>
    <row r="12" spans="1:7" x14ac:dyDescent="0.2">
      <c r="A12" s="12" t="s">
        <v>11</v>
      </c>
      <c r="B12" s="13" t="s">
        <v>81</v>
      </c>
      <c r="C12" s="14">
        <v>49853772966</v>
      </c>
      <c r="D12" s="15">
        <f t="shared" si="0"/>
        <v>-2.3820676015415414E-2</v>
      </c>
      <c r="E12" s="14">
        <v>51070302086</v>
      </c>
      <c r="F12" s="15">
        <f t="shared" si="0"/>
        <v>8.8574209664855963E-2</v>
      </c>
      <c r="G12" s="16">
        <v>46914855811</v>
      </c>
    </row>
    <row r="13" spans="1:7" x14ac:dyDescent="0.2">
      <c r="A13" s="12" t="s">
        <v>12</v>
      </c>
      <c r="B13" s="13" t="s">
        <v>81</v>
      </c>
      <c r="C13" s="14">
        <v>24852690385</v>
      </c>
      <c r="D13" s="15">
        <f t="shared" si="0"/>
        <v>2.9025635605030124E-2</v>
      </c>
      <c r="E13" s="14">
        <v>24151672733</v>
      </c>
      <c r="F13" s="15">
        <f t="shared" si="0"/>
        <v>6.0323156657979958E-2</v>
      </c>
      <c r="G13" s="16">
        <v>22777652814</v>
      </c>
    </row>
    <row r="14" spans="1:7" x14ac:dyDescent="0.2">
      <c r="A14" s="12" t="s">
        <v>13</v>
      </c>
      <c r="B14" s="13" t="s">
        <v>81</v>
      </c>
      <c r="C14" s="14">
        <v>32665325170</v>
      </c>
      <c r="D14" s="15">
        <f t="shared" si="0"/>
        <v>6.2801442098809529E-2</v>
      </c>
      <c r="E14" s="14">
        <v>30735115588</v>
      </c>
      <c r="F14" s="15">
        <f t="shared" si="0"/>
        <v>5.9426022111330787E-2</v>
      </c>
      <c r="G14" s="16">
        <v>29011101244</v>
      </c>
    </row>
    <row r="15" spans="1:7" x14ac:dyDescent="0.2">
      <c r="A15" s="12" t="s">
        <v>14</v>
      </c>
      <c r="B15" s="13" t="s">
        <v>81</v>
      </c>
      <c r="C15" s="14">
        <v>224996077673</v>
      </c>
      <c r="D15" s="15">
        <f t="shared" si="0"/>
        <v>2.6291427524771559E-2</v>
      </c>
      <c r="E15" s="14">
        <v>219232151452</v>
      </c>
      <c r="F15" s="15">
        <f t="shared" si="0"/>
        <v>2.9851767278332984E-3</v>
      </c>
      <c r="G15" s="16">
        <v>218579652560</v>
      </c>
    </row>
    <row r="16" spans="1:7" x14ac:dyDescent="0.2">
      <c r="A16" s="12" t="s">
        <v>15</v>
      </c>
      <c r="B16" s="13" t="s">
        <v>81</v>
      </c>
      <c r="C16" s="14">
        <v>7666822503</v>
      </c>
      <c r="D16" s="15">
        <f t="shared" si="0"/>
        <v>7.9586244336812786E-2</v>
      </c>
      <c r="E16" s="14">
        <v>7101630410</v>
      </c>
      <c r="F16" s="15">
        <f t="shared" si="0"/>
        <v>9.4341827523335628E-2</v>
      </c>
      <c r="G16" s="16">
        <v>6489407817</v>
      </c>
    </row>
    <row r="17" spans="1:7" x14ac:dyDescent="0.2">
      <c r="A17" s="12" t="s">
        <v>78</v>
      </c>
      <c r="B17" s="13" t="s">
        <v>81</v>
      </c>
      <c r="C17" s="14">
        <v>767584789463</v>
      </c>
      <c r="D17" s="15">
        <f t="shared" si="0"/>
        <v>5.9210058006401965E-2</v>
      </c>
      <c r="E17" s="14">
        <v>724676643373</v>
      </c>
      <c r="F17" s="15">
        <f t="shared" si="0"/>
        <v>0.110007405718415</v>
      </c>
      <c r="G17" s="16">
        <v>652857485130</v>
      </c>
    </row>
    <row r="18" spans="1:7" x14ac:dyDescent="0.2">
      <c r="A18" s="12" t="s">
        <v>16</v>
      </c>
      <c r="B18" s="13" t="s">
        <v>81</v>
      </c>
      <c r="C18" s="14">
        <v>5611056578</v>
      </c>
      <c r="D18" s="15">
        <f t="shared" si="0"/>
        <v>3.5935865663392255E-2</v>
      </c>
      <c r="E18" s="14">
        <v>5416413085</v>
      </c>
      <c r="F18" s="15">
        <f t="shared" si="0"/>
        <v>6.4687263677257717E-2</v>
      </c>
      <c r="G18" s="16">
        <v>5087327772</v>
      </c>
    </row>
    <row r="19" spans="1:7" x14ac:dyDescent="0.2">
      <c r="A19" s="12" t="s">
        <v>17</v>
      </c>
      <c r="B19" s="13" t="s">
        <v>82</v>
      </c>
      <c r="C19" s="14">
        <v>1830690151</v>
      </c>
      <c r="D19" s="15">
        <f t="shared" si="0"/>
        <v>1.5178016667863163E-2</v>
      </c>
      <c r="E19" s="14">
        <v>1803319340</v>
      </c>
      <c r="F19" s="15">
        <f t="shared" si="0"/>
        <v>5.7189314499940712E-2</v>
      </c>
      <c r="G19" s="16">
        <v>1705767657</v>
      </c>
    </row>
    <row r="20" spans="1:7" x14ac:dyDescent="0.2">
      <c r="A20" s="12" t="s">
        <v>18</v>
      </c>
      <c r="B20" s="13" t="s">
        <v>81</v>
      </c>
      <c r="C20" s="14">
        <v>167209403409</v>
      </c>
      <c r="D20" s="15">
        <f t="shared" si="0"/>
        <v>6.5957775943474933E-2</v>
      </c>
      <c r="E20" s="14">
        <v>156863064544</v>
      </c>
      <c r="F20" s="15">
        <f t="shared" si="0"/>
        <v>4.1034382483095162E-2</v>
      </c>
      <c r="G20" s="16">
        <v>150680003642</v>
      </c>
    </row>
    <row r="21" spans="1:7" x14ac:dyDescent="0.2">
      <c r="A21" s="12" t="s">
        <v>19</v>
      </c>
      <c r="B21" s="13" t="s">
        <v>81</v>
      </c>
      <c r="C21" s="14">
        <v>48010719600</v>
      </c>
      <c r="D21" s="15">
        <f t="shared" si="0"/>
        <v>3.8356670008363604E-2</v>
      </c>
      <c r="E21" s="14">
        <v>46237214039</v>
      </c>
      <c r="F21" s="15">
        <f t="shared" si="0"/>
        <v>6.7750509907464437E-2</v>
      </c>
      <c r="G21" s="16">
        <v>43303387458</v>
      </c>
    </row>
    <row r="22" spans="1:7" x14ac:dyDescent="0.2">
      <c r="A22" s="12" t="s">
        <v>20</v>
      </c>
      <c r="B22" s="13" t="s">
        <v>81</v>
      </c>
      <c r="C22" s="14">
        <v>26975164369</v>
      </c>
      <c r="D22" s="15">
        <f t="shared" si="0"/>
        <v>5.2262270495335938E-2</v>
      </c>
      <c r="E22" s="14">
        <v>25635400152</v>
      </c>
      <c r="F22" s="15">
        <f t="shared" si="0"/>
        <v>8.9630290667575246E-2</v>
      </c>
      <c r="G22" s="16">
        <v>23526695588</v>
      </c>
    </row>
    <row r="23" spans="1:7" x14ac:dyDescent="0.2">
      <c r="A23" s="12" t="s">
        <v>21</v>
      </c>
      <c r="B23" s="13" t="s">
        <v>82</v>
      </c>
      <c r="C23" s="14">
        <v>6048587050</v>
      </c>
      <c r="D23" s="15">
        <f t="shared" si="0"/>
        <v>8.4141667368356227E-3</v>
      </c>
      <c r="E23" s="14">
        <v>5998117886</v>
      </c>
      <c r="F23" s="15">
        <f t="shared" si="0"/>
        <v>0.21742881127971814</v>
      </c>
      <c r="G23" s="16">
        <v>4926873613</v>
      </c>
    </row>
    <row r="24" spans="1:7" x14ac:dyDescent="0.2">
      <c r="A24" s="12" t="s">
        <v>22</v>
      </c>
      <c r="B24" s="13" t="s">
        <v>82</v>
      </c>
      <c r="C24" s="14">
        <v>4529773345</v>
      </c>
      <c r="D24" s="15">
        <f t="shared" si="0"/>
        <v>4.5661496689098073E-2</v>
      </c>
      <c r="E24" s="14">
        <v>4331969150</v>
      </c>
      <c r="F24" s="15">
        <f t="shared" si="0"/>
        <v>0.23428431742280512</v>
      </c>
      <c r="G24" s="16">
        <v>3509701200</v>
      </c>
    </row>
    <row r="25" spans="1:7" x14ac:dyDescent="0.2">
      <c r="A25" s="12" t="s">
        <v>23</v>
      </c>
      <c r="B25" s="13" t="s">
        <v>82</v>
      </c>
      <c r="C25" s="14">
        <v>2889133570</v>
      </c>
      <c r="D25" s="15">
        <f t="shared" si="0"/>
        <v>0.1028651965168655</v>
      </c>
      <c r="E25" s="14">
        <v>2619661568</v>
      </c>
      <c r="F25" s="15">
        <f t="shared" si="0"/>
        <v>0.19937298697093683</v>
      </c>
      <c r="G25" s="16">
        <v>2184192571</v>
      </c>
    </row>
    <row r="26" spans="1:7" x14ac:dyDescent="0.2">
      <c r="A26" s="12" t="s">
        <v>24</v>
      </c>
      <c r="B26" s="13" t="s">
        <v>82</v>
      </c>
      <c r="C26" s="14">
        <v>6298107176</v>
      </c>
      <c r="D26" s="15">
        <f t="shared" si="0"/>
        <v>3.0698829959945408E-2</v>
      </c>
      <c r="E26" s="14">
        <v>6110521321</v>
      </c>
      <c r="F26" s="15">
        <f t="shared" si="0"/>
        <v>0.10605388381726212</v>
      </c>
      <c r="G26" s="16">
        <v>5524614497</v>
      </c>
    </row>
    <row r="27" spans="1:7" x14ac:dyDescent="0.2">
      <c r="A27" s="12" t="s">
        <v>25</v>
      </c>
      <c r="B27" s="13" t="s">
        <v>82</v>
      </c>
      <c r="C27" s="14">
        <v>6880334427</v>
      </c>
      <c r="D27" s="15">
        <f t="shared" si="0"/>
        <v>4.9629855679846589E-2</v>
      </c>
      <c r="E27" s="14">
        <v>6555010216</v>
      </c>
      <c r="F27" s="15">
        <f t="shared" si="0"/>
        <v>0.17325405518465251</v>
      </c>
      <c r="G27" s="16">
        <v>5587033931</v>
      </c>
    </row>
    <row r="28" spans="1:7" x14ac:dyDescent="0.2">
      <c r="A28" s="12" t="s">
        <v>26</v>
      </c>
      <c r="B28" s="13" t="s">
        <v>81</v>
      </c>
      <c r="C28" s="14">
        <v>2050748155</v>
      </c>
      <c r="D28" s="15">
        <f t="shared" si="0"/>
        <v>5.4929132965864436E-2</v>
      </c>
      <c r="E28" s="14">
        <v>1943967695</v>
      </c>
      <c r="F28" s="15">
        <f t="shared" si="0"/>
        <v>0.24766709893081196</v>
      </c>
      <c r="G28" s="16">
        <v>1558082037</v>
      </c>
    </row>
    <row r="29" spans="1:7" x14ac:dyDescent="0.2">
      <c r="A29" s="12" t="s">
        <v>27</v>
      </c>
      <c r="B29" s="13" t="s">
        <v>81</v>
      </c>
      <c r="C29" s="14">
        <v>5680098072</v>
      </c>
      <c r="D29" s="15">
        <f t="shared" si="0"/>
        <v>0.19963506565563063</v>
      </c>
      <c r="E29" s="14">
        <v>4734854986</v>
      </c>
      <c r="F29" s="15">
        <f t="shared" si="0"/>
        <v>7.2530484132273351E-2</v>
      </c>
      <c r="G29" s="16">
        <v>4414657724</v>
      </c>
    </row>
    <row r="30" spans="1:7" x14ac:dyDescent="0.2">
      <c r="A30" s="12" t="s">
        <v>28</v>
      </c>
      <c r="B30" s="13" t="s">
        <v>81</v>
      </c>
      <c r="C30" s="14">
        <v>8944026495</v>
      </c>
      <c r="D30" s="15">
        <f t="shared" si="0"/>
        <v>5.2185866994858027E-2</v>
      </c>
      <c r="E30" s="14">
        <v>8500424474</v>
      </c>
      <c r="F30" s="15">
        <f t="shared" si="0"/>
        <v>3.5308289680753654E-2</v>
      </c>
      <c r="G30" s="16">
        <v>8210524883</v>
      </c>
    </row>
    <row r="31" spans="1:7" x14ac:dyDescent="0.2">
      <c r="A31" s="12" t="s">
        <v>29</v>
      </c>
      <c r="B31" s="13" t="s">
        <v>81</v>
      </c>
      <c r="C31" s="14">
        <v>31927207928</v>
      </c>
      <c r="D31" s="15">
        <f t="shared" si="0"/>
        <v>4.4642687328293761E-2</v>
      </c>
      <c r="E31" s="14">
        <v>30562802301</v>
      </c>
      <c r="F31" s="15">
        <f t="shared" si="0"/>
        <v>5.6983190125813071E-2</v>
      </c>
      <c r="G31" s="16">
        <v>28915126169</v>
      </c>
    </row>
    <row r="32" spans="1:7" x14ac:dyDescent="0.2">
      <c r="A32" s="12" t="s">
        <v>30</v>
      </c>
      <c r="B32" s="13" t="s">
        <v>81</v>
      </c>
      <c r="C32" s="14">
        <v>16663946144</v>
      </c>
      <c r="D32" s="15">
        <f t="shared" si="0"/>
        <v>5.3584590565618546E-2</v>
      </c>
      <c r="E32" s="14">
        <v>15816429258</v>
      </c>
      <c r="F32" s="15">
        <f t="shared" si="0"/>
        <v>4.6306217160965814E-2</v>
      </c>
      <c r="G32" s="16">
        <v>15116443923</v>
      </c>
    </row>
    <row r="33" spans="1:7" x14ac:dyDescent="0.2">
      <c r="A33" s="12" t="s">
        <v>31</v>
      </c>
      <c r="B33" s="13" t="s">
        <v>81</v>
      </c>
      <c r="C33" s="14">
        <v>261942230217</v>
      </c>
      <c r="D33" s="15">
        <f t="shared" si="0"/>
        <v>2.5181786528526044E-2</v>
      </c>
      <c r="E33" s="14">
        <v>255508080283</v>
      </c>
      <c r="F33" s="15">
        <f t="shared" si="0"/>
        <v>6.1452816463179939E-2</v>
      </c>
      <c r="G33" s="16">
        <v>240715438614</v>
      </c>
    </row>
    <row r="34" spans="1:7" x14ac:dyDescent="0.2">
      <c r="A34" s="12" t="s">
        <v>32</v>
      </c>
      <c r="B34" s="13" t="s">
        <v>82</v>
      </c>
      <c r="C34" s="14">
        <v>1766213292</v>
      </c>
      <c r="D34" s="15">
        <f t="shared" si="0"/>
        <v>0.19003587669740415</v>
      </c>
      <c r="E34" s="14">
        <v>1484168105</v>
      </c>
      <c r="F34" s="15">
        <f t="shared" si="0"/>
        <v>0.20678084597194299</v>
      </c>
      <c r="G34" s="16">
        <v>1229857194</v>
      </c>
    </row>
    <row r="35" spans="1:7" x14ac:dyDescent="0.2">
      <c r="A35" s="12" t="s">
        <v>33</v>
      </c>
      <c r="B35" s="13" t="s">
        <v>81</v>
      </c>
      <c r="C35" s="14">
        <v>49064683352</v>
      </c>
      <c r="D35" s="15">
        <f t="shared" si="0"/>
        <v>3.8185612561692672E-2</v>
      </c>
      <c r="E35" s="14">
        <v>47260030151</v>
      </c>
      <c r="F35" s="15">
        <f t="shared" si="0"/>
        <v>6.3299442261208191E-2</v>
      </c>
      <c r="G35" s="16">
        <v>44446586044</v>
      </c>
    </row>
    <row r="36" spans="1:7" x14ac:dyDescent="0.2">
      <c r="A36" s="12" t="s">
        <v>34</v>
      </c>
      <c r="B36" s="13" t="s">
        <v>82</v>
      </c>
      <c r="C36" s="14">
        <v>4186933692</v>
      </c>
      <c r="D36" s="15">
        <f t="shared" si="0"/>
        <v>3.4116269924344057E-2</v>
      </c>
      <c r="E36" s="14">
        <v>4048803615</v>
      </c>
      <c r="F36" s="15">
        <f t="shared" si="0"/>
        <v>8.7324427917175637E-2</v>
      </c>
      <c r="G36" s="16">
        <v>3723638972</v>
      </c>
    </row>
    <row r="37" spans="1:7" x14ac:dyDescent="0.2">
      <c r="A37" s="12" t="s">
        <v>35</v>
      </c>
      <c r="B37" s="13" t="s">
        <v>82</v>
      </c>
      <c r="C37" s="14">
        <v>2523722407</v>
      </c>
      <c r="D37" s="15">
        <f t="shared" si="0"/>
        <v>4.7985904208540563E-2</v>
      </c>
      <c r="E37" s="14">
        <v>2408164458</v>
      </c>
      <c r="F37" s="15">
        <f t="shared" si="0"/>
        <v>7.1244674550473022E-2</v>
      </c>
      <c r="G37" s="16">
        <v>2248006002</v>
      </c>
    </row>
    <row r="38" spans="1:7" x14ac:dyDescent="0.2">
      <c r="A38" s="12" t="s">
        <v>36</v>
      </c>
      <c r="B38" s="13" t="s">
        <v>82</v>
      </c>
      <c r="C38" s="14">
        <v>1032812732</v>
      </c>
      <c r="D38" s="15">
        <f t="shared" si="0"/>
        <v>5.604158750116324E-2</v>
      </c>
      <c r="E38" s="14">
        <v>978003844</v>
      </c>
      <c r="F38" s="15">
        <f t="shared" si="0"/>
        <v>6.5009504742329846E-2</v>
      </c>
      <c r="G38" s="16">
        <v>918305273</v>
      </c>
    </row>
    <row r="39" spans="1:7" x14ac:dyDescent="0.2">
      <c r="A39" s="12" t="s">
        <v>37</v>
      </c>
      <c r="B39" s="13" t="s">
        <v>81</v>
      </c>
      <c r="C39" s="14">
        <v>66714106336</v>
      </c>
      <c r="D39" s="15">
        <f t="shared" si="0"/>
        <v>7.6744387573323455E-2</v>
      </c>
      <c r="E39" s="14">
        <v>61959093640</v>
      </c>
      <c r="F39" s="15">
        <f t="shared" si="0"/>
        <v>0.12490068429333254</v>
      </c>
      <c r="G39" s="16">
        <v>55079612365</v>
      </c>
    </row>
    <row r="40" spans="1:7" x14ac:dyDescent="0.2">
      <c r="A40" s="12" t="s">
        <v>38</v>
      </c>
      <c r="B40" s="13" t="s">
        <v>81</v>
      </c>
      <c r="C40" s="14">
        <v>212351482798</v>
      </c>
      <c r="D40" s="15">
        <f t="shared" si="0"/>
        <v>1.8298625259184739E-4</v>
      </c>
      <c r="E40" s="14">
        <v>212312632505</v>
      </c>
      <c r="F40" s="15">
        <f t="shared" si="0"/>
        <v>7.6925111509957012E-2</v>
      </c>
      <c r="G40" s="16">
        <v>197147072007</v>
      </c>
    </row>
    <row r="41" spans="1:7" x14ac:dyDescent="0.2">
      <c r="A41" s="12" t="s">
        <v>39</v>
      </c>
      <c r="B41" s="13" t="s">
        <v>81</v>
      </c>
      <c r="C41" s="14">
        <v>43125334803</v>
      </c>
      <c r="D41" s="15">
        <f t="shared" si="0"/>
        <v>5.9056375767033278E-2</v>
      </c>
      <c r="E41" s="14">
        <v>40720528000</v>
      </c>
      <c r="F41" s="15">
        <f t="shared" si="0"/>
        <v>7.0814864362645349E-2</v>
      </c>
      <c r="G41" s="16">
        <v>38027608091</v>
      </c>
    </row>
    <row r="42" spans="1:7" x14ac:dyDescent="0.2">
      <c r="A42" s="12" t="s">
        <v>40</v>
      </c>
      <c r="B42" s="13" t="s">
        <v>82</v>
      </c>
      <c r="C42" s="14">
        <v>7719286358</v>
      </c>
      <c r="D42" s="15">
        <f t="shared" si="0"/>
        <v>6.1270825598226247E-2</v>
      </c>
      <c r="E42" s="14">
        <v>7273625329</v>
      </c>
      <c r="F42" s="15">
        <f t="shared" si="0"/>
        <v>-3.1053386988462165E-2</v>
      </c>
      <c r="G42" s="16">
        <v>7506734872</v>
      </c>
    </row>
    <row r="43" spans="1:7" x14ac:dyDescent="0.2">
      <c r="A43" s="12" t="s">
        <v>41</v>
      </c>
      <c r="B43" s="13" t="s">
        <v>82</v>
      </c>
      <c r="C43" s="14">
        <v>926578191</v>
      </c>
      <c r="D43" s="15">
        <f t="shared" si="0"/>
        <v>2.0564434429744302E-2</v>
      </c>
      <c r="E43" s="14">
        <v>907907585</v>
      </c>
      <c r="F43" s="15">
        <f t="shared" si="0"/>
        <v>1.6849731278283493E-2</v>
      </c>
      <c r="G43" s="16">
        <v>892863082</v>
      </c>
    </row>
    <row r="44" spans="1:7" x14ac:dyDescent="0.2">
      <c r="A44" s="12" t="s">
        <v>42</v>
      </c>
      <c r="B44" s="13" t="s">
        <v>82</v>
      </c>
      <c r="C44" s="14">
        <v>2200014556</v>
      </c>
      <c r="D44" s="15">
        <f t="shared" si="0"/>
        <v>1.7027161801850127E-2</v>
      </c>
      <c r="E44" s="14">
        <v>2163181711</v>
      </c>
      <c r="F44" s="15">
        <f t="shared" si="0"/>
        <v>3.0501719171703537E-2</v>
      </c>
      <c r="G44" s="16">
        <v>2099153908</v>
      </c>
    </row>
    <row r="45" spans="1:7" x14ac:dyDescent="0.2">
      <c r="A45" s="12" t="s">
        <v>43</v>
      </c>
      <c r="B45" s="13" t="s">
        <v>81</v>
      </c>
      <c r="C45" s="14">
        <v>99856844464</v>
      </c>
      <c r="D45" s="15">
        <f t="shared" si="0"/>
        <v>-2.0087174862682487E-2</v>
      </c>
      <c r="E45" s="14">
        <v>101903803994</v>
      </c>
      <c r="F45" s="15">
        <f t="shared" si="0"/>
        <v>6.0787493051744891E-2</v>
      </c>
      <c r="G45" s="16">
        <v>96064296253</v>
      </c>
    </row>
    <row r="46" spans="1:7" x14ac:dyDescent="0.2">
      <c r="A46" s="12" t="s">
        <v>44</v>
      </c>
      <c r="B46" s="13" t="s">
        <v>81</v>
      </c>
      <c r="C46" s="14">
        <v>63739031386</v>
      </c>
      <c r="D46" s="15">
        <f t="shared" si="0"/>
        <v>8.2125624396939392E-2</v>
      </c>
      <c r="E46" s="14">
        <v>58901693065</v>
      </c>
      <c r="F46" s="15">
        <f t="shared" si="0"/>
        <v>9.1529168381374565E-2</v>
      </c>
      <c r="G46" s="16">
        <v>53962546097</v>
      </c>
    </row>
    <row r="47" spans="1:7" x14ac:dyDescent="0.2">
      <c r="A47" s="12" t="s">
        <v>45</v>
      </c>
      <c r="B47" s="13" t="s">
        <v>81</v>
      </c>
      <c r="C47" s="14">
        <v>57594138577</v>
      </c>
      <c r="D47" s="15">
        <f t="shared" si="0"/>
        <v>8.6429657351661637E-2</v>
      </c>
      <c r="E47" s="14">
        <v>53012303362</v>
      </c>
      <c r="F47" s="15">
        <f t="shared" si="0"/>
        <v>6.7137951681114305E-2</v>
      </c>
      <c r="G47" s="16">
        <v>49677085590</v>
      </c>
    </row>
    <row r="48" spans="1:7" x14ac:dyDescent="0.2">
      <c r="A48" s="12" t="s">
        <v>46</v>
      </c>
      <c r="B48" s="13" t="s">
        <v>81</v>
      </c>
      <c r="C48" s="14">
        <v>72246717784</v>
      </c>
      <c r="D48" s="15">
        <f t="shared" si="0"/>
        <v>2.4758004342714357E-2</v>
      </c>
      <c r="E48" s="14">
        <v>70501247590</v>
      </c>
      <c r="F48" s="15">
        <f t="shared" si="0"/>
        <v>5.3586146018379036E-2</v>
      </c>
      <c r="G48" s="16">
        <v>66915503641</v>
      </c>
    </row>
    <row r="49" spans="1:7" x14ac:dyDescent="0.2">
      <c r="A49" s="12" t="s">
        <v>47</v>
      </c>
      <c r="B49" s="13" t="s">
        <v>81</v>
      </c>
      <c r="C49" s="14">
        <v>28812152489</v>
      </c>
      <c r="D49" s="15">
        <f t="shared" si="0"/>
        <v>0.10341708591639344</v>
      </c>
      <c r="E49" s="14">
        <v>26111751265</v>
      </c>
      <c r="F49" s="15">
        <f t="shared" si="0"/>
        <v>8.9625285860780987E-2</v>
      </c>
      <c r="G49" s="16">
        <v>23963973307</v>
      </c>
    </row>
    <row r="50" spans="1:7" x14ac:dyDescent="0.2">
      <c r="A50" s="12" t="s">
        <v>48</v>
      </c>
      <c r="B50" s="13" t="s">
        <v>81</v>
      </c>
      <c r="C50" s="14">
        <v>43274826076</v>
      </c>
      <c r="D50" s="15">
        <f t="shared" si="0"/>
        <v>3.3769668454868583E-2</v>
      </c>
      <c r="E50" s="14">
        <v>41861187648</v>
      </c>
      <c r="F50" s="15">
        <f t="shared" si="0"/>
        <v>2.9827859380293909E-2</v>
      </c>
      <c r="G50" s="16">
        <v>40648723247</v>
      </c>
    </row>
    <row r="51" spans="1:7" x14ac:dyDescent="0.2">
      <c r="A51" s="12" t="s">
        <v>49</v>
      </c>
      <c r="B51" s="13" t="s">
        <v>81</v>
      </c>
      <c r="C51" s="14">
        <v>8952767969</v>
      </c>
      <c r="D51" s="15">
        <f t="shared" si="0"/>
        <v>0.13247252962967623</v>
      </c>
      <c r="E51" s="14">
        <v>7905505639</v>
      </c>
      <c r="F51" s="15">
        <f t="shared" si="0"/>
        <v>1.7823794928842911E-3</v>
      </c>
      <c r="G51" s="16">
        <v>7891440098</v>
      </c>
    </row>
    <row r="52" spans="1:7" x14ac:dyDescent="0.2">
      <c r="A52" s="12" t="s">
        <v>50</v>
      </c>
      <c r="B52" s="13" t="s">
        <v>81</v>
      </c>
      <c r="C52" s="14">
        <v>330475736417</v>
      </c>
      <c r="D52" s="15">
        <f t="shared" si="0"/>
        <v>5.9175157576983863E-2</v>
      </c>
      <c r="E52" s="14">
        <v>312012356080</v>
      </c>
      <c r="F52" s="15">
        <f t="shared" si="0"/>
        <v>5.2959526719857944E-2</v>
      </c>
      <c r="G52" s="16">
        <v>296319419847</v>
      </c>
    </row>
    <row r="53" spans="1:7" x14ac:dyDescent="0.2">
      <c r="A53" s="12" t="s">
        <v>51</v>
      </c>
      <c r="B53" s="13" t="s">
        <v>81</v>
      </c>
      <c r="C53" s="14">
        <v>79656620922</v>
      </c>
      <c r="D53" s="15">
        <f t="shared" si="0"/>
        <v>4.2444304891824214E-2</v>
      </c>
      <c r="E53" s="14">
        <v>76413311050</v>
      </c>
      <c r="F53" s="15">
        <f t="shared" si="0"/>
        <v>8.2922118693965124E-2</v>
      </c>
      <c r="G53" s="16">
        <v>70562148220</v>
      </c>
    </row>
    <row r="54" spans="1:7" x14ac:dyDescent="0.2">
      <c r="A54" s="12" t="s">
        <v>52</v>
      </c>
      <c r="B54" s="13" t="s">
        <v>81</v>
      </c>
      <c r="C54" s="14">
        <v>513305769954</v>
      </c>
      <c r="D54" s="15">
        <f t="shared" si="0"/>
        <v>3.0764973675781099E-2</v>
      </c>
      <c r="E54" s="14">
        <v>497985266344</v>
      </c>
      <c r="F54" s="15">
        <f t="shared" si="0"/>
        <v>5.6704151801234816E-2</v>
      </c>
      <c r="G54" s="16">
        <v>471262713878</v>
      </c>
    </row>
    <row r="55" spans="1:7" x14ac:dyDescent="0.2">
      <c r="A55" s="12" t="s">
        <v>53</v>
      </c>
      <c r="B55" s="13" t="s">
        <v>81</v>
      </c>
      <c r="C55" s="14">
        <v>92671916059</v>
      </c>
      <c r="D55" s="15">
        <f t="shared" si="0"/>
        <v>4.720471320849555E-2</v>
      </c>
      <c r="E55" s="14">
        <v>88494555926</v>
      </c>
      <c r="F55" s="15">
        <f t="shared" si="0"/>
        <v>9.3708989309366358E-2</v>
      </c>
      <c r="G55" s="16">
        <v>80912342123</v>
      </c>
    </row>
    <row r="56" spans="1:7" x14ac:dyDescent="0.2">
      <c r="A56" s="12" t="s">
        <v>54</v>
      </c>
      <c r="B56" s="13" t="s">
        <v>81</v>
      </c>
      <c r="C56" s="14">
        <v>219158809521</v>
      </c>
      <c r="D56" s="15">
        <f t="shared" si="0"/>
        <v>-8.8746907287148916E-3</v>
      </c>
      <c r="E56" s="14">
        <v>221121191711</v>
      </c>
      <c r="F56" s="15">
        <f t="shared" si="0"/>
        <v>6.7624699971955346E-2</v>
      </c>
      <c r="G56" s="16">
        <v>207115095517</v>
      </c>
    </row>
    <row r="57" spans="1:7" x14ac:dyDescent="0.2">
      <c r="A57" s="12" t="s">
        <v>55</v>
      </c>
      <c r="B57" s="13" t="s">
        <v>81</v>
      </c>
      <c r="C57" s="14">
        <v>100886756729</v>
      </c>
      <c r="D57" s="15">
        <f t="shared" si="0"/>
        <v>5.0585105190160615E-2</v>
      </c>
      <c r="E57" s="14">
        <v>96029113901</v>
      </c>
      <c r="F57" s="15">
        <f t="shared" si="0"/>
        <v>6.3678796210646579E-2</v>
      </c>
      <c r="G57" s="16">
        <v>90280180674</v>
      </c>
    </row>
    <row r="58" spans="1:7" x14ac:dyDescent="0.2">
      <c r="A58" s="12" t="s">
        <v>56</v>
      </c>
      <c r="B58" s="13" t="s">
        <v>81</v>
      </c>
      <c r="C58" s="14">
        <v>9921152976</v>
      </c>
      <c r="D58" s="15">
        <f t="shared" si="0"/>
        <v>-1.5735551550854942E-2</v>
      </c>
      <c r="E58" s="14">
        <v>10079763616</v>
      </c>
      <c r="F58" s="15">
        <f t="shared" si="0"/>
        <v>7.6114413803210698E-2</v>
      </c>
      <c r="G58" s="16">
        <v>9366814055</v>
      </c>
    </row>
    <row r="59" spans="1:7" x14ac:dyDescent="0.2">
      <c r="A59" s="12" t="s">
        <v>2</v>
      </c>
      <c r="B59" s="13" t="s">
        <v>81</v>
      </c>
      <c r="C59" s="14">
        <v>87870072120</v>
      </c>
      <c r="D59" s="15">
        <f t="shared" si="0"/>
        <v>6.1315900585331956E-2</v>
      </c>
      <c r="E59" s="14">
        <v>82793513290</v>
      </c>
      <c r="F59" s="15">
        <f t="shared" si="0"/>
        <v>7.6444117196216688E-2</v>
      </c>
      <c r="G59" s="16">
        <v>76913898239</v>
      </c>
    </row>
    <row r="60" spans="1:7" x14ac:dyDescent="0.2">
      <c r="A60" s="12" t="s">
        <v>3</v>
      </c>
      <c r="B60" s="13" t="s">
        <v>81</v>
      </c>
      <c r="C60" s="14">
        <v>67295221291</v>
      </c>
      <c r="D60" s="15">
        <f t="shared" si="0"/>
        <v>5.0409802458549376E-2</v>
      </c>
      <c r="E60" s="14">
        <v>64065682873</v>
      </c>
      <c r="F60" s="15">
        <f t="shared" si="0"/>
        <v>6.8702442577416797E-2</v>
      </c>
      <c r="G60" s="16">
        <v>59947166134</v>
      </c>
    </row>
    <row r="61" spans="1:7" x14ac:dyDescent="0.2">
      <c r="A61" s="12" t="s">
        <v>57</v>
      </c>
      <c r="B61" s="13" t="s">
        <v>81</v>
      </c>
      <c r="C61" s="14">
        <v>31523198433</v>
      </c>
      <c r="D61" s="15">
        <f t="shared" si="0"/>
        <v>7.8306241075189589E-2</v>
      </c>
      <c r="E61" s="14">
        <v>29233994233</v>
      </c>
      <c r="F61" s="15">
        <f t="shared" si="0"/>
        <v>7.4067261800326203E-2</v>
      </c>
      <c r="G61" s="16">
        <v>27218029329</v>
      </c>
    </row>
    <row r="62" spans="1:7" x14ac:dyDescent="0.2">
      <c r="A62" s="12" t="s">
        <v>58</v>
      </c>
      <c r="B62" s="13" t="s">
        <v>81</v>
      </c>
      <c r="C62" s="14">
        <v>149242316100</v>
      </c>
      <c r="D62" s="15">
        <f t="shared" si="0"/>
        <v>-7.8849031553774179E-3</v>
      </c>
      <c r="E62" s="14">
        <v>150428429700</v>
      </c>
      <c r="F62" s="15">
        <f t="shared" si="0"/>
        <v>2.6457588658913837E-2</v>
      </c>
      <c r="G62" s="16">
        <v>146551042500</v>
      </c>
    </row>
    <row r="63" spans="1:7" x14ac:dyDescent="0.2">
      <c r="A63" s="12" t="s">
        <v>59</v>
      </c>
      <c r="B63" s="13" t="s">
        <v>81</v>
      </c>
      <c r="C63" s="14">
        <v>83771188771</v>
      </c>
      <c r="D63" s="15">
        <f t="shared" si="0"/>
        <v>4.55120419270326E-2</v>
      </c>
      <c r="E63" s="14">
        <v>80124556592</v>
      </c>
      <c r="F63" s="15">
        <f t="shared" si="0"/>
        <v>7.4475317177521108E-2</v>
      </c>
      <c r="G63" s="16">
        <v>74570867577</v>
      </c>
    </row>
    <row r="64" spans="1:7" x14ac:dyDescent="0.2">
      <c r="A64" s="12" t="s">
        <v>60</v>
      </c>
      <c r="B64" s="13" t="s">
        <v>81</v>
      </c>
      <c r="C64" s="14">
        <v>34035824810</v>
      </c>
      <c r="D64" s="15">
        <f t="shared" si="0"/>
        <v>8.8884298667891798E-2</v>
      </c>
      <c r="E64" s="14">
        <v>31257521898</v>
      </c>
      <c r="F64" s="15">
        <f t="shared" si="0"/>
        <v>3.5656197726364795E-2</v>
      </c>
      <c r="G64" s="16">
        <v>30181369036</v>
      </c>
    </row>
    <row r="65" spans="1:7" x14ac:dyDescent="0.2">
      <c r="A65" s="12" t="s">
        <v>61</v>
      </c>
      <c r="B65" s="13" t="s">
        <v>82</v>
      </c>
      <c r="C65" s="14">
        <v>4273584742</v>
      </c>
      <c r="D65" s="15">
        <f t="shared" si="0"/>
        <v>7.2957212878481864E-2</v>
      </c>
      <c r="E65" s="14">
        <v>3982996424</v>
      </c>
      <c r="F65" s="15">
        <f t="shared" si="0"/>
        <v>8.8163868448307856E-2</v>
      </c>
      <c r="G65" s="16">
        <v>3660291009</v>
      </c>
    </row>
    <row r="66" spans="1:7" x14ac:dyDescent="0.2">
      <c r="A66" s="12" t="s">
        <v>62</v>
      </c>
      <c r="B66" s="13" t="s">
        <v>81</v>
      </c>
      <c r="C66" s="14">
        <v>2747784368</v>
      </c>
      <c r="D66" s="15">
        <f t="shared" si="0"/>
        <v>-2.256976200167167E-2</v>
      </c>
      <c r="E66" s="14">
        <v>2811233233</v>
      </c>
      <c r="F66" s="15">
        <f t="shared" si="0"/>
        <v>7.1359773891613409E-2</v>
      </c>
      <c r="G66" s="16">
        <v>2623986173</v>
      </c>
    </row>
    <row r="67" spans="1:7" x14ac:dyDescent="0.2">
      <c r="A67" s="12" t="s">
        <v>63</v>
      </c>
      <c r="B67" s="13" t="s">
        <v>81</v>
      </c>
      <c r="C67" s="14">
        <v>1061909741</v>
      </c>
      <c r="D67" s="15">
        <f t="shared" si="0"/>
        <v>8.5295837888577836E-2</v>
      </c>
      <c r="E67" s="14">
        <v>978451869</v>
      </c>
      <c r="F67" s="15">
        <f t="shared" si="0"/>
        <v>3.6437274937524834E-2</v>
      </c>
      <c r="G67" s="16">
        <v>944053145</v>
      </c>
    </row>
    <row r="68" spans="1:7" x14ac:dyDescent="0.2">
      <c r="A68" s="12" t="s">
        <v>64</v>
      </c>
      <c r="B68" s="13" t="s">
        <v>81</v>
      </c>
      <c r="C68" s="14">
        <v>102987638848</v>
      </c>
      <c r="D68" s="15">
        <f t="shared" si="0"/>
        <v>3.6829467210734435E-2</v>
      </c>
      <c r="E68" s="14">
        <v>99329390324</v>
      </c>
      <c r="F68" s="15">
        <f t="shared" si="0"/>
        <v>7.0801270277142919E-2</v>
      </c>
      <c r="G68" s="16">
        <v>92761741213</v>
      </c>
    </row>
    <row r="69" spans="1:7" x14ac:dyDescent="0.2">
      <c r="A69" s="12" t="s">
        <v>65</v>
      </c>
      <c r="B69" s="13" t="s">
        <v>82</v>
      </c>
      <c r="C69" s="14">
        <v>4658335774</v>
      </c>
      <c r="D69" s="15">
        <f t="shared" si="0"/>
        <v>8.0083638142842931E-2</v>
      </c>
      <c r="E69" s="14">
        <v>4312939859</v>
      </c>
      <c r="F69" s="15">
        <f t="shared" si="0"/>
        <v>6.5191224988810317E-2</v>
      </c>
      <c r="G69" s="16">
        <v>4048981777</v>
      </c>
    </row>
    <row r="70" spans="1:7" x14ac:dyDescent="0.2">
      <c r="A70" s="12" t="s">
        <v>66</v>
      </c>
      <c r="B70" s="13" t="s">
        <v>81</v>
      </c>
      <c r="C70" s="14">
        <v>59995072496</v>
      </c>
      <c r="D70" s="15">
        <f t="shared" ref="D70:F73" si="1">((C70-E70)/E70)</f>
        <v>5.2057088906713476E-2</v>
      </c>
      <c r="E70" s="14">
        <v>57026441938</v>
      </c>
      <c r="F70" s="15">
        <f t="shared" si="1"/>
        <v>8.0745103354071091E-2</v>
      </c>
      <c r="G70" s="16">
        <v>52765857334</v>
      </c>
    </row>
    <row r="71" spans="1:7" x14ac:dyDescent="0.2">
      <c r="A71" s="12" t="s">
        <v>67</v>
      </c>
      <c r="B71" s="13" t="s">
        <v>82</v>
      </c>
      <c r="C71" s="14">
        <v>2635370994</v>
      </c>
      <c r="D71" s="15">
        <f t="shared" si="1"/>
        <v>9.9782193321913473E-2</v>
      </c>
      <c r="E71" s="14">
        <v>2396266288</v>
      </c>
      <c r="F71" s="15">
        <f t="shared" si="1"/>
        <v>9.965982861906246E-2</v>
      </c>
      <c r="G71" s="16">
        <v>2179097777</v>
      </c>
    </row>
    <row r="72" spans="1:7" x14ac:dyDescent="0.2">
      <c r="A72" s="18"/>
      <c r="B72" s="19"/>
      <c r="C72" s="14"/>
      <c r="D72" s="20"/>
      <c r="E72" s="14"/>
      <c r="F72" s="20"/>
      <c r="G72" s="16"/>
    </row>
    <row r="73" spans="1:7" ht="15.75" thickBot="1" x14ac:dyDescent="0.3">
      <c r="A73" s="21" t="s">
        <v>68</v>
      </c>
      <c r="B73" s="22"/>
      <c r="C73" s="23">
        <f>SUM(C5:C71)</f>
        <v>5144952913632</v>
      </c>
      <c r="D73" s="24">
        <f t="shared" si="1"/>
        <v>4.064650196627357E-2</v>
      </c>
      <c r="E73" s="23">
        <f>SUM(E5:E71)</f>
        <v>4943996740402</v>
      </c>
      <c r="F73" s="24">
        <f t="shared" si="1"/>
        <v>6.9693936593900246E-2</v>
      </c>
      <c r="G73" s="25">
        <f>SUM(G5:G71)</f>
        <v>4621879746411</v>
      </c>
    </row>
    <row r="75" spans="1:7" x14ac:dyDescent="0.2">
      <c r="A75" s="26" t="s">
        <v>90</v>
      </c>
    </row>
  </sheetData>
  <phoneticPr fontId="3" type="noConversion"/>
  <conditionalFormatting sqref="A75">
    <cfRule type="expression" dxfId="5" priority="7" stopIfTrue="1">
      <formula>MOD(ROW(),5)=1</formula>
    </cfRule>
  </conditionalFormatting>
  <conditionalFormatting sqref="A4:G73">
    <cfRule type="expression" dxfId="4" priority="1" stopIfTrue="1">
      <formula>MOD(ROW(),3)=1</formula>
    </cfRule>
  </conditionalFormatting>
  <pageMargins left="0.7" right="0.7" top="0.5" bottom="0.5" header="0.05" footer="0.05"/>
  <pageSetup scale="78" fitToHeight="2" orientation="landscape" r:id="rId1"/>
  <rowBreaks count="1" manualBreakCount="1">
    <brk id="37" max="8" man="1"/>
  </rowBreaks>
  <ignoredErrors>
    <ignoredError sqref="E73"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75"/>
  <sheetViews>
    <sheetView zoomScale="93" zoomScaleNormal="93" zoomScaleSheetLayoutView="100" workbookViewId="0">
      <pane ySplit="4" topLeftCell="A5" activePane="bottomLeft" state="frozen"/>
      <selection sqref="A1:XFD1048576"/>
      <selection pane="bottomLeft"/>
    </sheetView>
  </sheetViews>
  <sheetFormatPr defaultRowHeight="14.25" x14ac:dyDescent="0.2"/>
  <cols>
    <col min="1" max="1" width="17.7109375" style="2" customWidth="1"/>
    <col min="2" max="2" width="9.28515625" style="11" bestFit="1" customWidth="1"/>
    <col min="3" max="3" width="18.7109375" style="2" customWidth="1"/>
    <col min="4" max="4" width="16.42578125" style="11" bestFit="1" customWidth="1"/>
    <col min="5" max="5" width="18.7109375" style="2" customWidth="1"/>
    <col min="6" max="6" width="16.42578125" style="11" bestFit="1" customWidth="1"/>
    <col min="7" max="7" width="18.7109375" style="2" customWidth="1"/>
    <col min="8" max="8" width="9.140625" style="2"/>
    <col min="9" max="9" width="10" style="2" bestFit="1" customWidth="1"/>
    <col min="10" max="16384" width="9.140625" style="2"/>
  </cols>
  <sheetData>
    <row r="1" spans="1:16" ht="23.25" x14ac:dyDescent="0.35">
      <c r="A1" s="7" t="s">
        <v>70</v>
      </c>
      <c r="B1" s="8"/>
      <c r="C1" s="9"/>
      <c r="D1" s="8"/>
      <c r="E1" s="9"/>
      <c r="F1" s="8"/>
      <c r="G1" s="9"/>
    </row>
    <row r="2" spans="1:16" ht="15" x14ac:dyDescent="0.25">
      <c r="A2" s="10" t="s">
        <v>93</v>
      </c>
      <c r="B2" s="10"/>
      <c r="C2" s="10"/>
      <c r="D2" s="10"/>
      <c r="E2" s="10"/>
      <c r="F2" s="10"/>
      <c r="G2" s="10"/>
    </row>
    <row r="3" spans="1:16" ht="15" thickBot="1" x14ac:dyDescent="0.25"/>
    <row r="4" spans="1:16" s="36" customFormat="1" ht="25.5" x14ac:dyDescent="0.2">
      <c r="A4" s="33" t="s">
        <v>0</v>
      </c>
      <c r="B4" s="34" t="s">
        <v>1</v>
      </c>
      <c r="C4" s="37" t="s">
        <v>91</v>
      </c>
      <c r="D4" s="37" t="s">
        <v>92</v>
      </c>
      <c r="E4" s="37" t="s">
        <v>84</v>
      </c>
      <c r="F4" s="37" t="s">
        <v>85</v>
      </c>
      <c r="G4" s="38" t="s">
        <v>83</v>
      </c>
    </row>
    <row r="5" spans="1:16" x14ac:dyDescent="0.2">
      <c r="A5" s="12" t="s">
        <v>4</v>
      </c>
      <c r="B5" s="13" t="s">
        <v>81</v>
      </c>
      <c r="C5" s="14">
        <v>4331387352</v>
      </c>
      <c r="D5" s="15">
        <f>((C5-E5)/E5)</f>
        <v>8.5973765150593184E-4</v>
      </c>
      <c r="E5" s="14">
        <v>4327666694</v>
      </c>
      <c r="F5" s="15">
        <f>((E5-G5)/G5)</f>
        <v>-4.4571752483757738E-3</v>
      </c>
      <c r="G5" s="16">
        <v>4347042223</v>
      </c>
    </row>
    <row r="6" spans="1:16" x14ac:dyDescent="0.2">
      <c r="A6" s="12" t="s">
        <v>5</v>
      </c>
      <c r="B6" s="13" t="s">
        <v>81</v>
      </c>
      <c r="C6" s="14">
        <v>316676760</v>
      </c>
      <c r="D6" s="15">
        <f t="shared" ref="D6:F69" si="0">((C6-E6)/E6)</f>
        <v>0.20142395918072914</v>
      </c>
      <c r="E6" s="14">
        <v>263584522</v>
      </c>
      <c r="F6" s="15">
        <f t="shared" si="0"/>
        <v>3.6907731252115807E-2</v>
      </c>
      <c r="G6" s="16">
        <v>254202485</v>
      </c>
    </row>
    <row r="7" spans="1:16" x14ac:dyDescent="0.2">
      <c r="A7" s="12" t="s">
        <v>6</v>
      </c>
      <c r="B7" s="13" t="s">
        <v>81</v>
      </c>
      <c r="C7" s="14">
        <v>2802208680</v>
      </c>
      <c r="D7" s="15">
        <f t="shared" si="0"/>
        <v>-7.2284098404107999E-3</v>
      </c>
      <c r="E7" s="14">
        <v>2822611674</v>
      </c>
      <c r="F7" s="15">
        <f t="shared" si="0"/>
        <v>7.8952347077866802E-2</v>
      </c>
      <c r="G7" s="16">
        <v>2616067041</v>
      </c>
      <c r="P7" s="17"/>
    </row>
    <row r="8" spans="1:16" x14ac:dyDescent="0.2">
      <c r="A8" s="12" t="s">
        <v>7</v>
      </c>
      <c r="B8" s="13" t="s">
        <v>82</v>
      </c>
      <c r="C8" s="14">
        <v>362081573</v>
      </c>
      <c r="D8" s="15">
        <f t="shared" si="0"/>
        <v>5.4077501247242962E-2</v>
      </c>
      <c r="E8" s="14">
        <v>343505646</v>
      </c>
      <c r="F8" s="15">
        <f t="shared" si="0"/>
        <v>5.9624844123958423E-2</v>
      </c>
      <c r="G8" s="16">
        <v>324176663</v>
      </c>
      <c r="P8" s="17"/>
    </row>
    <row r="9" spans="1:16" x14ac:dyDescent="0.2">
      <c r="A9" s="12" t="s">
        <v>8</v>
      </c>
      <c r="B9" s="13" t="s">
        <v>81</v>
      </c>
      <c r="C9" s="14">
        <v>12874656310</v>
      </c>
      <c r="D9" s="15">
        <f t="shared" si="0"/>
        <v>5.5172062890382227E-2</v>
      </c>
      <c r="E9" s="14">
        <v>12201475724</v>
      </c>
      <c r="F9" s="15">
        <f t="shared" si="0"/>
        <v>6.059838653227715E-2</v>
      </c>
      <c r="G9" s="16">
        <v>11504331780</v>
      </c>
      <c r="P9" s="17"/>
    </row>
    <row r="10" spans="1:16" x14ac:dyDescent="0.2">
      <c r="A10" s="12" t="s">
        <v>9</v>
      </c>
      <c r="B10" s="13" t="s">
        <v>81</v>
      </c>
      <c r="C10" s="14">
        <v>12827002466</v>
      </c>
      <c r="D10" s="15">
        <f t="shared" si="0"/>
        <v>4.8152448436303424E-2</v>
      </c>
      <c r="E10" s="14">
        <v>12237725996</v>
      </c>
      <c r="F10" s="15">
        <f t="shared" si="0"/>
        <v>2.2445992327303089E-2</v>
      </c>
      <c r="G10" s="16">
        <v>11969068379</v>
      </c>
      <c r="P10" s="17"/>
    </row>
    <row r="11" spans="1:16" x14ac:dyDescent="0.2">
      <c r="A11" s="12" t="s">
        <v>10</v>
      </c>
      <c r="B11" s="13" t="s">
        <v>82</v>
      </c>
      <c r="C11" s="14">
        <v>514353255</v>
      </c>
      <c r="D11" s="15">
        <f t="shared" si="0"/>
        <v>0.29952931616375461</v>
      </c>
      <c r="E11" s="14">
        <v>395799655</v>
      </c>
      <c r="F11" s="15">
        <f t="shared" si="0"/>
        <v>6.0076798051042553E-2</v>
      </c>
      <c r="G11" s="16">
        <v>373368850</v>
      </c>
      <c r="P11" s="17"/>
    </row>
    <row r="12" spans="1:16" x14ac:dyDescent="0.2">
      <c r="A12" s="12" t="s">
        <v>11</v>
      </c>
      <c r="B12" s="13" t="s">
        <v>81</v>
      </c>
      <c r="C12" s="14">
        <v>2062477549</v>
      </c>
      <c r="D12" s="15">
        <f t="shared" si="0"/>
        <v>8.3065606053425167E-2</v>
      </c>
      <c r="E12" s="14">
        <v>1904296044</v>
      </c>
      <c r="F12" s="15">
        <f t="shared" si="0"/>
        <v>6.1525656517466956E-2</v>
      </c>
      <c r="G12" s="16">
        <v>1793923710</v>
      </c>
      <c r="P12" s="17"/>
    </row>
    <row r="13" spans="1:16" x14ac:dyDescent="0.2">
      <c r="A13" s="12" t="s">
        <v>12</v>
      </c>
      <c r="B13" s="13" t="s">
        <v>81</v>
      </c>
      <c r="C13" s="14">
        <v>4174911181</v>
      </c>
      <c r="D13" s="15">
        <f t="shared" si="0"/>
        <v>3.489518963742453E-2</v>
      </c>
      <c r="E13" s="14">
        <v>4034139131</v>
      </c>
      <c r="F13" s="15">
        <f t="shared" si="0"/>
        <v>-2.2709567414947628E-2</v>
      </c>
      <c r="G13" s="16">
        <v>4127881535</v>
      </c>
      <c r="P13" s="17"/>
    </row>
    <row r="14" spans="1:16" x14ac:dyDescent="0.2">
      <c r="A14" s="12" t="s">
        <v>13</v>
      </c>
      <c r="B14" s="13" t="s">
        <v>81</v>
      </c>
      <c r="C14" s="14">
        <v>2303877930</v>
      </c>
      <c r="D14" s="15">
        <f t="shared" si="0"/>
        <v>5.6189283218842472E-2</v>
      </c>
      <c r="E14" s="14">
        <v>2181311595</v>
      </c>
      <c r="F14" s="15">
        <f t="shared" si="0"/>
        <v>0.10237846028242488</v>
      </c>
      <c r="G14" s="16">
        <v>1978732054</v>
      </c>
      <c r="P14" s="17"/>
    </row>
    <row r="15" spans="1:16" x14ac:dyDescent="0.2">
      <c r="A15" s="12" t="s">
        <v>14</v>
      </c>
      <c r="B15" s="13" t="s">
        <v>81</v>
      </c>
      <c r="C15" s="14">
        <v>3548693291</v>
      </c>
      <c r="D15" s="15">
        <f t="shared" si="0"/>
        <v>4.4518185364129714E-2</v>
      </c>
      <c r="E15" s="14">
        <v>3397445196</v>
      </c>
      <c r="F15" s="15">
        <f t="shared" si="0"/>
        <v>3.1870982086792524E-2</v>
      </c>
      <c r="G15" s="16">
        <v>3292509679</v>
      </c>
      <c r="P15" s="17"/>
    </row>
    <row r="16" spans="1:16" x14ac:dyDescent="0.2">
      <c r="A16" s="12" t="s">
        <v>15</v>
      </c>
      <c r="B16" s="13" t="s">
        <v>81</v>
      </c>
      <c r="C16" s="14">
        <v>1182579497</v>
      </c>
      <c r="D16" s="15">
        <f t="shared" si="0"/>
        <v>0.22149827024489921</v>
      </c>
      <c r="E16" s="14">
        <v>968138495</v>
      </c>
      <c r="F16" s="15">
        <f t="shared" si="0"/>
        <v>1.4875425441248135E-2</v>
      </c>
      <c r="G16" s="16">
        <v>953948111</v>
      </c>
      <c r="P16" s="17"/>
    </row>
    <row r="17" spans="1:16" x14ac:dyDescent="0.2">
      <c r="A17" s="12" t="s">
        <v>78</v>
      </c>
      <c r="B17" s="13" t="s">
        <v>81</v>
      </c>
      <c r="C17" s="14">
        <v>24220710578</v>
      </c>
      <c r="D17" s="15">
        <f t="shared" si="0"/>
        <v>5.9267166360942244E-2</v>
      </c>
      <c r="E17" s="14">
        <v>22865535105</v>
      </c>
      <c r="F17" s="15">
        <f t="shared" si="0"/>
        <v>2.26186783916708E-2</v>
      </c>
      <c r="G17" s="16">
        <v>22359786290</v>
      </c>
      <c r="P17" s="17"/>
    </row>
    <row r="18" spans="1:16" x14ac:dyDescent="0.2">
      <c r="A18" s="12" t="s">
        <v>16</v>
      </c>
      <c r="B18" s="13" t="s">
        <v>81</v>
      </c>
      <c r="C18" s="14">
        <v>890281422</v>
      </c>
      <c r="D18" s="15">
        <f t="shared" si="0"/>
        <v>0.12283255184087212</v>
      </c>
      <c r="E18" s="14">
        <v>792888860</v>
      </c>
      <c r="F18" s="15">
        <f t="shared" si="0"/>
        <v>-6.280884178820216E-2</v>
      </c>
      <c r="G18" s="16">
        <v>846026825</v>
      </c>
      <c r="P18" s="17"/>
    </row>
    <row r="19" spans="1:16" x14ac:dyDescent="0.2">
      <c r="A19" s="12" t="s">
        <v>17</v>
      </c>
      <c r="B19" s="13" t="s">
        <v>82</v>
      </c>
      <c r="C19" s="14">
        <v>124984171</v>
      </c>
      <c r="D19" s="15">
        <f t="shared" si="0"/>
        <v>1.6309986807032242E-2</v>
      </c>
      <c r="E19" s="14">
        <v>122978395</v>
      </c>
      <c r="F19" s="15">
        <f t="shared" si="0"/>
        <v>0.13100419271613861</v>
      </c>
      <c r="G19" s="16">
        <v>108733810</v>
      </c>
      <c r="P19" s="17"/>
    </row>
    <row r="20" spans="1:16" x14ac:dyDescent="0.2">
      <c r="A20" s="12" t="s">
        <v>18</v>
      </c>
      <c r="B20" s="13" t="s">
        <v>81</v>
      </c>
      <c r="C20" s="14">
        <v>17182948573</v>
      </c>
      <c r="D20" s="15">
        <f t="shared" si="0"/>
        <v>1.7913504100241708E-2</v>
      </c>
      <c r="E20" s="14">
        <v>16880558617</v>
      </c>
      <c r="F20" s="15">
        <f t="shared" si="0"/>
        <v>2.2628258724446515E-2</v>
      </c>
      <c r="G20" s="16">
        <v>16507033199</v>
      </c>
      <c r="P20" s="17"/>
    </row>
    <row r="21" spans="1:16" x14ac:dyDescent="0.2">
      <c r="A21" s="12" t="s">
        <v>19</v>
      </c>
      <c r="B21" s="13" t="s">
        <v>81</v>
      </c>
      <c r="C21" s="14">
        <v>5330561738</v>
      </c>
      <c r="D21" s="15">
        <f t="shared" si="0"/>
        <v>6.1145247666232597E-2</v>
      </c>
      <c r="E21" s="14">
        <v>5023404430</v>
      </c>
      <c r="F21" s="15">
        <f t="shared" si="0"/>
        <v>7.5031868019793196E-2</v>
      </c>
      <c r="G21" s="16">
        <v>4672795830</v>
      </c>
      <c r="P21" s="17"/>
    </row>
    <row r="22" spans="1:16" x14ac:dyDescent="0.2">
      <c r="A22" s="12" t="s">
        <v>20</v>
      </c>
      <c r="B22" s="13" t="s">
        <v>81</v>
      </c>
      <c r="C22" s="14">
        <v>1250123105</v>
      </c>
      <c r="D22" s="15">
        <f t="shared" si="0"/>
        <v>0.20875991253644161</v>
      </c>
      <c r="E22" s="14">
        <v>1034219527</v>
      </c>
      <c r="F22" s="15">
        <f t="shared" si="0"/>
        <v>0.11268140093617601</v>
      </c>
      <c r="G22" s="16">
        <v>929483971</v>
      </c>
      <c r="P22" s="17"/>
    </row>
    <row r="23" spans="1:16" x14ac:dyDescent="0.2">
      <c r="A23" s="12" t="s">
        <v>21</v>
      </c>
      <c r="B23" s="13" t="s">
        <v>82</v>
      </c>
      <c r="C23" s="14">
        <v>112526489</v>
      </c>
      <c r="D23" s="15">
        <f t="shared" si="0"/>
        <v>0.11479614044008508</v>
      </c>
      <c r="E23" s="14">
        <v>100939073</v>
      </c>
      <c r="F23" s="15">
        <f t="shared" si="0"/>
        <v>7.3018380801456201E-2</v>
      </c>
      <c r="G23" s="16">
        <v>94070218</v>
      </c>
      <c r="P23" s="17"/>
    </row>
    <row r="24" spans="1:16" x14ac:dyDescent="0.2">
      <c r="A24" s="12" t="s">
        <v>22</v>
      </c>
      <c r="B24" s="13" t="s">
        <v>82</v>
      </c>
      <c r="C24" s="14">
        <v>938014259</v>
      </c>
      <c r="D24" s="15">
        <f t="shared" si="0"/>
        <v>0.1344486496897459</v>
      </c>
      <c r="E24" s="14">
        <v>826845939</v>
      </c>
      <c r="F24" s="15">
        <f t="shared" si="0"/>
        <v>3.93690205496992E-2</v>
      </c>
      <c r="G24" s="16">
        <v>795526827</v>
      </c>
      <c r="P24" s="17"/>
    </row>
    <row r="25" spans="1:16" x14ac:dyDescent="0.2">
      <c r="A25" s="12" t="s">
        <v>23</v>
      </c>
      <c r="B25" s="13" t="s">
        <v>82</v>
      </c>
      <c r="C25" s="14">
        <v>486352453</v>
      </c>
      <c r="D25" s="15">
        <f t="shared" si="0"/>
        <v>0.18019539612939164</v>
      </c>
      <c r="E25" s="14">
        <v>412094857</v>
      </c>
      <c r="F25" s="15">
        <f t="shared" si="0"/>
        <v>0.17125372173641176</v>
      </c>
      <c r="G25" s="16">
        <v>351840809</v>
      </c>
      <c r="P25" s="17"/>
    </row>
    <row r="26" spans="1:16" x14ac:dyDescent="0.2">
      <c r="A26" s="12" t="s">
        <v>24</v>
      </c>
      <c r="B26" s="13" t="s">
        <v>82</v>
      </c>
      <c r="C26" s="14">
        <v>212202204</v>
      </c>
      <c r="D26" s="15">
        <f t="shared" si="0"/>
        <v>1.05334252912374E-2</v>
      </c>
      <c r="E26" s="14">
        <v>209990287</v>
      </c>
      <c r="F26" s="15">
        <f t="shared" si="0"/>
        <v>0.10315784661592176</v>
      </c>
      <c r="G26" s="16">
        <v>190353799</v>
      </c>
      <c r="P26" s="17"/>
    </row>
    <row r="27" spans="1:16" x14ac:dyDescent="0.2">
      <c r="A27" s="12" t="s">
        <v>25</v>
      </c>
      <c r="B27" s="13" t="s">
        <v>82</v>
      </c>
      <c r="C27" s="14">
        <v>167278624</v>
      </c>
      <c r="D27" s="15">
        <f t="shared" si="0"/>
        <v>7.1910304309559581E-2</v>
      </c>
      <c r="E27" s="14">
        <v>156056550</v>
      </c>
      <c r="F27" s="15">
        <f t="shared" si="0"/>
        <v>8.5024092155582126E-2</v>
      </c>
      <c r="G27" s="16">
        <v>143827728</v>
      </c>
      <c r="P27" s="17"/>
    </row>
    <row r="28" spans="1:16" x14ac:dyDescent="0.2">
      <c r="A28" s="12" t="s">
        <v>26</v>
      </c>
      <c r="B28" s="13" t="s">
        <v>81</v>
      </c>
      <c r="C28" s="14">
        <v>731577472</v>
      </c>
      <c r="D28" s="15">
        <f t="shared" si="0"/>
        <v>2.7423456196477188E-2</v>
      </c>
      <c r="E28" s="14">
        <v>712050584</v>
      </c>
      <c r="F28" s="15">
        <f t="shared" si="0"/>
        <v>1.9098802606460682E-3</v>
      </c>
      <c r="G28" s="16">
        <v>710693245</v>
      </c>
      <c r="P28" s="17"/>
    </row>
    <row r="29" spans="1:16" x14ac:dyDescent="0.2">
      <c r="A29" s="12" t="s">
        <v>27</v>
      </c>
      <c r="B29" s="13" t="s">
        <v>81</v>
      </c>
      <c r="C29" s="14">
        <v>1223980608</v>
      </c>
      <c r="D29" s="15">
        <f t="shared" si="0"/>
        <v>3.8194684924245041E-2</v>
      </c>
      <c r="E29" s="14">
        <v>1178950948</v>
      </c>
      <c r="F29" s="15">
        <f t="shared" si="0"/>
        <v>6.1074098899667632E-2</v>
      </c>
      <c r="G29" s="16">
        <v>1111092005</v>
      </c>
      <c r="P29" s="17"/>
    </row>
    <row r="30" spans="1:16" x14ac:dyDescent="0.2">
      <c r="A30" s="12" t="s">
        <v>28</v>
      </c>
      <c r="B30" s="13" t="s">
        <v>81</v>
      </c>
      <c r="C30" s="14">
        <v>1824828811</v>
      </c>
      <c r="D30" s="15">
        <f t="shared" si="0"/>
        <v>8.5162022250207331E-2</v>
      </c>
      <c r="E30" s="14">
        <v>1681618757</v>
      </c>
      <c r="F30" s="15">
        <f t="shared" si="0"/>
        <v>0.16787538360278137</v>
      </c>
      <c r="G30" s="16">
        <v>1439895712</v>
      </c>
      <c r="P30" s="17"/>
    </row>
    <row r="31" spans="1:16" x14ac:dyDescent="0.2">
      <c r="A31" s="12" t="s">
        <v>29</v>
      </c>
      <c r="B31" s="13" t="s">
        <v>81</v>
      </c>
      <c r="C31" s="14">
        <v>2346438392</v>
      </c>
      <c r="D31" s="15">
        <f t="shared" si="0"/>
        <v>0.10477587724955466</v>
      </c>
      <c r="E31" s="14">
        <v>2123904441</v>
      </c>
      <c r="F31" s="15">
        <f t="shared" si="0"/>
        <v>3.2632844968285619E-2</v>
      </c>
      <c r="G31" s="16">
        <v>2056785673</v>
      </c>
      <c r="P31" s="17"/>
    </row>
    <row r="32" spans="1:16" x14ac:dyDescent="0.2">
      <c r="A32" s="12" t="s">
        <v>30</v>
      </c>
      <c r="B32" s="13" t="s">
        <v>81</v>
      </c>
      <c r="C32" s="14">
        <v>900340568</v>
      </c>
      <c r="D32" s="15">
        <f t="shared" si="0"/>
        <v>5.0115456642384412E-2</v>
      </c>
      <c r="E32" s="14">
        <v>857372932</v>
      </c>
      <c r="F32" s="15">
        <f t="shared" si="0"/>
        <v>3.3139931321041774E-2</v>
      </c>
      <c r="G32" s="16">
        <v>829871062</v>
      </c>
      <c r="P32" s="17"/>
    </row>
    <row r="33" spans="1:16" x14ac:dyDescent="0.2">
      <c r="A33" s="12" t="s">
        <v>31</v>
      </c>
      <c r="B33" s="13" t="s">
        <v>81</v>
      </c>
      <c r="C33" s="14">
        <v>15092515050</v>
      </c>
      <c r="D33" s="15">
        <f t="shared" si="0"/>
        <v>4.2828117987961718E-2</v>
      </c>
      <c r="E33" s="14">
        <v>14472677510</v>
      </c>
      <c r="F33" s="15">
        <f t="shared" si="0"/>
        <v>1.9296123924514744E-2</v>
      </c>
      <c r="G33" s="16">
        <v>14198697680</v>
      </c>
      <c r="P33" s="17"/>
    </row>
    <row r="34" spans="1:16" x14ac:dyDescent="0.2">
      <c r="A34" s="12" t="s">
        <v>32</v>
      </c>
      <c r="B34" s="13" t="s">
        <v>82</v>
      </c>
      <c r="C34" s="14">
        <v>167526344</v>
      </c>
      <c r="D34" s="15">
        <f t="shared" si="0"/>
        <v>0.20513586550663593</v>
      </c>
      <c r="E34" s="14">
        <v>139010338</v>
      </c>
      <c r="F34" s="15">
        <f t="shared" si="0"/>
        <v>0.1596093488227491</v>
      </c>
      <c r="G34" s="16">
        <v>119876869</v>
      </c>
      <c r="P34" s="17"/>
    </row>
    <row r="35" spans="1:16" x14ac:dyDescent="0.2">
      <c r="A35" s="12" t="s">
        <v>33</v>
      </c>
      <c r="B35" s="13" t="s">
        <v>81</v>
      </c>
      <c r="C35" s="14">
        <v>1461319860</v>
      </c>
      <c r="D35" s="15">
        <f t="shared" si="0"/>
        <v>0.11889041220093804</v>
      </c>
      <c r="E35" s="14">
        <v>1306043777</v>
      </c>
      <c r="F35" s="15">
        <f t="shared" si="0"/>
        <v>1.1824948226707068E-2</v>
      </c>
      <c r="G35" s="16">
        <v>1290780366</v>
      </c>
      <c r="P35" s="17"/>
    </row>
    <row r="36" spans="1:16" x14ac:dyDescent="0.2">
      <c r="A36" s="12" t="s">
        <v>34</v>
      </c>
      <c r="B36" s="13" t="s">
        <v>82</v>
      </c>
      <c r="C36" s="14">
        <v>595485839</v>
      </c>
      <c r="D36" s="15">
        <f t="shared" si="0"/>
        <v>3.0953770062787687E-2</v>
      </c>
      <c r="E36" s="14">
        <v>577606733</v>
      </c>
      <c r="F36" s="15">
        <f t="shared" si="0"/>
        <v>3.308971760387127E-2</v>
      </c>
      <c r="G36" s="16">
        <v>559106071</v>
      </c>
      <c r="P36" s="17"/>
    </row>
    <row r="37" spans="1:16" x14ac:dyDescent="0.2">
      <c r="A37" s="12" t="s">
        <v>35</v>
      </c>
      <c r="B37" s="13" t="s">
        <v>82</v>
      </c>
      <c r="C37" s="14">
        <v>288704658</v>
      </c>
      <c r="D37" s="15">
        <f t="shared" si="0"/>
        <v>2.8751384110630003E-2</v>
      </c>
      <c r="E37" s="14">
        <v>280635985</v>
      </c>
      <c r="F37" s="15">
        <f t="shared" si="0"/>
        <v>1.2238259724871768E-2</v>
      </c>
      <c r="G37" s="16">
        <v>277243013</v>
      </c>
      <c r="P37" s="17"/>
    </row>
    <row r="38" spans="1:16" x14ac:dyDescent="0.2">
      <c r="A38" s="12" t="s">
        <v>36</v>
      </c>
      <c r="B38" s="13" t="s">
        <v>82</v>
      </c>
      <c r="C38" s="14">
        <v>78953209</v>
      </c>
      <c r="D38" s="15">
        <f t="shared" si="0"/>
        <v>4.3088960404406657E-2</v>
      </c>
      <c r="E38" s="14">
        <v>75691731</v>
      </c>
      <c r="F38" s="15">
        <f t="shared" si="0"/>
        <v>7.0912236907930415E-2</v>
      </c>
      <c r="G38" s="16">
        <v>70679677</v>
      </c>
      <c r="P38" s="17"/>
    </row>
    <row r="39" spans="1:16" x14ac:dyDescent="0.2">
      <c r="A39" s="12" t="s">
        <v>37</v>
      </c>
      <c r="B39" s="13" t="s">
        <v>81</v>
      </c>
      <c r="C39" s="14">
        <v>2822350888</v>
      </c>
      <c r="D39" s="15">
        <f t="shared" si="0"/>
        <v>7.6819355654392282E-2</v>
      </c>
      <c r="E39" s="14">
        <v>2621006832</v>
      </c>
      <c r="F39" s="15">
        <f t="shared" si="0"/>
        <v>5.7406430122976977E-2</v>
      </c>
      <c r="G39" s="16">
        <v>2478712780</v>
      </c>
      <c r="P39" s="17"/>
    </row>
    <row r="40" spans="1:16" x14ac:dyDescent="0.2">
      <c r="A40" s="12" t="s">
        <v>38</v>
      </c>
      <c r="B40" s="13" t="s">
        <v>81</v>
      </c>
      <c r="C40" s="14">
        <v>7575694572</v>
      </c>
      <c r="D40" s="15">
        <f t="shared" si="0"/>
        <v>5.9420418314146108E-2</v>
      </c>
      <c r="E40" s="14">
        <v>7150791547</v>
      </c>
      <c r="F40" s="15">
        <f t="shared" si="0"/>
        <v>4.591778588132002E-2</v>
      </c>
      <c r="G40" s="16">
        <v>6836858158</v>
      </c>
      <c r="P40" s="17"/>
    </row>
    <row r="41" spans="1:16" x14ac:dyDescent="0.2">
      <c r="A41" s="12" t="s">
        <v>39</v>
      </c>
      <c r="B41" s="13" t="s">
        <v>81</v>
      </c>
      <c r="C41" s="14">
        <v>2658621899</v>
      </c>
      <c r="D41" s="15">
        <f t="shared" si="0"/>
        <v>1.9920099236756066E-2</v>
      </c>
      <c r="E41" s="14">
        <v>2606696251</v>
      </c>
      <c r="F41" s="15">
        <f t="shared" si="0"/>
        <v>0.11413933447582067</v>
      </c>
      <c r="G41" s="16">
        <v>2339650141</v>
      </c>
      <c r="P41" s="17"/>
    </row>
    <row r="42" spans="1:16" x14ac:dyDescent="0.2">
      <c r="A42" s="12" t="s">
        <v>40</v>
      </c>
      <c r="B42" s="13" t="s">
        <v>82</v>
      </c>
      <c r="C42" s="14">
        <v>631244060</v>
      </c>
      <c r="D42" s="15">
        <f t="shared" si="0"/>
        <v>0.24687114863803136</v>
      </c>
      <c r="E42" s="14">
        <v>506262464</v>
      </c>
      <c r="F42" s="15">
        <f t="shared" si="0"/>
        <v>0.19054238821048103</v>
      </c>
      <c r="G42" s="16">
        <v>425236824</v>
      </c>
      <c r="P42" s="17"/>
    </row>
    <row r="43" spans="1:16" x14ac:dyDescent="0.2">
      <c r="A43" s="12" t="s">
        <v>41</v>
      </c>
      <c r="B43" s="13" t="s">
        <v>82</v>
      </c>
      <c r="C43" s="14">
        <v>179139345</v>
      </c>
      <c r="D43" s="15">
        <f t="shared" si="0"/>
        <v>0.11137927871729809</v>
      </c>
      <c r="E43" s="14">
        <v>161186508</v>
      </c>
      <c r="F43" s="15">
        <f t="shared" si="0"/>
        <v>1.9170230262029544E-2</v>
      </c>
      <c r="G43" s="16">
        <v>158154647</v>
      </c>
      <c r="P43" s="17"/>
    </row>
    <row r="44" spans="1:16" x14ac:dyDescent="0.2">
      <c r="A44" s="12" t="s">
        <v>42</v>
      </c>
      <c r="B44" s="13" t="s">
        <v>82</v>
      </c>
      <c r="C44" s="14">
        <v>429937001</v>
      </c>
      <c r="D44" s="15">
        <f t="shared" si="0"/>
        <v>0.16054040670792499</v>
      </c>
      <c r="E44" s="14">
        <v>370462759</v>
      </c>
      <c r="F44" s="15">
        <f t="shared" si="0"/>
        <v>7.5306272860083956E-2</v>
      </c>
      <c r="G44" s="16">
        <v>344518365</v>
      </c>
      <c r="P44" s="17"/>
    </row>
    <row r="45" spans="1:16" x14ac:dyDescent="0.2">
      <c r="A45" s="12" t="s">
        <v>43</v>
      </c>
      <c r="B45" s="13" t="s">
        <v>81</v>
      </c>
      <c r="C45" s="14">
        <v>5418920711</v>
      </c>
      <c r="D45" s="15">
        <f t="shared" si="0"/>
        <v>0.10167158626304473</v>
      </c>
      <c r="E45" s="14">
        <v>4918816804</v>
      </c>
      <c r="F45" s="15">
        <f t="shared" si="0"/>
        <v>2.4553815081325273E-2</v>
      </c>
      <c r="G45" s="16">
        <v>4800935521</v>
      </c>
      <c r="P45" s="17"/>
    </row>
    <row r="46" spans="1:16" x14ac:dyDescent="0.2">
      <c r="A46" s="12" t="s">
        <v>44</v>
      </c>
      <c r="B46" s="13" t="s">
        <v>81</v>
      </c>
      <c r="C46" s="14">
        <v>2993134687</v>
      </c>
      <c r="D46" s="15">
        <f t="shared" si="0"/>
        <v>6.8919122177762887E-2</v>
      </c>
      <c r="E46" s="14">
        <v>2800150755</v>
      </c>
      <c r="F46" s="15">
        <f t="shared" si="0"/>
        <v>6.6428410467214496E-2</v>
      </c>
      <c r="G46" s="16">
        <v>2625727829</v>
      </c>
      <c r="P46" s="17"/>
    </row>
    <row r="47" spans="1:16" x14ac:dyDescent="0.2">
      <c r="A47" s="12" t="s">
        <v>45</v>
      </c>
      <c r="B47" s="13" t="s">
        <v>81</v>
      </c>
      <c r="C47" s="14">
        <v>4005778737</v>
      </c>
      <c r="D47" s="15">
        <f t="shared" si="0"/>
        <v>5.7430277695428127E-2</v>
      </c>
      <c r="E47" s="14">
        <v>3788220199</v>
      </c>
      <c r="F47" s="15">
        <f t="shared" si="0"/>
        <v>2.5864791602215397E-2</v>
      </c>
      <c r="G47" s="16">
        <v>3692709049</v>
      </c>
      <c r="P47" s="17"/>
    </row>
    <row r="48" spans="1:16" x14ac:dyDescent="0.2">
      <c r="A48" s="12" t="s">
        <v>46</v>
      </c>
      <c r="B48" s="13" t="s">
        <v>81</v>
      </c>
      <c r="C48" s="14">
        <v>1191609425</v>
      </c>
      <c r="D48" s="15">
        <f t="shared" si="0"/>
        <v>8.4949792397009144E-2</v>
      </c>
      <c r="E48" s="14">
        <v>1098308358</v>
      </c>
      <c r="F48" s="15">
        <f t="shared" si="0"/>
        <v>2.0292264048249947E-2</v>
      </c>
      <c r="G48" s="16">
        <v>1076464457</v>
      </c>
      <c r="P48" s="17"/>
    </row>
    <row r="49" spans="1:16" x14ac:dyDescent="0.2">
      <c r="A49" s="12" t="s">
        <v>47</v>
      </c>
      <c r="B49" s="13" t="s">
        <v>81</v>
      </c>
      <c r="C49" s="14">
        <v>1941946195</v>
      </c>
      <c r="D49" s="15">
        <f t="shared" si="0"/>
        <v>3.3307157515369022E-2</v>
      </c>
      <c r="E49" s="14">
        <v>1879350376</v>
      </c>
      <c r="F49" s="15">
        <f t="shared" si="0"/>
        <v>4.2047732932639414E-2</v>
      </c>
      <c r="G49" s="16">
        <v>1803516592</v>
      </c>
      <c r="P49" s="17"/>
    </row>
    <row r="50" spans="1:16" x14ac:dyDescent="0.2">
      <c r="A50" s="12" t="s">
        <v>48</v>
      </c>
      <c r="B50" s="13" t="s">
        <v>81</v>
      </c>
      <c r="C50" s="14">
        <v>1550071822</v>
      </c>
      <c r="D50" s="15">
        <f t="shared" si="0"/>
        <v>0.24243593022923987</v>
      </c>
      <c r="E50" s="14">
        <v>1247607047</v>
      </c>
      <c r="F50" s="15">
        <f t="shared" si="0"/>
        <v>3.1881372179893279E-2</v>
      </c>
      <c r="G50" s="16">
        <v>1209060538</v>
      </c>
      <c r="P50" s="17"/>
    </row>
    <row r="51" spans="1:16" x14ac:dyDescent="0.2">
      <c r="A51" s="12" t="s">
        <v>49</v>
      </c>
      <c r="B51" s="13" t="s">
        <v>81</v>
      </c>
      <c r="C51" s="14">
        <v>2140943879</v>
      </c>
      <c r="D51" s="15">
        <f t="shared" si="0"/>
        <v>9.0158238823883283E-2</v>
      </c>
      <c r="E51" s="14">
        <v>1963883593</v>
      </c>
      <c r="F51" s="15">
        <f t="shared" si="0"/>
        <v>4.5432024989376096E-2</v>
      </c>
      <c r="G51" s="16">
        <v>1878537816</v>
      </c>
      <c r="P51" s="17"/>
    </row>
    <row r="52" spans="1:16" x14ac:dyDescent="0.2">
      <c r="A52" s="12" t="s">
        <v>50</v>
      </c>
      <c r="B52" s="13" t="s">
        <v>81</v>
      </c>
      <c r="C52" s="14">
        <v>19632783440</v>
      </c>
      <c r="D52" s="15">
        <f t="shared" si="0"/>
        <v>1.4942450829650157E-2</v>
      </c>
      <c r="E52" s="14">
        <v>19343740548</v>
      </c>
      <c r="F52" s="15">
        <f t="shared" si="0"/>
        <v>2.5608351476502613E-2</v>
      </c>
      <c r="G52" s="16">
        <v>18860747887</v>
      </c>
      <c r="P52" s="17"/>
    </row>
    <row r="53" spans="1:16" x14ac:dyDescent="0.2">
      <c r="A53" s="12" t="s">
        <v>51</v>
      </c>
      <c r="B53" s="13" t="s">
        <v>81</v>
      </c>
      <c r="C53" s="14">
        <v>4133987162</v>
      </c>
      <c r="D53" s="15">
        <f t="shared" si="0"/>
        <v>0.13843831625595743</v>
      </c>
      <c r="E53" s="14">
        <v>3631279010</v>
      </c>
      <c r="F53" s="15">
        <f t="shared" si="0"/>
        <v>7.0281798511871205E-2</v>
      </c>
      <c r="G53" s="16">
        <v>3392825156</v>
      </c>
      <c r="P53" s="17"/>
    </row>
    <row r="54" spans="1:16" x14ac:dyDescent="0.2">
      <c r="A54" s="12" t="s">
        <v>52</v>
      </c>
      <c r="B54" s="13" t="s">
        <v>81</v>
      </c>
      <c r="C54" s="14">
        <v>15786371229</v>
      </c>
      <c r="D54" s="15">
        <f t="shared" si="0"/>
        <v>4.4440510099850006E-2</v>
      </c>
      <c r="E54" s="14">
        <v>15114667687</v>
      </c>
      <c r="F54" s="15">
        <f t="shared" si="0"/>
        <v>4.0516564706483141E-2</v>
      </c>
      <c r="G54" s="16">
        <v>14526119237</v>
      </c>
      <c r="P54" s="17"/>
    </row>
    <row r="55" spans="1:16" x14ac:dyDescent="0.2">
      <c r="A55" s="12" t="s">
        <v>53</v>
      </c>
      <c r="B55" s="13" t="s">
        <v>81</v>
      </c>
      <c r="C55" s="14">
        <v>4100104288</v>
      </c>
      <c r="D55" s="15">
        <f t="shared" si="0"/>
        <v>6.1979701896893023E-2</v>
      </c>
      <c r="E55" s="14">
        <v>3860812293</v>
      </c>
      <c r="F55" s="15">
        <f t="shared" si="0"/>
        <v>6.7776643633161257E-2</v>
      </c>
      <c r="G55" s="16">
        <v>3615748964</v>
      </c>
      <c r="P55" s="17"/>
    </row>
    <row r="56" spans="1:16" x14ac:dyDescent="0.2">
      <c r="A56" s="12" t="s">
        <v>54</v>
      </c>
      <c r="B56" s="13" t="s">
        <v>81</v>
      </c>
      <c r="C56" s="14">
        <v>7674900388</v>
      </c>
      <c r="D56" s="15">
        <f t="shared" si="0"/>
        <v>3.5009747977783646E-2</v>
      </c>
      <c r="E56" s="14">
        <v>7415292854</v>
      </c>
      <c r="F56" s="15">
        <f t="shared" si="0"/>
        <v>3.5641769372086018E-2</v>
      </c>
      <c r="G56" s="16">
        <v>7160094420</v>
      </c>
      <c r="P56" s="17"/>
    </row>
    <row r="57" spans="1:16" x14ac:dyDescent="0.2">
      <c r="A57" s="12" t="s">
        <v>55</v>
      </c>
      <c r="B57" s="13" t="s">
        <v>81</v>
      </c>
      <c r="C57" s="14">
        <v>10208190759</v>
      </c>
      <c r="D57" s="15">
        <f t="shared" si="0"/>
        <v>-5.5422810979501146E-3</v>
      </c>
      <c r="E57" s="14">
        <v>10265082733</v>
      </c>
      <c r="F57" s="15">
        <f t="shared" si="0"/>
        <v>5.5167989897171824E-2</v>
      </c>
      <c r="G57" s="16">
        <v>9728387168</v>
      </c>
      <c r="P57" s="17"/>
    </row>
    <row r="58" spans="1:16" x14ac:dyDescent="0.2">
      <c r="A58" s="12" t="s">
        <v>56</v>
      </c>
      <c r="B58" s="13" t="s">
        <v>81</v>
      </c>
      <c r="C58" s="14">
        <v>3703435418</v>
      </c>
      <c r="D58" s="15">
        <f t="shared" si="0"/>
        <v>4.5961771005714157E-2</v>
      </c>
      <c r="E58" s="14">
        <v>3540698638</v>
      </c>
      <c r="F58" s="15">
        <f t="shared" si="0"/>
        <v>0.10076681117527647</v>
      </c>
      <c r="G58" s="16">
        <v>3216574666</v>
      </c>
      <c r="P58" s="17"/>
    </row>
    <row r="59" spans="1:16" x14ac:dyDescent="0.2">
      <c r="A59" s="12" t="s">
        <v>2</v>
      </c>
      <c r="B59" s="13" t="s">
        <v>81</v>
      </c>
      <c r="C59" s="14">
        <v>2404860742</v>
      </c>
      <c r="D59" s="15">
        <f t="shared" si="0"/>
        <v>7.1496777818603655E-2</v>
      </c>
      <c r="E59" s="14">
        <v>2244393816</v>
      </c>
      <c r="F59" s="15">
        <f t="shared" si="0"/>
        <v>6.0239039628032273E-2</v>
      </c>
      <c r="G59" s="16">
        <v>2116875282</v>
      </c>
      <c r="P59" s="17"/>
    </row>
    <row r="60" spans="1:16" x14ac:dyDescent="0.2">
      <c r="A60" s="12" t="s">
        <v>3</v>
      </c>
      <c r="B60" s="13" t="s">
        <v>81</v>
      </c>
      <c r="C60" s="14">
        <v>7106914978</v>
      </c>
      <c r="D60" s="15">
        <f t="shared" si="0"/>
        <v>0.10344814682161152</v>
      </c>
      <c r="E60" s="14">
        <v>6440642452</v>
      </c>
      <c r="F60" s="15">
        <f t="shared" si="0"/>
        <v>6.3274655705434557E-2</v>
      </c>
      <c r="G60" s="16">
        <v>6057364781</v>
      </c>
      <c r="P60" s="17"/>
    </row>
    <row r="61" spans="1:16" x14ac:dyDescent="0.2">
      <c r="A61" s="12" t="s">
        <v>57</v>
      </c>
      <c r="B61" s="13" t="s">
        <v>81</v>
      </c>
      <c r="C61" s="14">
        <v>1136862727</v>
      </c>
      <c r="D61" s="15">
        <f t="shared" si="0"/>
        <v>2.0018564139014702E-2</v>
      </c>
      <c r="E61" s="14">
        <v>1114551016</v>
      </c>
      <c r="F61" s="15">
        <f t="shared" si="0"/>
        <v>9.3586549562752849E-2</v>
      </c>
      <c r="G61" s="16">
        <v>1019170377</v>
      </c>
      <c r="P61" s="17"/>
    </row>
    <row r="62" spans="1:16" x14ac:dyDescent="0.2">
      <c r="A62" s="12" t="s">
        <v>58</v>
      </c>
      <c r="B62" s="13" t="s">
        <v>81</v>
      </c>
      <c r="C62" s="14">
        <v>4016715333</v>
      </c>
      <c r="D62" s="15">
        <f t="shared" si="0"/>
        <v>3.9299690214476671E-2</v>
      </c>
      <c r="E62" s="14">
        <v>3864828760</v>
      </c>
      <c r="F62" s="15">
        <f t="shared" si="0"/>
        <v>6.0345365710370497E-2</v>
      </c>
      <c r="G62" s="16">
        <v>3644877306</v>
      </c>
      <c r="P62" s="17"/>
    </row>
    <row r="63" spans="1:16" x14ac:dyDescent="0.2">
      <c r="A63" s="12" t="s">
        <v>59</v>
      </c>
      <c r="B63" s="13" t="s">
        <v>81</v>
      </c>
      <c r="C63" s="14">
        <v>3514400190</v>
      </c>
      <c r="D63" s="15">
        <f t="shared" si="0"/>
        <v>2.0808144363393351E-2</v>
      </c>
      <c r="E63" s="14">
        <v>3442762687</v>
      </c>
      <c r="F63" s="15">
        <f t="shared" si="0"/>
        <v>2.205764606119151E-2</v>
      </c>
      <c r="G63" s="16">
        <v>3368462337</v>
      </c>
      <c r="P63" s="17"/>
    </row>
    <row r="64" spans="1:16" x14ac:dyDescent="0.2">
      <c r="A64" s="12" t="s">
        <v>60</v>
      </c>
      <c r="B64" s="13" t="s">
        <v>81</v>
      </c>
      <c r="C64" s="14">
        <v>1741179006</v>
      </c>
      <c r="D64" s="15">
        <f t="shared" si="0"/>
        <v>9.2722857115677709E-2</v>
      </c>
      <c r="E64" s="14">
        <v>1593431486</v>
      </c>
      <c r="F64" s="15">
        <f t="shared" si="0"/>
        <v>0.11652898763126775</v>
      </c>
      <c r="G64" s="16">
        <v>1427129527</v>
      </c>
      <c r="P64" s="17"/>
    </row>
    <row r="65" spans="1:16" x14ac:dyDescent="0.2">
      <c r="A65" s="12" t="s">
        <v>61</v>
      </c>
      <c r="B65" s="13" t="s">
        <v>82</v>
      </c>
      <c r="C65" s="14">
        <v>1175100904</v>
      </c>
      <c r="D65" s="15">
        <f t="shared" si="0"/>
        <v>0.15165497421211677</v>
      </c>
      <c r="E65" s="14">
        <v>1020358467</v>
      </c>
      <c r="F65" s="15">
        <f t="shared" si="0"/>
        <v>6.1282059319145328E-2</v>
      </c>
      <c r="G65" s="16">
        <v>961439476</v>
      </c>
      <c r="P65" s="17"/>
    </row>
    <row r="66" spans="1:16" x14ac:dyDescent="0.2">
      <c r="A66" s="12" t="s">
        <v>62</v>
      </c>
      <c r="B66" s="13" t="s">
        <v>81</v>
      </c>
      <c r="C66" s="14">
        <v>504176262</v>
      </c>
      <c r="D66" s="15">
        <f t="shared" si="0"/>
        <v>-0.47323529632279526</v>
      </c>
      <c r="E66" s="14">
        <v>957118536</v>
      </c>
      <c r="F66" s="15">
        <f t="shared" si="0"/>
        <v>-0.11440743419899631</v>
      </c>
      <c r="G66" s="16">
        <v>1080766227</v>
      </c>
      <c r="P66" s="17"/>
    </row>
    <row r="67" spans="1:16" x14ac:dyDescent="0.2">
      <c r="A67" s="12" t="s">
        <v>63</v>
      </c>
      <c r="B67" s="13" t="s">
        <v>81</v>
      </c>
      <c r="C67" s="14">
        <v>112743996</v>
      </c>
      <c r="D67" s="15">
        <f t="shared" si="0"/>
        <v>-4.0901457385097324E-2</v>
      </c>
      <c r="E67" s="14">
        <v>117552046</v>
      </c>
      <c r="F67" s="15">
        <f t="shared" si="0"/>
        <v>6.5482112883413254E-2</v>
      </c>
      <c r="G67" s="16">
        <v>110327564</v>
      </c>
      <c r="P67" s="17"/>
    </row>
    <row r="68" spans="1:16" x14ac:dyDescent="0.2">
      <c r="A68" s="12" t="s">
        <v>64</v>
      </c>
      <c r="B68" s="13" t="s">
        <v>81</v>
      </c>
      <c r="C68" s="14">
        <v>5465608810</v>
      </c>
      <c r="D68" s="15">
        <f t="shared" si="0"/>
        <v>6.3916387310294157E-2</v>
      </c>
      <c r="E68" s="14">
        <v>5137254088</v>
      </c>
      <c r="F68" s="15">
        <f t="shared" si="0"/>
        <v>4.3347350904971854E-2</v>
      </c>
      <c r="G68" s="16">
        <v>4923819554</v>
      </c>
      <c r="P68" s="17"/>
    </row>
    <row r="69" spans="1:16" x14ac:dyDescent="0.2">
      <c r="A69" s="12" t="s">
        <v>65</v>
      </c>
      <c r="B69" s="13" t="s">
        <v>82</v>
      </c>
      <c r="C69" s="14">
        <v>273982612</v>
      </c>
      <c r="D69" s="15">
        <f t="shared" si="0"/>
        <v>6.7580331322528567E-2</v>
      </c>
      <c r="E69" s="14">
        <v>256638872</v>
      </c>
      <c r="F69" s="15">
        <f t="shared" si="0"/>
        <v>4.0398877321003925E-2</v>
      </c>
      <c r="G69" s="16">
        <v>246673538</v>
      </c>
      <c r="P69" s="17"/>
    </row>
    <row r="70" spans="1:16" x14ac:dyDescent="0.2">
      <c r="A70" s="12" t="s">
        <v>66</v>
      </c>
      <c r="B70" s="13" t="s">
        <v>81</v>
      </c>
      <c r="C70" s="14">
        <v>1284253612</v>
      </c>
      <c r="D70" s="15">
        <f t="shared" ref="D70:F73" si="1">((C70-E70)/E70)</f>
        <v>0.26662452414650695</v>
      </c>
      <c r="E70" s="14">
        <v>1013918164</v>
      </c>
      <c r="F70" s="15">
        <f t="shared" si="1"/>
        <v>0.16808732641826504</v>
      </c>
      <c r="G70" s="16">
        <v>868015722</v>
      </c>
      <c r="P70" s="17"/>
    </row>
    <row r="71" spans="1:16" x14ac:dyDescent="0.2">
      <c r="A71" s="12" t="s">
        <v>67</v>
      </c>
      <c r="B71" s="13" t="s">
        <v>82</v>
      </c>
      <c r="C71" s="14">
        <v>331616425</v>
      </c>
      <c r="D71" s="15">
        <f t="shared" si="1"/>
        <v>6.1284849031194778E-2</v>
      </c>
      <c r="E71" s="14">
        <v>312466936</v>
      </c>
      <c r="F71" s="15">
        <f t="shared" si="1"/>
        <v>8.3406623867495769E-2</v>
      </c>
      <c r="G71" s="16">
        <v>288411506</v>
      </c>
      <c r="P71" s="17"/>
    </row>
    <row r="72" spans="1:16" x14ac:dyDescent="0.2">
      <c r="A72" s="18"/>
      <c r="B72" s="19"/>
      <c r="C72" s="14"/>
      <c r="D72" s="20"/>
      <c r="E72" s="14"/>
      <c r="F72" s="20"/>
      <c r="G72" s="16"/>
      <c r="P72" s="17"/>
    </row>
    <row r="73" spans="1:16" ht="15.75" thickBot="1" x14ac:dyDescent="0.3">
      <c r="A73" s="21" t="s">
        <v>68</v>
      </c>
      <c r="B73" s="22"/>
      <c r="C73" s="23">
        <f>SUM(C5:C71)</f>
        <v>250776141773</v>
      </c>
      <c r="D73" s="24">
        <f t="shared" si="1"/>
        <v>5.0551637855303241E-2</v>
      </c>
      <c r="E73" s="23">
        <f>SUM(E5:E71)</f>
        <v>238709010330</v>
      </c>
      <c r="F73" s="24">
        <f t="shared" si="1"/>
        <v>4.0201797043706952E-2</v>
      </c>
      <c r="G73" s="25">
        <f>SUM(G5:G71)</f>
        <v>229483366601</v>
      </c>
      <c r="P73" s="17"/>
    </row>
    <row r="74" spans="1:16" x14ac:dyDescent="0.2">
      <c r="P74" s="17"/>
    </row>
    <row r="75" spans="1:16" x14ac:dyDescent="0.2">
      <c r="A75" s="26" t="s">
        <v>90</v>
      </c>
      <c r="P75" s="17"/>
    </row>
  </sheetData>
  <phoneticPr fontId="3" type="noConversion"/>
  <conditionalFormatting sqref="A75">
    <cfRule type="expression" dxfId="3" priority="10" stopIfTrue="1">
      <formula>MOD(ROW(),5)=1</formula>
    </cfRule>
  </conditionalFormatting>
  <conditionalFormatting sqref="A4:G73">
    <cfRule type="expression" dxfId="2" priority="1" stopIfTrue="1">
      <formula>MOD(ROW(),3)=1</formula>
    </cfRule>
  </conditionalFormatting>
  <pageMargins left="0.7" right="0.7" top="0.5" bottom="0.5" header="0.05" footer="0.05"/>
  <pageSetup scale="78" fitToHeight="2" orientation="landscape" r:id="rId1"/>
  <rowBreaks count="1" manualBreakCount="1">
    <brk id="37" max="8" man="1"/>
  </rowBreaks>
  <ignoredErrors>
    <ignoredError sqref="E7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75"/>
  <sheetViews>
    <sheetView zoomScale="93" zoomScaleNormal="93" zoomScaleSheetLayoutView="100" workbookViewId="0">
      <pane ySplit="4" topLeftCell="A5" activePane="bottomLeft" state="frozen"/>
      <selection sqref="A1:XFD1048576"/>
      <selection pane="bottomLeft"/>
    </sheetView>
  </sheetViews>
  <sheetFormatPr defaultRowHeight="14.25" x14ac:dyDescent="0.2"/>
  <cols>
    <col min="1" max="1" width="30.7109375" style="2" customWidth="1"/>
    <col min="2" max="2" width="9.28515625" style="11" bestFit="1" customWidth="1"/>
    <col min="3" max="3" width="18.7109375" style="2" customWidth="1"/>
    <col min="4" max="4" width="16.42578125" style="11" bestFit="1" customWidth="1"/>
    <col min="5" max="5" width="18.7109375" style="2" customWidth="1"/>
    <col min="6" max="6" width="16.42578125" style="11" bestFit="1" customWidth="1"/>
    <col min="7" max="7" width="18.7109375" style="2" customWidth="1"/>
    <col min="8" max="16384" width="9.140625" style="2"/>
  </cols>
  <sheetData>
    <row r="1" spans="1:19" ht="23.25" x14ac:dyDescent="0.35">
      <c r="A1" s="7" t="s">
        <v>71</v>
      </c>
      <c r="B1" s="8"/>
      <c r="C1" s="9"/>
      <c r="D1" s="8"/>
      <c r="E1" s="9"/>
      <c r="F1" s="8"/>
      <c r="G1" s="9"/>
    </row>
    <row r="2" spans="1:19" ht="15" x14ac:dyDescent="0.25">
      <c r="A2" s="10" t="s">
        <v>93</v>
      </c>
      <c r="B2" s="10"/>
      <c r="C2" s="10"/>
      <c r="D2" s="10"/>
      <c r="E2" s="10"/>
      <c r="F2" s="10"/>
      <c r="G2" s="10"/>
    </row>
    <row r="3" spans="1:19" ht="15" thickBot="1" x14ac:dyDescent="0.25"/>
    <row r="4" spans="1:19" s="36" customFormat="1" ht="25.5" x14ac:dyDescent="0.2">
      <c r="A4" s="33" t="s">
        <v>0</v>
      </c>
      <c r="B4" s="34" t="s">
        <v>1</v>
      </c>
      <c r="C4" s="37" t="s">
        <v>91</v>
      </c>
      <c r="D4" s="37" t="s">
        <v>92</v>
      </c>
      <c r="E4" s="37" t="s">
        <v>84</v>
      </c>
      <c r="F4" s="37" t="s">
        <v>85</v>
      </c>
      <c r="G4" s="38" t="s">
        <v>83</v>
      </c>
    </row>
    <row r="5" spans="1:19" x14ac:dyDescent="0.2">
      <c r="A5" s="12" t="s">
        <v>4</v>
      </c>
      <c r="B5" s="13" t="s">
        <v>81</v>
      </c>
      <c r="C5" s="14">
        <v>35859761</v>
      </c>
      <c r="D5" s="15">
        <f>((C5-E5)/E5)</f>
        <v>4.2663904819793999E-2</v>
      </c>
      <c r="E5" s="14">
        <v>34392445</v>
      </c>
      <c r="F5" s="15">
        <f>((E5-G5)/G5)</f>
        <v>4.0896453510222912E-2</v>
      </c>
      <c r="G5" s="16">
        <v>33041178</v>
      </c>
    </row>
    <row r="6" spans="1:19" x14ac:dyDescent="0.2">
      <c r="A6" s="12" t="s">
        <v>5</v>
      </c>
      <c r="B6" s="13" t="s">
        <v>81</v>
      </c>
      <c r="C6" s="14">
        <v>13382383</v>
      </c>
      <c r="D6" s="15">
        <f t="shared" ref="D6:F68" si="0">((C6-E6)/E6)</f>
        <v>-0.13757535044101493</v>
      </c>
      <c r="E6" s="14">
        <v>15517162</v>
      </c>
      <c r="F6" s="15">
        <f t="shared" si="0"/>
        <v>-9.9629216896949813E-3</v>
      </c>
      <c r="G6" s="16">
        <v>15673314</v>
      </c>
    </row>
    <row r="7" spans="1:19" x14ac:dyDescent="0.2">
      <c r="A7" s="12" t="s">
        <v>6</v>
      </c>
      <c r="B7" s="13" t="s">
        <v>81</v>
      </c>
      <c r="C7" s="14">
        <v>28141540</v>
      </c>
      <c r="D7" s="15">
        <f t="shared" si="0"/>
        <v>-0.19142832203205068</v>
      </c>
      <c r="E7" s="14">
        <v>34804014</v>
      </c>
      <c r="F7" s="15">
        <f t="shared" si="0"/>
        <v>-2.7186389604035615E-2</v>
      </c>
      <c r="G7" s="16">
        <v>35776652</v>
      </c>
      <c r="S7" s="17"/>
    </row>
    <row r="8" spans="1:19" x14ac:dyDescent="0.2">
      <c r="A8" s="12" t="s">
        <v>7</v>
      </c>
      <c r="B8" s="13" t="s">
        <v>82</v>
      </c>
      <c r="C8" s="14">
        <v>19998905</v>
      </c>
      <c r="D8" s="15">
        <f t="shared" si="0"/>
        <v>4.6014008149732132E-2</v>
      </c>
      <c r="E8" s="14">
        <v>19119156</v>
      </c>
      <c r="F8" s="15">
        <f t="shared" si="0"/>
        <v>2.3628917265026486E-3</v>
      </c>
      <c r="G8" s="16">
        <v>19074086</v>
      </c>
      <c r="S8" s="17"/>
    </row>
    <row r="9" spans="1:19" x14ac:dyDescent="0.2">
      <c r="A9" s="12" t="s">
        <v>8</v>
      </c>
      <c r="B9" s="13" t="s">
        <v>81</v>
      </c>
      <c r="C9" s="14">
        <v>145856371</v>
      </c>
      <c r="D9" s="15">
        <f t="shared" si="0"/>
        <v>-5.1303429337460826E-3</v>
      </c>
      <c r="E9" s="14">
        <v>146608523</v>
      </c>
      <c r="F9" s="15">
        <f t="shared" si="0"/>
        <v>0.24920342775126259</v>
      </c>
      <c r="G9" s="16">
        <v>117361608</v>
      </c>
      <c r="S9" s="17"/>
    </row>
    <row r="10" spans="1:19" x14ac:dyDescent="0.2">
      <c r="A10" s="12" t="s">
        <v>9</v>
      </c>
      <c r="B10" s="13" t="s">
        <v>81</v>
      </c>
      <c r="C10" s="14">
        <v>113721947</v>
      </c>
      <c r="D10" s="15">
        <f t="shared" si="0"/>
        <v>1.436670817691248E-2</v>
      </c>
      <c r="E10" s="14">
        <v>112111277</v>
      </c>
      <c r="F10" s="15">
        <f t="shared" si="0"/>
        <v>8.095451004547323E-2</v>
      </c>
      <c r="G10" s="16">
        <v>103715074</v>
      </c>
      <c r="S10" s="17"/>
    </row>
    <row r="11" spans="1:19" x14ac:dyDescent="0.2">
      <c r="A11" s="12" t="s">
        <v>10</v>
      </c>
      <c r="B11" s="13" t="s">
        <v>82</v>
      </c>
      <c r="C11" s="14"/>
      <c r="D11" s="15" t="s">
        <v>79</v>
      </c>
      <c r="E11" s="14"/>
      <c r="F11" s="15" t="s">
        <v>79</v>
      </c>
      <c r="G11" s="16"/>
      <c r="S11" s="17"/>
    </row>
    <row r="12" spans="1:19" x14ac:dyDescent="0.2">
      <c r="A12" s="12" t="s">
        <v>11</v>
      </c>
      <c r="B12" s="13" t="s">
        <v>81</v>
      </c>
      <c r="C12" s="14">
        <v>3547613</v>
      </c>
      <c r="D12" s="15">
        <f t="shared" si="0"/>
        <v>0.10349264906007817</v>
      </c>
      <c r="E12" s="14">
        <v>3214895</v>
      </c>
      <c r="F12" s="15">
        <f t="shared" si="0"/>
        <v>0.16330725847830824</v>
      </c>
      <c r="G12" s="16">
        <v>2763582</v>
      </c>
      <c r="S12" s="17"/>
    </row>
    <row r="13" spans="1:19" x14ac:dyDescent="0.2">
      <c r="A13" s="12" t="s">
        <v>12</v>
      </c>
      <c r="B13" s="13" t="s">
        <v>81</v>
      </c>
      <c r="C13" s="14">
        <v>1719356</v>
      </c>
      <c r="D13" s="15">
        <f t="shared" si="0"/>
        <v>1.9493857027655236E-2</v>
      </c>
      <c r="E13" s="14">
        <v>1686480</v>
      </c>
      <c r="F13" s="15">
        <f t="shared" si="0"/>
        <v>0.11688600673914426</v>
      </c>
      <c r="G13" s="16">
        <v>1509984</v>
      </c>
    </row>
    <row r="14" spans="1:19" x14ac:dyDescent="0.2">
      <c r="A14" s="12" t="s">
        <v>13</v>
      </c>
      <c r="B14" s="13" t="s">
        <v>81</v>
      </c>
      <c r="C14" s="14">
        <v>34329523</v>
      </c>
      <c r="D14" s="15">
        <f t="shared" si="0"/>
        <v>0.97579078772586947</v>
      </c>
      <c r="E14" s="14">
        <v>17375080</v>
      </c>
      <c r="F14" s="15">
        <f t="shared" si="0"/>
        <v>2.0182139832771282E-3</v>
      </c>
      <c r="G14" s="16">
        <v>17340084</v>
      </c>
      <c r="S14" s="17"/>
    </row>
    <row r="15" spans="1:19" x14ac:dyDescent="0.2">
      <c r="A15" s="12" t="s">
        <v>14</v>
      </c>
      <c r="B15" s="13" t="s">
        <v>81</v>
      </c>
      <c r="C15" s="14">
        <v>216123</v>
      </c>
      <c r="D15" s="15">
        <f t="shared" si="0"/>
        <v>4.4450888002899598E-2</v>
      </c>
      <c r="E15" s="14">
        <v>206925</v>
      </c>
      <c r="F15" s="15">
        <f t="shared" si="0"/>
        <v>0.16474442324254041</v>
      </c>
      <c r="G15" s="16">
        <v>177657</v>
      </c>
      <c r="S15" s="17"/>
    </row>
    <row r="16" spans="1:19" x14ac:dyDescent="0.2">
      <c r="A16" s="12" t="s">
        <v>15</v>
      </c>
      <c r="B16" s="13" t="s">
        <v>81</v>
      </c>
      <c r="C16" s="14">
        <v>13146965</v>
      </c>
      <c r="D16" s="15">
        <f t="shared" si="0"/>
        <v>-0.15842872649449713</v>
      </c>
      <c r="E16" s="14">
        <v>15621927</v>
      </c>
      <c r="F16" s="15">
        <f t="shared" si="0"/>
        <v>-1.4021759155733093E-2</v>
      </c>
      <c r="G16" s="16">
        <v>15844089</v>
      </c>
      <c r="S16" s="17"/>
    </row>
    <row r="17" spans="1:19" x14ac:dyDescent="0.2">
      <c r="A17" s="12" t="s">
        <v>78</v>
      </c>
      <c r="B17" s="13" t="s">
        <v>81</v>
      </c>
      <c r="C17" s="14">
        <v>214759890</v>
      </c>
      <c r="D17" s="15">
        <f t="shared" si="0"/>
        <v>3.3290396098305704E-3</v>
      </c>
      <c r="E17" s="14">
        <v>214047318</v>
      </c>
      <c r="F17" s="15">
        <f t="shared" si="0"/>
        <v>0.11112609127069666</v>
      </c>
      <c r="G17" s="16">
        <v>192639989</v>
      </c>
      <c r="S17" s="17"/>
    </row>
    <row r="18" spans="1:19" x14ac:dyDescent="0.2">
      <c r="A18" s="12" t="s">
        <v>16</v>
      </c>
      <c r="B18" s="13" t="s">
        <v>81</v>
      </c>
      <c r="C18" s="14">
        <v>5099557</v>
      </c>
      <c r="D18" s="15">
        <f t="shared" si="0"/>
        <v>6.8174291754632882E-2</v>
      </c>
      <c r="E18" s="14">
        <v>4774087</v>
      </c>
      <c r="F18" s="15">
        <f t="shared" si="0"/>
        <v>7.4722707909693417E-2</v>
      </c>
      <c r="G18" s="16">
        <v>4442157</v>
      </c>
      <c r="S18" s="17"/>
    </row>
    <row r="19" spans="1:19" x14ac:dyDescent="0.2">
      <c r="A19" s="12" t="s">
        <v>17</v>
      </c>
      <c r="B19" s="13" t="s">
        <v>82</v>
      </c>
      <c r="C19" s="14"/>
      <c r="D19" s="15" t="s">
        <v>79</v>
      </c>
      <c r="E19" s="14"/>
      <c r="F19" s="15" t="s">
        <v>79</v>
      </c>
      <c r="G19" s="16"/>
      <c r="S19" s="17"/>
    </row>
    <row r="20" spans="1:19" x14ac:dyDescent="0.2">
      <c r="A20" s="12" t="s">
        <v>18</v>
      </c>
      <c r="B20" s="13" t="s">
        <v>81</v>
      </c>
      <c r="C20" s="14">
        <v>222563393</v>
      </c>
      <c r="D20" s="15">
        <f t="shared" si="0"/>
        <v>1.4711987060503929E-2</v>
      </c>
      <c r="E20" s="14">
        <v>219336517</v>
      </c>
      <c r="F20" s="15">
        <f t="shared" si="0"/>
        <v>-4.0382692918976712E-2</v>
      </c>
      <c r="G20" s="16">
        <v>228566654</v>
      </c>
      <c r="S20" s="17"/>
    </row>
    <row r="21" spans="1:19" x14ac:dyDescent="0.2">
      <c r="A21" s="12" t="s">
        <v>19</v>
      </c>
      <c r="B21" s="13" t="s">
        <v>81</v>
      </c>
      <c r="C21" s="14">
        <v>34284428</v>
      </c>
      <c r="D21" s="15">
        <f t="shared" si="0"/>
        <v>1.3224686803137813E-2</v>
      </c>
      <c r="E21" s="14">
        <v>33836945</v>
      </c>
      <c r="F21" s="15">
        <f t="shared" si="0"/>
        <v>5.5918853423233508E-2</v>
      </c>
      <c r="G21" s="16">
        <v>32045024</v>
      </c>
    </row>
    <row r="22" spans="1:19" x14ac:dyDescent="0.2">
      <c r="A22" s="12" t="s">
        <v>20</v>
      </c>
      <c r="B22" s="13" t="s">
        <v>81</v>
      </c>
      <c r="C22" s="14">
        <v>24167147</v>
      </c>
      <c r="D22" s="15">
        <f t="shared" si="0"/>
        <v>-1.8043398666551108E-2</v>
      </c>
      <c r="E22" s="14">
        <v>24611217</v>
      </c>
      <c r="F22" s="15">
        <f t="shared" si="0"/>
        <v>-0.16667605139644609</v>
      </c>
      <c r="G22" s="16">
        <v>29533793</v>
      </c>
      <c r="S22" s="17"/>
    </row>
    <row r="23" spans="1:19" x14ac:dyDescent="0.2">
      <c r="A23" s="12" t="s">
        <v>21</v>
      </c>
      <c r="B23" s="13" t="s">
        <v>82</v>
      </c>
      <c r="C23" s="14"/>
      <c r="D23" s="15">
        <f t="shared" si="0"/>
        <v>-1</v>
      </c>
      <c r="E23" s="14">
        <v>716952</v>
      </c>
      <c r="F23" s="15">
        <f t="shared" si="0"/>
        <v>1.3230825760680621E-2</v>
      </c>
      <c r="G23" s="16">
        <v>707590</v>
      </c>
      <c r="S23" s="17"/>
    </row>
    <row r="24" spans="1:19" x14ac:dyDescent="0.2">
      <c r="A24" s="12" t="s">
        <v>22</v>
      </c>
      <c r="B24" s="13" t="s">
        <v>82</v>
      </c>
      <c r="C24" s="14">
        <v>11239209</v>
      </c>
      <c r="D24" s="15">
        <f t="shared" si="0"/>
        <v>0.29388543150547258</v>
      </c>
      <c r="E24" s="14">
        <v>8686402</v>
      </c>
      <c r="F24" s="15">
        <f t="shared" si="0"/>
        <v>4.6710707779149201E-2</v>
      </c>
      <c r="G24" s="16">
        <v>8298761</v>
      </c>
      <c r="S24" s="17"/>
    </row>
    <row r="25" spans="1:19" x14ac:dyDescent="0.2">
      <c r="A25" s="12" t="s">
        <v>23</v>
      </c>
      <c r="B25" s="13" t="s">
        <v>82</v>
      </c>
      <c r="C25" s="14"/>
      <c r="D25" s="15" t="s">
        <v>79</v>
      </c>
      <c r="E25" s="14"/>
      <c r="F25" s="15" t="s">
        <v>79</v>
      </c>
      <c r="G25" s="16"/>
      <c r="S25" s="17"/>
    </row>
    <row r="26" spans="1:19" x14ac:dyDescent="0.2">
      <c r="A26" s="12" t="s">
        <v>24</v>
      </c>
      <c r="B26" s="13" t="s">
        <v>82</v>
      </c>
      <c r="C26" s="14">
        <v>13804965</v>
      </c>
      <c r="D26" s="15">
        <f t="shared" si="0"/>
        <v>-0.11513083950227473</v>
      </c>
      <c r="E26" s="14">
        <v>15601137</v>
      </c>
      <c r="F26" s="15">
        <f t="shared" si="0"/>
        <v>-0.1610710148413467</v>
      </c>
      <c r="G26" s="16">
        <v>18596493</v>
      </c>
      <c r="S26" s="17"/>
    </row>
    <row r="27" spans="1:19" x14ac:dyDescent="0.2">
      <c r="A27" s="12" t="s">
        <v>25</v>
      </c>
      <c r="B27" s="13" t="s">
        <v>82</v>
      </c>
      <c r="C27" s="14"/>
      <c r="D27" s="15">
        <f t="shared" si="0"/>
        <v>-1</v>
      </c>
      <c r="E27" s="14">
        <v>684330</v>
      </c>
      <c r="F27" s="15">
        <f t="shared" si="0"/>
        <v>-1.8145378908768419E-3</v>
      </c>
      <c r="G27" s="16">
        <v>685574</v>
      </c>
    </row>
    <row r="28" spans="1:19" x14ac:dyDescent="0.2">
      <c r="A28" s="12" t="s">
        <v>26</v>
      </c>
      <c r="B28" s="13" t="s">
        <v>81</v>
      </c>
      <c r="C28" s="14">
        <v>20788817</v>
      </c>
      <c r="D28" s="15">
        <f t="shared" si="0"/>
        <v>-0.25345791827085989</v>
      </c>
      <c r="E28" s="14">
        <v>27846812</v>
      </c>
      <c r="F28" s="15">
        <f t="shared" si="0"/>
        <v>-2.9283642954678776E-2</v>
      </c>
      <c r="G28" s="16">
        <v>28686868</v>
      </c>
      <c r="S28" s="17"/>
    </row>
    <row r="29" spans="1:19" x14ac:dyDescent="0.2">
      <c r="A29" s="12" t="s">
        <v>27</v>
      </c>
      <c r="B29" s="13" t="s">
        <v>81</v>
      </c>
      <c r="C29" s="14">
        <v>9908239</v>
      </c>
      <c r="D29" s="15">
        <f t="shared" si="0"/>
        <v>4.5112476620549784E-2</v>
      </c>
      <c r="E29" s="14">
        <v>9480548</v>
      </c>
      <c r="F29" s="15">
        <f t="shared" si="0"/>
        <v>1.8450636832289841E-3</v>
      </c>
      <c r="G29" s="16">
        <v>9463088</v>
      </c>
      <c r="S29" s="17"/>
    </row>
    <row r="30" spans="1:19" x14ac:dyDescent="0.2">
      <c r="A30" s="12" t="s">
        <v>28</v>
      </c>
      <c r="B30" s="13" t="s">
        <v>81</v>
      </c>
      <c r="C30" s="14">
        <v>4791290</v>
      </c>
      <c r="D30" s="15">
        <f t="shared" si="0"/>
        <v>-0.10527014593615365</v>
      </c>
      <c r="E30" s="14">
        <v>5355013</v>
      </c>
      <c r="F30" s="15">
        <f t="shared" si="0"/>
        <v>-0.15085166754567708</v>
      </c>
      <c r="G30" s="16">
        <v>6306334</v>
      </c>
      <c r="S30" s="17"/>
    </row>
    <row r="31" spans="1:19" x14ac:dyDescent="0.2">
      <c r="A31" s="12" t="s">
        <v>29</v>
      </c>
      <c r="B31" s="13" t="s">
        <v>81</v>
      </c>
      <c r="C31" s="14">
        <v>12674645</v>
      </c>
      <c r="D31" s="15">
        <f t="shared" si="0"/>
        <v>4.6499310158056785E-2</v>
      </c>
      <c r="E31" s="14">
        <v>12111470</v>
      </c>
      <c r="F31" s="15">
        <f t="shared" si="0"/>
        <v>1.3748009275358869E-3</v>
      </c>
      <c r="G31" s="16">
        <v>12094842</v>
      </c>
      <c r="S31" s="17"/>
    </row>
    <row r="32" spans="1:19" x14ac:dyDescent="0.2">
      <c r="A32" s="12" t="s">
        <v>30</v>
      </c>
      <c r="B32" s="13" t="s">
        <v>81</v>
      </c>
      <c r="C32" s="14">
        <v>34749382</v>
      </c>
      <c r="D32" s="15">
        <f t="shared" si="0"/>
        <v>-2.9919679550111457E-2</v>
      </c>
      <c r="E32" s="14">
        <v>35821139</v>
      </c>
      <c r="F32" s="15">
        <f t="shared" si="0"/>
        <v>-7.5723856537500217E-2</v>
      </c>
      <c r="G32" s="16">
        <v>38755884</v>
      </c>
      <c r="S32" s="17"/>
    </row>
    <row r="33" spans="1:19" x14ac:dyDescent="0.2">
      <c r="A33" s="12" t="s">
        <v>31</v>
      </c>
      <c r="B33" s="13" t="s">
        <v>81</v>
      </c>
      <c r="C33" s="14">
        <v>135142334</v>
      </c>
      <c r="D33" s="15">
        <f t="shared" si="0"/>
        <v>3.2621985419956416E-2</v>
      </c>
      <c r="E33" s="14">
        <v>130872997</v>
      </c>
      <c r="F33" s="15">
        <f t="shared" si="0"/>
        <v>-1.6855238920658426E-3</v>
      </c>
      <c r="G33" s="16">
        <v>131093959</v>
      </c>
      <c r="S33" s="17"/>
    </row>
    <row r="34" spans="1:19" x14ac:dyDescent="0.2">
      <c r="A34" s="12" t="s">
        <v>32</v>
      </c>
      <c r="B34" s="13" t="s">
        <v>82</v>
      </c>
      <c r="C34" s="14">
        <v>4419411</v>
      </c>
      <c r="D34" s="15">
        <f t="shared" si="0"/>
        <v>0.11400148721374287</v>
      </c>
      <c r="E34" s="14">
        <v>3967150</v>
      </c>
      <c r="F34" s="15">
        <f t="shared" si="0"/>
        <v>-1.6889433856780059E-2</v>
      </c>
      <c r="G34" s="16">
        <v>4035304</v>
      </c>
      <c r="S34" s="17"/>
    </row>
    <row r="35" spans="1:19" x14ac:dyDescent="0.2">
      <c r="A35" s="12" t="s">
        <v>33</v>
      </c>
      <c r="B35" s="13" t="s">
        <v>81</v>
      </c>
      <c r="C35" s="14">
        <v>50962531</v>
      </c>
      <c r="D35" s="15">
        <f t="shared" si="0"/>
        <v>5.0986953182547074E-4</v>
      </c>
      <c r="E35" s="14">
        <v>50936560</v>
      </c>
      <c r="F35" s="15">
        <f t="shared" si="0"/>
        <v>0.82240837119391375</v>
      </c>
      <c r="G35" s="16">
        <v>27950135</v>
      </c>
      <c r="S35" s="17"/>
    </row>
    <row r="36" spans="1:19" x14ac:dyDescent="0.2">
      <c r="A36" s="12" t="s">
        <v>34</v>
      </c>
      <c r="B36" s="13" t="s">
        <v>82</v>
      </c>
      <c r="C36" s="14">
        <v>26108726</v>
      </c>
      <c r="D36" s="15">
        <f t="shared" si="0"/>
        <v>-8.7070773824821632E-2</v>
      </c>
      <c r="E36" s="14">
        <v>28598850</v>
      </c>
      <c r="F36" s="15">
        <f t="shared" si="0"/>
        <v>-7.2399417733226591E-3</v>
      </c>
      <c r="G36" s="16">
        <v>28807414</v>
      </c>
      <c r="S36" s="17"/>
    </row>
    <row r="37" spans="1:19" x14ac:dyDescent="0.2">
      <c r="A37" s="12" t="s">
        <v>35</v>
      </c>
      <c r="B37" s="13" t="s">
        <v>82</v>
      </c>
      <c r="C37" s="14">
        <v>3762387</v>
      </c>
      <c r="D37" s="15">
        <f t="shared" si="0"/>
        <v>0.16360985038852593</v>
      </c>
      <c r="E37" s="14">
        <v>3233375</v>
      </c>
      <c r="F37" s="15">
        <f t="shared" si="0"/>
        <v>5.1513981757876741E-2</v>
      </c>
      <c r="G37" s="16">
        <v>3074971</v>
      </c>
      <c r="S37" s="17"/>
    </row>
    <row r="38" spans="1:19" x14ac:dyDescent="0.2">
      <c r="A38" s="12" t="s">
        <v>36</v>
      </c>
      <c r="B38" s="13" t="s">
        <v>82</v>
      </c>
      <c r="C38" s="14"/>
      <c r="D38" s="15" t="s">
        <v>79</v>
      </c>
      <c r="E38" s="14"/>
      <c r="F38" s="15" t="s">
        <v>79</v>
      </c>
      <c r="G38" s="16"/>
      <c r="S38" s="17"/>
    </row>
    <row r="39" spans="1:19" x14ac:dyDescent="0.2">
      <c r="A39" s="12" t="s">
        <v>37</v>
      </c>
      <c r="B39" s="13" t="s">
        <v>81</v>
      </c>
      <c r="C39" s="14">
        <v>5354563</v>
      </c>
      <c r="D39" s="15">
        <f t="shared" si="0"/>
        <v>-3.7885172744703834E-3</v>
      </c>
      <c r="E39" s="14">
        <v>5374926</v>
      </c>
      <c r="F39" s="15">
        <f t="shared" si="0"/>
        <v>-0.24781288965578044</v>
      </c>
      <c r="G39" s="16">
        <v>7145730</v>
      </c>
      <c r="S39" s="17"/>
    </row>
    <row r="40" spans="1:19" x14ac:dyDescent="0.2">
      <c r="A40" s="12" t="s">
        <v>38</v>
      </c>
      <c r="B40" s="13" t="s">
        <v>81</v>
      </c>
      <c r="C40" s="14">
        <v>5972950</v>
      </c>
      <c r="D40" s="15">
        <f t="shared" si="0"/>
        <v>7.9530995613159947E-2</v>
      </c>
      <c r="E40" s="14">
        <v>5532912</v>
      </c>
      <c r="F40" s="15">
        <f t="shared" si="0"/>
        <v>0.15011757036761111</v>
      </c>
      <c r="G40" s="16">
        <v>4810736</v>
      </c>
    </row>
    <row r="41" spans="1:19" x14ac:dyDescent="0.2">
      <c r="A41" s="12" t="s">
        <v>39</v>
      </c>
      <c r="B41" s="13" t="s">
        <v>81</v>
      </c>
      <c r="C41" s="14">
        <v>7138855</v>
      </c>
      <c r="D41" s="15">
        <f t="shared" si="0"/>
        <v>0.16846443730231944</v>
      </c>
      <c r="E41" s="14">
        <v>6109604</v>
      </c>
      <c r="F41" s="15">
        <f t="shared" si="0"/>
        <v>4.6473097132529249E-2</v>
      </c>
      <c r="G41" s="16">
        <v>5838281</v>
      </c>
      <c r="S41" s="17"/>
    </row>
    <row r="42" spans="1:19" x14ac:dyDescent="0.2">
      <c r="A42" s="12" t="s">
        <v>40</v>
      </c>
      <c r="B42" s="13" t="s">
        <v>82</v>
      </c>
      <c r="C42" s="14">
        <v>3743326</v>
      </c>
      <c r="D42" s="15">
        <f t="shared" si="0"/>
        <v>1.9598390030105904E-2</v>
      </c>
      <c r="E42" s="14">
        <v>3671373</v>
      </c>
      <c r="F42" s="15">
        <f t="shared" si="0"/>
        <v>0.21481553786772065</v>
      </c>
      <c r="G42" s="16">
        <v>3022165</v>
      </c>
      <c r="S42" s="17"/>
    </row>
    <row r="43" spans="1:19" x14ac:dyDescent="0.2">
      <c r="A43" s="12" t="s">
        <v>41</v>
      </c>
      <c r="B43" s="13" t="s">
        <v>82</v>
      </c>
      <c r="C43" s="14">
        <v>163260</v>
      </c>
      <c r="D43" s="15">
        <f t="shared" si="0"/>
        <v>-0.82209620491518354</v>
      </c>
      <c r="E43" s="14">
        <v>917687</v>
      </c>
      <c r="F43" s="15">
        <f t="shared" si="0"/>
        <v>1.3169954608938548E-3</v>
      </c>
      <c r="G43" s="16">
        <v>916480</v>
      </c>
      <c r="S43" s="17"/>
    </row>
    <row r="44" spans="1:19" x14ac:dyDescent="0.2">
      <c r="A44" s="12" t="s">
        <v>42</v>
      </c>
      <c r="B44" s="13" t="s">
        <v>82</v>
      </c>
      <c r="C44" s="14">
        <v>8840105</v>
      </c>
      <c r="D44" s="15">
        <f t="shared" si="0"/>
        <v>6.8411996803203262E-3</v>
      </c>
      <c r="E44" s="14">
        <v>8780039</v>
      </c>
      <c r="F44" s="15">
        <f t="shared" si="0"/>
        <v>6.5666142367782673E-3</v>
      </c>
      <c r="G44" s="16">
        <v>8722760</v>
      </c>
      <c r="S44" s="17"/>
    </row>
    <row r="45" spans="1:19" x14ac:dyDescent="0.2">
      <c r="A45" s="12" t="s">
        <v>43</v>
      </c>
      <c r="B45" s="13" t="s">
        <v>81</v>
      </c>
      <c r="C45" s="14">
        <v>9020515</v>
      </c>
      <c r="D45" s="15">
        <f t="shared" si="0"/>
        <v>4.9888016398733546E-2</v>
      </c>
      <c r="E45" s="14">
        <v>8591883</v>
      </c>
      <c r="F45" s="15">
        <f t="shared" si="0"/>
        <v>-2.567437417267095E-2</v>
      </c>
      <c r="G45" s="16">
        <v>8818287</v>
      </c>
      <c r="S45" s="17"/>
    </row>
    <row r="46" spans="1:19" x14ac:dyDescent="0.2">
      <c r="A46" s="12" t="s">
        <v>44</v>
      </c>
      <c r="B46" s="13" t="s">
        <v>81</v>
      </c>
      <c r="C46" s="14">
        <v>30450058</v>
      </c>
      <c r="D46" s="15">
        <f t="shared" si="0"/>
        <v>4.0336982443586682E-2</v>
      </c>
      <c r="E46" s="14">
        <v>29269418</v>
      </c>
      <c r="F46" s="15">
        <f t="shared" si="0"/>
        <v>4.1216005106648856E-2</v>
      </c>
      <c r="G46" s="16">
        <v>28110803</v>
      </c>
      <c r="S46" s="17"/>
    </row>
    <row r="47" spans="1:19" x14ac:dyDescent="0.2">
      <c r="A47" s="12" t="s">
        <v>45</v>
      </c>
      <c r="B47" s="13" t="s">
        <v>81</v>
      </c>
      <c r="C47" s="14">
        <v>103013626</v>
      </c>
      <c r="D47" s="15">
        <f t="shared" si="0"/>
        <v>-1.0132557236414286E-2</v>
      </c>
      <c r="E47" s="14">
        <v>104068102</v>
      </c>
      <c r="F47" s="15">
        <f t="shared" si="0"/>
        <v>0.37686603513312333</v>
      </c>
      <c r="G47" s="16">
        <v>75583317</v>
      </c>
      <c r="S47" s="17"/>
    </row>
    <row r="48" spans="1:19" x14ac:dyDescent="0.2">
      <c r="A48" s="12" t="s">
        <v>46</v>
      </c>
      <c r="B48" s="13" t="s">
        <v>81</v>
      </c>
      <c r="C48" s="14"/>
      <c r="D48" s="15" t="s">
        <v>79</v>
      </c>
      <c r="E48" s="14"/>
      <c r="F48" s="15" t="s">
        <v>79</v>
      </c>
      <c r="G48" s="16"/>
      <c r="S48" s="17"/>
    </row>
    <row r="49" spans="1:19" x14ac:dyDescent="0.2">
      <c r="A49" s="12" t="s">
        <v>47</v>
      </c>
      <c r="B49" s="13" t="s">
        <v>81</v>
      </c>
      <c r="C49" s="14">
        <v>53098620</v>
      </c>
      <c r="D49" s="15">
        <f t="shared" si="0"/>
        <v>2.998783748666194E-2</v>
      </c>
      <c r="E49" s="14">
        <v>51552667</v>
      </c>
      <c r="F49" s="15">
        <f t="shared" si="0"/>
        <v>2.1549598482422418E-2</v>
      </c>
      <c r="G49" s="16">
        <v>50465163</v>
      </c>
      <c r="S49" s="17"/>
    </row>
    <row r="50" spans="1:19" x14ac:dyDescent="0.2">
      <c r="A50" s="12" t="s">
        <v>48</v>
      </c>
      <c r="B50" s="13" t="s">
        <v>81</v>
      </c>
      <c r="C50" s="14">
        <v>5229667</v>
      </c>
      <c r="D50" s="15">
        <f t="shared" si="0"/>
        <v>0.15182606891530059</v>
      </c>
      <c r="E50" s="14">
        <v>4540327</v>
      </c>
      <c r="F50" s="15">
        <f t="shared" si="0"/>
        <v>4.7283763011678907E-2</v>
      </c>
      <c r="G50" s="16">
        <v>4335336</v>
      </c>
    </row>
    <row r="51" spans="1:19" x14ac:dyDescent="0.2">
      <c r="A51" s="12" t="s">
        <v>49</v>
      </c>
      <c r="B51" s="13" t="s">
        <v>81</v>
      </c>
      <c r="C51" s="14">
        <v>12905090</v>
      </c>
      <c r="D51" s="15">
        <f t="shared" si="0"/>
        <v>4.8921248305928818E-2</v>
      </c>
      <c r="E51" s="14">
        <v>12303202</v>
      </c>
      <c r="F51" s="15">
        <f t="shared" si="0"/>
        <v>-1.1455421442600464E-3</v>
      </c>
      <c r="G51" s="16">
        <v>12317312</v>
      </c>
      <c r="S51" s="17"/>
    </row>
    <row r="52" spans="1:19" x14ac:dyDescent="0.2">
      <c r="A52" s="12" t="s">
        <v>50</v>
      </c>
      <c r="B52" s="13" t="s">
        <v>81</v>
      </c>
      <c r="C52" s="14">
        <v>127052702</v>
      </c>
      <c r="D52" s="15">
        <f t="shared" si="0"/>
        <v>6.444251046139121E-3</v>
      </c>
      <c r="E52" s="14">
        <v>126239185</v>
      </c>
      <c r="F52" s="15">
        <f t="shared" si="0"/>
        <v>1.9122587344506954</v>
      </c>
      <c r="G52" s="16">
        <v>43347517</v>
      </c>
      <c r="S52" s="17"/>
    </row>
    <row r="53" spans="1:19" x14ac:dyDescent="0.2">
      <c r="A53" s="12" t="s">
        <v>51</v>
      </c>
      <c r="B53" s="13" t="s">
        <v>81</v>
      </c>
      <c r="C53" s="14">
        <v>7238603</v>
      </c>
      <c r="D53" s="15">
        <f t="shared" si="0"/>
        <v>4.7052996747867989E-2</v>
      </c>
      <c r="E53" s="14">
        <v>6913311</v>
      </c>
      <c r="F53" s="15">
        <f t="shared" si="0"/>
        <v>1.2633628538009799E-3</v>
      </c>
      <c r="G53" s="16">
        <v>6904588</v>
      </c>
      <c r="S53" s="17"/>
    </row>
    <row r="54" spans="1:19" x14ac:dyDescent="0.2">
      <c r="A54" s="12" t="s">
        <v>52</v>
      </c>
      <c r="B54" s="13" t="s">
        <v>81</v>
      </c>
      <c r="C54" s="14">
        <v>247162217</v>
      </c>
      <c r="D54" s="15">
        <f t="shared" si="0"/>
        <v>-7.4458363280496534E-3</v>
      </c>
      <c r="E54" s="14">
        <v>249016352</v>
      </c>
      <c r="F54" s="15">
        <f t="shared" si="0"/>
        <v>0.28113000387966547</v>
      </c>
      <c r="G54" s="16">
        <v>194372430</v>
      </c>
      <c r="S54" s="17"/>
    </row>
    <row r="55" spans="1:19" x14ac:dyDescent="0.2">
      <c r="A55" s="12" t="s">
        <v>53</v>
      </c>
      <c r="B55" s="13" t="s">
        <v>81</v>
      </c>
      <c r="C55" s="14">
        <v>24310291</v>
      </c>
      <c r="D55" s="15">
        <f t="shared" si="0"/>
        <v>4.626817051462221E-2</v>
      </c>
      <c r="E55" s="14">
        <v>23235239</v>
      </c>
      <c r="F55" s="15">
        <f t="shared" si="0"/>
        <v>1.7875914825088003E-3</v>
      </c>
      <c r="G55" s="16">
        <v>23193778</v>
      </c>
      <c r="S55" s="17"/>
    </row>
    <row r="56" spans="1:19" x14ac:dyDescent="0.2">
      <c r="A56" s="12" t="s">
        <v>54</v>
      </c>
      <c r="B56" s="13" t="s">
        <v>81</v>
      </c>
      <c r="C56" s="14">
        <v>14158317</v>
      </c>
      <c r="D56" s="15">
        <f t="shared" si="0"/>
        <v>4.5206031201336962E-2</v>
      </c>
      <c r="E56" s="14">
        <v>13545958</v>
      </c>
      <c r="F56" s="15">
        <f t="shared" si="0"/>
        <v>1.435992398348313E-3</v>
      </c>
      <c r="G56" s="16">
        <v>13526534</v>
      </c>
      <c r="S56" s="17"/>
    </row>
    <row r="57" spans="1:19" x14ac:dyDescent="0.2">
      <c r="A57" s="12" t="s">
        <v>55</v>
      </c>
      <c r="B57" s="13" t="s">
        <v>81</v>
      </c>
      <c r="C57" s="14">
        <v>136007354</v>
      </c>
      <c r="D57" s="15">
        <f t="shared" si="0"/>
        <v>5.1116241706474705E-2</v>
      </c>
      <c r="E57" s="14">
        <v>129393257</v>
      </c>
      <c r="F57" s="15">
        <f t="shared" si="0"/>
        <v>1.3200577303852568E-2</v>
      </c>
      <c r="G57" s="16">
        <v>127707445</v>
      </c>
      <c r="S57" s="17"/>
    </row>
    <row r="58" spans="1:19" x14ac:dyDescent="0.2">
      <c r="A58" s="12" t="s">
        <v>56</v>
      </c>
      <c r="B58" s="13" t="s">
        <v>81</v>
      </c>
      <c r="C58" s="14">
        <v>27067479</v>
      </c>
      <c r="D58" s="15">
        <f t="shared" si="0"/>
        <v>0.4518855457903091</v>
      </c>
      <c r="E58" s="14">
        <v>18642984</v>
      </c>
      <c r="F58" s="15">
        <f t="shared" si="0"/>
        <v>1.3421423014592978E-3</v>
      </c>
      <c r="G58" s="16">
        <v>18617996</v>
      </c>
      <c r="S58" s="17"/>
    </row>
    <row r="59" spans="1:19" x14ac:dyDescent="0.2">
      <c r="A59" s="12" t="s">
        <v>2</v>
      </c>
      <c r="B59" s="13" t="s">
        <v>81</v>
      </c>
      <c r="C59" s="14">
        <v>36867219</v>
      </c>
      <c r="D59" s="15">
        <f t="shared" si="0"/>
        <v>-1.7128029277557803E-2</v>
      </c>
      <c r="E59" s="14">
        <v>37509686</v>
      </c>
      <c r="F59" s="15">
        <f t="shared" si="0"/>
        <v>-0.1618162474442835</v>
      </c>
      <c r="G59" s="16">
        <v>44751149</v>
      </c>
      <c r="S59" s="17"/>
    </row>
    <row r="60" spans="1:19" x14ac:dyDescent="0.2">
      <c r="A60" s="12" t="s">
        <v>3</v>
      </c>
      <c r="B60" s="13" t="s">
        <v>81</v>
      </c>
      <c r="C60" s="14">
        <v>75862330</v>
      </c>
      <c r="D60" s="15">
        <f t="shared" si="0"/>
        <v>-7.0710806735441917E-2</v>
      </c>
      <c r="E60" s="14">
        <v>81634792</v>
      </c>
      <c r="F60" s="15">
        <f t="shared" si="0"/>
        <v>0.31173066683874723</v>
      </c>
      <c r="G60" s="16">
        <v>62234416</v>
      </c>
      <c r="S60" s="17"/>
    </row>
    <row r="61" spans="1:19" x14ac:dyDescent="0.2">
      <c r="A61" s="12" t="s">
        <v>57</v>
      </c>
      <c r="B61" s="13" t="s">
        <v>81</v>
      </c>
      <c r="C61" s="14">
        <v>4940952</v>
      </c>
      <c r="D61" s="15">
        <f t="shared" si="0"/>
        <v>0.16115323070935847</v>
      </c>
      <c r="E61" s="14">
        <v>4255211</v>
      </c>
      <c r="F61" s="15">
        <f t="shared" si="0"/>
        <v>5.0656671067436466E-2</v>
      </c>
      <c r="G61" s="16">
        <v>4050049</v>
      </c>
      <c r="S61" s="17"/>
    </row>
    <row r="62" spans="1:19" x14ac:dyDescent="0.2">
      <c r="A62" s="12" t="s">
        <v>58</v>
      </c>
      <c r="B62" s="13" t="s">
        <v>81</v>
      </c>
      <c r="C62" s="14">
        <v>1053273</v>
      </c>
      <c r="D62" s="15">
        <f t="shared" si="0"/>
        <v>0.10092430676992256</v>
      </c>
      <c r="E62" s="14">
        <v>956717</v>
      </c>
      <c r="F62" s="15">
        <f t="shared" si="0"/>
        <v>0.16527145945616759</v>
      </c>
      <c r="G62" s="16">
        <v>821025</v>
      </c>
      <c r="S62" s="17"/>
    </row>
    <row r="63" spans="1:19" x14ac:dyDescent="0.2">
      <c r="A63" s="12" t="s">
        <v>59</v>
      </c>
      <c r="B63" s="13" t="s">
        <v>81</v>
      </c>
      <c r="C63" s="14">
        <v>13003640</v>
      </c>
      <c r="D63" s="15">
        <f t="shared" si="0"/>
        <v>5.1038021730675287E-2</v>
      </c>
      <c r="E63" s="14">
        <v>12372188</v>
      </c>
      <c r="F63" s="15">
        <f t="shared" si="0"/>
        <v>-1.5685952522395718E-4</v>
      </c>
      <c r="G63" s="16">
        <v>12374129</v>
      </c>
      <c r="S63" s="17"/>
    </row>
    <row r="64" spans="1:19" x14ac:dyDescent="0.2">
      <c r="A64" s="12" t="s">
        <v>60</v>
      </c>
      <c r="B64" s="13" t="s">
        <v>81</v>
      </c>
      <c r="C64" s="14">
        <v>18287979</v>
      </c>
      <c r="D64" s="15">
        <f t="shared" si="0"/>
        <v>4.9372974827758154E-2</v>
      </c>
      <c r="E64" s="14">
        <v>17427530</v>
      </c>
      <c r="F64" s="15">
        <f t="shared" si="0"/>
        <v>1.5521204617308099E-2</v>
      </c>
      <c r="G64" s="16">
        <v>17161168</v>
      </c>
      <c r="S64" s="17"/>
    </row>
    <row r="65" spans="1:19" x14ac:dyDescent="0.2">
      <c r="A65" s="12" t="s">
        <v>61</v>
      </c>
      <c r="B65" s="13" t="s">
        <v>82</v>
      </c>
      <c r="C65" s="14">
        <v>5042759</v>
      </c>
      <c r="D65" s="15">
        <f t="shared" si="0"/>
        <v>0.16706245621570881</v>
      </c>
      <c r="E65" s="14">
        <v>4320899</v>
      </c>
      <c r="F65" s="15">
        <f t="shared" si="0"/>
        <v>5.2736740956875035E-2</v>
      </c>
      <c r="G65" s="16">
        <v>4104444</v>
      </c>
      <c r="S65" s="17"/>
    </row>
    <row r="66" spans="1:19" x14ac:dyDescent="0.2">
      <c r="A66" s="12" t="s">
        <v>62</v>
      </c>
      <c r="B66" s="13" t="s">
        <v>81</v>
      </c>
      <c r="C66" s="14">
        <v>1720126</v>
      </c>
      <c r="D66" s="15">
        <f t="shared" si="0"/>
        <v>-0.30060826360257942</v>
      </c>
      <c r="E66" s="14">
        <v>2459460</v>
      </c>
      <c r="F66" s="15">
        <f t="shared" si="0"/>
        <v>-7.8992256219197046E-2</v>
      </c>
      <c r="G66" s="16">
        <v>2670401</v>
      </c>
      <c r="S66" s="17"/>
    </row>
    <row r="67" spans="1:19" x14ac:dyDescent="0.2">
      <c r="A67" s="12" t="s">
        <v>63</v>
      </c>
      <c r="B67" s="13" t="s">
        <v>81</v>
      </c>
      <c r="C67" s="14"/>
      <c r="D67" s="15" t="s">
        <v>79</v>
      </c>
      <c r="E67" s="14"/>
      <c r="F67" s="15" t="s">
        <v>79</v>
      </c>
      <c r="G67" s="16"/>
      <c r="S67" s="17"/>
    </row>
    <row r="68" spans="1:19" x14ac:dyDescent="0.2">
      <c r="A68" s="12" t="s">
        <v>64</v>
      </c>
      <c r="B68" s="13" t="s">
        <v>81</v>
      </c>
      <c r="C68" s="14">
        <v>69733981</v>
      </c>
      <c r="D68" s="15">
        <f t="shared" si="0"/>
        <v>6.5945332788524289E-4</v>
      </c>
      <c r="E68" s="14">
        <v>69688025</v>
      </c>
      <c r="F68" s="15">
        <f t="shared" si="0"/>
        <v>-0.10478855480131344</v>
      </c>
      <c r="G68" s="16">
        <v>77845324</v>
      </c>
      <c r="S68" s="17"/>
    </row>
    <row r="69" spans="1:19" x14ac:dyDescent="0.2">
      <c r="A69" s="12" t="s">
        <v>65</v>
      </c>
      <c r="B69" s="13" t="s">
        <v>82</v>
      </c>
      <c r="C69" s="14"/>
      <c r="D69" s="15" t="s">
        <v>79</v>
      </c>
      <c r="E69" s="14"/>
      <c r="F69" s="15" t="s">
        <v>79</v>
      </c>
      <c r="G69" s="16"/>
    </row>
    <row r="70" spans="1:19" x14ac:dyDescent="0.2">
      <c r="A70" s="12" t="s">
        <v>66</v>
      </c>
      <c r="B70" s="13" t="s">
        <v>81</v>
      </c>
      <c r="C70" s="14">
        <v>4262041</v>
      </c>
      <c r="D70" s="15">
        <f t="shared" ref="D70:F73" si="1">((C70-E70)/E70)</f>
        <v>0.15869511849324322</v>
      </c>
      <c r="E70" s="14">
        <v>3678311</v>
      </c>
      <c r="F70" s="15">
        <f t="shared" si="1"/>
        <v>4.9787634330347483E-2</v>
      </c>
      <c r="G70" s="16">
        <v>3503862</v>
      </c>
      <c r="S70" s="17"/>
    </row>
    <row r="71" spans="1:19" x14ac:dyDescent="0.2">
      <c r="A71" s="12" t="s">
        <v>67</v>
      </c>
      <c r="B71" s="13" t="s">
        <v>82</v>
      </c>
      <c r="C71" s="14">
        <v>2534783</v>
      </c>
      <c r="D71" s="15">
        <f t="shared" si="1"/>
        <v>0.17002926939149116</v>
      </c>
      <c r="E71" s="14">
        <v>2166427</v>
      </c>
      <c r="F71" s="15">
        <f t="shared" si="1"/>
        <v>5.3789587147662958E-2</v>
      </c>
      <c r="G71" s="16">
        <v>2055844</v>
      </c>
    </row>
    <row r="72" spans="1:19" x14ac:dyDescent="0.2">
      <c r="A72" s="18"/>
      <c r="B72" s="19"/>
      <c r="C72" s="14"/>
      <c r="D72" s="20"/>
      <c r="E72" s="14"/>
      <c r="F72" s="20"/>
      <c r="G72" s="16"/>
    </row>
    <row r="73" spans="1:19" ht="15.75" thickBot="1" x14ac:dyDescent="0.3">
      <c r="A73" s="21" t="s">
        <v>68</v>
      </c>
      <c r="B73" s="22"/>
      <c r="C73" s="23">
        <f>SUM(C5:C71)</f>
        <v>2300383519</v>
      </c>
      <c r="D73" s="24">
        <f t="shared" si="1"/>
        <v>1.1004551344013585E-2</v>
      </c>
      <c r="E73" s="23">
        <f>SUM(E5:E71)</f>
        <v>2275344375</v>
      </c>
      <c r="F73" s="24">
        <f t="shared" si="1"/>
        <v>0.11679339382211378</v>
      </c>
      <c r="G73" s="25">
        <f>SUM(G5:G71)</f>
        <v>2037390611</v>
      </c>
      <c r="S73" s="17"/>
    </row>
    <row r="74" spans="1:19" x14ac:dyDescent="0.2">
      <c r="S74" s="17"/>
    </row>
    <row r="75" spans="1:19" x14ac:dyDescent="0.2">
      <c r="A75" s="26" t="s">
        <v>90</v>
      </c>
      <c r="S75" s="17"/>
    </row>
  </sheetData>
  <phoneticPr fontId="3" type="noConversion"/>
  <conditionalFormatting sqref="A75">
    <cfRule type="expression" dxfId="1" priority="31" stopIfTrue="1">
      <formula>MOD(ROW(),5)=1</formula>
    </cfRule>
  </conditionalFormatting>
  <conditionalFormatting sqref="A4:G73">
    <cfRule type="expression" dxfId="0" priority="1" stopIfTrue="1">
      <formula>MOD(ROW(),3)=1</formula>
    </cfRule>
  </conditionalFormatting>
  <pageMargins left="0.7" right="0.7" top="0.5" bottom="0.5" header="0.05" footer="0.05"/>
  <pageSetup scale="78" fitToHeight="2" orientation="landscape" r:id="rId1"/>
  <rowBreaks count="1" manualBreakCount="1">
    <brk id="37" max="8" man="1"/>
  </rowBreaks>
  <ignoredErrors>
    <ignoredError sqref="D74:F74 E73" 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1166BEE4B88A42947F6C3C78DF4222" ma:contentTypeVersion="3" ma:contentTypeDescription="Create a new document." ma:contentTypeScope="" ma:versionID="56528aa3969daa96996fae423c61dab6">
  <xsd:schema xmlns:xsd="http://www.w3.org/2001/XMLSchema" xmlns:xs="http://www.w3.org/2001/XMLSchema" xmlns:p="http://schemas.microsoft.com/office/2006/metadata/properties" xmlns:ns1="http://schemas.microsoft.com/sharepoint/v3" targetNamespace="http://schemas.microsoft.com/office/2006/metadata/properties" ma:root="true" ma:fieldsID="ff328a1cd662c37536c074f55b1464a7"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4EC29838-5B92-4D99-8A77-D1B6A912B2CC}"/>
</file>

<file path=customXml/itemProps2.xml><?xml version="1.0" encoding="utf-8"?>
<ds:datastoreItem xmlns:ds="http://schemas.openxmlformats.org/officeDocument/2006/customXml" ds:itemID="{1A02B899-E49A-435A-BA5A-0DB94B3818A7}"/>
</file>

<file path=customXml/itemProps3.xml><?xml version="1.0" encoding="utf-8"?>
<ds:datastoreItem xmlns:ds="http://schemas.openxmlformats.org/officeDocument/2006/customXml" ds:itemID="{7C3C7C4D-DD82-4A10-A93F-19747374654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11</vt:i4>
      </vt:variant>
    </vt:vector>
  </HeadingPairs>
  <TitlesOfParts>
    <vt:vector size="17" baseType="lpstr">
      <vt:lpstr>Report Index</vt:lpstr>
      <vt:lpstr>Just Value All Property Types</vt:lpstr>
      <vt:lpstr>All Property Just Value</vt:lpstr>
      <vt:lpstr>Real Property Just Value</vt:lpstr>
      <vt:lpstr>Personal Property Just Value</vt:lpstr>
      <vt:lpstr>Centrally Assessed Just Value </vt:lpstr>
      <vt:lpstr>'All Property Just Value'!Print_Area</vt:lpstr>
      <vt:lpstr>'Centrally Assessed Just Value '!Print_Area</vt:lpstr>
      <vt:lpstr>'Just Value All Property Types'!Print_Area</vt:lpstr>
      <vt:lpstr>'Personal Property Just Value'!Print_Area</vt:lpstr>
      <vt:lpstr>'Real Property Just Value'!Print_Area</vt:lpstr>
      <vt:lpstr>'Report Index'!Print_Area</vt:lpstr>
      <vt:lpstr>'All Property Just Value'!Print_Titles</vt:lpstr>
      <vt:lpstr>'Centrally Assessed Just Value '!Print_Titles</vt:lpstr>
      <vt:lpstr>'Just Value All Property Types'!Print_Titles</vt:lpstr>
      <vt:lpstr>'Personal Property Just Value'!Print_Titles</vt:lpstr>
      <vt:lpstr>'Real Property Just Value'!Print_Titles</vt:lpstr>
    </vt:vector>
  </TitlesOfParts>
  <Company>Florida Dept. of Revenue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Florida Dept. of Revenue</dc:creator>
  <cp:lastModifiedBy>Allison Kever</cp:lastModifiedBy>
  <cp:lastPrinted>2011-02-11T15:23:46Z</cp:lastPrinted>
  <dcterms:created xsi:type="dcterms:W3CDTF">2010-08-10T15:50:22Z</dcterms:created>
  <dcterms:modified xsi:type="dcterms:W3CDTF">2025-11-14T20:39:24Z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0x010100211166BEE4B88A42947F6C3C78DF4222</vt:lpwstr>
  </property>
</Properties>
</file>