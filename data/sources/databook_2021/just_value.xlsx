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24226"/>
  <mc:AlternateContent xmlns:mc="http://schemas.openxmlformats.org/markup-compatibility/2006">
    <mc:Choice Requires="x15">
      <x15ac:absPath xmlns:x15ac="http://schemas.microsoft.com/office/spreadsheetml/2010/11/ac" url="J:\Research &amp; Analysis\Data Book Documentation\2021 Data Book\Final Drafts\"/>
    </mc:Choice>
  </mc:AlternateContent>
  <xr:revisionPtr revIDLastSave="0" documentId="13_ncr:1_{CD4C3C00-B6A7-450F-BF8C-0C438E125AC2}" xr6:coauthVersionLast="46" xr6:coauthVersionMax="46" xr10:uidLastSave="{00000000-0000-0000-0000-000000000000}"/>
  <bookViews>
    <workbookView xWindow="-120" yWindow="-120" windowWidth="29040" windowHeight="15840" tabRatio="728" xr2:uid="{00000000-000D-0000-FFFF-FFFF00000000}"/>
  </bookViews>
  <sheets>
    <sheet name="Report Index" sheetId="10" r:id="rId1"/>
    <sheet name="Just Value All Property Types" sheetId="9" r:id="rId2"/>
    <sheet name="All Property Just Value" sheetId="4" r:id="rId3"/>
    <sheet name="Real Property Just Value" sheetId="6" r:id="rId4"/>
    <sheet name="Personal Property Just Value" sheetId="7" r:id="rId5"/>
    <sheet name="Centrally Assessed Just Value " sheetId="8" r:id="rId6"/>
  </sheets>
  <definedNames>
    <definedName name="_xlnm._FilterDatabase" localSheetId="2" hidden="1">'All Property Just Value'!$A$4:$G$4</definedName>
    <definedName name="_xlnm._FilterDatabase" localSheetId="5" hidden="1">'Centrally Assessed Just Value '!$A$4:$G$73</definedName>
    <definedName name="_xlnm._FilterDatabase" localSheetId="1" hidden="1">'Just Value All Property Types'!$A$4:$F$4</definedName>
    <definedName name="_xlnm._FilterDatabase" localSheetId="4" hidden="1">'Personal Property Just Value'!$A$4:$G$4</definedName>
    <definedName name="_xlnm._FilterDatabase" localSheetId="3" hidden="1">'Real Property Just Value'!$A$4:$G$4</definedName>
    <definedName name="_xlnm.Print_Area" localSheetId="2">'All Property Just Value'!$A$1:$G$75</definedName>
    <definedName name="_xlnm.Print_Area" localSheetId="5">'Centrally Assessed Just Value '!$A$1:$G$75</definedName>
    <definedName name="_xlnm.Print_Area" localSheetId="1">'Just Value All Property Types'!$A$1:$F$75</definedName>
    <definedName name="_xlnm.Print_Area" localSheetId="4">'Personal Property Just Value'!$A$1:$G$75</definedName>
    <definedName name="_xlnm.Print_Area" localSheetId="3">'Real Property Just Value'!$A$1:$G$75</definedName>
    <definedName name="_xlnm.Print_Area" localSheetId="0">'Report Index'!$A$1:$I$20</definedName>
    <definedName name="_xlnm.Print_Titles" localSheetId="2">'All Property Just Value'!$1:$4</definedName>
    <definedName name="_xlnm.Print_Titles" localSheetId="5">'Centrally Assessed Just Value '!$1:$4</definedName>
    <definedName name="_xlnm.Print_Titles" localSheetId="1">'Just Value All Property Types'!$1:$4</definedName>
    <definedName name="_xlnm.Print_Titles" localSheetId="4">'Personal Property Just Value'!$1:$4</definedName>
    <definedName name="_xlnm.Print_Titles" localSheetId="3">'Real Property Just Value'!$1:$4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4" l="1"/>
  <c r="E73" i="4"/>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71" i="8"/>
  <c r="F70" i="8"/>
  <c r="F68" i="8"/>
  <c r="F66" i="8"/>
  <c r="F65" i="8"/>
  <c r="F64" i="8"/>
  <c r="F63" i="8"/>
  <c r="F62" i="8"/>
  <c r="F61" i="8"/>
  <c r="F60" i="8"/>
  <c r="F59" i="8"/>
  <c r="F58" i="8"/>
  <c r="F57" i="8"/>
  <c r="F56" i="8"/>
  <c r="F55" i="8"/>
  <c r="F54" i="8"/>
  <c r="F53" i="8"/>
  <c r="F52" i="8"/>
  <c r="F51" i="8"/>
  <c r="F50" i="8"/>
  <c r="F49" i="8"/>
  <c r="F47" i="8"/>
  <c r="F46" i="8"/>
  <c r="F45" i="8"/>
  <c r="F44" i="8"/>
  <c r="F43" i="8"/>
  <c r="F42" i="8"/>
  <c r="F41" i="8"/>
  <c r="F40" i="8"/>
  <c r="F39" i="8"/>
  <c r="F37" i="8"/>
  <c r="F36" i="8"/>
  <c r="F35" i="8"/>
  <c r="F34" i="8"/>
  <c r="F33" i="8"/>
  <c r="F32" i="8"/>
  <c r="F31" i="8"/>
  <c r="F30" i="8"/>
  <c r="F29" i="8"/>
  <c r="F28" i="8"/>
  <c r="F27" i="8"/>
  <c r="F26" i="8"/>
  <c r="F24" i="8"/>
  <c r="F23" i="8"/>
  <c r="F22" i="8"/>
  <c r="F21" i="8"/>
  <c r="F20" i="8"/>
  <c r="F18" i="8"/>
  <c r="F17" i="8"/>
  <c r="F16" i="8"/>
  <c r="F15" i="8"/>
  <c r="F14" i="8"/>
  <c r="F13" i="8"/>
  <c r="F12" i="8"/>
  <c r="F10" i="8"/>
  <c r="F9" i="8"/>
  <c r="F8" i="8"/>
  <c r="F7" i="8"/>
  <c r="F6" i="8"/>
  <c r="F5" i="8"/>
  <c r="F70" i="4"/>
  <c r="F69" i="4"/>
  <c r="F68" i="4"/>
  <c r="F67" i="4"/>
  <c r="F65" i="4"/>
  <c r="F55" i="4"/>
  <c r="F54" i="4"/>
  <c r="F52" i="4"/>
  <c r="F44" i="4"/>
  <c r="F42" i="4"/>
  <c r="F50" i="4"/>
  <c r="F48" i="4"/>
  <c r="F38" i="4"/>
  <c r="F24" i="4"/>
  <c r="F23" i="4"/>
  <c r="F19" i="4"/>
  <c r="F18" i="4"/>
  <c r="F16" i="4"/>
  <c r="F15" i="4"/>
  <c r="F71" i="9"/>
  <c r="D71" i="4"/>
  <c r="F70" i="9"/>
  <c r="D70" i="4"/>
  <c r="F69" i="9"/>
  <c r="D69" i="4"/>
  <c r="F68" i="9"/>
  <c r="D68" i="4"/>
  <c r="F67" i="9"/>
  <c r="D67" i="4"/>
  <c r="F66" i="9"/>
  <c r="D66" i="4"/>
  <c r="F65" i="9"/>
  <c r="D65" i="4"/>
  <c r="F64" i="9"/>
  <c r="D64" i="4"/>
  <c r="F63" i="9"/>
  <c r="D63" i="4"/>
  <c r="F62" i="9"/>
  <c r="D62" i="4"/>
  <c r="F61" i="9"/>
  <c r="D61" i="4"/>
  <c r="F60" i="9"/>
  <c r="D60" i="4"/>
  <c r="F59" i="9"/>
  <c r="D59" i="4"/>
  <c r="F58" i="9"/>
  <c r="D58" i="4"/>
  <c r="F57" i="9"/>
  <c r="D57" i="4"/>
  <c r="F56" i="9"/>
  <c r="D56" i="4"/>
  <c r="F55" i="9"/>
  <c r="D55" i="4"/>
  <c r="F54" i="9"/>
  <c r="D54" i="4"/>
  <c r="F53" i="9"/>
  <c r="D53" i="4"/>
  <c r="F52" i="9"/>
  <c r="D52" i="4"/>
  <c r="F51" i="9"/>
  <c r="D51" i="4"/>
  <c r="F50" i="9"/>
  <c r="D50" i="4"/>
  <c r="F49" i="9"/>
  <c r="D49" i="4"/>
  <c r="F48" i="9"/>
  <c r="D48" i="4"/>
  <c r="F47" i="9"/>
  <c r="D47" i="4"/>
  <c r="F46" i="9"/>
  <c r="D46" i="4"/>
  <c r="F45" i="9"/>
  <c r="D45" i="4"/>
  <c r="F44" i="9"/>
  <c r="D44" i="4"/>
  <c r="F43" i="9"/>
  <c r="D43" i="4"/>
  <c r="F42" i="9"/>
  <c r="D42" i="4"/>
  <c r="F41" i="9"/>
  <c r="D41" i="4"/>
  <c r="F40" i="9"/>
  <c r="D40" i="4"/>
  <c r="F39" i="9"/>
  <c r="D39" i="4"/>
  <c r="F38" i="9"/>
  <c r="D38" i="4"/>
  <c r="F37" i="9"/>
  <c r="D37" i="4"/>
  <c r="F36" i="9"/>
  <c r="D36" i="4"/>
  <c r="F35" i="9"/>
  <c r="D35" i="4"/>
  <c r="F34" i="9"/>
  <c r="D34" i="4"/>
  <c r="F33" i="9"/>
  <c r="D33" i="4"/>
  <c r="F32" i="9"/>
  <c r="D32" i="4"/>
  <c r="F31" i="9"/>
  <c r="D31" i="4"/>
  <c r="F30" i="9"/>
  <c r="D30" i="4"/>
  <c r="F29" i="9"/>
  <c r="D29" i="4"/>
  <c r="F28" i="9"/>
  <c r="D28" i="4"/>
  <c r="F27" i="9"/>
  <c r="D27" i="4"/>
  <c r="F26" i="9"/>
  <c r="D26" i="4"/>
  <c r="F25" i="9"/>
  <c r="D25" i="4"/>
  <c r="F24" i="9"/>
  <c r="D24" i="4"/>
  <c r="F23" i="9"/>
  <c r="D23" i="4"/>
  <c r="F22" i="9"/>
  <c r="D22" i="4"/>
  <c r="F21" i="9"/>
  <c r="D21" i="4"/>
  <c r="F20" i="9"/>
  <c r="D20" i="4"/>
  <c r="F19" i="9"/>
  <c r="D19" i="4"/>
  <c r="F18" i="9"/>
  <c r="D18" i="4"/>
  <c r="F17" i="9"/>
  <c r="D17" i="4"/>
  <c r="F16" i="9"/>
  <c r="D16" i="4"/>
  <c r="F15" i="9"/>
  <c r="D15" i="4"/>
  <c r="F14" i="9"/>
  <c r="D14" i="4"/>
  <c r="F13" i="9"/>
  <c r="D13" i="4"/>
  <c r="F12" i="9"/>
  <c r="D12" i="4"/>
  <c r="F11" i="9"/>
  <c r="D11" i="4"/>
  <c r="F10" i="9"/>
  <c r="D10" i="4"/>
  <c r="F9" i="9"/>
  <c r="D9" i="4"/>
  <c r="F8" i="9"/>
  <c r="D8" i="4"/>
  <c r="F7" i="9"/>
  <c r="D7" i="4"/>
  <c r="F6" i="9"/>
  <c r="F5" i="9"/>
  <c r="G73" i="6"/>
  <c r="D18" i="8"/>
  <c r="D6" i="8"/>
  <c r="D7" i="8"/>
  <c r="D8" i="8"/>
  <c r="D9" i="8"/>
  <c r="D10" i="8"/>
  <c r="D12" i="8"/>
  <c r="D13" i="8"/>
  <c r="D14" i="8"/>
  <c r="D15" i="8"/>
  <c r="D16" i="8"/>
  <c r="D17" i="8"/>
  <c r="D20" i="8"/>
  <c r="D21" i="8"/>
  <c r="D22" i="8"/>
  <c r="D23" i="8"/>
  <c r="D24" i="8"/>
  <c r="D26" i="8"/>
  <c r="D27" i="8"/>
  <c r="D28" i="8"/>
  <c r="D29" i="8"/>
  <c r="D30" i="8"/>
  <c r="D31" i="8"/>
  <c r="D32" i="8"/>
  <c r="D33" i="8"/>
  <c r="D34" i="8"/>
  <c r="D35" i="8"/>
  <c r="D36" i="8"/>
  <c r="D37" i="8"/>
  <c r="D39" i="8"/>
  <c r="D40" i="8"/>
  <c r="D41" i="8"/>
  <c r="D42" i="8"/>
  <c r="D43" i="8"/>
  <c r="D44" i="8"/>
  <c r="D45" i="8"/>
  <c r="D46" i="8"/>
  <c r="D47" i="8"/>
  <c r="D49" i="8"/>
  <c r="D50" i="8"/>
  <c r="D51" i="8"/>
  <c r="D52" i="8"/>
  <c r="D53" i="8"/>
  <c r="D54" i="8"/>
  <c r="D55" i="8"/>
  <c r="D56" i="8"/>
  <c r="D57" i="8"/>
  <c r="D58" i="8"/>
  <c r="D59" i="8"/>
  <c r="D60" i="8"/>
  <c r="D61" i="8"/>
  <c r="D62" i="8"/>
  <c r="D63" i="8"/>
  <c r="D64" i="8"/>
  <c r="D65" i="8"/>
  <c r="D66" i="8"/>
  <c r="D68" i="8"/>
  <c r="D70" i="8"/>
  <c r="D71" i="8"/>
  <c r="D5" i="8"/>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5" i="7"/>
  <c r="D6" i="6"/>
  <c r="D7" i="6"/>
  <c r="D8" i="6"/>
  <c r="D9" i="6"/>
  <c r="D10" i="6"/>
  <c r="D11"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G73" i="8"/>
  <c r="E73" i="8"/>
  <c r="G73" i="7"/>
  <c r="F73" i="7" s="1"/>
  <c r="E73" i="7"/>
  <c r="E73" i="6"/>
  <c r="F73" i="6" s="1"/>
  <c r="D73" i="9"/>
  <c r="E73" i="9"/>
  <c r="C73" i="9"/>
  <c r="F45" i="4"/>
  <c r="F25" i="4"/>
  <c r="F26" i="4"/>
  <c r="F29" i="4"/>
  <c r="F34" i="4"/>
  <c r="F35" i="4"/>
  <c r="F30" i="4"/>
  <c r="F36" i="4"/>
  <c r="F56" i="4"/>
  <c r="F71" i="4"/>
  <c r="F53" i="4"/>
  <c r="F31" i="4"/>
  <c r="F32" i="4"/>
  <c r="G73" i="4"/>
  <c r="F73" i="4" s="1"/>
  <c r="F39" i="4"/>
  <c r="F14" i="4"/>
  <c r="F43" i="4"/>
  <c r="F51" i="4"/>
  <c r="F11" i="4"/>
  <c r="F12" i="4"/>
  <c r="F62" i="4"/>
  <c r="F40" i="4"/>
  <c r="F7" i="4"/>
  <c r="F10" i="4"/>
  <c r="F49" i="4"/>
  <c r="F33" i="4"/>
  <c r="F57" i="4"/>
  <c r="F63" i="4"/>
  <c r="F6" i="4"/>
  <c r="F66" i="4"/>
  <c r="F28" i="4"/>
  <c r="F58" i="4"/>
  <c r="F61" i="4"/>
  <c r="F27" i="4"/>
  <c r="F13" i="4"/>
  <c r="F41" i="4"/>
  <c r="F59" i="4"/>
  <c r="F22" i="4"/>
  <c r="F60" i="4"/>
  <c r="F37" i="4"/>
  <c r="F21" i="4"/>
  <c r="F8" i="4"/>
  <c r="F20" i="4"/>
  <c r="F17" i="4"/>
  <c r="F46" i="4"/>
  <c r="F9" i="4"/>
  <c r="F47" i="4"/>
  <c r="F64" i="4"/>
  <c r="F5" i="4"/>
  <c r="D12" i="6"/>
  <c r="D6" i="4"/>
  <c r="F73" i="8"/>
  <c r="F73" i="9"/>
  <c r="C73" i="6"/>
  <c r="D73" i="6"/>
  <c r="D5" i="6"/>
  <c r="C73" i="8"/>
  <c r="D73" i="8" s="1"/>
  <c r="C73" i="7"/>
  <c r="D73" i="7" s="1"/>
  <c r="D73" i="4"/>
  <c r="D5" i="4"/>
</calcChain>
</file>

<file path=xl/sharedStrings.xml><?xml version="1.0" encoding="utf-8"?>
<sst xmlns="http://schemas.openxmlformats.org/spreadsheetml/2006/main" count="747" uniqueCount="94">
  <si>
    <t>County</t>
  </si>
  <si>
    <t>Status</t>
  </si>
  <si>
    <t>Saint Johns</t>
  </si>
  <si>
    <t>Saint Lucie</t>
  </si>
  <si>
    <t>Alachua</t>
  </si>
  <si>
    <t>Baker</t>
  </si>
  <si>
    <t>Bay</t>
  </si>
  <si>
    <t>Bradford</t>
  </si>
  <si>
    <t>Brevard</t>
  </si>
  <si>
    <t>Broward</t>
  </si>
  <si>
    <t>Calhoun</t>
  </si>
  <si>
    <t>Charlotte</t>
  </si>
  <si>
    <t>Citrus</t>
  </si>
  <si>
    <t>Clay</t>
  </si>
  <si>
    <t>Collier</t>
  </si>
  <si>
    <t>Columbia</t>
  </si>
  <si>
    <t>DeSoto</t>
  </si>
  <si>
    <t>Dixie</t>
  </si>
  <si>
    <t>Duval</t>
  </si>
  <si>
    <t>Escambia</t>
  </si>
  <si>
    <t>Flagler</t>
  </si>
  <si>
    <t>Franklin</t>
  </si>
  <si>
    <t>Gadsden</t>
  </si>
  <si>
    <t>Gilchrist</t>
  </si>
  <si>
    <t>Glades</t>
  </si>
  <si>
    <t>Gulf</t>
  </si>
  <si>
    <t>Hamilton</t>
  </si>
  <si>
    <t>Hardee</t>
  </si>
  <si>
    <t>Hendry</t>
  </si>
  <si>
    <t>Hernando</t>
  </si>
  <si>
    <t>Highlands</t>
  </si>
  <si>
    <t>Hillsborough</t>
  </si>
  <si>
    <t>Holmes</t>
  </si>
  <si>
    <t>Indian River</t>
  </si>
  <si>
    <t>Jackson</t>
  </si>
  <si>
    <t>Jefferson</t>
  </si>
  <si>
    <t>Lafayette</t>
  </si>
  <si>
    <t>Lake</t>
  </si>
  <si>
    <t>Lee</t>
  </si>
  <si>
    <t>Leon</t>
  </si>
  <si>
    <t>Levy</t>
  </si>
  <si>
    <t>Liberty</t>
  </si>
  <si>
    <t>Madison</t>
  </si>
  <si>
    <t>Manatee</t>
  </si>
  <si>
    <t>Marion</t>
  </si>
  <si>
    <t>Martin</t>
  </si>
  <si>
    <t>Monroe</t>
  </si>
  <si>
    <t>Nassau</t>
  </si>
  <si>
    <t>Okaloosa</t>
  </si>
  <si>
    <t>Okeechobee</t>
  </si>
  <si>
    <t>Orange</t>
  </si>
  <si>
    <t>Osceola</t>
  </si>
  <si>
    <t>Palm Beach</t>
  </si>
  <si>
    <t>Pasco</t>
  </si>
  <si>
    <t>Pinellas</t>
  </si>
  <si>
    <t>Polk</t>
  </si>
  <si>
    <t>Putnam</t>
  </si>
  <si>
    <t>Santa Rosa</t>
  </si>
  <si>
    <t>Sarasota</t>
  </si>
  <si>
    <t>Seminole</t>
  </si>
  <si>
    <t>Sumter</t>
  </si>
  <si>
    <t>Suwannee</t>
  </si>
  <si>
    <t>Taylor</t>
  </si>
  <si>
    <t>Union</t>
  </si>
  <si>
    <t>Volusia</t>
  </si>
  <si>
    <t>Wakulla</t>
  </si>
  <si>
    <t>Walton</t>
  </si>
  <si>
    <t>Washington</t>
  </si>
  <si>
    <t>Statewide</t>
  </si>
  <si>
    <t>Real Property Just Value and Growth Rate</t>
  </si>
  <si>
    <t>Personal Property Just Value and Growth Rate</t>
  </si>
  <si>
    <t>Centrally Assessed Property Just Value and Growth Rate</t>
  </si>
  <si>
    <t>Just Value All Property Types</t>
  </si>
  <si>
    <t>All Property Types Just Value and Growth Rate</t>
  </si>
  <si>
    <t>Statewide Just Value Summary Information by County</t>
  </si>
  <si>
    <t>Just Value is the value of the property without regard to a possible agricultural classification or Save Our Homes Deferred Amount.  Just Value is the reflection of the value of land if it were not classified as agricultural and had no SOH deferred amount.</t>
  </si>
  <si>
    <t xml:space="preserve">Contact Information: </t>
  </si>
  <si>
    <t xml:space="preserve">Property Tax Oversight, Research &amp; Analysis  </t>
  </si>
  <si>
    <t>Miami-Dade</t>
  </si>
  <si>
    <t xml:space="preserve">n/a </t>
  </si>
  <si>
    <t>PTOResearchAnalysis@floridarevenue.com</t>
  </si>
  <si>
    <t>2019 Value</t>
  </si>
  <si>
    <t>Percent increase 2019-2020</t>
  </si>
  <si>
    <t>2020 Value</t>
  </si>
  <si>
    <t xml:space="preserve"> 2021 Real Property
 Just Value</t>
  </si>
  <si>
    <t>2021 Personal Property Just Value</t>
  </si>
  <si>
    <t xml:space="preserve"> 2021 Central Assessment Just Value</t>
  </si>
  <si>
    <t>2021 Total
 Just Value</t>
  </si>
  <si>
    <t>2021 Value</t>
  </si>
  <si>
    <t>Percent increase 2020-2021</t>
  </si>
  <si>
    <t>2019-2021</t>
  </si>
  <si>
    <t>R-NVAB</t>
  </si>
  <si>
    <t>R-Final</t>
  </si>
  <si>
    <t>Data Extract: November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</si>
</sst>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x14ac:knownFonts="1">
    <font>
      <sz val="10"/>
      <name val="Arial"/>
    </font>
    <font>
      <sz val="10"/>
      <name val="Arial"/>
      <family val="2"/>
    </font>
    <font>
      <sz val="10"/>
      <name val="Arial"/>
      <family val="2"/>
    </font>
    <font>
      <sz val="8"/>
      <name val="Arial"/>
      <family val="2"/>
    </font>
    <font>
      <u/>
      <sz val="10"/>
      <color indexed="12"/>
      <name val="Arial"/>
      <family val="2"/>
    </font>
    <font>
      <sz val="10"/>
      <name val="Arial"/>
      <family val="2"/>
    </font>
    <font>
      <b/>
      <sz val="11"/>
      <name val="Arial"/>
      <family val="2"/>
    </font>
    <font>
      <sz val="11"/>
      <name val="Arial"/>
      <family val="2"/>
    </font>
    <font>
      <u/>
      <sz val="11"/>
      <color indexed="12"/>
      <name val="Arial"/>
      <family val="2"/>
    </font>
    <font>
      <i/>
      <sz val="11"/>
      <name val="Arial"/>
      <family val="2"/>
    </font>
    <font>
      <b/>
      <sz val="18"/>
      <name val="Arial"/>
      <family val="2"/>
    </font>
    <font>
      <b/>
      <sz val="10"/>
      <name val="Arial"/>
      <family val="2"/>
    </font>
  </fonts>
  <fills count="3">
    <fill>
      <patternFill patternType="none"/>
    </fill>
    <fill>
      <patternFill patternType="gray125"/>
    </fill>
    <fill>
      <patternFill patternType="solid">
        <fgColor indexed="22"/>
        <bgColor indexed="64"/>
      </patternFill>
    </fill>
  </fills>
  <borders count="22">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alignment vertical="top"/>
      <protection locked="0"/>
    </xf>
    <xf numFmtId="0" fontId="5" fillId="0" borderId="0" applyNumberFormat="0" applyFill="0" applyBorder="0" applyAlignment="0" applyProtection="0"/>
    <xf numFmtId="9" fontId="1" fillId="0" borderId="0" applyFont="0" applyFill="0" applyBorder="0" applyAlignment="0" applyProtection="0"/>
  </cellStyleXfs>
  <cellXfs count="49">
    <xf numFmtId="0" fontId="0" fillId="0" borderId="0" xfId="0"/>
    <xf numFmtId="0" fontId="6" fillId="0" borderId="0" xfId="0" applyFont="1"/>
    <xf numFmtId="0" fontId="7" fillId="0" borderId="0" xfId="0" applyFont="1"/>
    <xf numFmtId="3" fontId="7" fillId="0" borderId="0" xfId="0" applyNumberFormat="1" applyFont="1" applyAlignment="1">
      <alignment wrapText="1"/>
    </xf>
    <xf numFmtId="0" fontId="7" fillId="0" borderId="0" xfId="0" applyFont="1" applyAlignment="1">
      <alignment horizontal="left"/>
    </xf>
    <xf numFmtId="0" fontId="9" fillId="0" borderId="0" xfId="0" applyFont="1"/>
    <xf numFmtId="0" fontId="8" fillId="0" borderId="0" xfId="3" applyFont="1" applyAlignment="1" applyProtection="1"/>
    <xf numFmtId="0" fontId="10" fillId="0" borderId="0" xfId="0" applyFont="1" applyAlignment="1"/>
    <xf numFmtId="0" fontId="6" fillId="0" borderId="0" xfId="0" applyFont="1" applyAlignment="1">
      <alignment horizontal="center"/>
    </xf>
    <xf numFmtId="0" fontId="6" fillId="0" borderId="0" xfId="0" applyFont="1" applyAlignment="1"/>
    <xf numFmtId="0" fontId="6" fillId="0" borderId="0" xfId="0" applyFont="1" applyAlignment="1">
      <alignment horizontal="left"/>
    </xf>
    <xf numFmtId="0" fontId="7" fillId="0" borderId="0" xfId="0" applyFont="1" applyAlignment="1">
      <alignment horizontal="center"/>
    </xf>
    <xf numFmtId="0" fontId="7" fillId="0" borderId="1" xfId="0" applyFont="1" applyBorder="1"/>
    <xf numFmtId="0" fontId="7" fillId="0" borderId="2" xfId="0" applyFont="1" applyBorder="1" applyAlignment="1">
      <alignment horizontal="center"/>
    </xf>
    <xf numFmtId="3" fontId="7" fillId="0" borderId="2" xfId="0" applyNumberFormat="1" applyFont="1" applyBorder="1"/>
    <xf numFmtId="10" fontId="7" fillId="0" borderId="2" xfId="5" applyNumberFormat="1" applyFont="1" applyBorder="1" applyAlignment="1">
      <alignment horizontal="right"/>
    </xf>
    <xf numFmtId="3" fontId="7" fillId="0" borderId="3" xfId="0" applyNumberFormat="1" applyFont="1" applyBorder="1"/>
    <xf numFmtId="3" fontId="7" fillId="0" borderId="0" xfId="0" applyNumberFormat="1" applyFont="1"/>
    <xf numFmtId="0" fontId="7" fillId="0" borderId="4" xfId="0" applyFont="1" applyBorder="1"/>
    <xf numFmtId="0" fontId="7" fillId="0" borderId="5" xfId="0" applyFont="1" applyBorder="1" applyAlignment="1">
      <alignment horizontal="center"/>
    </xf>
    <xf numFmtId="2" fontId="7" fillId="0" borderId="5" xfId="0" applyNumberFormat="1" applyFont="1" applyBorder="1" applyAlignment="1">
      <alignment horizontal="center"/>
    </xf>
    <xf numFmtId="0" fontId="6" fillId="2" borderId="6" xfId="0" applyFont="1" applyFill="1" applyBorder="1"/>
    <xf numFmtId="0" fontId="6" fillId="2" borderId="7" xfId="0" applyFont="1" applyFill="1" applyBorder="1" applyAlignment="1">
      <alignment horizontal="center"/>
    </xf>
    <xf numFmtId="3" fontId="6" fillId="2" borderId="7" xfId="0" applyNumberFormat="1" applyFont="1" applyFill="1" applyBorder="1"/>
    <xf numFmtId="10" fontId="6" fillId="2" borderId="7" xfId="5" applyNumberFormat="1" applyFont="1" applyFill="1" applyBorder="1" applyAlignment="1">
      <alignment horizontal="right"/>
    </xf>
    <xf numFmtId="3" fontId="6" fillId="2" borderId="8" xfId="0" applyNumberFormat="1" applyFont="1" applyFill="1" applyBorder="1"/>
    <xf numFmtId="0" fontId="7" fillId="0" borderId="0" xfId="0" applyFont="1" applyFill="1" applyBorder="1"/>
    <xf numFmtId="3" fontId="7" fillId="0" borderId="2" xfId="0" applyNumberFormat="1" applyFont="1" applyBorder="1" applyAlignment="1">
      <alignment horizontal="right"/>
    </xf>
    <xf numFmtId="3" fontId="7" fillId="0" borderId="2" xfId="4" applyNumberFormat="1" applyFont="1" applyBorder="1"/>
    <xf numFmtId="3" fontId="7" fillId="0" borderId="3" xfId="1" applyNumberFormat="1" applyFont="1" applyBorder="1"/>
    <xf numFmtId="3" fontId="7" fillId="0" borderId="2" xfId="0" applyNumberFormat="1" applyFont="1" applyFill="1" applyBorder="1" applyAlignment="1">
      <alignment horizontal="right"/>
    </xf>
    <xf numFmtId="3" fontId="7" fillId="0" borderId="2" xfId="1" applyNumberFormat="1" applyFont="1" applyBorder="1" applyAlignment="1"/>
    <xf numFmtId="3" fontId="7" fillId="0" borderId="2" xfId="1" applyNumberFormat="1" applyFont="1" applyBorder="1"/>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2" fillId="0" borderId="0" xfId="0" applyFont="1" applyAlignment="1">
      <alignment horizontal="center" vertical="center"/>
    </xf>
    <xf numFmtId="0" fontId="11" fillId="2" borderId="12"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8" fillId="0" borderId="0" xfId="3" applyFont="1" applyAlignment="1" applyProtection="1">
      <alignment horizontal="left"/>
    </xf>
    <xf numFmtId="3" fontId="7" fillId="0" borderId="14" xfId="0" applyNumberFormat="1" applyFont="1" applyBorder="1" applyAlignment="1">
      <alignment horizontal="left" vertical="center" wrapText="1"/>
    </xf>
    <xf numFmtId="3" fontId="7" fillId="0" borderId="15" xfId="0" applyNumberFormat="1" applyFont="1" applyBorder="1" applyAlignment="1">
      <alignment horizontal="left" vertical="center" wrapText="1"/>
    </xf>
    <xf numFmtId="3" fontId="7" fillId="0" borderId="16" xfId="0" applyNumberFormat="1" applyFont="1" applyBorder="1" applyAlignment="1">
      <alignment horizontal="left" vertical="center" wrapText="1"/>
    </xf>
    <xf numFmtId="3" fontId="7" fillId="0" borderId="17" xfId="0" applyNumberFormat="1" applyFont="1" applyBorder="1" applyAlignment="1">
      <alignment horizontal="left" vertical="center" wrapText="1"/>
    </xf>
    <xf numFmtId="3" fontId="7" fillId="0" borderId="0" xfId="0" applyNumberFormat="1" applyFont="1" applyBorder="1" applyAlignment="1">
      <alignment horizontal="left" vertical="center" wrapText="1"/>
    </xf>
    <xf numFmtId="3" fontId="7" fillId="0" borderId="18" xfId="0" applyNumberFormat="1" applyFont="1" applyBorder="1" applyAlignment="1">
      <alignment horizontal="left" vertical="center" wrapText="1"/>
    </xf>
    <xf numFmtId="3" fontId="7" fillId="0" borderId="19" xfId="0" applyNumberFormat="1" applyFont="1" applyBorder="1" applyAlignment="1">
      <alignment horizontal="left" vertical="center" wrapText="1"/>
    </xf>
    <xf numFmtId="3" fontId="7" fillId="0" borderId="20" xfId="0" applyNumberFormat="1" applyFont="1" applyBorder="1" applyAlignment="1">
      <alignment horizontal="left" vertical="center" wrapText="1"/>
    </xf>
    <xf numFmtId="3" fontId="7" fillId="0" borderId="21" xfId="0" applyNumberFormat="1" applyFont="1" applyBorder="1" applyAlignment="1">
      <alignment horizontal="left" vertical="center" wrapText="1"/>
    </xf>
  </cellXfs>
  <cellStyles count="6">
    <cellStyle name="Comma" xfId="1" builtinId="3"/>
    <cellStyle name="Comma 2" xfId="2" xr:uid="{00000000-0005-0000-0000-000001000000}"/>
    <cellStyle name="Hyperlink" xfId="3" builtinId="8"/>
    <cellStyle name="Normal" xfId="0" builtinId="0"/>
    <cellStyle name="Normal 2" xfId="4" xr:uid="{00000000-0005-0000-0000-000004000000}"/>
    <cellStyle name="Percent" xfId="5" builtinId="5"/>
  </cellStyles>
  <dxfs count="10">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TOResearchAnalysis@floridarevenu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26"/>
  <sheetViews>
    <sheetView tabSelected="1" workbookViewId="0"/>
  </sheetViews>
  <sheetFormatPr defaultRowHeight="14.25" x14ac:dyDescent="0.2"/>
  <cols>
    <col min="1" max="16384" width="9.140625" style="2"/>
  </cols>
  <sheetData>
    <row r="2" spans="1:11" ht="15" x14ac:dyDescent="0.25">
      <c r="A2" s="1" t="s">
        <v>74</v>
      </c>
    </row>
    <row r="3" spans="1:11" ht="15" thickBot="1" x14ac:dyDescent="0.25"/>
    <row r="4" spans="1:11" x14ac:dyDescent="0.2">
      <c r="B4" s="40" t="s">
        <v>75</v>
      </c>
      <c r="C4" s="41"/>
      <c r="D4" s="41"/>
      <c r="E4" s="41"/>
      <c r="F4" s="41"/>
      <c r="G4" s="41"/>
      <c r="H4" s="42"/>
      <c r="I4" s="3"/>
      <c r="J4" s="3"/>
      <c r="K4" s="3"/>
    </row>
    <row r="5" spans="1:11" x14ac:dyDescent="0.2">
      <c r="B5" s="43"/>
      <c r="C5" s="44"/>
      <c r="D5" s="44"/>
      <c r="E5" s="44"/>
      <c r="F5" s="44"/>
      <c r="G5" s="44"/>
      <c r="H5" s="45"/>
      <c r="I5" s="3"/>
      <c r="J5" s="3"/>
      <c r="K5" s="3"/>
    </row>
    <row r="6" spans="1:11" x14ac:dyDescent="0.2">
      <c r="B6" s="43"/>
      <c r="C6" s="44"/>
      <c r="D6" s="44"/>
      <c r="E6" s="44"/>
      <c r="F6" s="44"/>
      <c r="G6" s="44"/>
      <c r="H6" s="45"/>
      <c r="I6" s="3"/>
      <c r="J6" s="3"/>
      <c r="K6" s="3"/>
    </row>
    <row r="7" spans="1:11" x14ac:dyDescent="0.2">
      <c r="B7" s="43"/>
      <c r="C7" s="44"/>
      <c r="D7" s="44"/>
      <c r="E7" s="44"/>
      <c r="F7" s="44"/>
      <c r="G7" s="44"/>
      <c r="H7" s="45"/>
      <c r="I7" s="3"/>
      <c r="J7" s="3"/>
      <c r="K7" s="3"/>
    </row>
    <row r="8" spans="1:11" x14ac:dyDescent="0.2">
      <c r="B8" s="43"/>
      <c r="C8" s="44"/>
      <c r="D8" s="44"/>
      <c r="E8" s="44"/>
      <c r="F8" s="44"/>
      <c r="G8" s="44"/>
      <c r="H8" s="45"/>
      <c r="I8" s="3"/>
      <c r="J8" s="3"/>
      <c r="K8" s="3"/>
    </row>
    <row r="9" spans="1:11" ht="15" thickBot="1" x14ac:dyDescent="0.25">
      <c r="B9" s="46"/>
      <c r="C9" s="47"/>
      <c r="D9" s="47"/>
      <c r="E9" s="47"/>
      <c r="F9" s="47"/>
      <c r="G9" s="47"/>
      <c r="H9" s="48"/>
      <c r="I9" s="3"/>
      <c r="J9" s="3"/>
      <c r="K9" s="3"/>
    </row>
    <row r="10" spans="1:11" x14ac:dyDescent="0.2">
      <c r="B10" s="3"/>
      <c r="C10" s="3"/>
      <c r="D10" s="3"/>
      <c r="E10" s="3"/>
      <c r="F10" s="3"/>
      <c r="G10" s="3"/>
      <c r="H10" s="3"/>
      <c r="I10" s="3"/>
      <c r="J10" s="3"/>
      <c r="K10" s="3"/>
    </row>
    <row r="11" spans="1:11" x14ac:dyDescent="0.2">
      <c r="B11" s="39" t="s">
        <v>72</v>
      </c>
      <c r="C11" s="39"/>
      <c r="D11" s="39"/>
      <c r="E11" s="39"/>
      <c r="F11" s="39"/>
      <c r="G11" s="39"/>
      <c r="H11" s="39"/>
      <c r="I11" s="3"/>
      <c r="J11" s="3"/>
      <c r="K11" s="3"/>
    </row>
    <row r="12" spans="1:11" x14ac:dyDescent="0.2">
      <c r="B12" s="4"/>
      <c r="C12" s="3"/>
      <c r="D12" s="3"/>
      <c r="E12" s="3"/>
      <c r="F12" s="3"/>
      <c r="G12" s="3"/>
      <c r="H12" s="3"/>
      <c r="I12" s="3"/>
      <c r="J12" s="3"/>
      <c r="K12" s="3"/>
    </row>
    <row r="13" spans="1:11" x14ac:dyDescent="0.2">
      <c r="B13" s="39" t="s">
        <v>73</v>
      </c>
      <c r="C13" s="39"/>
      <c r="D13" s="39"/>
      <c r="E13" s="39"/>
      <c r="F13" s="39"/>
      <c r="G13" s="39"/>
      <c r="H13" s="39"/>
    </row>
    <row r="15" spans="1:11" x14ac:dyDescent="0.2">
      <c r="B15" s="39" t="s">
        <v>69</v>
      </c>
      <c r="C15" s="39"/>
      <c r="D15" s="39"/>
      <c r="E15" s="39"/>
      <c r="F15" s="39"/>
      <c r="G15" s="39"/>
      <c r="H15" s="39"/>
    </row>
    <row r="17" spans="1:8" x14ac:dyDescent="0.2">
      <c r="B17" s="39" t="s">
        <v>70</v>
      </c>
      <c r="C17" s="39"/>
      <c r="D17" s="39"/>
      <c r="E17" s="39"/>
      <c r="F17" s="39"/>
      <c r="G17" s="39"/>
      <c r="H17" s="39"/>
    </row>
    <row r="19" spans="1:8" x14ac:dyDescent="0.2">
      <c r="B19" s="39" t="s">
        <v>71</v>
      </c>
      <c r="C19" s="39"/>
      <c r="D19" s="39"/>
      <c r="E19" s="39"/>
      <c r="F19" s="39"/>
      <c r="G19" s="39"/>
      <c r="H19" s="39"/>
    </row>
    <row r="25" spans="1:8" x14ac:dyDescent="0.2">
      <c r="A25" s="5" t="s">
        <v>76</v>
      </c>
      <c r="D25" s="5" t="s">
        <v>77</v>
      </c>
    </row>
    <row r="26" spans="1:8" x14ac:dyDescent="0.2">
      <c r="D26" s="6" t="s">
        <v>80</v>
      </c>
    </row>
  </sheetData>
  <mergeCells count="6">
    <mergeCell ref="B17:H17"/>
    <mergeCell ref="B19:H19"/>
    <mergeCell ref="B4:H9"/>
    <mergeCell ref="B11:H11"/>
    <mergeCell ref="B13:H13"/>
    <mergeCell ref="B15:H15"/>
  </mergeCells>
  <phoneticPr fontId="3" type="noConversion"/>
  <hyperlinks>
    <hyperlink ref="B11" location="'Just Value All Property Types'!A1" display="Just Value All Property Types 2010" xr:uid="{00000000-0004-0000-0000-000000000000}"/>
    <hyperlink ref="B13" location="'All Property Just Value'!A1" display="All Property Types Just Value and Growth Rate 2008 - 2010" xr:uid="{00000000-0004-0000-0000-000001000000}"/>
    <hyperlink ref="B15" location="'Real Property Just Value'!A1" display="Real Property Just Value and Growth Rate 2008 - 2010" xr:uid="{00000000-0004-0000-0000-000002000000}"/>
    <hyperlink ref="B17" location="'Personal Property Just Value'!A1" display="Personal Property Just Value and Growth Rate 2008 - 2010" xr:uid="{00000000-0004-0000-0000-000003000000}"/>
    <hyperlink ref="B19" location="'Centrally Assessed Just Value '!A1" display="Centrally Assessed Property Just Value and Growth Rate 2008 - 2010" xr:uid="{00000000-0004-0000-0000-000004000000}"/>
    <hyperlink ref="D26" r:id="rId1" xr:uid="{00000000-0004-0000-0000-000005000000}"/>
  </hyperlinks>
  <pageMargins left="0.75" right="0.75" top="1" bottom="1" header="0.5" footer="0.5"/>
  <pageSetup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5"/>
  <sheetViews>
    <sheetView zoomScaleNormal="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9.28515625" style="2" bestFit="1" customWidth="1"/>
    <col min="4" max="4" width="19.140625" style="2" bestFit="1" customWidth="1"/>
    <col min="5" max="5" width="22" style="2" bestFit="1" customWidth="1"/>
    <col min="6" max="6" width="18.42578125" style="2" bestFit="1" customWidth="1"/>
    <col min="7" max="16384" width="9.140625" style="2"/>
  </cols>
  <sheetData>
    <row r="1" spans="1:11" ht="23.25" x14ac:dyDescent="0.35">
      <c r="A1" s="7" t="s">
        <v>72</v>
      </c>
      <c r="B1" s="8"/>
      <c r="C1" s="9"/>
      <c r="D1" s="9"/>
      <c r="E1" s="9"/>
      <c r="F1" s="9"/>
    </row>
    <row r="2" spans="1:11" ht="15" x14ac:dyDescent="0.25">
      <c r="A2" s="10">
        <v>2021</v>
      </c>
      <c r="B2" s="10"/>
      <c r="C2" s="10"/>
      <c r="D2" s="10"/>
      <c r="E2" s="10"/>
      <c r="F2" s="10"/>
    </row>
    <row r="3" spans="1:11" ht="15" thickBot="1" x14ac:dyDescent="0.25"/>
    <row r="4" spans="1:11" s="36" customFormat="1" ht="25.5" x14ac:dyDescent="0.2">
      <c r="A4" s="33" t="s">
        <v>0</v>
      </c>
      <c r="B4" s="34" t="s">
        <v>1</v>
      </c>
      <c r="C4" s="34" t="s">
        <v>84</v>
      </c>
      <c r="D4" s="34" t="s">
        <v>85</v>
      </c>
      <c r="E4" s="34" t="s">
        <v>86</v>
      </c>
      <c r="F4" s="35" t="s">
        <v>87</v>
      </c>
    </row>
    <row r="5" spans="1:11" x14ac:dyDescent="0.2">
      <c r="A5" s="12" t="s">
        <v>4</v>
      </c>
      <c r="B5" s="13" t="s">
        <v>91</v>
      </c>
      <c r="C5" s="27">
        <v>28972195589</v>
      </c>
      <c r="D5" s="28">
        <v>3988980954</v>
      </c>
      <c r="E5" s="27">
        <v>28013196</v>
      </c>
      <c r="F5" s="29">
        <f>SUM(C5:E5)</f>
        <v>32989189739</v>
      </c>
    </row>
    <row r="6" spans="1:11" x14ac:dyDescent="0.2">
      <c r="A6" s="12" t="s">
        <v>5</v>
      </c>
      <c r="B6" s="13" t="s">
        <v>92</v>
      </c>
      <c r="C6" s="27">
        <v>2008594733</v>
      </c>
      <c r="D6" s="28">
        <v>213288918</v>
      </c>
      <c r="E6" s="27">
        <v>14685049</v>
      </c>
      <c r="F6" s="29">
        <f t="shared" ref="F6:F69" si="0">SUM(C6:E6)</f>
        <v>2236568700</v>
      </c>
      <c r="I6" s="17"/>
      <c r="K6" s="17"/>
    </row>
    <row r="7" spans="1:11" x14ac:dyDescent="0.2">
      <c r="A7" s="12" t="s">
        <v>6</v>
      </c>
      <c r="B7" s="13" t="s">
        <v>91</v>
      </c>
      <c r="C7" s="27">
        <v>24584194355</v>
      </c>
      <c r="D7" s="28">
        <v>2253318135</v>
      </c>
      <c r="E7" s="27">
        <v>33105085</v>
      </c>
      <c r="F7" s="29">
        <f t="shared" si="0"/>
        <v>26870617575</v>
      </c>
      <c r="I7" s="17"/>
      <c r="K7" s="17"/>
    </row>
    <row r="8" spans="1:11" x14ac:dyDescent="0.2">
      <c r="A8" s="12" t="s">
        <v>7</v>
      </c>
      <c r="B8" s="13" t="s">
        <v>92</v>
      </c>
      <c r="C8" s="27">
        <v>1669494760</v>
      </c>
      <c r="D8" s="28">
        <v>283098502</v>
      </c>
      <c r="E8" s="27">
        <v>17642751</v>
      </c>
      <c r="F8" s="29">
        <f t="shared" si="0"/>
        <v>1970236013</v>
      </c>
      <c r="I8" s="17"/>
      <c r="K8" s="17"/>
    </row>
    <row r="9" spans="1:11" x14ac:dyDescent="0.2">
      <c r="A9" s="12" t="s">
        <v>8</v>
      </c>
      <c r="B9" s="13" t="s">
        <v>91</v>
      </c>
      <c r="C9" s="27">
        <v>72815281750</v>
      </c>
      <c r="D9" s="28">
        <v>10220808159</v>
      </c>
      <c r="E9" s="27">
        <v>84712640</v>
      </c>
      <c r="F9" s="29">
        <f t="shared" si="0"/>
        <v>83120802549</v>
      </c>
      <c r="I9" s="17"/>
      <c r="K9" s="17"/>
    </row>
    <row r="10" spans="1:11" x14ac:dyDescent="0.2">
      <c r="A10" s="12" t="s">
        <v>9</v>
      </c>
      <c r="B10" s="13" t="s">
        <v>91</v>
      </c>
      <c r="C10" s="27">
        <v>309422844130</v>
      </c>
      <c r="D10" s="28">
        <v>10104909670</v>
      </c>
      <c r="E10" s="27">
        <v>98149701</v>
      </c>
      <c r="F10" s="29">
        <f t="shared" si="0"/>
        <v>319625903501</v>
      </c>
      <c r="I10" s="17"/>
      <c r="K10" s="17"/>
    </row>
    <row r="11" spans="1:11" x14ac:dyDescent="0.2">
      <c r="A11" s="12" t="s">
        <v>10</v>
      </c>
      <c r="B11" s="13" t="s">
        <v>92</v>
      </c>
      <c r="C11" s="27">
        <v>846113815</v>
      </c>
      <c r="D11" s="28">
        <v>133383210</v>
      </c>
      <c r="E11" s="27">
        <v>0</v>
      </c>
      <c r="F11" s="29">
        <f t="shared" si="0"/>
        <v>979497025</v>
      </c>
      <c r="I11" s="17"/>
      <c r="K11" s="17"/>
    </row>
    <row r="12" spans="1:11" x14ac:dyDescent="0.2">
      <c r="A12" s="12" t="s">
        <v>11</v>
      </c>
      <c r="B12" s="13" t="s">
        <v>91</v>
      </c>
      <c r="C12" s="27">
        <v>28242596176</v>
      </c>
      <c r="D12" s="28">
        <v>1424298660</v>
      </c>
      <c r="E12" s="27">
        <v>3007341</v>
      </c>
      <c r="F12" s="29">
        <f t="shared" si="0"/>
        <v>29669902177</v>
      </c>
      <c r="I12" s="17"/>
      <c r="K12" s="17"/>
    </row>
    <row r="13" spans="1:11" x14ac:dyDescent="0.2">
      <c r="A13" s="12" t="s">
        <v>12</v>
      </c>
      <c r="B13" s="13" t="s">
        <v>91</v>
      </c>
      <c r="C13" s="27">
        <v>15598946032</v>
      </c>
      <c r="D13" s="28">
        <v>3981349779</v>
      </c>
      <c r="E13" s="27">
        <v>1838974</v>
      </c>
      <c r="F13" s="29">
        <f t="shared" si="0"/>
        <v>19582134785</v>
      </c>
      <c r="I13" s="17"/>
      <c r="K13" s="17"/>
    </row>
    <row r="14" spans="1:11" x14ac:dyDescent="0.2">
      <c r="A14" s="12" t="s">
        <v>13</v>
      </c>
      <c r="B14" s="13" t="s">
        <v>91</v>
      </c>
      <c r="C14" s="27">
        <v>19638311624</v>
      </c>
      <c r="D14" s="28">
        <v>1543947609</v>
      </c>
      <c r="E14" s="27">
        <v>16027266</v>
      </c>
      <c r="F14" s="29">
        <f t="shared" si="0"/>
        <v>21198286499</v>
      </c>
      <c r="I14" s="17"/>
      <c r="K14" s="17"/>
    </row>
    <row r="15" spans="1:11" x14ac:dyDescent="0.2">
      <c r="A15" s="12" t="s">
        <v>14</v>
      </c>
      <c r="B15" s="13" t="s">
        <v>91</v>
      </c>
      <c r="C15" s="27">
        <v>128845656984</v>
      </c>
      <c r="D15" s="28">
        <v>2835430534</v>
      </c>
      <c r="E15" s="27">
        <v>192903</v>
      </c>
      <c r="F15" s="29">
        <f t="shared" si="0"/>
        <v>131681280421</v>
      </c>
      <c r="I15" s="17"/>
      <c r="K15" s="17"/>
    </row>
    <row r="16" spans="1:11" x14ac:dyDescent="0.2">
      <c r="A16" s="12" t="s">
        <v>15</v>
      </c>
      <c r="B16" s="13" t="s">
        <v>92</v>
      </c>
      <c r="C16" s="27">
        <v>4967087515</v>
      </c>
      <c r="D16" s="28">
        <v>690608410</v>
      </c>
      <c r="E16" s="27">
        <v>14837529</v>
      </c>
      <c r="F16" s="29">
        <f t="shared" si="0"/>
        <v>5672533454</v>
      </c>
      <c r="I16" s="17"/>
      <c r="K16" s="17"/>
    </row>
    <row r="17" spans="1:11" x14ac:dyDescent="0.2">
      <c r="A17" s="12" t="s">
        <v>78</v>
      </c>
      <c r="B17" s="13" t="s">
        <v>91</v>
      </c>
      <c r="C17" s="27">
        <v>451696699928</v>
      </c>
      <c r="D17" s="28">
        <v>19053337045</v>
      </c>
      <c r="E17" s="27">
        <v>148184954</v>
      </c>
      <c r="F17" s="29">
        <f t="shared" si="0"/>
        <v>470898221927</v>
      </c>
      <c r="I17" s="17"/>
      <c r="K17" s="17"/>
    </row>
    <row r="18" spans="1:11" x14ac:dyDescent="0.2">
      <c r="A18" s="12" t="s">
        <v>16</v>
      </c>
      <c r="B18" s="13" t="s">
        <v>91</v>
      </c>
      <c r="C18" s="27">
        <v>3638036858</v>
      </c>
      <c r="D18" s="28">
        <v>701968938</v>
      </c>
      <c r="E18" s="27">
        <v>4441811</v>
      </c>
      <c r="F18" s="29">
        <f t="shared" si="0"/>
        <v>4344447607</v>
      </c>
      <c r="I18" s="17"/>
      <c r="K18" s="17"/>
    </row>
    <row r="19" spans="1:11" x14ac:dyDescent="0.2">
      <c r="A19" s="12" t="s">
        <v>17</v>
      </c>
      <c r="B19" s="13" t="s">
        <v>92</v>
      </c>
      <c r="C19" s="27">
        <v>1395411567</v>
      </c>
      <c r="D19" s="28">
        <v>93860975</v>
      </c>
      <c r="E19" s="27">
        <v>0</v>
      </c>
      <c r="F19" s="29">
        <f t="shared" si="0"/>
        <v>1489272542</v>
      </c>
      <c r="I19" s="17"/>
      <c r="K19" s="17"/>
    </row>
    <row r="20" spans="1:11" x14ac:dyDescent="0.2">
      <c r="A20" s="12" t="s">
        <v>18</v>
      </c>
      <c r="B20" s="13" t="s">
        <v>91</v>
      </c>
      <c r="C20" s="27">
        <v>107771829196</v>
      </c>
      <c r="D20" s="28">
        <v>14790686117</v>
      </c>
      <c r="E20" s="27">
        <v>224217159</v>
      </c>
      <c r="F20" s="29">
        <f t="shared" si="0"/>
        <v>122786732472</v>
      </c>
      <c r="I20" s="17"/>
      <c r="K20" s="17"/>
    </row>
    <row r="21" spans="1:11" x14ac:dyDescent="0.2">
      <c r="A21" s="12" t="s">
        <v>19</v>
      </c>
      <c r="B21" s="13" t="s">
        <v>91</v>
      </c>
      <c r="C21" s="27">
        <v>32033691742</v>
      </c>
      <c r="D21" s="28">
        <v>3294821321</v>
      </c>
      <c r="E21" s="27">
        <v>29048500</v>
      </c>
      <c r="F21" s="29">
        <f t="shared" si="0"/>
        <v>35357561563</v>
      </c>
      <c r="I21" s="17"/>
      <c r="K21" s="17"/>
    </row>
    <row r="22" spans="1:11" x14ac:dyDescent="0.2">
      <c r="A22" s="12" t="s">
        <v>20</v>
      </c>
      <c r="B22" s="13" t="s">
        <v>91</v>
      </c>
      <c r="C22" s="27">
        <v>15821874223</v>
      </c>
      <c r="D22" s="28">
        <v>710973206</v>
      </c>
      <c r="E22" s="27">
        <v>25509054</v>
      </c>
      <c r="F22" s="29">
        <f t="shared" si="0"/>
        <v>16558356483</v>
      </c>
      <c r="I22" s="17"/>
      <c r="K22" s="17"/>
    </row>
    <row r="23" spans="1:11" x14ac:dyDescent="0.2">
      <c r="A23" s="12" t="s">
        <v>21</v>
      </c>
      <c r="B23" s="13" t="s">
        <v>92</v>
      </c>
      <c r="C23" s="27">
        <v>3414350516</v>
      </c>
      <c r="D23" s="28">
        <v>94797882</v>
      </c>
      <c r="E23" s="27">
        <v>523624</v>
      </c>
      <c r="F23" s="29">
        <f t="shared" si="0"/>
        <v>3509672022</v>
      </c>
      <c r="I23" s="17"/>
      <c r="K23" s="17"/>
    </row>
    <row r="24" spans="1:11" x14ac:dyDescent="0.2">
      <c r="A24" s="12" t="s">
        <v>22</v>
      </c>
      <c r="B24" s="13" t="s">
        <v>92</v>
      </c>
      <c r="C24" s="27">
        <v>2561174171</v>
      </c>
      <c r="D24" s="28">
        <v>668533148</v>
      </c>
      <c r="E24" s="27">
        <v>7742091</v>
      </c>
      <c r="F24" s="29">
        <f t="shared" si="0"/>
        <v>3237449410</v>
      </c>
      <c r="I24" s="17"/>
      <c r="K24" s="17"/>
    </row>
    <row r="25" spans="1:11" x14ac:dyDescent="0.2">
      <c r="A25" s="12" t="s">
        <v>23</v>
      </c>
      <c r="B25" s="13" t="s">
        <v>92</v>
      </c>
      <c r="C25" s="27">
        <v>1555238170</v>
      </c>
      <c r="D25" s="28">
        <v>333733857</v>
      </c>
      <c r="E25" s="27">
        <v>0</v>
      </c>
      <c r="F25" s="29">
        <f t="shared" si="0"/>
        <v>1888972027</v>
      </c>
      <c r="I25" s="17"/>
      <c r="K25" s="17"/>
    </row>
    <row r="26" spans="1:11" x14ac:dyDescent="0.2">
      <c r="A26" s="12" t="s">
        <v>24</v>
      </c>
      <c r="B26" s="13" t="s">
        <v>91</v>
      </c>
      <c r="C26" s="27">
        <v>3991583313</v>
      </c>
      <c r="D26" s="28">
        <v>156554800</v>
      </c>
      <c r="E26" s="27">
        <v>19085359</v>
      </c>
      <c r="F26" s="29">
        <f t="shared" si="0"/>
        <v>4167223472</v>
      </c>
      <c r="I26" s="17"/>
      <c r="K26" s="17"/>
    </row>
    <row r="27" spans="1:11" x14ac:dyDescent="0.2">
      <c r="A27" s="12" t="s">
        <v>25</v>
      </c>
      <c r="B27" s="13" t="s">
        <v>92</v>
      </c>
      <c r="C27" s="27">
        <v>3480831958</v>
      </c>
      <c r="D27" s="28">
        <v>116444943</v>
      </c>
      <c r="E27" s="27">
        <v>587330</v>
      </c>
      <c r="F27" s="29">
        <f t="shared" si="0"/>
        <v>3597864231</v>
      </c>
      <c r="I27" s="17"/>
      <c r="K27" s="17"/>
    </row>
    <row r="28" spans="1:11" x14ac:dyDescent="0.2">
      <c r="A28" s="12" t="s">
        <v>26</v>
      </c>
      <c r="B28" s="13" t="s">
        <v>92</v>
      </c>
      <c r="C28" s="27">
        <v>1044276240</v>
      </c>
      <c r="D28" s="28">
        <v>638907862</v>
      </c>
      <c r="E28" s="27">
        <v>26849259</v>
      </c>
      <c r="F28" s="29">
        <f t="shared" si="0"/>
        <v>1710033361</v>
      </c>
      <c r="I28" s="17"/>
      <c r="K28" s="17"/>
    </row>
    <row r="29" spans="1:11" x14ac:dyDescent="0.2">
      <c r="A29" s="12" t="s">
        <v>27</v>
      </c>
      <c r="B29" s="13" t="s">
        <v>91</v>
      </c>
      <c r="C29" s="27">
        <v>3179977831</v>
      </c>
      <c r="D29" s="28">
        <v>845290892</v>
      </c>
      <c r="E29" s="27">
        <v>8761092</v>
      </c>
      <c r="F29" s="29">
        <f t="shared" si="0"/>
        <v>4034029815</v>
      </c>
      <c r="I29" s="17"/>
      <c r="K29" s="17"/>
    </row>
    <row r="30" spans="1:11" x14ac:dyDescent="0.2">
      <c r="A30" s="12" t="s">
        <v>28</v>
      </c>
      <c r="B30" s="13" t="s">
        <v>91</v>
      </c>
      <c r="C30" s="27">
        <v>6046303637</v>
      </c>
      <c r="D30" s="28">
        <v>975989515</v>
      </c>
      <c r="E30" s="27">
        <v>6152374</v>
      </c>
      <c r="F30" s="29">
        <f t="shared" si="0"/>
        <v>7028445526</v>
      </c>
      <c r="I30" s="17"/>
      <c r="K30" s="17"/>
    </row>
    <row r="31" spans="1:11" x14ac:dyDescent="0.2">
      <c r="A31" s="12" t="s">
        <v>29</v>
      </c>
      <c r="B31" s="13" t="s">
        <v>91</v>
      </c>
      <c r="C31" s="27">
        <v>17656640651</v>
      </c>
      <c r="D31" s="28">
        <v>1817024643</v>
      </c>
      <c r="E31" s="27">
        <v>10968325</v>
      </c>
      <c r="F31" s="29">
        <f t="shared" si="0"/>
        <v>19484633619</v>
      </c>
      <c r="I31" s="17"/>
      <c r="K31" s="17"/>
    </row>
    <row r="32" spans="1:11" x14ac:dyDescent="0.2">
      <c r="A32" s="12" t="s">
        <v>30</v>
      </c>
      <c r="B32" s="13" t="s">
        <v>91</v>
      </c>
      <c r="C32" s="27">
        <v>8441248867</v>
      </c>
      <c r="D32" s="28">
        <v>751757665</v>
      </c>
      <c r="E32" s="27">
        <v>38105775</v>
      </c>
      <c r="F32" s="29">
        <f t="shared" si="0"/>
        <v>9231112307</v>
      </c>
      <c r="I32" s="17"/>
      <c r="K32" s="17"/>
    </row>
    <row r="33" spans="1:11" x14ac:dyDescent="0.2">
      <c r="A33" s="12" t="s">
        <v>31</v>
      </c>
      <c r="B33" s="13" t="s">
        <v>91</v>
      </c>
      <c r="C33" s="27">
        <v>172452405423</v>
      </c>
      <c r="D33" s="28">
        <v>11845650280</v>
      </c>
      <c r="E33" s="27">
        <v>130723891</v>
      </c>
      <c r="F33" s="29">
        <f t="shared" si="0"/>
        <v>184428779594</v>
      </c>
      <c r="I33" s="17"/>
      <c r="K33" s="17"/>
    </row>
    <row r="34" spans="1:11" x14ac:dyDescent="0.2">
      <c r="A34" s="12" t="s">
        <v>32</v>
      </c>
      <c r="B34" s="13" t="s">
        <v>92</v>
      </c>
      <c r="C34" s="27">
        <v>1120191982</v>
      </c>
      <c r="D34" s="28">
        <v>99918420</v>
      </c>
      <c r="E34" s="27">
        <v>3560975</v>
      </c>
      <c r="F34" s="29">
        <f t="shared" si="0"/>
        <v>1223671377</v>
      </c>
      <c r="I34" s="17"/>
      <c r="K34" s="17"/>
    </row>
    <row r="35" spans="1:11" x14ac:dyDescent="0.2">
      <c r="A35" s="12" t="s">
        <v>33</v>
      </c>
      <c r="B35" s="13" t="s">
        <v>91</v>
      </c>
      <c r="C35" s="27">
        <v>29306498913</v>
      </c>
      <c r="D35" s="28">
        <v>850748919</v>
      </c>
      <c r="E35" s="27">
        <v>24551919</v>
      </c>
      <c r="F35" s="29">
        <f t="shared" si="0"/>
        <v>30181799751</v>
      </c>
      <c r="I35" s="17"/>
      <c r="K35" s="17"/>
    </row>
    <row r="36" spans="1:11" x14ac:dyDescent="0.2">
      <c r="A36" s="12" t="s">
        <v>34</v>
      </c>
      <c r="B36" s="13" t="s">
        <v>92</v>
      </c>
      <c r="C36" s="27">
        <v>2906243635</v>
      </c>
      <c r="D36" s="28">
        <v>455867992</v>
      </c>
      <c r="E36" s="27">
        <v>26888388</v>
      </c>
      <c r="F36" s="29">
        <f t="shared" si="0"/>
        <v>3389000015</v>
      </c>
      <c r="I36" s="17"/>
      <c r="K36" s="17"/>
    </row>
    <row r="37" spans="1:11" x14ac:dyDescent="0.2">
      <c r="A37" s="12" t="s">
        <v>35</v>
      </c>
      <c r="B37" s="13" t="s">
        <v>92</v>
      </c>
      <c r="C37" s="27">
        <v>1557828841</v>
      </c>
      <c r="D37" s="28">
        <v>171059426</v>
      </c>
      <c r="E37" s="27">
        <v>2910419</v>
      </c>
      <c r="F37" s="29">
        <f t="shared" si="0"/>
        <v>1731798686</v>
      </c>
      <c r="I37" s="17"/>
      <c r="K37" s="17"/>
    </row>
    <row r="38" spans="1:11" x14ac:dyDescent="0.2">
      <c r="A38" s="12" t="s">
        <v>36</v>
      </c>
      <c r="B38" s="13" t="s">
        <v>92</v>
      </c>
      <c r="C38" s="27">
        <v>731038796</v>
      </c>
      <c r="D38" s="28">
        <v>73281607</v>
      </c>
      <c r="E38" s="27">
        <v>0</v>
      </c>
      <c r="F38" s="29">
        <f t="shared" si="0"/>
        <v>804320403</v>
      </c>
      <c r="I38" s="17"/>
      <c r="K38" s="17"/>
    </row>
    <row r="39" spans="1:11" x14ac:dyDescent="0.2">
      <c r="A39" s="12" t="s">
        <v>37</v>
      </c>
      <c r="B39" s="13" t="s">
        <v>91</v>
      </c>
      <c r="C39" s="27">
        <v>37950388982</v>
      </c>
      <c r="D39" s="28">
        <v>2097201257</v>
      </c>
      <c r="E39" s="27">
        <v>20096964</v>
      </c>
      <c r="F39" s="29">
        <f t="shared" si="0"/>
        <v>40067687203</v>
      </c>
      <c r="I39" s="17"/>
      <c r="K39" s="17"/>
    </row>
    <row r="40" spans="1:11" x14ac:dyDescent="0.2">
      <c r="A40" s="12" t="s">
        <v>38</v>
      </c>
      <c r="B40" s="13" t="s">
        <v>91</v>
      </c>
      <c r="C40" s="27">
        <v>127197867890</v>
      </c>
      <c r="D40" s="28">
        <v>5839513281</v>
      </c>
      <c r="E40" s="27">
        <v>5191529</v>
      </c>
      <c r="F40" s="29">
        <f t="shared" si="0"/>
        <v>133042572700</v>
      </c>
      <c r="I40" s="17"/>
      <c r="K40" s="17"/>
    </row>
    <row r="41" spans="1:11" x14ac:dyDescent="0.2">
      <c r="A41" s="12" t="s">
        <v>39</v>
      </c>
      <c r="B41" s="13" t="s">
        <v>91</v>
      </c>
      <c r="C41" s="27">
        <v>30558567400</v>
      </c>
      <c r="D41" s="28">
        <v>2209204941</v>
      </c>
      <c r="E41" s="27">
        <v>5535968</v>
      </c>
      <c r="F41" s="29">
        <f t="shared" si="0"/>
        <v>32773308309</v>
      </c>
      <c r="I41" s="17"/>
      <c r="K41" s="17"/>
    </row>
    <row r="42" spans="1:11" x14ac:dyDescent="0.2">
      <c r="A42" s="12" t="s">
        <v>40</v>
      </c>
      <c r="B42" s="13" t="s">
        <v>92</v>
      </c>
      <c r="C42" s="27">
        <v>4888306885</v>
      </c>
      <c r="D42" s="28">
        <v>413457689</v>
      </c>
      <c r="E42" s="27">
        <v>3693700</v>
      </c>
      <c r="F42" s="29">
        <f t="shared" si="0"/>
        <v>5305458274</v>
      </c>
      <c r="I42" s="17"/>
      <c r="K42" s="17"/>
    </row>
    <row r="43" spans="1:11" x14ac:dyDescent="0.2">
      <c r="A43" s="12" t="s">
        <v>41</v>
      </c>
      <c r="B43" s="13" t="s">
        <v>92</v>
      </c>
      <c r="C43" s="27">
        <v>876229603</v>
      </c>
      <c r="D43" s="28">
        <v>134282881</v>
      </c>
      <c r="E43" s="27">
        <v>678405</v>
      </c>
      <c r="F43" s="29">
        <f t="shared" si="0"/>
        <v>1011190889</v>
      </c>
      <c r="I43" s="17"/>
      <c r="K43" s="17"/>
    </row>
    <row r="44" spans="1:11" x14ac:dyDescent="0.2">
      <c r="A44" s="12" t="s">
        <v>42</v>
      </c>
      <c r="B44" s="13" t="s">
        <v>92</v>
      </c>
      <c r="C44" s="27">
        <v>1389387782</v>
      </c>
      <c r="D44" s="28">
        <v>221354582</v>
      </c>
      <c r="E44" s="27">
        <v>8358063</v>
      </c>
      <c r="F44" s="29">
        <f t="shared" si="0"/>
        <v>1619100427</v>
      </c>
      <c r="I44" s="17"/>
      <c r="K44" s="17"/>
    </row>
    <row r="45" spans="1:11" x14ac:dyDescent="0.2">
      <c r="A45" s="12" t="s">
        <v>43</v>
      </c>
      <c r="B45" s="13" t="s">
        <v>91</v>
      </c>
      <c r="C45" s="27">
        <v>56481314112</v>
      </c>
      <c r="D45" s="28">
        <v>3707492179</v>
      </c>
      <c r="E45" s="27">
        <v>9629951</v>
      </c>
      <c r="F45" s="29">
        <f t="shared" si="0"/>
        <v>60198436242</v>
      </c>
      <c r="I45" s="17"/>
      <c r="K45" s="17"/>
    </row>
    <row r="46" spans="1:11" x14ac:dyDescent="0.2">
      <c r="A46" s="12" t="s">
        <v>44</v>
      </c>
      <c r="B46" s="13" t="s">
        <v>91</v>
      </c>
      <c r="C46" s="27">
        <v>35441540110</v>
      </c>
      <c r="D46" s="28">
        <v>2106489927</v>
      </c>
      <c r="E46" s="27">
        <v>28519034</v>
      </c>
      <c r="F46" s="29">
        <f t="shared" si="0"/>
        <v>37576549071</v>
      </c>
      <c r="I46" s="17"/>
      <c r="K46" s="17"/>
    </row>
    <row r="47" spans="1:11" x14ac:dyDescent="0.2">
      <c r="A47" s="12" t="s">
        <v>45</v>
      </c>
      <c r="B47" s="13" t="s">
        <v>91</v>
      </c>
      <c r="C47" s="27">
        <v>33029220022</v>
      </c>
      <c r="D47" s="28">
        <v>3187625099</v>
      </c>
      <c r="E47" s="27">
        <v>68352425</v>
      </c>
      <c r="F47" s="29">
        <f t="shared" si="0"/>
        <v>36285197546</v>
      </c>
      <c r="I47" s="17"/>
      <c r="K47" s="17"/>
    </row>
    <row r="48" spans="1:11" x14ac:dyDescent="0.2">
      <c r="A48" s="12" t="s">
        <v>46</v>
      </c>
      <c r="B48" s="13" t="s">
        <v>91</v>
      </c>
      <c r="C48" s="27">
        <v>41773723477</v>
      </c>
      <c r="D48" s="28">
        <v>905787545</v>
      </c>
      <c r="E48" s="27">
        <v>0</v>
      </c>
      <c r="F48" s="29">
        <f t="shared" si="0"/>
        <v>42679511022</v>
      </c>
      <c r="I48" s="17"/>
      <c r="K48" s="17"/>
    </row>
    <row r="49" spans="1:11" x14ac:dyDescent="0.2">
      <c r="A49" s="12" t="s">
        <v>47</v>
      </c>
      <c r="B49" s="13" t="s">
        <v>91</v>
      </c>
      <c r="C49" s="27">
        <v>15825469130</v>
      </c>
      <c r="D49" s="28">
        <v>1496386347</v>
      </c>
      <c r="E49" s="27">
        <v>45655186</v>
      </c>
      <c r="F49" s="29">
        <f t="shared" si="0"/>
        <v>17367510663</v>
      </c>
      <c r="I49" s="17"/>
      <c r="K49" s="17"/>
    </row>
    <row r="50" spans="1:11" x14ac:dyDescent="0.2">
      <c r="A50" s="12" t="s">
        <v>48</v>
      </c>
      <c r="B50" s="13" t="s">
        <v>91</v>
      </c>
      <c r="C50" s="27">
        <v>28786641895</v>
      </c>
      <c r="D50" s="28">
        <v>1041372026</v>
      </c>
      <c r="E50" s="27">
        <v>4111036</v>
      </c>
      <c r="F50" s="29">
        <f t="shared" si="0"/>
        <v>29832124957</v>
      </c>
      <c r="I50" s="17"/>
      <c r="K50" s="17"/>
    </row>
    <row r="51" spans="1:11" x14ac:dyDescent="0.2">
      <c r="A51" s="12" t="s">
        <v>49</v>
      </c>
      <c r="B51" s="13" t="s">
        <v>91</v>
      </c>
      <c r="C51" s="27">
        <v>4912591733</v>
      </c>
      <c r="D51" s="28">
        <v>1733886831</v>
      </c>
      <c r="E51" s="27">
        <v>11388330</v>
      </c>
      <c r="F51" s="29">
        <f t="shared" si="0"/>
        <v>6657866894</v>
      </c>
      <c r="I51" s="17"/>
      <c r="K51" s="17"/>
    </row>
    <row r="52" spans="1:11" x14ac:dyDescent="0.2">
      <c r="A52" s="12" t="s">
        <v>50</v>
      </c>
      <c r="B52" s="13" t="s">
        <v>91</v>
      </c>
      <c r="C52" s="27">
        <v>211317193847</v>
      </c>
      <c r="D52" s="28">
        <v>16758628583</v>
      </c>
      <c r="E52" s="27">
        <v>59815275</v>
      </c>
      <c r="F52" s="29">
        <f t="shared" si="0"/>
        <v>228135637705</v>
      </c>
      <c r="I52" s="17"/>
      <c r="K52" s="17"/>
    </row>
    <row r="53" spans="1:11" x14ac:dyDescent="0.2">
      <c r="A53" s="12" t="s">
        <v>51</v>
      </c>
      <c r="B53" s="13" t="s">
        <v>91</v>
      </c>
      <c r="C53" s="27">
        <v>47295622495</v>
      </c>
      <c r="D53" s="28">
        <v>3293289564</v>
      </c>
      <c r="E53" s="27">
        <v>6391045</v>
      </c>
      <c r="F53" s="29">
        <f t="shared" si="0"/>
        <v>50595303104</v>
      </c>
      <c r="I53" s="17"/>
      <c r="K53" s="17"/>
    </row>
    <row r="54" spans="1:11" x14ac:dyDescent="0.2">
      <c r="A54" s="12" t="s">
        <v>52</v>
      </c>
      <c r="B54" s="13" t="s">
        <v>91</v>
      </c>
      <c r="C54" s="27">
        <v>296574223797</v>
      </c>
      <c r="D54" s="28">
        <v>11933611062</v>
      </c>
      <c r="E54" s="27">
        <v>186232691</v>
      </c>
      <c r="F54" s="29">
        <f t="shared" si="0"/>
        <v>308694067550</v>
      </c>
      <c r="I54" s="17"/>
      <c r="K54" s="17"/>
    </row>
    <row r="55" spans="1:11" x14ac:dyDescent="0.2">
      <c r="A55" s="12" t="s">
        <v>53</v>
      </c>
      <c r="B55" s="13" t="s">
        <v>91</v>
      </c>
      <c r="C55" s="27">
        <v>52223666652</v>
      </c>
      <c r="D55" s="28">
        <v>3243128015</v>
      </c>
      <c r="E55" s="27">
        <v>21440225</v>
      </c>
      <c r="F55" s="29">
        <f t="shared" si="0"/>
        <v>55488234892</v>
      </c>
      <c r="I55" s="17"/>
      <c r="K55" s="17"/>
    </row>
    <row r="56" spans="1:11" x14ac:dyDescent="0.2">
      <c r="A56" s="12" t="s">
        <v>54</v>
      </c>
      <c r="B56" s="13" t="s">
        <v>91</v>
      </c>
      <c r="C56" s="27">
        <v>144497445448</v>
      </c>
      <c r="D56" s="28">
        <v>6526052124</v>
      </c>
      <c r="E56" s="27">
        <v>12583233</v>
      </c>
      <c r="F56" s="29">
        <f t="shared" si="0"/>
        <v>151036080805</v>
      </c>
      <c r="I56" s="17"/>
      <c r="K56" s="17"/>
    </row>
    <row r="57" spans="1:11" x14ac:dyDescent="0.2">
      <c r="A57" s="12" t="s">
        <v>55</v>
      </c>
      <c r="B57" s="13" t="s">
        <v>91</v>
      </c>
      <c r="C57" s="27">
        <v>59282417394</v>
      </c>
      <c r="D57" s="28">
        <v>8273472841</v>
      </c>
      <c r="E57" s="27">
        <v>125299945</v>
      </c>
      <c r="F57" s="29">
        <f t="shared" si="0"/>
        <v>67681190180</v>
      </c>
      <c r="I57" s="17"/>
      <c r="K57" s="17"/>
    </row>
    <row r="58" spans="1:11" x14ac:dyDescent="0.2">
      <c r="A58" s="12" t="s">
        <v>56</v>
      </c>
      <c r="B58" s="13" t="s">
        <v>91</v>
      </c>
      <c r="C58" s="27">
        <v>6404253460</v>
      </c>
      <c r="D58" s="28">
        <v>2453994650</v>
      </c>
      <c r="E58" s="27">
        <v>17240716</v>
      </c>
      <c r="F58" s="29">
        <f t="shared" si="0"/>
        <v>8875488826</v>
      </c>
      <c r="I58" s="17"/>
      <c r="K58" s="17"/>
    </row>
    <row r="59" spans="1:11" x14ac:dyDescent="0.2">
      <c r="A59" s="12" t="s">
        <v>2</v>
      </c>
      <c r="B59" s="13" t="s">
        <v>91</v>
      </c>
      <c r="C59" s="27">
        <v>46928249672</v>
      </c>
      <c r="D59" s="28">
        <v>1634142042</v>
      </c>
      <c r="E59" s="27">
        <v>39390286</v>
      </c>
      <c r="F59" s="29">
        <f t="shared" si="0"/>
        <v>48601782000</v>
      </c>
      <c r="I59" s="17"/>
      <c r="K59" s="17"/>
    </row>
    <row r="60" spans="1:11" x14ac:dyDescent="0.2">
      <c r="A60" s="12" t="s">
        <v>3</v>
      </c>
      <c r="B60" s="13" t="s">
        <v>91</v>
      </c>
      <c r="C60" s="27">
        <v>36809572794</v>
      </c>
      <c r="D60" s="28">
        <v>5532660118</v>
      </c>
      <c r="E60" s="27">
        <v>55286149</v>
      </c>
      <c r="F60" s="29">
        <f t="shared" si="0"/>
        <v>42397519061</v>
      </c>
      <c r="I60" s="17"/>
      <c r="K60" s="17"/>
    </row>
    <row r="61" spans="1:11" x14ac:dyDescent="0.2">
      <c r="A61" s="12" t="s">
        <v>57</v>
      </c>
      <c r="B61" s="13" t="s">
        <v>91</v>
      </c>
      <c r="C61" s="27">
        <v>19081193231</v>
      </c>
      <c r="D61" s="28">
        <v>856836313</v>
      </c>
      <c r="E61" s="27">
        <v>3831123</v>
      </c>
      <c r="F61" s="29">
        <f t="shared" si="0"/>
        <v>19941860667</v>
      </c>
      <c r="I61" s="17"/>
      <c r="K61" s="17"/>
    </row>
    <row r="62" spans="1:11" x14ac:dyDescent="0.2">
      <c r="A62" s="12" t="s">
        <v>58</v>
      </c>
      <c r="B62" s="13" t="s">
        <v>91</v>
      </c>
      <c r="C62" s="27">
        <v>93052245400</v>
      </c>
      <c r="D62" s="28">
        <v>2954634888</v>
      </c>
      <c r="E62" s="27">
        <v>893996</v>
      </c>
      <c r="F62" s="29">
        <f t="shared" si="0"/>
        <v>96007774284</v>
      </c>
      <c r="I62" s="17"/>
      <c r="K62" s="17"/>
    </row>
    <row r="63" spans="1:11" x14ac:dyDescent="0.2">
      <c r="A63" s="12" t="s">
        <v>59</v>
      </c>
      <c r="B63" s="13" t="s">
        <v>91</v>
      </c>
      <c r="C63" s="27">
        <v>54174489815</v>
      </c>
      <c r="D63" s="28">
        <v>2780602095</v>
      </c>
      <c r="E63" s="27">
        <v>13863051</v>
      </c>
      <c r="F63" s="29">
        <f t="shared" si="0"/>
        <v>56968954961</v>
      </c>
      <c r="I63" s="17"/>
      <c r="K63" s="17"/>
    </row>
    <row r="64" spans="1:11" x14ac:dyDescent="0.2">
      <c r="A64" s="12" t="s">
        <v>60</v>
      </c>
      <c r="B64" s="13" t="s">
        <v>91</v>
      </c>
      <c r="C64" s="27">
        <v>20552693024</v>
      </c>
      <c r="D64" s="28">
        <v>1073294041</v>
      </c>
      <c r="E64" s="27">
        <v>16195160</v>
      </c>
      <c r="F64" s="29">
        <f t="shared" si="0"/>
        <v>21642182225</v>
      </c>
      <c r="I64" s="17"/>
      <c r="K64" s="17"/>
    </row>
    <row r="65" spans="1:11" x14ac:dyDescent="0.2">
      <c r="A65" s="12" t="s">
        <v>61</v>
      </c>
      <c r="B65" s="13" t="s">
        <v>92</v>
      </c>
      <c r="C65" s="27">
        <v>2742286167</v>
      </c>
      <c r="D65" s="28">
        <v>748478067</v>
      </c>
      <c r="E65" s="27">
        <v>3886571</v>
      </c>
      <c r="F65" s="29">
        <f t="shared" si="0"/>
        <v>3494650805</v>
      </c>
      <c r="I65" s="17"/>
      <c r="K65" s="17"/>
    </row>
    <row r="66" spans="1:11" x14ac:dyDescent="0.2">
      <c r="A66" s="12" t="s">
        <v>62</v>
      </c>
      <c r="B66" s="13" t="s">
        <v>92</v>
      </c>
      <c r="C66" s="27">
        <v>1890797862</v>
      </c>
      <c r="D66" s="28">
        <v>916556798</v>
      </c>
      <c r="E66" s="27">
        <v>11334097</v>
      </c>
      <c r="F66" s="29">
        <f t="shared" si="0"/>
        <v>2818688757</v>
      </c>
      <c r="I66" s="17"/>
      <c r="K66" s="17"/>
    </row>
    <row r="67" spans="1:11" x14ac:dyDescent="0.2">
      <c r="A67" s="12" t="s">
        <v>63</v>
      </c>
      <c r="B67" s="13" t="s">
        <v>92</v>
      </c>
      <c r="C67" s="27">
        <v>818341860</v>
      </c>
      <c r="D67" s="28">
        <v>88506542</v>
      </c>
      <c r="E67" s="27">
        <v>0</v>
      </c>
      <c r="F67" s="29">
        <f t="shared" si="0"/>
        <v>906848402</v>
      </c>
      <c r="I67" s="17"/>
      <c r="K67" s="17"/>
    </row>
    <row r="68" spans="1:11" x14ac:dyDescent="0.2">
      <c r="A68" s="12" t="s">
        <v>64</v>
      </c>
      <c r="B68" s="13" t="s">
        <v>91</v>
      </c>
      <c r="C68" s="27">
        <v>64211811888</v>
      </c>
      <c r="D68" s="28">
        <v>4352958410</v>
      </c>
      <c r="E68" s="27">
        <v>70234706</v>
      </c>
      <c r="F68" s="29">
        <f t="shared" si="0"/>
        <v>68635005004</v>
      </c>
      <c r="I68" s="17"/>
      <c r="K68" s="17"/>
    </row>
    <row r="69" spans="1:11" x14ac:dyDescent="0.2">
      <c r="A69" s="12" t="s">
        <v>65</v>
      </c>
      <c r="B69" s="13" t="s">
        <v>92</v>
      </c>
      <c r="C69" s="27">
        <v>2946161837</v>
      </c>
      <c r="D69" s="28">
        <v>195831629</v>
      </c>
      <c r="E69" s="27">
        <v>0</v>
      </c>
      <c r="F69" s="29">
        <f t="shared" si="0"/>
        <v>3141993466</v>
      </c>
      <c r="I69" s="17"/>
      <c r="K69" s="17"/>
    </row>
    <row r="70" spans="1:11" x14ac:dyDescent="0.2">
      <c r="A70" s="12" t="s">
        <v>66</v>
      </c>
      <c r="B70" s="13" t="s">
        <v>92</v>
      </c>
      <c r="C70" s="27">
        <v>30555338060</v>
      </c>
      <c r="D70" s="28">
        <v>693919502</v>
      </c>
      <c r="E70" s="27">
        <v>3314174</v>
      </c>
      <c r="F70" s="29">
        <f>SUM(C70:E70)</f>
        <v>31252571736</v>
      </c>
      <c r="I70" s="17"/>
      <c r="K70" s="17"/>
    </row>
    <row r="71" spans="1:11" x14ac:dyDescent="0.2">
      <c r="A71" s="12" t="s">
        <v>67</v>
      </c>
      <c r="B71" s="13" t="s">
        <v>92</v>
      </c>
      <c r="C71" s="30">
        <v>1587854688</v>
      </c>
      <c r="D71" s="28">
        <v>263038611</v>
      </c>
      <c r="E71" s="30">
        <v>1947078</v>
      </c>
      <c r="F71" s="29">
        <f>SUM(C71:E71)</f>
        <v>1852840377</v>
      </c>
      <c r="I71" s="17"/>
      <c r="K71" s="17"/>
    </row>
    <row r="72" spans="1:11" x14ac:dyDescent="0.2">
      <c r="A72" s="12"/>
      <c r="B72" s="13"/>
      <c r="C72" s="31"/>
      <c r="D72" s="31"/>
      <c r="E72" s="32"/>
      <c r="F72" s="29"/>
      <c r="I72" s="17"/>
      <c r="K72" s="17"/>
    </row>
    <row r="73" spans="1:11" ht="15.75" thickBot="1" x14ac:dyDescent="0.3">
      <c r="A73" s="21" t="s">
        <v>68</v>
      </c>
      <c r="B73" s="22"/>
      <c r="C73" s="23">
        <f>SUM(C5:C71)</f>
        <v>3121471802333</v>
      </c>
      <c r="D73" s="23">
        <f>SUM(D5:D71)</f>
        <v>195882322473</v>
      </c>
      <c r="E73" s="23">
        <f>SUM(E5:E71)</f>
        <v>1911414846</v>
      </c>
      <c r="F73" s="25">
        <f>SUM(F5:F71)</f>
        <v>3319265539652</v>
      </c>
      <c r="I73" s="17"/>
      <c r="K73" s="17"/>
    </row>
    <row r="74" spans="1:11" x14ac:dyDescent="0.2">
      <c r="I74" s="17"/>
      <c r="K74" s="17"/>
    </row>
    <row r="75" spans="1:11" x14ac:dyDescent="0.2">
      <c r="A75" s="26" t="s">
        <v>93</v>
      </c>
      <c r="F75" s="17"/>
    </row>
  </sheetData>
  <phoneticPr fontId="3" type="noConversion"/>
  <conditionalFormatting sqref="A75">
    <cfRule type="expression" dxfId="9" priority="1" stopIfTrue="1">
      <formula>MOD(ROW(),5)=1</formula>
    </cfRule>
  </conditionalFormatting>
  <conditionalFormatting sqref="A4:F73">
    <cfRule type="expression" dxfId="8" priority="2" stopIfTrue="1">
      <formula>MOD(ROW(),3)=1</formula>
    </cfRule>
  </conditionalFormatting>
  <pageMargins left="0.75" right="0.75" top="1" bottom="1" header="0.5" footer="0.5"/>
  <pageSetup scale="8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6"/>
  <sheetViews>
    <sheetView zoomScaleNormal="100" zoomScaleSheetLayoutView="100" workbookViewId="0">
      <pane ySplit="4" topLeftCell="A5" activePane="bottomLeft" state="frozen"/>
      <selection sqref="A1:XFD1048576"/>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18" ht="23.25" x14ac:dyDescent="0.35">
      <c r="A1" s="7" t="s">
        <v>73</v>
      </c>
      <c r="B1" s="8"/>
      <c r="C1" s="9"/>
      <c r="D1" s="8"/>
      <c r="E1" s="9"/>
      <c r="F1" s="8"/>
      <c r="G1" s="9"/>
    </row>
    <row r="2" spans="1:18" ht="15" x14ac:dyDescent="0.25">
      <c r="A2" s="10" t="s">
        <v>90</v>
      </c>
      <c r="B2" s="10"/>
      <c r="C2" s="10"/>
      <c r="D2" s="10"/>
      <c r="E2" s="10"/>
      <c r="F2" s="10"/>
      <c r="G2" s="10"/>
    </row>
    <row r="3" spans="1:18" ht="15" thickBot="1" x14ac:dyDescent="0.25"/>
    <row r="4" spans="1:18" s="36" customFormat="1" ht="25.5" x14ac:dyDescent="0.2">
      <c r="A4" s="33" t="s">
        <v>0</v>
      </c>
      <c r="B4" s="34" t="s">
        <v>1</v>
      </c>
      <c r="C4" s="37" t="s">
        <v>88</v>
      </c>
      <c r="D4" s="37" t="s">
        <v>89</v>
      </c>
      <c r="E4" s="37" t="s">
        <v>83</v>
      </c>
      <c r="F4" s="37" t="s">
        <v>82</v>
      </c>
      <c r="G4" s="38" t="s">
        <v>81</v>
      </c>
    </row>
    <row r="5" spans="1:18" x14ac:dyDescent="0.2">
      <c r="A5" s="12" t="s">
        <v>4</v>
      </c>
      <c r="B5" s="13" t="s">
        <v>91</v>
      </c>
      <c r="C5" s="14">
        <v>32989189739</v>
      </c>
      <c r="D5" s="15">
        <f>((C5-E5)/E5)</f>
        <v>6.7945076203832958E-2</v>
      </c>
      <c r="E5" s="14">
        <v>30890343028</v>
      </c>
      <c r="F5" s="15">
        <f>((E5-G5)/G5)</f>
        <v>3.0431456068669604E-2</v>
      </c>
      <c r="G5" s="16">
        <v>29978066805</v>
      </c>
    </row>
    <row r="6" spans="1:18" x14ac:dyDescent="0.2">
      <c r="A6" s="12" t="s">
        <v>5</v>
      </c>
      <c r="B6" s="13" t="s">
        <v>92</v>
      </c>
      <c r="C6" s="14">
        <v>2236568700</v>
      </c>
      <c r="D6" s="15">
        <f t="shared" ref="D6:F69" si="0">((C6-E6)/E6)</f>
        <v>7.4294971941980037E-2</v>
      </c>
      <c r="E6" s="14">
        <v>2081894413</v>
      </c>
      <c r="F6" s="15">
        <f t="shared" si="0"/>
        <v>7.7807533262964565E-2</v>
      </c>
      <c r="G6" s="16">
        <v>1931601282</v>
      </c>
    </row>
    <row r="7" spans="1:18" x14ac:dyDescent="0.2">
      <c r="A7" s="12" t="s">
        <v>6</v>
      </c>
      <c r="B7" s="13" t="s">
        <v>91</v>
      </c>
      <c r="C7" s="14">
        <v>26870617575</v>
      </c>
      <c r="D7" s="15">
        <f t="shared" si="0"/>
        <v>0.11845638284575694</v>
      </c>
      <c r="E7" s="14">
        <v>24024734435</v>
      </c>
      <c r="F7" s="15">
        <f t="shared" si="0"/>
        <v>9.6943150069256717E-2</v>
      </c>
      <c r="G7" s="16">
        <v>21901531026</v>
      </c>
      <c r="R7" s="17"/>
    </row>
    <row r="8" spans="1:18" x14ac:dyDescent="0.2">
      <c r="A8" s="12" t="s">
        <v>7</v>
      </c>
      <c r="B8" s="13" t="s">
        <v>92</v>
      </c>
      <c r="C8" s="14">
        <v>1970236013</v>
      </c>
      <c r="D8" s="15">
        <f t="shared" si="0"/>
        <v>9.0300251385981509E-2</v>
      </c>
      <c r="E8" s="14">
        <v>1807058203</v>
      </c>
      <c r="F8" s="15">
        <f t="shared" si="0"/>
        <v>4.5413972791919874E-2</v>
      </c>
      <c r="G8" s="16">
        <v>1728557538</v>
      </c>
      <c r="R8" s="17"/>
    </row>
    <row r="9" spans="1:18" x14ac:dyDescent="0.2">
      <c r="A9" s="12" t="s">
        <v>8</v>
      </c>
      <c r="B9" s="13" t="s">
        <v>91</v>
      </c>
      <c r="C9" s="14">
        <v>83120802549</v>
      </c>
      <c r="D9" s="15">
        <f t="shared" si="0"/>
        <v>6.3856925912246815E-2</v>
      </c>
      <c r="E9" s="14">
        <v>78131561232</v>
      </c>
      <c r="F9" s="15">
        <f t="shared" si="0"/>
        <v>5.6781610311823431E-2</v>
      </c>
      <c r="G9" s="16">
        <v>73933498151</v>
      </c>
      <c r="R9" s="17"/>
    </row>
    <row r="10" spans="1:18" x14ac:dyDescent="0.2">
      <c r="A10" s="12" t="s">
        <v>9</v>
      </c>
      <c r="B10" s="13" t="s">
        <v>91</v>
      </c>
      <c r="C10" s="14">
        <v>319625903501</v>
      </c>
      <c r="D10" s="15">
        <f t="shared" si="0"/>
        <v>5.6836292710116414E-2</v>
      </c>
      <c r="E10" s="14">
        <v>302436532229</v>
      </c>
      <c r="F10" s="15">
        <f t="shared" si="0"/>
        <v>3.7739918509305276E-2</v>
      </c>
      <c r="G10" s="16">
        <v>291437697283</v>
      </c>
      <c r="R10" s="17"/>
    </row>
    <row r="11" spans="1:18" x14ac:dyDescent="0.2">
      <c r="A11" s="12" t="s">
        <v>10</v>
      </c>
      <c r="B11" s="13" t="s">
        <v>92</v>
      </c>
      <c r="C11" s="14">
        <v>979497025</v>
      </c>
      <c r="D11" s="15">
        <f t="shared" si="0"/>
        <v>2.565231132769738E-2</v>
      </c>
      <c r="E11" s="14">
        <v>954999091</v>
      </c>
      <c r="F11" s="15">
        <f t="shared" si="0"/>
        <v>8.755325522753013E-2</v>
      </c>
      <c r="G11" s="16">
        <v>878117082</v>
      </c>
      <c r="R11" s="17"/>
    </row>
    <row r="12" spans="1:18" x14ac:dyDescent="0.2">
      <c r="A12" s="12" t="s">
        <v>11</v>
      </c>
      <c r="B12" s="13" t="s">
        <v>91</v>
      </c>
      <c r="C12" s="14">
        <v>29669902177</v>
      </c>
      <c r="D12" s="15">
        <f t="shared" si="0"/>
        <v>6.9251995883131412E-2</v>
      </c>
      <c r="E12" s="14">
        <v>27748278508</v>
      </c>
      <c r="F12" s="15">
        <f t="shared" si="0"/>
        <v>5.3523454362073793E-2</v>
      </c>
      <c r="G12" s="16">
        <v>26338548414</v>
      </c>
      <c r="R12" s="17"/>
    </row>
    <row r="13" spans="1:18" x14ac:dyDescent="0.2">
      <c r="A13" s="12" t="s">
        <v>12</v>
      </c>
      <c r="B13" s="13" t="s">
        <v>91</v>
      </c>
      <c r="C13" s="14">
        <v>19582134785</v>
      </c>
      <c r="D13" s="15">
        <f t="shared" si="0"/>
        <v>6.4934003606846716E-2</v>
      </c>
      <c r="E13" s="14">
        <v>18388120502</v>
      </c>
      <c r="F13" s="15">
        <f t="shared" si="0"/>
        <v>4.8821149665001576E-2</v>
      </c>
      <c r="G13" s="16">
        <v>17532179350</v>
      </c>
      <c r="R13" s="17"/>
    </row>
    <row r="14" spans="1:18" x14ac:dyDescent="0.2">
      <c r="A14" s="12" t="s">
        <v>13</v>
      </c>
      <c r="B14" s="13" t="s">
        <v>91</v>
      </c>
      <c r="C14" s="14">
        <v>21198286499</v>
      </c>
      <c r="D14" s="15">
        <f t="shared" si="0"/>
        <v>7.6281001825236769E-2</v>
      </c>
      <c r="E14" s="14">
        <v>19695866101</v>
      </c>
      <c r="F14" s="15">
        <f t="shared" si="0"/>
        <v>6.2714522856721827E-2</v>
      </c>
      <c r="G14" s="16">
        <v>18533543748</v>
      </c>
      <c r="R14" s="17"/>
    </row>
    <row r="15" spans="1:18" x14ac:dyDescent="0.2">
      <c r="A15" s="12" t="s">
        <v>14</v>
      </c>
      <c r="B15" s="13" t="s">
        <v>91</v>
      </c>
      <c r="C15" s="14">
        <v>131681280421</v>
      </c>
      <c r="D15" s="15">
        <f t="shared" si="0"/>
        <v>5.3987933086041329E-2</v>
      </c>
      <c r="E15" s="14">
        <v>124936231514</v>
      </c>
      <c r="F15" s="15">
        <f t="shared" si="0"/>
        <v>5.8465813730875546E-2</v>
      </c>
      <c r="G15" s="16">
        <v>118035207083</v>
      </c>
      <c r="R15" s="17"/>
    </row>
    <row r="16" spans="1:18" x14ac:dyDescent="0.2">
      <c r="A16" s="12" t="s">
        <v>15</v>
      </c>
      <c r="B16" s="13" t="s">
        <v>92</v>
      </c>
      <c r="C16" s="14">
        <v>5672533454</v>
      </c>
      <c r="D16" s="15">
        <f t="shared" si="0"/>
        <v>8.6686689840399039E-2</v>
      </c>
      <c r="E16" s="14">
        <v>5220026625</v>
      </c>
      <c r="F16" s="15">
        <f t="shared" si="0"/>
        <v>5.1071268693128891E-2</v>
      </c>
      <c r="G16" s="16">
        <v>4966386943</v>
      </c>
      <c r="R16" s="17"/>
    </row>
    <row r="17" spans="1:18" x14ac:dyDescent="0.2">
      <c r="A17" s="12" t="s">
        <v>78</v>
      </c>
      <c r="B17" s="13" t="s">
        <v>91</v>
      </c>
      <c r="C17" s="14">
        <v>470898221927</v>
      </c>
      <c r="D17" s="15">
        <f t="shared" si="0"/>
        <v>6.1520483359148392E-2</v>
      </c>
      <c r="E17" s="14">
        <v>443607287197</v>
      </c>
      <c r="F17" s="15">
        <f t="shared" si="0"/>
        <v>2.0683676547059632E-2</v>
      </c>
      <c r="G17" s="16">
        <v>434617793338</v>
      </c>
      <c r="R17" s="17"/>
    </row>
    <row r="18" spans="1:18" x14ac:dyDescent="0.2">
      <c r="A18" s="12" t="s">
        <v>16</v>
      </c>
      <c r="B18" s="13" t="s">
        <v>91</v>
      </c>
      <c r="C18" s="14">
        <v>4344447607</v>
      </c>
      <c r="D18" s="15">
        <f t="shared" si="0"/>
        <v>3.4559325605399087E-2</v>
      </c>
      <c r="E18" s="14">
        <v>4199321875</v>
      </c>
      <c r="F18" s="15">
        <f t="shared" si="0"/>
        <v>4.0222834897803927E-2</v>
      </c>
      <c r="G18" s="16">
        <v>4036944522</v>
      </c>
      <c r="R18" s="17"/>
    </row>
    <row r="19" spans="1:18" x14ac:dyDescent="0.2">
      <c r="A19" s="12" t="s">
        <v>17</v>
      </c>
      <c r="B19" s="13" t="s">
        <v>92</v>
      </c>
      <c r="C19" s="14">
        <v>1489272542</v>
      </c>
      <c r="D19" s="15">
        <f t="shared" si="0"/>
        <v>2.563477414155154E-2</v>
      </c>
      <c r="E19" s="14">
        <v>1452049579</v>
      </c>
      <c r="F19" s="15">
        <f t="shared" si="0"/>
        <v>3.9921009638355674E-2</v>
      </c>
      <c r="G19" s="16">
        <v>1396307571</v>
      </c>
      <c r="R19" s="17"/>
    </row>
    <row r="20" spans="1:18" x14ac:dyDescent="0.2">
      <c r="A20" s="12" t="s">
        <v>18</v>
      </c>
      <c r="B20" s="13" t="s">
        <v>91</v>
      </c>
      <c r="C20" s="14">
        <v>122786732472</v>
      </c>
      <c r="D20" s="15">
        <f t="shared" si="0"/>
        <v>7.352987329537071E-2</v>
      </c>
      <c r="E20" s="14">
        <v>114376633130</v>
      </c>
      <c r="F20" s="15">
        <f t="shared" si="0"/>
        <v>5.0994752702240159E-2</v>
      </c>
      <c r="G20" s="16">
        <v>108827025859</v>
      </c>
      <c r="R20" s="17"/>
    </row>
    <row r="21" spans="1:18" x14ac:dyDescent="0.2">
      <c r="A21" s="12" t="s">
        <v>19</v>
      </c>
      <c r="B21" s="13" t="s">
        <v>91</v>
      </c>
      <c r="C21" s="14">
        <v>35357561563</v>
      </c>
      <c r="D21" s="15">
        <f t="shared" si="0"/>
        <v>7.7612525606393326E-2</v>
      </c>
      <c r="E21" s="14">
        <v>32811015762</v>
      </c>
      <c r="F21" s="15">
        <f t="shared" si="0"/>
        <v>5.0405771986977412E-2</v>
      </c>
      <c r="G21" s="16">
        <v>31236515104</v>
      </c>
      <c r="R21" s="17"/>
    </row>
    <row r="22" spans="1:18" x14ac:dyDescent="0.2">
      <c r="A22" s="12" t="s">
        <v>20</v>
      </c>
      <c r="B22" s="13" t="s">
        <v>91</v>
      </c>
      <c r="C22" s="14">
        <v>16558356483</v>
      </c>
      <c r="D22" s="15">
        <f t="shared" si="0"/>
        <v>0.11529270261330668</v>
      </c>
      <c r="E22" s="14">
        <v>14846646485</v>
      </c>
      <c r="F22" s="15">
        <f t="shared" si="0"/>
        <v>4.2662595046749761E-2</v>
      </c>
      <c r="G22" s="16">
        <v>14239166683</v>
      </c>
      <c r="R22" s="17"/>
    </row>
    <row r="23" spans="1:18" x14ac:dyDescent="0.2">
      <c r="A23" s="12" t="s">
        <v>21</v>
      </c>
      <c r="B23" s="13" t="s">
        <v>92</v>
      </c>
      <c r="C23" s="14">
        <v>3509672022</v>
      </c>
      <c r="D23" s="15">
        <f t="shared" si="0"/>
        <v>7.9160653239129103E-2</v>
      </c>
      <c r="E23" s="14">
        <v>3252223857</v>
      </c>
      <c r="F23" s="15">
        <f t="shared" si="0"/>
        <v>3.6816242624595916E-2</v>
      </c>
      <c r="G23" s="16">
        <v>3136740845</v>
      </c>
      <c r="R23" s="17"/>
    </row>
    <row r="24" spans="1:18" x14ac:dyDescent="0.2">
      <c r="A24" s="12" t="s">
        <v>22</v>
      </c>
      <c r="B24" s="13" t="s">
        <v>92</v>
      </c>
      <c r="C24" s="14">
        <v>3237449410</v>
      </c>
      <c r="D24" s="15">
        <f t="shared" si="0"/>
        <v>7.0707531417910655E-2</v>
      </c>
      <c r="E24" s="14">
        <v>3023654280</v>
      </c>
      <c r="F24" s="15">
        <f t="shared" si="0"/>
        <v>1.3402324553651639E-2</v>
      </c>
      <c r="G24" s="16">
        <v>2983666217</v>
      </c>
      <c r="R24" s="17"/>
    </row>
    <row r="25" spans="1:18" x14ac:dyDescent="0.2">
      <c r="A25" s="12" t="s">
        <v>23</v>
      </c>
      <c r="B25" s="13" t="s">
        <v>92</v>
      </c>
      <c r="C25" s="14">
        <v>1888972027</v>
      </c>
      <c r="D25" s="15">
        <f t="shared" si="0"/>
        <v>0.11002158557962896</v>
      </c>
      <c r="E25" s="14">
        <v>1701743508</v>
      </c>
      <c r="F25" s="15">
        <f t="shared" si="0"/>
        <v>9.5121309555169911E-2</v>
      </c>
      <c r="G25" s="16">
        <v>1553931508</v>
      </c>
      <c r="R25" s="17"/>
    </row>
    <row r="26" spans="1:18" x14ac:dyDescent="0.2">
      <c r="A26" s="12" t="s">
        <v>24</v>
      </c>
      <c r="B26" s="13" t="s">
        <v>91</v>
      </c>
      <c r="C26" s="14">
        <v>4167223472</v>
      </c>
      <c r="D26" s="15">
        <f t="shared" si="0"/>
        <v>0.14918562134011074</v>
      </c>
      <c r="E26" s="14">
        <v>3626240526</v>
      </c>
      <c r="F26" s="15">
        <f t="shared" si="0"/>
        <v>1.9158416922976464E-2</v>
      </c>
      <c r="G26" s="16">
        <v>3558073471</v>
      </c>
      <c r="R26" s="17"/>
    </row>
    <row r="27" spans="1:18" x14ac:dyDescent="0.2">
      <c r="A27" s="12" t="s">
        <v>25</v>
      </c>
      <c r="B27" s="13" t="s">
        <v>92</v>
      </c>
      <c r="C27" s="14">
        <v>3597864231</v>
      </c>
      <c r="D27" s="15">
        <f t="shared" si="0"/>
        <v>0.10790629301372547</v>
      </c>
      <c r="E27" s="14">
        <v>3247444530</v>
      </c>
      <c r="F27" s="15">
        <f t="shared" si="0"/>
        <v>0.13183831810047589</v>
      </c>
      <c r="G27" s="16">
        <v>2869177053</v>
      </c>
      <c r="R27" s="17"/>
    </row>
    <row r="28" spans="1:18" x14ac:dyDescent="0.2">
      <c r="A28" s="12" t="s">
        <v>26</v>
      </c>
      <c r="B28" s="13" t="s">
        <v>92</v>
      </c>
      <c r="C28" s="14">
        <v>1710033361</v>
      </c>
      <c r="D28" s="15">
        <f t="shared" si="0"/>
        <v>1.8186531118888471E-2</v>
      </c>
      <c r="E28" s="14">
        <v>1679489277</v>
      </c>
      <c r="F28" s="15">
        <f t="shared" si="0"/>
        <v>6.8243819189892682E-2</v>
      </c>
      <c r="G28" s="16">
        <v>1572196578</v>
      </c>
      <c r="R28" s="17"/>
    </row>
    <row r="29" spans="1:18" x14ac:dyDescent="0.2">
      <c r="A29" s="12" t="s">
        <v>27</v>
      </c>
      <c r="B29" s="13" t="s">
        <v>91</v>
      </c>
      <c r="C29" s="14">
        <v>4034029815</v>
      </c>
      <c r="D29" s="15">
        <f t="shared" si="0"/>
        <v>3.4126087601485437E-2</v>
      </c>
      <c r="E29" s="14">
        <v>3900907117</v>
      </c>
      <c r="F29" s="15">
        <f t="shared" si="0"/>
        <v>0.11230671589615605</v>
      </c>
      <c r="G29" s="16">
        <v>3507042672</v>
      </c>
      <c r="R29" s="17"/>
    </row>
    <row r="30" spans="1:18" x14ac:dyDescent="0.2">
      <c r="A30" s="12" t="s">
        <v>28</v>
      </c>
      <c r="B30" s="13" t="s">
        <v>91</v>
      </c>
      <c r="C30" s="14">
        <v>7028445526</v>
      </c>
      <c r="D30" s="15">
        <f t="shared" si="0"/>
        <v>8.9669400997087867E-2</v>
      </c>
      <c r="E30" s="14">
        <v>6450071480</v>
      </c>
      <c r="F30" s="15">
        <f t="shared" si="0"/>
        <v>6.314639721921908E-2</v>
      </c>
      <c r="G30" s="16">
        <v>6066964528</v>
      </c>
      <c r="R30" s="17"/>
    </row>
    <row r="31" spans="1:18" x14ac:dyDescent="0.2">
      <c r="A31" s="12" t="s">
        <v>29</v>
      </c>
      <c r="B31" s="13" t="s">
        <v>91</v>
      </c>
      <c r="C31" s="14">
        <v>19484633619</v>
      </c>
      <c r="D31" s="15">
        <f t="shared" si="0"/>
        <v>6.237162341862796E-2</v>
      </c>
      <c r="E31" s="14">
        <v>18340694715</v>
      </c>
      <c r="F31" s="15">
        <f t="shared" si="0"/>
        <v>8.3147407251884672E-2</v>
      </c>
      <c r="G31" s="16">
        <v>16932778117</v>
      </c>
      <c r="R31" s="17"/>
    </row>
    <row r="32" spans="1:18" x14ac:dyDescent="0.2">
      <c r="A32" s="12" t="s">
        <v>30</v>
      </c>
      <c r="B32" s="13" t="s">
        <v>91</v>
      </c>
      <c r="C32" s="14">
        <v>9231112307</v>
      </c>
      <c r="D32" s="15">
        <f t="shared" si="0"/>
        <v>8.0544835270429646E-2</v>
      </c>
      <c r="E32" s="14">
        <v>8543016454</v>
      </c>
      <c r="F32" s="15">
        <f t="shared" si="0"/>
        <v>5.7611488066176234E-2</v>
      </c>
      <c r="G32" s="16">
        <v>8077650962</v>
      </c>
      <c r="R32" s="17"/>
    </row>
    <row r="33" spans="1:18" x14ac:dyDescent="0.2">
      <c r="A33" s="12" t="s">
        <v>31</v>
      </c>
      <c r="B33" s="13" t="s">
        <v>91</v>
      </c>
      <c r="C33" s="14">
        <v>184428779594</v>
      </c>
      <c r="D33" s="15">
        <f t="shared" si="0"/>
        <v>0.10524309013147178</v>
      </c>
      <c r="E33" s="14">
        <v>166867163650</v>
      </c>
      <c r="F33" s="15">
        <f t="shared" si="0"/>
        <v>7.4167924341062577E-2</v>
      </c>
      <c r="G33" s="16">
        <v>155345509644</v>
      </c>
      <c r="R33" s="17"/>
    </row>
    <row r="34" spans="1:18" x14ac:dyDescent="0.2">
      <c r="A34" s="12" t="s">
        <v>32</v>
      </c>
      <c r="B34" s="13" t="s">
        <v>92</v>
      </c>
      <c r="C34" s="14">
        <v>1223671377</v>
      </c>
      <c r="D34" s="15">
        <f t="shared" si="0"/>
        <v>3.2185125150818894E-2</v>
      </c>
      <c r="E34" s="14">
        <v>1185515415</v>
      </c>
      <c r="F34" s="15">
        <f t="shared" si="0"/>
        <v>5.8025867489315099E-3</v>
      </c>
      <c r="G34" s="16">
        <v>1178676045</v>
      </c>
      <c r="R34" s="17"/>
    </row>
    <row r="35" spans="1:18" x14ac:dyDescent="0.2">
      <c r="A35" s="12" t="s">
        <v>33</v>
      </c>
      <c r="B35" s="13" t="s">
        <v>91</v>
      </c>
      <c r="C35" s="14">
        <v>30181799751</v>
      </c>
      <c r="D35" s="15">
        <f t="shared" si="0"/>
        <v>5.3100207533558492E-2</v>
      </c>
      <c r="E35" s="14">
        <v>28659950435</v>
      </c>
      <c r="F35" s="15">
        <f t="shared" si="0"/>
        <v>3.6538793761640605E-2</v>
      </c>
      <c r="G35" s="16">
        <v>27649665027</v>
      </c>
      <c r="R35" s="17"/>
    </row>
    <row r="36" spans="1:18" x14ac:dyDescent="0.2">
      <c r="A36" s="12" t="s">
        <v>34</v>
      </c>
      <c r="B36" s="13" t="s">
        <v>92</v>
      </c>
      <c r="C36" s="14">
        <v>3389000015</v>
      </c>
      <c r="D36" s="15">
        <f t="shared" si="0"/>
        <v>8.8539025402736629E-2</v>
      </c>
      <c r="E36" s="14">
        <v>3113347281</v>
      </c>
      <c r="F36" s="15">
        <f t="shared" si="0"/>
        <v>4.1985532320383732E-2</v>
      </c>
      <c r="G36" s="16">
        <v>2987898761</v>
      </c>
      <c r="R36" s="17"/>
    </row>
    <row r="37" spans="1:18" x14ac:dyDescent="0.2">
      <c r="A37" s="12" t="s">
        <v>35</v>
      </c>
      <c r="B37" s="13" t="s">
        <v>92</v>
      </c>
      <c r="C37" s="14">
        <v>1731798686</v>
      </c>
      <c r="D37" s="15">
        <f t="shared" si="0"/>
        <v>8.619151056080572E-2</v>
      </c>
      <c r="E37" s="14">
        <v>1594376930</v>
      </c>
      <c r="F37" s="15">
        <f t="shared" si="0"/>
        <v>4.61524838020589E-2</v>
      </c>
      <c r="G37" s="16">
        <v>1524038756</v>
      </c>
      <c r="R37" s="17"/>
    </row>
    <row r="38" spans="1:18" x14ac:dyDescent="0.2">
      <c r="A38" s="12" t="s">
        <v>36</v>
      </c>
      <c r="B38" s="13" t="s">
        <v>92</v>
      </c>
      <c r="C38" s="14">
        <v>804320403</v>
      </c>
      <c r="D38" s="15">
        <f t="shared" si="0"/>
        <v>5.1465610383501115E-2</v>
      </c>
      <c r="E38" s="14">
        <v>764951697</v>
      </c>
      <c r="F38" s="15">
        <f t="shared" si="0"/>
        <v>2.1600787576001899E-2</v>
      </c>
      <c r="G38" s="16">
        <v>748777513</v>
      </c>
      <c r="R38" s="17"/>
    </row>
    <row r="39" spans="1:18" x14ac:dyDescent="0.2">
      <c r="A39" s="12" t="s">
        <v>37</v>
      </c>
      <c r="B39" s="13" t="s">
        <v>91</v>
      </c>
      <c r="C39" s="14">
        <v>40067687203</v>
      </c>
      <c r="D39" s="15">
        <f t="shared" si="0"/>
        <v>7.6941135659785498E-2</v>
      </c>
      <c r="E39" s="14">
        <v>37205085660</v>
      </c>
      <c r="F39" s="15">
        <f t="shared" si="0"/>
        <v>8.5452154185946996E-2</v>
      </c>
      <c r="G39" s="16">
        <v>34276117576</v>
      </c>
      <c r="R39" s="17"/>
    </row>
    <row r="40" spans="1:18" x14ac:dyDescent="0.2">
      <c r="A40" s="12" t="s">
        <v>38</v>
      </c>
      <c r="B40" s="13" t="s">
        <v>91</v>
      </c>
      <c r="C40" s="14">
        <v>133042572700</v>
      </c>
      <c r="D40" s="15">
        <f t="shared" si="0"/>
        <v>9.1786661281208895E-2</v>
      </c>
      <c r="E40" s="14">
        <v>121857664522</v>
      </c>
      <c r="F40" s="15">
        <f t="shared" si="0"/>
        <v>5.35720049921928E-2</v>
      </c>
      <c r="G40" s="16">
        <v>115661448809</v>
      </c>
      <c r="R40" s="17"/>
    </row>
    <row r="41" spans="1:18" x14ac:dyDescent="0.2">
      <c r="A41" s="12" t="s">
        <v>39</v>
      </c>
      <c r="B41" s="13" t="s">
        <v>91</v>
      </c>
      <c r="C41" s="14">
        <v>32773308309</v>
      </c>
      <c r="D41" s="15">
        <f t="shared" si="0"/>
        <v>4.9164365836464531E-2</v>
      </c>
      <c r="E41" s="14">
        <v>31237534724</v>
      </c>
      <c r="F41" s="15">
        <f t="shared" si="0"/>
        <v>4.9050653532640029E-2</v>
      </c>
      <c r="G41" s="16">
        <v>29776955592</v>
      </c>
      <c r="R41" s="17"/>
    </row>
    <row r="42" spans="1:18" x14ac:dyDescent="0.2">
      <c r="A42" s="12" t="s">
        <v>40</v>
      </c>
      <c r="B42" s="13" t="s">
        <v>92</v>
      </c>
      <c r="C42" s="14">
        <v>5305458274</v>
      </c>
      <c r="D42" s="15">
        <f t="shared" si="0"/>
        <v>0.16305948149292601</v>
      </c>
      <c r="E42" s="14">
        <v>4561639674</v>
      </c>
      <c r="F42" s="15">
        <f t="shared" si="0"/>
        <v>0.15291357199865033</v>
      </c>
      <c r="G42" s="16">
        <v>3956618939</v>
      </c>
      <c r="R42" s="17"/>
    </row>
    <row r="43" spans="1:18" x14ac:dyDescent="0.2">
      <c r="A43" s="12" t="s">
        <v>41</v>
      </c>
      <c r="B43" s="13" t="s">
        <v>92</v>
      </c>
      <c r="C43" s="14">
        <v>1011190889</v>
      </c>
      <c r="D43" s="15">
        <f t="shared" si="0"/>
        <v>4.2353267834048386E-2</v>
      </c>
      <c r="E43" s="14">
        <v>970103822</v>
      </c>
      <c r="F43" s="15">
        <f t="shared" si="0"/>
        <v>1.2731248990724271E-2</v>
      </c>
      <c r="G43" s="16">
        <v>957908451</v>
      </c>
      <c r="R43" s="17"/>
    </row>
    <row r="44" spans="1:18" x14ac:dyDescent="0.2">
      <c r="A44" s="12" t="s">
        <v>42</v>
      </c>
      <c r="B44" s="13" t="s">
        <v>92</v>
      </c>
      <c r="C44" s="14">
        <v>1619100427</v>
      </c>
      <c r="D44" s="15">
        <f t="shared" si="0"/>
        <v>4.2790806071084347E-2</v>
      </c>
      <c r="E44" s="14">
        <v>1552660819</v>
      </c>
      <c r="F44" s="15">
        <f t="shared" si="0"/>
        <v>6.8416398056356811E-2</v>
      </c>
      <c r="G44" s="16">
        <v>1453235669</v>
      </c>
      <c r="R44" s="17"/>
    </row>
    <row r="45" spans="1:18" x14ac:dyDescent="0.2">
      <c r="A45" s="12" t="s">
        <v>43</v>
      </c>
      <c r="B45" s="13" t="s">
        <v>91</v>
      </c>
      <c r="C45" s="14">
        <v>60198436242</v>
      </c>
      <c r="D45" s="15">
        <f t="shared" si="0"/>
        <v>8.0810666540762147E-2</v>
      </c>
      <c r="E45" s="14">
        <v>55697485328</v>
      </c>
      <c r="F45" s="15">
        <f t="shared" si="0"/>
        <v>5.412971043785296E-2</v>
      </c>
      <c r="G45" s="16">
        <v>52837411541</v>
      </c>
      <c r="R45" s="17"/>
    </row>
    <row r="46" spans="1:18" x14ac:dyDescent="0.2">
      <c r="A46" s="12" t="s">
        <v>44</v>
      </c>
      <c r="B46" s="13" t="s">
        <v>91</v>
      </c>
      <c r="C46" s="14">
        <v>37576549071</v>
      </c>
      <c r="D46" s="15">
        <f t="shared" si="0"/>
        <v>0.11193390031659711</v>
      </c>
      <c r="E46" s="14">
        <v>33793869456</v>
      </c>
      <c r="F46" s="15">
        <f t="shared" si="0"/>
        <v>7.2762366397444433E-2</v>
      </c>
      <c r="G46" s="16">
        <v>31501729101</v>
      </c>
      <c r="R46" s="17"/>
    </row>
    <row r="47" spans="1:18" x14ac:dyDescent="0.2">
      <c r="A47" s="12" t="s">
        <v>45</v>
      </c>
      <c r="B47" s="13" t="s">
        <v>91</v>
      </c>
      <c r="C47" s="14">
        <v>36285197546</v>
      </c>
      <c r="D47" s="15">
        <f t="shared" si="0"/>
        <v>6.5883740236109503E-2</v>
      </c>
      <c r="E47" s="14">
        <v>34042359571</v>
      </c>
      <c r="F47" s="15">
        <f t="shared" si="0"/>
        <v>3.8655940287875626E-2</v>
      </c>
      <c r="G47" s="16">
        <v>32775395827</v>
      </c>
      <c r="R47" s="17"/>
    </row>
    <row r="48" spans="1:18" x14ac:dyDescent="0.2">
      <c r="A48" s="12" t="s">
        <v>46</v>
      </c>
      <c r="B48" s="13" t="s">
        <v>91</v>
      </c>
      <c r="C48" s="14">
        <v>42679511022</v>
      </c>
      <c r="D48" s="15">
        <f t="shared" si="0"/>
        <v>4.1161437730799104E-2</v>
      </c>
      <c r="E48" s="14">
        <v>40992212615</v>
      </c>
      <c r="F48" s="15">
        <f t="shared" si="0"/>
        <v>3.8447070755721249E-2</v>
      </c>
      <c r="G48" s="16">
        <v>39474532472</v>
      </c>
      <c r="R48" s="17"/>
    </row>
    <row r="49" spans="1:18" x14ac:dyDescent="0.2">
      <c r="A49" s="12" t="s">
        <v>47</v>
      </c>
      <c r="B49" s="13" t="s">
        <v>91</v>
      </c>
      <c r="C49" s="14">
        <v>17367510663</v>
      </c>
      <c r="D49" s="15">
        <f t="shared" si="0"/>
        <v>0.11436377824526071</v>
      </c>
      <c r="E49" s="14">
        <v>15585135664</v>
      </c>
      <c r="F49" s="15">
        <f t="shared" si="0"/>
        <v>9.3300973672127072E-2</v>
      </c>
      <c r="G49" s="16">
        <v>14255119166</v>
      </c>
      <c r="R49" s="17"/>
    </row>
    <row r="50" spans="1:18" x14ac:dyDescent="0.2">
      <c r="A50" s="12" t="s">
        <v>48</v>
      </c>
      <c r="B50" s="13" t="s">
        <v>91</v>
      </c>
      <c r="C50" s="14">
        <v>29832124957</v>
      </c>
      <c r="D50" s="15">
        <f t="shared" si="0"/>
        <v>7.7115107967747884E-2</v>
      </c>
      <c r="E50" s="14">
        <v>27696320232</v>
      </c>
      <c r="F50" s="15">
        <f t="shared" si="0"/>
        <v>6.9904390523913673E-2</v>
      </c>
      <c r="G50" s="16">
        <v>25886724531</v>
      </c>
      <c r="R50" s="17"/>
    </row>
    <row r="51" spans="1:18" x14ac:dyDescent="0.2">
      <c r="A51" s="12" t="s">
        <v>49</v>
      </c>
      <c r="B51" s="13" t="s">
        <v>91</v>
      </c>
      <c r="C51" s="14">
        <v>6657866894</v>
      </c>
      <c r="D51" s="15">
        <f t="shared" si="0"/>
        <v>0.15380714381639699</v>
      </c>
      <c r="E51" s="14">
        <v>5770346396</v>
      </c>
      <c r="F51" s="15">
        <f t="shared" si="0"/>
        <v>0.14065121178848819</v>
      </c>
      <c r="G51" s="16">
        <v>5058817574</v>
      </c>
      <c r="R51" s="17"/>
    </row>
    <row r="52" spans="1:18" x14ac:dyDescent="0.2">
      <c r="A52" s="12" t="s">
        <v>50</v>
      </c>
      <c r="B52" s="13" t="s">
        <v>91</v>
      </c>
      <c r="C52" s="14">
        <v>228135637705</v>
      </c>
      <c r="D52" s="15">
        <f t="shared" si="0"/>
        <v>2.7316942708520798E-2</v>
      </c>
      <c r="E52" s="14">
        <v>222069381143</v>
      </c>
      <c r="F52" s="15">
        <f t="shared" si="0"/>
        <v>6.5562863823068682E-2</v>
      </c>
      <c r="G52" s="16">
        <v>208405706207</v>
      </c>
      <c r="R52" s="17"/>
    </row>
    <row r="53" spans="1:18" x14ac:dyDescent="0.2">
      <c r="A53" s="12" t="s">
        <v>51</v>
      </c>
      <c r="B53" s="13" t="s">
        <v>91</v>
      </c>
      <c r="C53" s="14">
        <v>50595303104</v>
      </c>
      <c r="D53" s="15">
        <f t="shared" si="0"/>
        <v>7.6522145318169546E-2</v>
      </c>
      <c r="E53" s="14">
        <v>46998850255</v>
      </c>
      <c r="F53" s="15">
        <f t="shared" si="0"/>
        <v>8.5213148658640644E-2</v>
      </c>
      <c r="G53" s="16">
        <v>43308404725</v>
      </c>
      <c r="R53" s="17"/>
    </row>
    <row r="54" spans="1:18" x14ac:dyDescent="0.2">
      <c r="A54" s="12" t="s">
        <v>52</v>
      </c>
      <c r="B54" s="13" t="s">
        <v>91</v>
      </c>
      <c r="C54" s="14">
        <v>308694067550</v>
      </c>
      <c r="D54" s="15">
        <f t="shared" si="0"/>
        <v>7.0152003300668717E-2</v>
      </c>
      <c r="E54" s="14">
        <v>288458150429</v>
      </c>
      <c r="F54" s="15">
        <f t="shared" si="0"/>
        <v>3.9908648638810024E-2</v>
      </c>
      <c r="G54" s="16">
        <v>277387971344</v>
      </c>
      <c r="R54" s="17"/>
    </row>
    <row r="55" spans="1:18" x14ac:dyDescent="0.2">
      <c r="A55" s="12" t="s">
        <v>53</v>
      </c>
      <c r="B55" s="13" t="s">
        <v>91</v>
      </c>
      <c r="C55" s="14">
        <v>55488234892</v>
      </c>
      <c r="D55" s="15">
        <f t="shared" si="0"/>
        <v>0.12150420133413799</v>
      </c>
      <c r="E55" s="14">
        <v>49476617944</v>
      </c>
      <c r="F55" s="15">
        <f t="shared" si="0"/>
        <v>5.3898360511352758E-2</v>
      </c>
      <c r="G55" s="16">
        <v>46946289887</v>
      </c>
      <c r="R55" s="17"/>
    </row>
    <row r="56" spans="1:18" x14ac:dyDescent="0.2">
      <c r="A56" s="12" t="s">
        <v>54</v>
      </c>
      <c r="B56" s="13" t="s">
        <v>91</v>
      </c>
      <c r="C56" s="14">
        <v>151036080805</v>
      </c>
      <c r="D56" s="15">
        <f t="shared" si="0"/>
        <v>9.0871682953434119E-2</v>
      </c>
      <c r="E56" s="14">
        <v>138454488429</v>
      </c>
      <c r="F56" s="15">
        <f t="shared" si="0"/>
        <v>7.0312927228875222E-2</v>
      </c>
      <c r="G56" s="16">
        <v>129358886459</v>
      </c>
      <c r="R56" s="17"/>
    </row>
    <row r="57" spans="1:18" x14ac:dyDescent="0.2">
      <c r="A57" s="12" t="s">
        <v>55</v>
      </c>
      <c r="B57" s="13" t="s">
        <v>91</v>
      </c>
      <c r="C57" s="14">
        <v>67681190180</v>
      </c>
      <c r="D57" s="15">
        <f t="shared" si="0"/>
        <v>8.3441714583075324E-2</v>
      </c>
      <c r="E57" s="14">
        <v>62468695149</v>
      </c>
      <c r="F57" s="15">
        <f t="shared" si="0"/>
        <v>9.4788199691619446E-2</v>
      </c>
      <c r="G57" s="16">
        <v>57060073507</v>
      </c>
      <c r="R57" s="17"/>
    </row>
    <row r="58" spans="1:18" x14ac:dyDescent="0.2">
      <c r="A58" s="12" t="s">
        <v>56</v>
      </c>
      <c r="B58" s="13" t="s">
        <v>91</v>
      </c>
      <c r="C58" s="14">
        <v>8875488826</v>
      </c>
      <c r="D58" s="15">
        <f t="shared" si="0"/>
        <v>6.6865049844381325E-2</v>
      </c>
      <c r="E58" s="14">
        <v>8319223530</v>
      </c>
      <c r="F58" s="15">
        <f t="shared" si="0"/>
        <v>0.12900928772564277</v>
      </c>
      <c r="G58" s="16">
        <v>7368605042</v>
      </c>
      <c r="R58" s="17"/>
    </row>
    <row r="59" spans="1:18" x14ac:dyDescent="0.2">
      <c r="A59" s="12" t="s">
        <v>2</v>
      </c>
      <c r="B59" s="13" t="s">
        <v>91</v>
      </c>
      <c r="C59" s="14">
        <v>48601782000</v>
      </c>
      <c r="D59" s="15">
        <f t="shared" si="0"/>
        <v>9.701265569785493E-2</v>
      </c>
      <c r="E59" s="14">
        <v>44303756887</v>
      </c>
      <c r="F59" s="15">
        <f t="shared" si="0"/>
        <v>0.11402580737912861</v>
      </c>
      <c r="G59" s="16">
        <v>39769057946</v>
      </c>
      <c r="R59" s="17"/>
    </row>
    <row r="60" spans="1:18" x14ac:dyDescent="0.2">
      <c r="A60" s="12" t="s">
        <v>3</v>
      </c>
      <c r="B60" s="13" t="s">
        <v>91</v>
      </c>
      <c r="C60" s="14">
        <v>42397519061</v>
      </c>
      <c r="D60" s="15">
        <f t="shared" si="0"/>
        <v>0.11528585068237392</v>
      </c>
      <c r="E60" s="14">
        <v>38014934947</v>
      </c>
      <c r="F60" s="15">
        <f t="shared" si="0"/>
        <v>3.4126364975199511E-2</v>
      </c>
      <c r="G60" s="16">
        <v>36760434928</v>
      </c>
      <c r="R60" s="17"/>
    </row>
    <row r="61" spans="1:18" x14ac:dyDescent="0.2">
      <c r="A61" s="12" t="s">
        <v>57</v>
      </c>
      <c r="B61" s="13" t="s">
        <v>91</v>
      </c>
      <c r="C61" s="14">
        <v>19941860667</v>
      </c>
      <c r="D61" s="15">
        <f t="shared" si="0"/>
        <v>0.12103719211387862</v>
      </c>
      <c r="E61" s="14">
        <v>17788759202</v>
      </c>
      <c r="F61" s="15">
        <f t="shared" si="0"/>
        <v>8.9567983277045266E-2</v>
      </c>
      <c r="G61" s="16">
        <v>16326433481</v>
      </c>
      <c r="R61" s="17"/>
    </row>
    <row r="62" spans="1:18" x14ac:dyDescent="0.2">
      <c r="A62" s="12" t="s">
        <v>58</v>
      </c>
      <c r="B62" s="13" t="s">
        <v>91</v>
      </c>
      <c r="C62" s="14">
        <v>96007774284</v>
      </c>
      <c r="D62" s="15">
        <f t="shared" si="0"/>
        <v>8.4906115620874217E-2</v>
      </c>
      <c r="E62" s="14">
        <v>88494085250</v>
      </c>
      <c r="F62" s="15">
        <f t="shared" si="0"/>
        <v>3.7343921913737976E-2</v>
      </c>
      <c r="G62" s="16">
        <v>85308337361</v>
      </c>
      <c r="R62" s="17"/>
    </row>
    <row r="63" spans="1:18" x14ac:dyDescent="0.2">
      <c r="A63" s="12" t="s">
        <v>59</v>
      </c>
      <c r="B63" s="13" t="s">
        <v>91</v>
      </c>
      <c r="C63" s="14">
        <v>56968954961</v>
      </c>
      <c r="D63" s="15">
        <f t="shared" si="0"/>
        <v>6.4825670176955133E-2</v>
      </c>
      <c r="E63" s="14">
        <v>53500734023</v>
      </c>
      <c r="F63" s="15">
        <f t="shared" si="0"/>
        <v>5.5219356496750402E-2</v>
      </c>
      <c r="G63" s="16">
        <v>50701054424</v>
      </c>
      <c r="R63" s="17"/>
    </row>
    <row r="64" spans="1:18" x14ac:dyDescent="0.2">
      <c r="A64" s="12" t="s">
        <v>60</v>
      </c>
      <c r="B64" s="13" t="s">
        <v>91</v>
      </c>
      <c r="C64" s="14">
        <v>21642182225</v>
      </c>
      <c r="D64" s="15">
        <f t="shared" si="0"/>
        <v>6.0259257719400126E-2</v>
      </c>
      <c r="E64" s="14">
        <v>20412160580</v>
      </c>
      <c r="F64" s="15">
        <f t="shared" si="0"/>
        <v>7.2719178883665248E-2</v>
      </c>
      <c r="G64" s="16">
        <v>19028428858</v>
      </c>
      <c r="R64" s="17"/>
    </row>
    <row r="65" spans="1:18" x14ac:dyDescent="0.2">
      <c r="A65" s="12" t="s">
        <v>61</v>
      </c>
      <c r="B65" s="13" t="s">
        <v>92</v>
      </c>
      <c r="C65" s="14">
        <v>3494650805</v>
      </c>
      <c r="D65" s="15">
        <f t="shared" si="0"/>
        <v>6.4700616337043645E-2</v>
      </c>
      <c r="E65" s="14">
        <v>3282284946</v>
      </c>
      <c r="F65" s="15">
        <f t="shared" si="0"/>
        <v>1.3300611862537485E-2</v>
      </c>
      <c r="G65" s="16">
        <v>3239201583</v>
      </c>
      <c r="R65" s="17"/>
    </row>
    <row r="66" spans="1:18" x14ac:dyDescent="0.2">
      <c r="A66" s="12" t="s">
        <v>62</v>
      </c>
      <c r="B66" s="13" t="s">
        <v>92</v>
      </c>
      <c r="C66" s="14">
        <v>2818688757</v>
      </c>
      <c r="D66" s="15">
        <f t="shared" si="0"/>
        <v>0.11011121860612584</v>
      </c>
      <c r="E66" s="14">
        <v>2539104830</v>
      </c>
      <c r="F66" s="15">
        <f t="shared" si="0"/>
        <v>0.10798530770901708</v>
      </c>
      <c r="G66" s="16">
        <v>2291641245</v>
      </c>
      <c r="R66" s="17"/>
    </row>
    <row r="67" spans="1:18" x14ac:dyDescent="0.2">
      <c r="A67" s="12" t="s">
        <v>63</v>
      </c>
      <c r="B67" s="13" t="s">
        <v>92</v>
      </c>
      <c r="C67" s="14">
        <v>906848402</v>
      </c>
      <c r="D67" s="15">
        <f t="shared" si="0"/>
        <v>4.4677984583244464E-2</v>
      </c>
      <c r="E67" s="14">
        <v>868065007</v>
      </c>
      <c r="F67" s="15">
        <f t="shared" si="0"/>
        <v>1.4279241462080082E-2</v>
      </c>
      <c r="G67" s="16">
        <v>855844201</v>
      </c>
      <c r="R67" s="17"/>
    </row>
    <row r="68" spans="1:18" x14ac:dyDescent="0.2">
      <c r="A68" s="12" t="s">
        <v>64</v>
      </c>
      <c r="B68" s="13" t="s">
        <v>91</v>
      </c>
      <c r="C68" s="14">
        <v>68635005004</v>
      </c>
      <c r="D68" s="15">
        <f t="shared" si="0"/>
        <v>7.5176346941741606E-2</v>
      </c>
      <c r="E68" s="14">
        <v>63836044384</v>
      </c>
      <c r="F68" s="15">
        <f t="shared" si="0"/>
        <v>7.5832047296989086E-2</v>
      </c>
      <c r="G68" s="16">
        <v>59336440613</v>
      </c>
      <c r="R68" s="17"/>
    </row>
    <row r="69" spans="1:18" x14ac:dyDescent="0.2">
      <c r="A69" s="12" t="s">
        <v>65</v>
      </c>
      <c r="B69" s="13" t="s">
        <v>92</v>
      </c>
      <c r="C69" s="14">
        <v>3141993466</v>
      </c>
      <c r="D69" s="15">
        <f t="shared" si="0"/>
        <v>6.9629650132105037E-2</v>
      </c>
      <c r="E69" s="14">
        <v>2937459209</v>
      </c>
      <c r="F69" s="15">
        <f t="shared" si="0"/>
        <v>5.4051168258271047E-2</v>
      </c>
      <c r="G69" s="16">
        <v>2786827905</v>
      </c>
      <c r="R69" s="17"/>
    </row>
    <row r="70" spans="1:18" x14ac:dyDescent="0.2">
      <c r="A70" s="12" t="s">
        <v>66</v>
      </c>
      <c r="B70" s="13" t="s">
        <v>92</v>
      </c>
      <c r="C70" s="14">
        <v>31252571736</v>
      </c>
      <c r="D70" s="15">
        <f t="shared" ref="D70:F73" si="1">((C70-E70)/E70)</f>
        <v>0.1534154771990186</v>
      </c>
      <c r="E70" s="14">
        <v>27095675716</v>
      </c>
      <c r="F70" s="15">
        <f t="shared" si="1"/>
        <v>7.2893544920645134E-2</v>
      </c>
      <c r="G70" s="16">
        <v>25254766276</v>
      </c>
      <c r="R70" s="17"/>
    </row>
    <row r="71" spans="1:18" x14ac:dyDescent="0.2">
      <c r="A71" s="12" t="s">
        <v>67</v>
      </c>
      <c r="B71" s="13" t="s">
        <v>92</v>
      </c>
      <c r="C71" s="14">
        <v>1852840377</v>
      </c>
      <c r="D71" s="15">
        <f t="shared" si="1"/>
        <v>7.9797306601174428E-2</v>
      </c>
      <c r="E71" s="14">
        <v>1715914983</v>
      </c>
      <c r="F71" s="15">
        <f t="shared" si="1"/>
        <v>0.1027138778370084</v>
      </c>
      <c r="G71" s="16">
        <v>1556083602</v>
      </c>
      <c r="R71" s="17"/>
    </row>
    <row r="72" spans="1:18" x14ac:dyDescent="0.2">
      <c r="A72" s="18"/>
      <c r="B72" s="19"/>
      <c r="C72" s="14"/>
      <c r="D72" s="20"/>
      <c r="E72" s="14"/>
      <c r="F72" s="20"/>
      <c r="G72" s="16"/>
      <c r="R72" s="17"/>
    </row>
    <row r="73" spans="1:18" ht="15.75" thickBot="1" x14ac:dyDescent="0.3">
      <c r="A73" s="21" t="s">
        <v>68</v>
      </c>
      <c r="B73" s="22"/>
      <c r="C73" s="23">
        <f>SUM(C5:C71)</f>
        <v>3319265539652</v>
      </c>
      <c r="D73" s="24">
        <f t="shared" si="1"/>
        <v>7.2267899231195976E-2</v>
      </c>
      <c r="E73" s="23">
        <f>SUM(E5:E71)</f>
        <v>3095556196387</v>
      </c>
      <c r="F73" s="24">
        <f t="shared" si="1"/>
        <v>5.21358486787213E-2</v>
      </c>
      <c r="G73" s="25">
        <f>SUM(G5:G71)</f>
        <v>2942163980321</v>
      </c>
      <c r="R73" s="17"/>
    </row>
    <row r="74" spans="1:18" x14ac:dyDescent="0.2">
      <c r="R74" s="17"/>
    </row>
    <row r="75" spans="1:18" x14ac:dyDescent="0.2">
      <c r="A75" s="26" t="s">
        <v>93</v>
      </c>
      <c r="R75" s="17"/>
    </row>
    <row r="76" spans="1:18" x14ac:dyDescent="0.2">
      <c r="C76" s="17"/>
      <c r="E76" s="17"/>
      <c r="G76" s="17"/>
    </row>
  </sheetData>
  <phoneticPr fontId="3" type="noConversion"/>
  <conditionalFormatting sqref="A75">
    <cfRule type="expression" dxfId="7" priority="5" stopIfTrue="1">
      <formula>MOD(ROW(),5)=1</formula>
    </cfRule>
  </conditionalFormatting>
  <conditionalFormatting sqref="A4:G73">
    <cfRule type="expression" dxfId="6" priority="1" stopIfTrue="1">
      <formula>MOD(ROW(),3)=1</formula>
    </cfRule>
  </conditionalFormatting>
  <pageMargins left="0.7" right="0.7" top="0.5" bottom="0.5" header="0.05" footer="0.05"/>
  <pageSetup scale="78" fitToHeight="2" orientation="landscape" r:id="rId1"/>
  <rowBreaks count="1" manualBreakCount="1">
    <brk id="37" max="6" man="1"/>
  </rowBreaks>
  <ignoredErrors>
    <ignoredError sqref="E73"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5"/>
  <sheetViews>
    <sheetView zoomScaleNormal="100" zoomScaleSheetLayoutView="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7" ht="23.25" x14ac:dyDescent="0.35">
      <c r="A1" s="7" t="s">
        <v>69</v>
      </c>
      <c r="B1" s="8"/>
      <c r="C1" s="9"/>
      <c r="D1" s="8"/>
      <c r="E1" s="9"/>
      <c r="F1" s="8"/>
      <c r="G1" s="9"/>
    </row>
    <row r="2" spans="1:7" ht="15" x14ac:dyDescent="0.25">
      <c r="A2" s="10" t="s">
        <v>90</v>
      </c>
      <c r="B2" s="10"/>
      <c r="C2" s="10"/>
      <c r="D2" s="10"/>
      <c r="E2" s="10"/>
      <c r="F2" s="10"/>
      <c r="G2" s="10"/>
    </row>
    <row r="3" spans="1:7" ht="15" thickBot="1" x14ac:dyDescent="0.25"/>
    <row r="4" spans="1:7" s="36" customFormat="1" ht="25.5" x14ac:dyDescent="0.2">
      <c r="A4" s="33" t="s">
        <v>0</v>
      </c>
      <c r="B4" s="34" t="s">
        <v>1</v>
      </c>
      <c r="C4" s="37" t="s">
        <v>88</v>
      </c>
      <c r="D4" s="37" t="s">
        <v>89</v>
      </c>
      <c r="E4" s="37" t="s">
        <v>83</v>
      </c>
      <c r="F4" s="37" t="s">
        <v>82</v>
      </c>
      <c r="G4" s="38" t="s">
        <v>81</v>
      </c>
    </row>
    <row r="5" spans="1:7" x14ac:dyDescent="0.2">
      <c r="A5" s="12" t="s">
        <v>4</v>
      </c>
      <c r="B5" s="13" t="s">
        <v>91</v>
      </c>
      <c r="C5" s="14">
        <v>28972195589</v>
      </c>
      <c r="D5" s="15">
        <f>((C5-E5)/E5)</f>
        <v>7.769637649506754E-2</v>
      </c>
      <c r="E5" s="14">
        <v>26883449013</v>
      </c>
      <c r="F5" s="15">
        <f>((E5-G5)/G5)</f>
        <v>3.353669196307818E-2</v>
      </c>
      <c r="G5" s="16">
        <v>26011122026</v>
      </c>
    </row>
    <row r="6" spans="1:7" x14ac:dyDescent="0.2">
      <c r="A6" s="12" t="s">
        <v>5</v>
      </c>
      <c r="B6" s="13" t="s">
        <v>92</v>
      </c>
      <c r="C6" s="14">
        <v>2008594733</v>
      </c>
      <c r="D6" s="15">
        <f t="shared" ref="D6:F69" si="0">((C6-E6)/E6)</f>
        <v>6.7988163890973244E-2</v>
      </c>
      <c r="E6" s="14">
        <v>1880727522</v>
      </c>
      <c r="F6" s="15">
        <f t="shared" si="0"/>
        <v>8.3980110819716319E-2</v>
      </c>
      <c r="G6" s="16">
        <v>1735020323</v>
      </c>
    </row>
    <row r="7" spans="1:7" x14ac:dyDescent="0.2">
      <c r="A7" s="12" t="s">
        <v>6</v>
      </c>
      <c r="B7" s="13" t="s">
        <v>91</v>
      </c>
      <c r="C7" s="14">
        <v>24584194355</v>
      </c>
      <c r="D7" s="15">
        <f t="shared" si="0"/>
        <v>0.12667470703239408</v>
      </c>
      <c r="E7" s="14">
        <v>21820135130</v>
      </c>
      <c r="F7" s="15">
        <f t="shared" si="0"/>
        <v>0.10553234392155042</v>
      </c>
      <c r="G7" s="16">
        <v>19737220037</v>
      </c>
    </row>
    <row r="8" spans="1:7" x14ac:dyDescent="0.2">
      <c r="A8" s="12" t="s">
        <v>7</v>
      </c>
      <c r="B8" s="13" t="s">
        <v>92</v>
      </c>
      <c r="C8" s="14">
        <v>1669494760</v>
      </c>
      <c r="D8" s="15">
        <f t="shared" si="0"/>
        <v>9.6975078146775348E-2</v>
      </c>
      <c r="E8" s="14">
        <v>1521907647</v>
      </c>
      <c r="F8" s="15">
        <f t="shared" si="0"/>
        <v>2.1654864609563198E-2</v>
      </c>
      <c r="G8" s="16">
        <v>1489649489</v>
      </c>
    </row>
    <row r="9" spans="1:7" x14ac:dyDescent="0.2">
      <c r="A9" s="12" t="s">
        <v>8</v>
      </c>
      <c r="B9" s="13" t="s">
        <v>91</v>
      </c>
      <c r="C9" s="14">
        <v>72815281750</v>
      </c>
      <c r="D9" s="15">
        <f t="shared" si="0"/>
        <v>6.9037860044182636E-2</v>
      </c>
      <c r="E9" s="14">
        <v>68112912060</v>
      </c>
      <c r="F9" s="15">
        <f t="shared" si="0"/>
        <v>6.1061963610251214E-2</v>
      </c>
      <c r="G9" s="16">
        <v>64193152140</v>
      </c>
    </row>
    <row r="10" spans="1:7" x14ac:dyDescent="0.2">
      <c r="A10" s="12" t="s">
        <v>9</v>
      </c>
      <c r="B10" s="13" t="s">
        <v>91</v>
      </c>
      <c r="C10" s="14">
        <v>309422844130</v>
      </c>
      <c r="D10" s="15">
        <f t="shared" si="0"/>
        <v>5.8922122198662913E-2</v>
      </c>
      <c r="E10" s="14">
        <v>292205477290</v>
      </c>
      <c r="F10" s="15">
        <f t="shared" si="0"/>
        <v>3.8738046456580515E-2</v>
      </c>
      <c r="G10" s="16">
        <v>281308149140</v>
      </c>
    </row>
    <row r="11" spans="1:7" x14ac:dyDescent="0.2">
      <c r="A11" s="12" t="s">
        <v>10</v>
      </c>
      <c r="B11" s="13" t="s">
        <v>92</v>
      </c>
      <c r="C11" s="14">
        <v>846113815</v>
      </c>
      <c r="D11" s="15">
        <f t="shared" si="0"/>
        <v>2.0083655621137012E-2</v>
      </c>
      <c r="E11" s="14">
        <v>829455320</v>
      </c>
      <c r="F11" s="15">
        <f t="shared" si="0"/>
        <v>7.6927330932779966E-2</v>
      </c>
      <c r="G11" s="16">
        <v>770205469</v>
      </c>
    </row>
    <row r="12" spans="1:7" x14ac:dyDescent="0.2">
      <c r="A12" s="12" t="s">
        <v>11</v>
      </c>
      <c r="B12" s="13" t="s">
        <v>91</v>
      </c>
      <c r="C12" s="14">
        <v>28242596176</v>
      </c>
      <c r="D12" s="15">
        <f t="shared" si="0"/>
        <v>7.5572203684373104E-2</v>
      </c>
      <c r="E12" s="14">
        <v>26258205706</v>
      </c>
      <c r="F12" s="15">
        <f t="shared" si="0"/>
        <v>5.3182536589191087E-2</v>
      </c>
      <c r="G12" s="16">
        <v>24932245640</v>
      </c>
    </row>
    <row r="13" spans="1:7" x14ac:dyDescent="0.2">
      <c r="A13" s="12" t="s">
        <v>12</v>
      </c>
      <c r="B13" s="13" t="s">
        <v>91</v>
      </c>
      <c r="C13" s="14">
        <v>15598946032</v>
      </c>
      <c r="D13" s="15">
        <f t="shared" si="0"/>
        <v>8.1753682594212437E-2</v>
      </c>
      <c r="E13" s="14">
        <v>14420053551</v>
      </c>
      <c r="F13" s="15">
        <f t="shared" si="0"/>
        <v>5.8164503031114902E-2</v>
      </c>
      <c r="G13" s="16">
        <v>13627421360</v>
      </c>
    </row>
    <row r="14" spans="1:7" x14ac:dyDescent="0.2">
      <c r="A14" s="12" t="s">
        <v>13</v>
      </c>
      <c r="B14" s="13" t="s">
        <v>91</v>
      </c>
      <c r="C14" s="14">
        <v>19638311624</v>
      </c>
      <c r="D14" s="15">
        <f t="shared" si="0"/>
        <v>7.8472350822236928E-2</v>
      </c>
      <c r="E14" s="14">
        <v>18209378858</v>
      </c>
      <c r="F14" s="15">
        <f t="shared" si="0"/>
        <v>6.0849563940124626E-2</v>
      </c>
      <c r="G14" s="16">
        <v>17164902053</v>
      </c>
    </row>
    <row r="15" spans="1:7" x14ac:dyDescent="0.2">
      <c r="A15" s="12" t="s">
        <v>14</v>
      </c>
      <c r="B15" s="13" t="s">
        <v>91</v>
      </c>
      <c r="C15" s="14">
        <v>128845656984</v>
      </c>
      <c r="D15" s="15">
        <f t="shared" si="0"/>
        <v>5.4549582579224938E-2</v>
      </c>
      <c r="E15" s="14">
        <v>122180748172</v>
      </c>
      <c r="F15" s="15">
        <f t="shared" si="0"/>
        <v>5.8621529524633162E-2</v>
      </c>
      <c r="G15" s="16">
        <v>115414947424</v>
      </c>
    </row>
    <row r="16" spans="1:7" x14ac:dyDescent="0.2">
      <c r="A16" s="12" t="s">
        <v>15</v>
      </c>
      <c r="B16" s="13" t="s">
        <v>92</v>
      </c>
      <c r="C16" s="14">
        <v>4967087515</v>
      </c>
      <c r="D16" s="15">
        <f t="shared" si="0"/>
        <v>6.8543333834341608E-2</v>
      </c>
      <c r="E16" s="14">
        <v>4648466148</v>
      </c>
      <c r="F16" s="15">
        <f t="shared" si="0"/>
        <v>5.040189126611782E-2</v>
      </c>
      <c r="G16" s="16">
        <v>4425416773</v>
      </c>
    </row>
    <row r="17" spans="1:7" x14ac:dyDescent="0.2">
      <c r="A17" s="12" t="s">
        <v>78</v>
      </c>
      <c r="B17" s="13" t="s">
        <v>91</v>
      </c>
      <c r="C17" s="14">
        <v>451696699928</v>
      </c>
      <c r="D17" s="15">
        <f t="shared" si="0"/>
        <v>6.1327311893945483E-2</v>
      </c>
      <c r="E17" s="14">
        <v>425596038909</v>
      </c>
      <c r="F17" s="15">
        <f t="shared" si="0"/>
        <v>3.0351213364037288E-2</v>
      </c>
      <c r="G17" s="16">
        <v>413059191263</v>
      </c>
    </row>
    <row r="18" spans="1:7" x14ac:dyDescent="0.2">
      <c r="A18" s="12" t="s">
        <v>16</v>
      </c>
      <c r="B18" s="13" t="s">
        <v>91</v>
      </c>
      <c r="C18" s="14">
        <v>3638036858</v>
      </c>
      <c r="D18" s="15">
        <f t="shared" si="0"/>
        <v>4.6782364916353049E-2</v>
      </c>
      <c r="E18" s="14">
        <v>3475447218</v>
      </c>
      <c r="F18" s="15">
        <f t="shared" si="0"/>
        <v>2.6705966895429308E-2</v>
      </c>
      <c r="G18" s="16">
        <v>3385046284</v>
      </c>
    </row>
    <row r="19" spans="1:7" x14ac:dyDescent="0.2">
      <c r="A19" s="12" t="s">
        <v>17</v>
      </c>
      <c r="B19" s="13" t="s">
        <v>92</v>
      </c>
      <c r="C19" s="14">
        <v>1395411567</v>
      </c>
      <c r="D19" s="15">
        <f t="shared" si="0"/>
        <v>2.6881064036478063E-2</v>
      </c>
      <c r="E19" s="14">
        <v>1358883337</v>
      </c>
      <c r="F19" s="15">
        <f t="shared" si="0"/>
        <v>4.1220974209152821E-2</v>
      </c>
      <c r="G19" s="16">
        <v>1305086404</v>
      </c>
    </row>
    <row r="20" spans="1:7" x14ac:dyDescent="0.2">
      <c r="A20" s="12" t="s">
        <v>18</v>
      </c>
      <c r="B20" s="13" t="s">
        <v>91</v>
      </c>
      <c r="C20" s="14">
        <v>107771829196</v>
      </c>
      <c r="D20" s="15">
        <f t="shared" si="0"/>
        <v>8.2278654873477838E-2</v>
      </c>
      <c r="E20" s="14">
        <v>99578633202</v>
      </c>
      <c r="F20" s="15">
        <f t="shared" si="0"/>
        <v>5.1505515957952178E-2</v>
      </c>
      <c r="G20" s="16">
        <v>94701008878</v>
      </c>
    </row>
    <row r="21" spans="1:7" x14ac:dyDescent="0.2">
      <c r="A21" s="12" t="s">
        <v>19</v>
      </c>
      <c r="B21" s="13" t="s">
        <v>91</v>
      </c>
      <c r="C21" s="14">
        <v>32033691742</v>
      </c>
      <c r="D21" s="15">
        <f t="shared" si="0"/>
        <v>7.4509829480370479E-2</v>
      </c>
      <c r="E21" s="14">
        <v>29812376642</v>
      </c>
      <c r="F21" s="15">
        <f t="shared" si="0"/>
        <v>5.6670957486719943E-2</v>
      </c>
      <c r="G21" s="16">
        <v>28213491088</v>
      </c>
    </row>
    <row r="22" spans="1:7" x14ac:dyDescent="0.2">
      <c r="A22" s="12" t="s">
        <v>20</v>
      </c>
      <c r="B22" s="13" t="s">
        <v>91</v>
      </c>
      <c r="C22" s="14">
        <v>15821874223</v>
      </c>
      <c r="D22" s="15">
        <f t="shared" si="0"/>
        <v>0.11819002108784765</v>
      </c>
      <c r="E22" s="14">
        <v>14149539814</v>
      </c>
      <c r="F22" s="15">
        <f t="shared" si="0"/>
        <v>3.744452250689962E-2</v>
      </c>
      <c r="G22" s="16">
        <v>13638839964</v>
      </c>
    </row>
    <row r="23" spans="1:7" x14ac:dyDescent="0.2">
      <c r="A23" s="12" t="s">
        <v>21</v>
      </c>
      <c r="B23" s="13" t="s">
        <v>92</v>
      </c>
      <c r="C23" s="14">
        <v>3414350516</v>
      </c>
      <c r="D23" s="15">
        <f t="shared" si="0"/>
        <v>7.737246119048824E-2</v>
      </c>
      <c r="E23" s="14">
        <v>3169145898</v>
      </c>
      <c r="F23" s="15">
        <f t="shared" si="0"/>
        <v>3.983649734975072E-2</v>
      </c>
      <c r="G23" s="16">
        <v>3047734818</v>
      </c>
    </row>
    <row r="24" spans="1:7" x14ac:dyDescent="0.2">
      <c r="A24" s="12" t="s">
        <v>22</v>
      </c>
      <c r="B24" s="13" t="s">
        <v>92</v>
      </c>
      <c r="C24" s="14">
        <v>2561174171</v>
      </c>
      <c r="D24" s="15">
        <f t="shared" si="0"/>
        <v>7.02218547483794E-2</v>
      </c>
      <c r="E24" s="14">
        <v>2393124528</v>
      </c>
      <c r="F24" s="15">
        <f t="shared" si="0"/>
        <v>1.1004965859236932E-2</v>
      </c>
      <c r="G24" s="16">
        <v>2367074949</v>
      </c>
    </row>
    <row r="25" spans="1:7" x14ac:dyDescent="0.2">
      <c r="A25" s="12" t="s">
        <v>23</v>
      </c>
      <c r="B25" s="13" t="s">
        <v>92</v>
      </c>
      <c r="C25" s="14">
        <v>1555238170</v>
      </c>
      <c r="D25" s="15">
        <f t="shared" si="0"/>
        <v>0.11207055589582564</v>
      </c>
      <c r="E25" s="14">
        <v>1398506742</v>
      </c>
      <c r="F25" s="15">
        <f t="shared" si="0"/>
        <v>6.4914555090822793E-2</v>
      </c>
      <c r="G25" s="16">
        <v>1313257233</v>
      </c>
    </row>
    <row r="26" spans="1:7" x14ac:dyDescent="0.2">
      <c r="A26" s="12" t="s">
        <v>24</v>
      </c>
      <c r="B26" s="13" t="s">
        <v>91</v>
      </c>
      <c r="C26" s="14">
        <v>3991583313</v>
      </c>
      <c r="D26" s="15">
        <f t="shared" si="0"/>
        <v>0.15818856375179502</v>
      </c>
      <c r="E26" s="14">
        <v>3446401940</v>
      </c>
      <c r="F26" s="15">
        <f t="shared" si="0"/>
        <v>1.4093185271060519E-2</v>
      </c>
      <c r="G26" s="16">
        <v>3398506163</v>
      </c>
    </row>
    <row r="27" spans="1:7" x14ac:dyDescent="0.2">
      <c r="A27" s="12" t="s">
        <v>25</v>
      </c>
      <c r="B27" s="13" t="s">
        <v>92</v>
      </c>
      <c r="C27" s="14">
        <v>3480831958</v>
      </c>
      <c r="D27" s="15">
        <f t="shared" si="0"/>
        <v>0.10855677031847161</v>
      </c>
      <c r="E27" s="14">
        <v>3139967254</v>
      </c>
      <c r="F27" s="15">
        <f t="shared" si="0"/>
        <v>0.1335318580579305</v>
      </c>
      <c r="G27" s="16">
        <v>2770074111</v>
      </c>
    </row>
    <row r="28" spans="1:7" x14ac:dyDescent="0.2">
      <c r="A28" s="12" t="s">
        <v>26</v>
      </c>
      <c r="B28" s="13" t="s">
        <v>92</v>
      </c>
      <c r="C28" s="14">
        <v>1044276240</v>
      </c>
      <c r="D28" s="15">
        <f t="shared" si="0"/>
        <v>4.8306757240557406E-2</v>
      </c>
      <c r="E28" s="14">
        <v>996155212</v>
      </c>
      <c r="F28" s="15">
        <f t="shared" si="0"/>
        <v>4.6452117858677526E-2</v>
      </c>
      <c r="G28" s="16">
        <v>951935779</v>
      </c>
    </row>
    <row r="29" spans="1:7" x14ac:dyDescent="0.2">
      <c r="A29" s="12" t="s">
        <v>27</v>
      </c>
      <c r="B29" s="13" t="s">
        <v>91</v>
      </c>
      <c r="C29" s="14">
        <v>3179977831</v>
      </c>
      <c r="D29" s="15">
        <f t="shared" si="0"/>
        <v>3.6584456001568101E-2</v>
      </c>
      <c r="E29" s="14">
        <v>3067746012</v>
      </c>
      <c r="F29" s="15">
        <f t="shared" si="0"/>
        <v>0.13462176200696357</v>
      </c>
      <c r="G29" s="16">
        <v>2703760949</v>
      </c>
    </row>
    <row r="30" spans="1:7" x14ac:dyDescent="0.2">
      <c r="A30" s="12" t="s">
        <v>28</v>
      </c>
      <c r="B30" s="13" t="s">
        <v>91</v>
      </c>
      <c r="C30" s="14">
        <v>6046303637</v>
      </c>
      <c r="D30" s="15">
        <f t="shared" si="0"/>
        <v>9.6351793965047741E-2</v>
      </c>
      <c r="E30" s="14">
        <v>5514930217</v>
      </c>
      <c r="F30" s="15">
        <f t="shared" si="0"/>
        <v>3.6238015529764085E-2</v>
      </c>
      <c r="G30" s="16">
        <v>5322068998</v>
      </c>
    </row>
    <row r="31" spans="1:7" x14ac:dyDescent="0.2">
      <c r="A31" s="12" t="s">
        <v>29</v>
      </c>
      <c r="B31" s="13" t="s">
        <v>91</v>
      </c>
      <c r="C31" s="14">
        <v>17656640651</v>
      </c>
      <c r="D31" s="15">
        <f t="shared" si="0"/>
        <v>6.5991220682280749E-2</v>
      </c>
      <c r="E31" s="14">
        <v>16563589182</v>
      </c>
      <c r="F31" s="15">
        <f t="shared" si="0"/>
        <v>8.9195768232500125E-2</v>
      </c>
      <c r="G31" s="16">
        <v>15207173646</v>
      </c>
    </row>
    <row r="32" spans="1:7" x14ac:dyDescent="0.2">
      <c r="A32" s="12" t="s">
        <v>30</v>
      </c>
      <c r="B32" s="13" t="s">
        <v>91</v>
      </c>
      <c r="C32" s="14">
        <v>8441248867</v>
      </c>
      <c r="D32" s="15">
        <f t="shared" si="0"/>
        <v>8.3543631354003028E-2</v>
      </c>
      <c r="E32" s="14">
        <v>7790409747</v>
      </c>
      <c r="F32" s="15">
        <f t="shared" si="0"/>
        <v>5.4263593959000191E-2</v>
      </c>
      <c r="G32" s="16">
        <v>7389432578</v>
      </c>
    </row>
    <row r="33" spans="1:7" x14ac:dyDescent="0.2">
      <c r="A33" s="12" t="s">
        <v>31</v>
      </c>
      <c r="B33" s="13" t="s">
        <v>91</v>
      </c>
      <c r="C33" s="14">
        <v>172452405423</v>
      </c>
      <c r="D33" s="15">
        <f t="shared" si="0"/>
        <v>0.11229092556270275</v>
      </c>
      <c r="E33" s="14">
        <v>155042535599</v>
      </c>
      <c r="F33" s="15">
        <f t="shared" si="0"/>
        <v>7.7839769180496343E-2</v>
      </c>
      <c r="G33" s="16">
        <v>143845625326</v>
      </c>
    </row>
    <row r="34" spans="1:7" x14ac:dyDescent="0.2">
      <c r="A34" s="12" t="s">
        <v>32</v>
      </c>
      <c r="B34" s="13" t="s">
        <v>92</v>
      </c>
      <c r="C34" s="14">
        <v>1120191982</v>
      </c>
      <c r="D34" s="15">
        <f t="shared" si="0"/>
        <v>3.3531933423961505E-2</v>
      </c>
      <c r="E34" s="14">
        <v>1083848448</v>
      </c>
      <c r="F34" s="15">
        <f t="shared" si="0"/>
        <v>7.0320642906171391E-3</v>
      </c>
      <c r="G34" s="16">
        <v>1076279978</v>
      </c>
    </row>
    <row r="35" spans="1:7" x14ac:dyDescent="0.2">
      <c r="A35" s="12" t="s">
        <v>33</v>
      </c>
      <c r="B35" s="13" t="s">
        <v>91</v>
      </c>
      <c r="C35" s="14">
        <v>29306498913</v>
      </c>
      <c r="D35" s="15">
        <f t="shared" si="0"/>
        <v>5.2809461353995758E-2</v>
      </c>
      <c r="E35" s="14">
        <v>27836469930</v>
      </c>
      <c r="F35" s="15">
        <f t="shared" si="0"/>
        <v>3.519102737198735E-2</v>
      </c>
      <c r="G35" s="16">
        <v>26890176976</v>
      </c>
    </row>
    <row r="36" spans="1:7" x14ac:dyDescent="0.2">
      <c r="A36" s="12" t="s">
        <v>34</v>
      </c>
      <c r="B36" s="13" t="s">
        <v>92</v>
      </c>
      <c r="C36" s="14">
        <v>2906243635</v>
      </c>
      <c r="D36" s="15">
        <f t="shared" si="0"/>
        <v>8.1530929483653092E-2</v>
      </c>
      <c r="E36" s="14">
        <v>2687157210</v>
      </c>
      <c r="F36" s="15">
        <f t="shared" si="0"/>
        <v>3.4728280125814137E-2</v>
      </c>
      <c r="G36" s="16">
        <v>2596968945</v>
      </c>
    </row>
    <row r="37" spans="1:7" x14ac:dyDescent="0.2">
      <c r="A37" s="12" t="s">
        <v>35</v>
      </c>
      <c r="B37" s="13" t="s">
        <v>92</v>
      </c>
      <c r="C37" s="14">
        <v>1557828841</v>
      </c>
      <c r="D37" s="15">
        <f t="shared" si="0"/>
        <v>0.10014455863504737</v>
      </c>
      <c r="E37" s="14">
        <v>1416021948</v>
      </c>
      <c r="F37" s="15">
        <f t="shared" si="0"/>
        <v>4.8207989744290643E-2</v>
      </c>
      <c r="G37" s="16">
        <v>1350897877</v>
      </c>
    </row>
    <row r="38" spans="1:7" x14ac:dyDescent="0.2">
      <c r="A38" s="12" t="s">
        <v>36</v>
      </c>
      <c r="B38" s="13" t="s">
        <v>92</v>
      </c>
      <c r="C38" s="14">
        <v>731038796</v>
      </c>
      <c r="D38" s="15">
        <f t="shared" si="0"/>
        <v>5.4448667824936049E-2</v>
      </c>
      <c r="E38" s="14">
        <v>693290075</v>
      </c>
      <c r="F38" s="15">
        <f t="shared" si="0"/>
        <v>1.4988418096061686E-2</v>
      </c>
      <c r="G38" s="16">
        <v>683052203</v>
      </c>
    </row>
    <row r="39" spans="1:7" x14ac:dyDescent="0.2">
      <c r="A39" s="12" t="s">
        <v>37</v>
      </c>
      <c r="B39" s="13" t="s">
        <v>91</v>
      </c>
      <c r="C39" s="14">
        <v>37950388982</v>
      </c>
      <c r="D39" s="15">
        <f t="shared" si="0"/>
        <v>8.0991597753235042E-2</v>
      </c>
      <c r="E39" s="14">
        <v>35107015689</v>
      </c>
      <c r="F39" s="15">
        <f t="shared" si="0"/>
        <v>8.8910194713844939E-2</v>
      </c>
      <c r="G39" s="16">
        <v>32240506021</v>
      </c>
    </row>
    <row r="40" spans="1:7" x14ac:dyDescent="0.2">
      <c r="A40" s="12" t="s">
        <v>38</v>
      </c>
      <c r="B40" s="13" t="s">
        <v>91</v>
      </c>
      <c r="C40" s="14">
        <v>127197867890</v>
      </c>
      <c r="D40" s="15">
        <f t="shared" si="0"/>
        <v>9.6124762844796263E-2</v>
      </c>
      <c r="E40" s="14">
        <v>116043239056</v>
      </c>
      <c r="F40" s="15">
        <f t="shared" si="0"/>
        <v>4.8464065066653565E-2</v>
      </c>
      <c r="G40" s="16">
        <v>110679271634</v>
      </c>
    </row>
    <row r="41" spans="1:7" x14ac:dyDescent="0.2">
      <c r="A41" s="12" t="s">
        <v>39</v>
      </c>
      <c r="B41" s="13" t="s">
        <v>91</v>
      </c>
      <c r="C41" s="14">
        <v>30558567400</v>
      </c>
      <c r="D41" s="15">
        <f t="shared" si="0"/>
        <v>5.1970940591918688E-2</v>
      </c>
      <c r="E41" s="14">
        <v>29048870288</v>
      </c>
      <c r="F41" s="15">
        <f t="shared" si="0"/>
        <v>5.3104210867971381E-2</v>
      </c>
      <c r="G41" s="16">
        <v>27584041530</v>
      </c>
    </row>
    <row r="42" spans="1:7" x14ac:dyDescent="0.2">
      <c r="A42" s="12" t="s">
        <v>40</v>
      </c>
      <c r="B42" s="13" t="s">
        <v>92</v>
      </c>
      <c r="C42" s="14">
        <v>4888306885</v>
      </c>
      <c r="D42" s="15">
        <f t="shared" si="0"/>
        <v>0.1797100635947971</v>
      </c>
      <c r="E42" s="14">
        <v>4143651085</v>
      </c>
      <c r="F42" s="15">
        <f t="shared" si="0"/>
        <v>0.15932837847316589</v>
      </c>
      <c r="G42" s="16">
        <v>3574182399</v>
      </c>
    </row>
    <row r="43" spans="1:7" x14ac:dyDescent="0.2">
      <c r="A43" s="12" t="s">
        <v>41</v>
      </c>
      <c r="B43" s="13" t="s">
        <v>92</v>
      </c>
      <c r="C43" s="14">
        <v>876229603</v>
      </c>
      <c r="D43" s="15">
        <f t="shared" si="0"/>
        <v>2.0370581882637691E-2</v>
      </c>
      <c r="E43" s="14">
        <v>858736638</v>
      </c>
      <c r="F43" s="15">
        <f t="shared" si="0"/>
        <v>7.2435207792862291E-3</v>
      </c>
      <c r="G43" s="16">
        <v>852561094</v>
      </c>
    </row>
    <row r="44" spans="1:7" x14ac:dyDescent="0.2">
      <c r="A44" s="12" t="s">
        <v>42</v>
      </c>
      <c r="B44" s="13" t="s">
        <v>92</v>
      </c>
      <c r="C44" s="14">
        <v>1389387782</v>
      </c>
      <c r="D44" s="15">
        <f t="shared" si="0"/>
        <v>3.4473538943043731E-2</v>
      </c>
      <c r="E44" s="14">
        <v>1343086826</v>
      </c>
      <c r="F44" s="15">
        <f t="shared" si="0"/>
        <v>7.2518397965495612E-2</v>
      </c>
      <c r="G44" s="16">
        <v>1252273927</v>
      </c>
    </row>
    <row r="45" spans="1:7" x14ac:dyDescent="0.2">
      <c r="A45" s="12" t="s">
        <v>43</v>
      </c>
      <c r="B45" s="13" t="s">
        <v>91</v>
      </c>
      <c r="C45" s="14">
        <v>56481314112</v>
      </c>
      <c r="D45" s="15">
        <f t="shared" si="0"/>
        <v>8.6175811198404256E-2</v>
      </c>
      <c r="E45" s="14">
        <v>52000158289</v>
      </c>
      <c r="F45" s="15">
        <f t="shared" si="0"/>
        <v>5.502607450345387E-2</v>
      </c>
      <c r="G45" s="16">
        <v>49288031401</v>
      </c>
    </row>
    <row r="46" spans="1:7" x14ac:dyDescent="0.2">
      <c r="A46" s="12" t="s">
        <v>44</v>
      </c>
      <c r="B46" s="13" t="s">
        <v>91</v>
      </c>
      <c r="C46" s="14">
        <v>35441540110</v>
      </c>
      <c r="D46" s="15">
        <f t="shared" si="0"/>
        <v>0.11605854473664105</v>
      </c>
      <c r="E46" s="14">
        <v>31755986527</v>
      </c>
      <c r="F46" s="15">
        <f t="shared" si="0"/>
        <v>7.1922346370173182E-2</v>
      </c>
      <c r="G46" s="16">
        <v>29625267758</v>
      </c>
    </row>
    <row r="47" spans="1:7" x14ac:dyDescent="0.2">
      <c r="A47" s="12" t="s">
        <v>45</v>
      </c>
      <c r="B47" s="13" t="s">
        <v>91</v>
      </c>
      <c r="C47" s="14">
        <v>33029220022</v>
      </c>
      <c r="D47" s="15">
        <f t="shared" si="0"/>
        <v>6.9997037552054525E-2</v>
      </c>
      <c r="E47" s="14">
        <v>30868515391</v>
      </c>
      <c r="F47" s="15">
        <f t="shared" si="0"/>
        <v>3.8497677025559243E-2</v>
      </c>
      <c r="G47" s="16">
        <v>29724202638</v>
      </c>
    </row>
    <row r="48" spans="1:7" x14ac:dyDescent="0.2">
      <c r="A48" s="12" t="s">
        <v>46</v>
      </c>
      <c r="B48" s="13" t="s">
        <v>91</v>
      </c>
      <c r="C48" s="14">
        <v>41773723477</v>
      </c>
      <c r="D48" s="15">
        <f t="shared" si="0"/>
        <v>4.0771742360301962E-2</v>
      </c>
      <c r="E48" s="14">
        <v>40137257553</v>
      </c>
      <c r="F48" s="15">
        <f t="shared" si="0"/>
        <v>3.8345673960013538E-2</v>
      </c>
      <c r="G48" s="16">
        <v>38655005322</v>
      </c>
    </row>
    <row r="49" spans="1:7" x14ac:dyDescent="0.2">
      <c r="A49" s="12" t="s">
        <v>47</v>
      </c>
      <c r="B49" s="13" t="s">
        <v>91</v>
      </c>
      <c r="C49" s="14">
        <v>15825469130</v>
      </c>
      <c r="D49" s="15">
        <f t="shared" si="0"/>
        <v>0.11737967324008387</v>
      </c>
      <c r="E49" s="14">
        <v>14163018631</v>
      </c>
      <c r="F49" s="15">
        <f t="shared" si="0"/>
        <v>9.2570682775094351E-2</v>
      </c>
      <c r="G49" s="16">
        <v>12963022763</v>
      </c>
    </row>
    <row r="50" spans="1:7" x14ac:dyDescent="0.2">
      <c r="A50" s="12" t="s">
        <v>48</v>
      </c>
      <c r="B50" s="13" t="s">
        <v>91</v>
      </c>
      <c r="C50" s="14">
        <v>28786641895</v>
      </c>
      <c r="D50" s="15">
        <f t="shared" si="0"/>
        <v>7.9414313237825218E-2</v>
      </c>
      <c r="E50" s="14">
        <v>26668760588</v>
      </c>
      <c r="F50" s="15">
        <f t="shared" si="0"/>
        <v>7.1909564687268598E-2</v>
      </c>
      <c r="G50" s="16">
        <v>24879674057</v>
      </c>
    </row>
    <row r="51" spans="1:7" x14ac:dyDescent="0.2">
      <c r="A51" s="12" t="s">
        <v>49</v>
      </c>
      <c r="B51" s="13" t="s">
        <v>91</v>
      </c>
      <c r="C51" s="14">
        <v>4912591733</v>
      </c>
      <c r="D51" s="15">
        <f t="shared" si="0"/>
        <v>0.17608809556163213</v>
      </c>
      <c r="E51" s="14">
        <v>4177061014</v>
      </c>
      <c r="F51" s="15">
        <f t="shared" si="0"/>
        <v>5.2023972377241046E-2</v>
      </c>
      <c r="G51" s="16">
        <v>3970499840</v>
      </c>
    </row>
    <row r="52" spans="1:7" x14ac:dyDescent="0.2">
      <c r="A52" s="12" t="s">
        <v>50</v>
      </c>
      <c r="B52" s="13" t="s">
        <v>91</v>
      </c>
      <c r="C52" s="14">
        <v>211317193847</v>
      </c>
      <c r="D52" s="15">
        <f t="shared" si="0"/>
        <v>2.7860845383483938E-2</v>
      </c>
      <c r="E52" s="14">
        <v>205589302089</v>
      </c>
      <c r="F52" s="15">
        <f t="shared" si="0"/>
        <v>6.7795523775557504E-2</v>
      </c>
      <c r="G52" s="16">
        <v>192536208957</v>
      </c>
    </row>
    <row r="53" spans="1:7" x14ac:dyDescent="0.2">
      <c r="A53" s="12" t="s">
        <v>51</v>
      </c>
      <c r="B53" s="13" t="s">
        <v>91</v>
      </c>
      <c r="C53" s="14">
        <v>47295622495</v>
      </c>
      <c r="D53" s="15">
        <f t="shared" si="0"/>
        <v>7.7328161059046593E-2</v>
      </c>
      <c r="E53" s="14">
        <v>43900850460</v>
      </c>
      <c r="F53" s="15">
        <f t="shared" si="0"/>
        <v>9.0963130505116785E-2</v>
      </c>
      <c r="G53" s="16">
        <v>40240452892</v>
      </c>
    </row>
    <row r="54" spans="1:7" x14ac:dyDescent="0.2">
      <c r="A54" s="12" t="s">
        <v>52</v>
      </c>
      <c r="B54" s="13" t="s">
        <v>91</v>
      </c>
      <c r="C54" s="14">
        <v>296574223797</v>
      </c>
      <c r="D54" s="15">
        <f t="shared" si="0"/>
        <v>7.2465756999235548E-2</v>
      </c>
      <c r="E54" s="14">
        <v>276534912058</v>
      </c>
      <c r="F54" s="15">
        <f t="shared" si="0"/>
        <v>3.8295868724201806E-2</v>
      </c>
      <c r="G54" s="16">
        <v>266335367777</v>
      </c>
    </row>
    <row r="55" spans="1:7" x14ac:dyDescent="0.2">
      <c r="A55" s="12" t="s">
        <v>53</v>
      </c>
      <c r="B55" s="13" t="s">
        <v>91</v>
      </c>
      <c r="C55" s="14">
        <v>52223666652</v>
      </c>
      <c r="D55" s="15">
        <f t="shared" si="0"/>
        <v>0.12875709579257757</v>
      </c>
      <c r="E55" s="14">
        <v>46266523459</v>
      </c>
      <c r="F55" s="15">
        <f t="shared" si="0"/>
        <v>6.1777251346517931E-2</v>
      </c>
      <c r="G55" s="16">
        <v>43574604184</v>
      </c>
    </row>
    <row r="56" spans="1:7" x14ac:dyDescent="0.2">
      <c r="A56" s="12" t="s">
        <v>54</v>
      </c>
      <c r="B56" s="13" t="s">
        <v>91</v>
      </c>
      <c r="C56" s="14">
        <v>144497445448</v>
      </c>
      <c r="D56" s="15">
        <f t="shared" si="0"/>
        <v>9.7359517093867615E-2</v>
      </c>
      <c r="E56" s="14">
        <v>131677397605</v>
      </c>
      <c r="F56" s="15">
        <f t="shared" si="0"/>
        <v>7.1804231541272315E-2</v>
      </c>
      <c r="G56" s="16">
        <v>122855829199</v>
      </c>
    </row>
    <row r="57" spans="1:7" x14ac:dyDescent="0.2">
      <c r="A57" s="12" t="s">
        <v>55</v>
      </c>
      <c r="B57" s="13" t="s">
        <v>91</v>
      </c>
      <c r="C57" s="14">
        <v>59282417394</v>
      </c>
      <c r="D57" s="15">
        <f t="shared" si="0"/>
        <v>8.6763224942372499E-2</v>
      </c>
      <c r="E57" s="14">
        <v>54549524711</v>
      </c>
      <c r="F57" s="15">
        <f t="shared" si="0"/>
        <v>0.10041846088362655</v>
      </c>
      <c r="G57" s="16">
        <v>49571619025</v>
      </c>
    </row>
    <row r="58" spans="1:7" x14ac:dyDescent="0.2">
      <c r="A58" s="12" t="s">
        <v>56</v>
      </c>
      <c r="B58" s="13" t="s">
        <v>91</v>
      </c>
      <c r="C58" s="14">
        <v>6404253460</v>
      </c>
      <c r="D58" s="15">
        <f t="shared" si="0"/>
        <v>7.1978111113471993E-2</v>
      </c>
      <c r="E58" s="14">
        <v>5974239020</v>
      </c>
      <c r="F58" s="15">
        <f t="shared" si="0"/>
        <v>0.11402033072519423</v>
      </c>
      <c r="G58" s="16">
        <v>5362773780</v>
      </c>
    </row>
    <row r="59" spans="1:7" x14ac:dyDescent="0.2">
      <c r="A59" s="12" t="s">
        <v>2</v>
      </c>
      <c r="B59" s="13" t="s">
        <v>91</v>
      </c>
      <c r="C59" s="14">
        <v>46928249672</v>
      </c>
      <c r="D59" s="15">
        <f t="shared" si="0"/>
        <v>9.846491565917477E-2</v>
      </c>
      <c r="E59" s="14">
        <v>42721664573</v>
      </c>
      <c r="F59" s="15">
        <f t="shared" si="0"/>
        <v>0.11455686867150711</v>
      </c>
      <c r="G59" s="16">
        <v>38330627870</v>
      </c>
    </row>
    <row r="60" spans="1:7" x14ac:dyDescent="0.2">
      <c r="A60" s="12" t="s">
        <v>3</v>
      </c>
      <c r="B60" s="13" t="s">
        <v>91</v>
      </c>
      <c r="C60" s="14">
        <v>36809572794</v>
      </c>
      <c r="D60" s="15">
        <f t="shared" si="0"/>
        <v>0.13438604920754391</v>
      </c>
      <c r="E60" s="14">
        <v>32448894113</v>
      </c>
      <c r="F60" s="15">
        <f t="shared" si="0"/>
        <v>3.7954327866771977E-2</v>
      </c>
      <c r="G60" s="16">
        <v>31262352535</v>
      </c>
    </row>
    <row r="61" spans="1:7" x14ac:dyDescent="0.2">
      <c r="A61" s="12" t="s">
        <v>57</v>
      </c>
      <c r="B61" s="13" t="s">
        <v>91</v>
      </c>
      <c r="C61" s="14">
        <v>19081193231</v>
      </c>
      <c r="D61" s="15">
        <f t="shared" si="0"/>
        <v>0.12493939149730224</v>
      </c>
      <c r="E61" s="14">
        <v>16961974463</v>
      </c>
      <c r="F61" s="15">
        <f t="shared" si="0"/>
        <v>9.1768235342193707E-2</v>
      </c>
      <c r="G61" s="16">
        <v>15536241039</v>
      </c>
    </row>
    <row r="62" spans="1:7" x14ac:dyDescent="0.2">
      <c r="A62" s="12" t="s">
        <v>58</v>
      </c>
      <c r="B62" s="13" t="s">
        <v>91</v>
      </c>
      <c r="C62" s="14">
        <v>93052245400</v>
      </c>
      <c r="D62" s="15">
        <f t="shared" si="0"/>
        <v>8.6520706393855187E-2</v>
      </c>
      <c r="E62" s="14">
        <v>85642404100</v>
      </c>
      <c r="F62" s="15">
        <f t="shared" si="0"/>
        <v>3.6205088060459134E-2</v>
      </c>
      <c r="G62" s="16">
        <v>82650051700</v>
      </c>
    </row>
    <row r="63" spans="1:7" x14ac:dyDescent="0.2">
      <c r="A63" s="12" t="s">
        <v>59</v>
      </c>
      <c r="B63" s="13" t="s">
        <v>91</v>
      </c>
      <c r="C63" s="14">
        <v>54174489815</v>
      </c>
      <c r="D63" s="15">
        <f t="shared" si="0"/>
        <v>6.628085155752457E-2</v>
      </c>
      <c r="E63" s="14">
        <v>50806961164</v>
      </c>
      <c r="F63" s="15">
        <f t="shared" si="0"/>
        <v>5.6471061685737879E-2</v>
      </c>
      <c r="G63" s="16">
        <v>48091200040</v>
      </c>
    </row>
    <row r="64" spans="1:7" x14ac:dyDescent="0.2">
      <c r="A64" s="12" t="s">
        <v>60</v>
      </c>
      <c r="B64" s="13" t="s">
        <v>91</v>
      </c>
      <c r="C64" s="14">
        <v>20552693024</v>
      </c>
      <c r="D64" s="15">
        <f t="shared" si="0"/>
        <v>5.791356840885848E-2</v>
      </c>
      <c r="E64" s="14">
        <v>19427572949</v>
      </c>
      <c r="F64" s="15">
        <f t="shared" si="0"/>
        <v>7.805656265193274E-2</v>
      </c>
      <c r="G64" s="16">
        <v>18020921742</v>
      </c>
    </row>
    <row r="65" spans="1:7" x14ac:dyDescent="0.2">
      <c r="A65" s="12" t="s">
        <v>61</v>
      </c>
      <c r="B65" s="13" t="s">
        <v>92</v>
      </c>
      <c r="C65" s="14">
        <v>2742286167</v>
      </c>
      <c r="D65" s="15">
        <f t="shared" si="0"/>
        <v>7.3476703322032724E-2</v>
      </c>
      <c r="E65" s="14">
        <v>2554583773</v>
      </c>
      <c r="F65" s="15">
        <f t="shared" si="0"/>
        <v>1.5343192642537222E-2</v>
      </c>
      <c r="G65" s="16">
        <v>2515980598</v>
      </c>
    </row>
    <row r="66" spans="1:7" x14ac:dyDescent="0.2">
      <c r="A66" s="12" t="s">
        <v>62</v>
      </c>
      <c r="B66" s="13" t="s">
        <v>92</v>
      </c>
      <c r="C66" s="14">
        <v>1890797862</v>
      </c>
      <c r="D66" s="15">
        <f t="shared" si="0"/>
        <v>0.13726817696841281</v>
      </c>
      <c r="E66" s="14">
        <v>1662578713</v>
      </c>
      <c r="F66" s="15">
        <f t="shared" si="0"/>
        <v>1.3756620551611113E-2</v>
      </c>
      <c r="G66" s="16">
        <v>1640017613</v>
      </c>
    </row>
    <row r="67" spans="1:7" x14ac:dyDescent="0.2">
      <c r="A67" s="12" t="s">
        <v>63</v>
      </c>
      <c r="B67" s="13" t="s">
        <v>92</v>
      </c>
      <c r="C67" s="14">
        <v>818341860</v>
      </c>
      <c r="D67" s="15">
        <f t="shared" si="0"/>
        <v>1.8380489070835594E-2</v>
      </c>
      <c r="E67" s="14">
        <v>803571817</v>
      </c>
      <c r="F67" s="15">
        <f t="shared" si="0"/>
        <v>1.1760784412659512E-2</v>
      </c>
      <c r="G67" s="16">
        <v>794231037</v>
      </c>
    </row>
    <row r="68" spans="1:7" x14ac:dyDescent="0.2">
      <c r="A68" s="12" t="s">
        <v>64</v>
      </c>
      <c r="B68" s="13" t="s">
        <v>91</v>
      </c>
      <c r="C68" s="14">
        <v>64211811888</v>
      </c>
      <c r="D68" s="15">
        <f t="shared" si="0"/>
        <v>7.4109076661637616E-2</v>
      </c>
      <c r="E68" s="14">
        <v>59781462873</v>
      </c>
      <c r="F68" s="15">
        <f t="shared" si="0"/>
        <v>7.3636329127126088E-2</v>
      </c>
      <c r="G68" s="16">
        <v>55681296591</v>
      </c>
    </row>
    <row r="69" spans="1:7" x14ac:dyDescent="0.2">
      <c r="A69" s="12" t="s">
        <v>65</v>
      </c>
      <c r="B69" s="13" t="s">
        <v>92</v>
      </c>
      <c r="C69" s="14">
        <v>2946161837</v>
      </c>
      <c r="D69" s="15">
        <f t="shared" si="0"/>
        <v>7.395745265997053E-2</v>
      </c>
      <c r="E69" s="14">
        <v>2743276123</v>
      </c>
      <c r="F69" s="15">
        <f t="shared" si="0"/>
        <v>5.8224098913661884E-2</v>
      </c>
      <c r="G69" s="16">
        <v>2592339492</v>
      </c>
    </row>
    <row r="70" spans="1:7" x14ac:dyDescent="0.2">
      <c r="A70" s="12" t="s">
        <v>66</v>
      </c>
      <c r="B70" s="13" t="s">
        <v>92</v>
      </c>
      <c r="C70" s="14">
        <v>30555338060</v>
      </c>
      <c r="D70" s="15">
        <f t="shared" ref="D70:F73" si="1">((C70-E70)/E70)</f>
        <v>0.15549901571732863</v>
      </c>
      <c r="E70" s="14">
        <v>26443413317</v>
      </c>
      <c r="F70" s="15">
        <f t="shared" si="1"/>
        <v>7.2969929693850577E-2</v>
      </c>
      <c r="G70" s="16">
        <v>24645064680</v>
      </c>
    </row>
    <row r="71" spans="1:7" x14ac:dyDescent="0.2">
      <c r="A71" s="12" t="s">
        <v>67</v>
      </c>
      <c r="B71" s="13" t="s">
        <v>92</v>
      </c>
      <c r="C71" s="14">
        <v>1587854688</v>
      </c>
      <c r="D71" s="15">
        <f t="shared" si="1"/>
        <v>9.2278957334257047E-2</v>
      </c>
      <c r="E71" s="14">
        <v>1453708027</v>
      </c>
      <c r="F71" s="15">
        <f t="shared" si="1"/>
        <v>8.9523561135065904E-2</v>
      </c>
      <c r="G71" s="16">
        <v>1334260294</v>
      </c>
    </row>
    <row r="72" spans="1:7" x14ac:dyDescent="0.2">
      <c r="A72" s="18"/>
      <c r="B72" s="19"/>
      <c r="C72" s="14"/>
      <c r="D72" s="20"/>
      <c r="E72" s="14"/>
      <c r="F72" s="20"/>
      <c r="G72" s="16"/>
    </row>
    <row r="73" spans="1:7" ht="15.75" thickBot="1" x14ac:dyDescent="0.3">
      <c r="A73" s="21" t="s">
        <v>68</v>
      </c>
      <c r="B73" s="22"/>
      <c r="C73" s="23">
        <f>SUM(C5:C71)</f>
        <v>3121471802333</v>
      </c>
      <c r="D73" s="24">
        <f t="shared" si="1"/>
        <v>7.5093818233721826E-2</v>
      </c>
      <c r="E73" s="23">
        <f>SUM(E5:E71)</f>
        <v>2903441308463</v>
      </c>
      <c r="F73" s="24">
        <f t="shared" si="1"/>
        <v>5.3924258354942377E-2</v>
      </c>
      <c r="G73" s="25">
        <f>SUM(G5:G71)</f>
        <v>2754886117713</v>
      </c>
    </row>
    <row r="75" spans="1:7" x14ac:dyDescent="0.2">
      <c r="A75" s="26" t="s">
        <v>93</v>
      </c>
    </row>
  </sheetData>
  <phoneticPr fontId="3" type="noConversion"/>
  <conditionalFormatting sqref="A75">
    <cfRule type="expression" dxfId="5" priority="7" stopIfTrue="1">
      <formula>MOD(ROW(),5)=1</formula>
    </cfRule>
  </conditionalFormatting>
  <conditionalFormatting sqref="A4:G73">
    <cfRule type="expression" dxfId="4"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E7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5"/>
  <sheetViews>
    <sheetView zoomScaleNormal="100" zoomScaleSheetLayoutView="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16" ht="23.25" x14ac:dyDescent="0.35">
      <c r="A1" s="7" t="s">
        <v>70</v>
      </c>
      <c r="B1" s="8"/>
      <c r="C1" s="9"/>
      <c r="D1" s="8"/>
      <c r="E1" s="9"/>
      <c r="F1" s="8"/>
      <c r="G1" s="9"/>
    </row>
    <row r="2" spans="1:16" ht="15" x14ac:dyDescent="0.25">
      <c r="A2" s="10" t="s">
        <v>90</v>
      </c>
      <c r="B2" s="10"/>
      <c r="C2" s="10"/>
      <c r="D2" s="10"/>
      <c r="E2" s="10"/>
      <c r="F2" s="10"/>
      <c r="G2" s="10"/>
    </row>
    <row r="3" spans="1:16" ht="15" thickBot="1" x14ac:dyDescent="0.25"/>
    <row r="4" spans="1:16" s="36" customFormat="1" ht="25.5" x14ac:dyDescent="0.2">
      <c r="A4" s="33" t="s">
        <v>0</v>
      </c>
      <c r="B4" s="34" t="s">
        <v>1</v>
      </c>
      <c r="C4" s="37" t="s">
        <v>88</v>
      </c>
      <c r="D4" s="37" t="s">
        <v>89</v>
      </c>
      <c r="E4" s="37" t="s">
        <v>83</v>
      </c>
      <c r="F4" s="37" t="s">
        <v>82</v>
      </c>
      <c r="G4" s="38" t="s">
        <v>81</v>
      </c>
    </row>
    <row r="5" spans="1:16" x14ac:dyDescent="0.2">
      <c r="A5" s="12" t="s">
        <v>4</v>
      </c>
      <c r="B5" s="13" t="s">
        <v>91</v>
      </c>
      <c r="C5" s="14">
        <v>3988980954</v>
      </c>
      <c r="D5" s="15">
        <f>((C5-E5)/E5)</f>
        <v>3.0709257313831337E-3</v>
      </c>
      <c r="E5" s="14">
        <v>3976768593</v>
      </c>
      <c r="F5" s="15">
        <f>((E5-G5)/G5)</f>
        <v>9.6678719341171861E-3</v>
      </c>
      <c r="G5" s="16">
        <v>3938689844</v>
      </c>
    </row>
    <row r="6" spans="1:16" x14ac:dyDescent="0.2">
      <c r="A6" s="12" t="s">
        <v>5</v>
      </c>
      <c r="B6" s="13" t="s">
        <v>92</v>
      </c>
      <c r="C6" s="14">
        <v>213288918</v>
      </c>
      <c r="D6" s="15">
        <f t="shared" ref="D6:F69" si="0">((C6-E6)/E6)</f>
        <v>0.13349447789182711</v>
      </c>
      <c r="E6" s="14">
        <v>188169349</v>
      </c>
      <c r="F6" s="15">
        <f t="shared" si="0"/>
        <v>5.7438383770448999E-2</v>
      </c>
      <c r="G6" s="16">
        <v>177948287</v>
      </c>
    </row>
    <row r="7" spans="1:16" x14ac:dyDescent="0.2">
      <c r="A7" s="12" t="s">
        <v>6</v>
      </c>
      <c r="B7" s="13" t="s">
        <v>91</v>
      </c>
      <c r="C7" s="14">
        <v>2253318135</v>
      </c>
      <c r="D7" s="15">
        <f t="shared" si="0"/>
        <v>3.6373771423231012E-2</v>
      </c>
      <c r="E7" s="14">
        <v>2174233078</v>
      </c>
      <c r="F7" s="15">
        <f t="shared" si="0"/>
        <v>1.9050228477502915E-2</v>
      </c>
      <c r="G7" s="16">
        <v>2133587744</v>
      </c>
      <c r="P7" s="17"/>
    </row>
    <row r="8" spans="1:16" x14ac:dyDescent="0.2">
      <c r="A8" s="12" t="s">
        <v>7</v>
      </c>
      <c r="B8" s="13" t="s">
        <v>92</v>
      </c>
      <c r="C8" s="14">
        <v>283098502</v>
      </c>
      <c r="D8" s="15">
        <f t="shared" si="0"/>
        <v>5.770104699955899E-2</v>
      </c>
      <c r="E8" s="14">
        <v>267654554</v>
      </c>
      <c r="F8" s="15">
        <f t="shared" si="0"/>
        <v>0.19894701050773952</v>
      </c>
      <c r="G8" s="16">
        <v>223241354</v>
      </c>
      <c r="P8" s="17"/>
    </row>
    <row r="9" spans="1:16" x14ac:dyDescent="0.2">
      <c r="A9" s="12" t="s">
        <v>8</v>
      </c>
      <c r="B9" s="13" t="s">
        <v>91</v>
      </c>
      <c r="C9" s="14">
        <v>10220808159</v>
      </c>
      <c r="D9" s="15">
        <f t="shared" si="0"/>
        <v>2.8681099853593076E-2</v>
      </c>
      <c r="E9" s="14">
        <v>9935837414</v>
      </c>
      <c r="F9" s="15">
        <f t="shared" si="0"/>
        <v>2.8896880187330609E-2</v>
      </c>
      <c r="G9" s="16">
        <v>9656786414</v>
      </c>
      <c r="P9" s="17"/>
    </row>
    <row r="10" spans="1:16" x14ac:dyDescent="0.2">
      <c r="A10" s="12" t="s">
        <v>9</v>
      </c>
      <c r="B10" s="13" t="s">
        <v>91</v>
      </c>
      <c r="C10" s="14">
        <v>10104909670</v>
      </c>
      <c r="D10" s="15">
        <f t="shared" si="0"/>
        <v>-2.0271963763592304E-3</v>
      </c>
      <c r="E10" s="14">
        <v>10125435917</v>
      </c>
      <c r="F10" s="15">
        <f t="shared" si="0"/>
        <v>1.0624057741745522E-2</v>
      </c>
      <c r="G10" s="16">
        <v>10018993551</v>
      </c>
      <c r="P10" s="17"/>
    </row>
    <row r="11" spans="1:16" x14ac:dyDescent="0.2">
      <c r="A11" s="12" t="s">
        <v>10</v>
      </c>
      <c r="B11" s="13" t="s">
        <v>92</v>
      </c>
      <c r="C11" s="14">
        <v>133383210</v>
      </c>
      <c r="D11" s="15">
        <f t="shared" si="0"/>
        <v>6.2443870672006498E-2</v>
      </c>
      <c r="E11" s="14">
        <v>125543771</v>
      </c>
      <c r="F11" s="15">
        <f t="shared" si="0"/>
        <v>0.16339444393255431</v>
      </c>
      <c r="G11" s="16">
        <v>107911613</v>
      </c>
      <c r="P11" s="17"/>
    </row>
    <row r="12" spans="1:16" x14ac:dyDescent="0.2">
      <c r="A12" s="12" t="s">
        <v>11</v>
      </c>
      <c r="B12" s="13" t="s">
        <v>91</v>
      </c>
      <c r="C12" s="14">
        <v>1424298660</v>
      </c>
      <c r="D12" s="15">
        <f t="shared" si="0"/>
        <v>-4.1937123996963456E-2</v>
      </c>
      <c r="E12" s="14">
        <v>1486644244</v>
      </c>
      <c r="F12" s="15">
        <f t="shared" si="0"/>
        <v>5.9863783596166953E-2</v>
      </c>
      <c r="G12" s="16">
        <v>1402674822</v>
      </c>
      <c r="P12" s="17"/>
    </row>
    <row r="13" spans="1:16" x14ac:dyDescent="0.2">
      <c r="A13" s="12" t="s">
        <v>12</v>
      </c>
      <c r="B13" s="13" t="s">
        <v>91</v>
      </c>
      <c r="C13" s="14">
        <v>3981349779</v>
      </c>
      <c r="D13" s="15">
        <f t="shared" si="0"/>
        <v>3.7445860697498238E-3</v>
      </c>
      <c r="E13" s="14">
        <v>3966496890</v>
      </c>
      <c r="F13" s="15">
        <f t="shared" si="0"/>
        <v>1.6222113765046765E-2</v>
      </c>
      <c r="G13" s="16">
        <v>3903179075</v>
      </c>
      <c r="P13" s="17"/>
    </row>
    <row r="14" spans="1:16" x14ac:dyDescent="0.2">
      <c r="A14" s="12" t="s">
        <v>13</v>
      </c>
      <c r="B14" s="13" t="s">
        <v>91</v>
      </c>
      <c r="C14" s="14">
        <v>1543947609</v>
      </c>
      <c r="D14" s="15">
        <f t="shared" si="0"/>
        <v>4.9814613141097669E-2</v>
      </c>
      <c r="E14" s="14">
        <v>1470685957</v>
      </c>
      <c r="F14" s="15">
        <f t="shared" si="0"/>
        <v>8.7433624444098038E-2</v>
      </c>
      <c r="G14" s="16">
        <v>1352437449</v>
      </c>
      <c r="P14" s="17"/>
    </row>
    <row r="15" spans="1:16" x14ac:dyDescent="0.2">
      <c r="A15" s="12" t="s">
        <v>14</v>
      </c>
      <c r="B15" s="13" t="s">
        <v>91</v>
      </c>
      <c r="C15" s="14">
        <v>2835430534</v>
      </c>
      <c r="D15" s="15">
        <f t="shared" si="0"/>
        <v>2.9096393817942424E-2</v>
      </c>
      <c r="E15" s="14">
        <v>2755262336</v>
      </c>
      <c r="F15" s="15">
        <f t="shared" si="0"/>
        <v>5.1615598732560275E-2</v>
      </c>
      <c r="G15" s="16">
        <v>2620028021</v>
      </c>
      <c r="P15" s="17"/>
    </row>
    <row r="16" spans="1:16" x14ac:dyDescent="0.2">
      <c r="A16" s="12" t="s">
        <v>15</v>
      </c>
      <c r="B16" s="13" t="s">
        <v>92</v>
      </c>
      <c r="C16" s="14">
        <v>690608410</v>
      </c>
      <c r="D16" s="15">
        <f t="shared" si="0"/>
        <v>0.23653100918086414</v>
      </c>
      <c r="E16" s="14">
        <v>558504724</v>
      </c>
      <c r="F16" s="15">
        <f t="shared" si="0"/>
        <v>6.7266128960690466E-2</v>
      </c>
      <c r="G16" s="16">
        <v>523304084</v>
      </c>
      <c r="P16" s="17"/>
    </row>
    <row r="17" spans="1:16" x14ac:dyDescent="0.2">
      <c r="A17" s="12" t="s">
        <v>78</v>
      </c>
      <c r="B17" s="13" t="s">
        <v>91</v>
      </c>
      <c r="C17" s="14">
        <v>19053337045</v>
      </c>
      <c r="D17" s="15">
        <f t="shared" si="0"/>
        <v>6.673787187230093E-2</v>
      </c>
      <c r="E17" s="14">
        <v>17861311150</v>
      </c>
      <c r="F17" s="15">
        <f t="shared" si="0"/>
        <v>-0.1638537698209154</v>
      </c>
      <c r="G17" s="16">
        <v>21361468252</v>
      </c>
      <c r="P17" s="17"/>
    </row>
    <row r="18" spans="1:16" x14ac:dyDescent="0.2">
      <c r="A18" s="12" t="s">
        <v>16</v>
      </c>
      <c r="B18" s="13" t="s">
        <v>91</v>
      </c>
      <c r="C18" s="14">
        <v>701968938</v>
      </c>
      <c r="D18" s="15">
        <f t="shared" si="0"/>
        <v>-2.276699770307785E-2</v>
      </c>
      <c r="E18" s="14">
        <v>718322996</v>
      </c>
      <c r="F18" s="15">
        <f t="shared" si="0"/>
        <v>0.11107718263939305</v>
      </c>
      <c r="G18" s="16">
        <v>646510438</v>
      </c>
      <c r="P18" s="17"/>
    </row>
    <row r="19" spans="1:16" x14ac:dyDescent="0.2">
      <c r="A19" s="12" t="s">
        <v>17</v>
      </c>
      <c r="B19" s="13" t="s">
        <v>92</v>
      </c>
      <c r="C19" s="14">
        <v>93860975</v>
      </c>
      <c r="D19" s="15">
        <f t="shared" si="0"/>
        <v>7.4569177106016578E-3</v>
      </c>
      <c r="E19" s="14">
        <v>93166242</v>
      </c>
      <c r="F19" s="15">
        <f t="shared" si="0"/>
        <v>2.1322627894028147E-2</v>
      </c>
      <c r="G19" s="16">
        <v>91221167</v>
      </c>
      <c r="P19" s="17"/>
    </row>
    <row r="20" spans="1:16" x14ac:dyDescent="0.2">
      <c r="A20" s="12" t="s">
        <v>18</v>
      </c>
      <c r="B20" s="13" t="s">
        <v>91</v>
      </c>
      <c r="C20" s="14">
        <v>14790686117</v>
      </c>
      <c r="D20" s="15">
        <f t="shared" si="0"/>
        <v>1.4540727264136584E-2</v>
      </c>
      <c r="E20" s="14">
        <v>14578701199</v>
      </c>
      <c r="F20" s="15">
        <f t="shared" si="0"/>
        <v>4.7730686890170987E-2</v>
      </c>
      <c r="G20" s="16">
        <v>13914550162</v>
      </c>
      <c r="P20" s="17"/>
    </row>
    <row r="21" spans="1:16" x14ac:dyDescent="0.2">
      <c r="A21" s="12" t="s">
        <v>19</v>
      </c>
      <c r="B21" s="13" t="s">
        <v>91</v>
      </c>
      <c r="C21" s="14">
        <v>3294821321</v>
      </c>
      <c r="D21" s="15">
        <f t="shared" si="0"/>
        <v>0.10945254315820838</v>
      </c>
      <c r="E21" s="14">
        <v>2969772201</v>
      </c>
      <c r="F21" s="15">
        <f t="shared" si="0"/>
        <v>-8.1525231972662537E-3</v>
      </c>
      <c r="G21" s="16">
        <v>2994182342</v>
      </c>
      <c r="P21" s="17"/>
    </row>
    <row r="22" spans="1:16" x14ac:dyDescent="0.2">
      <c r="A22" s="12" t="s">
        <v>20</v>
      </c>
      <c r="B22" s="13" t="s">
        <v>91</v>
      </c>
      <c r="C22" s="14">
        <v>710973206</v>
      </c>
      <c r="D22" s="15">
        <f t="shared" si="0"/>
        <v>5.7665082689795498E-2</v>
      </c>
      <c r="E22" s="14">
        <v>672210152</v>
      </c>
      <c r="F22" s="15">
        <f t="shared" si="0"/>
        <v>0.16884596258437301</v>
      </c>
      <c r="G22" s="16">
        <v>575105851</v>
      </c>
      <c r="P22" s="17"/>
    </row>
    <row r="23" spans="1:16" x14ac:dyDescent="0.2">
      <c r="A23" s="12" t="s">
        <v>21</v>
      </c>
      <c r="B23" s="13" t="s">
        <v>92</v>
      </c>
      <c r="C23" s="14">
        <v>94797882</v>
      </c>
      <c r="D23" s="15">
        <f t="shared" si="0"/>
        <v>0.14825188431980751</v>
      </c>
      <c r="E23" s="14">
        <v>82558438</v>
      </c>
      <c r="F23" s="15">
        <f t="shared" si="0"/>
        <v>-6.6530625102312141E-2</v>
      </c>
      <c r="G23" s="16">
        <v>88442578</v>
      </c>
      <c r="P23" s="17"/>
    </row>
    <row r="24" spans="1:16" x14ac:dyDescent="0.2">
      <c r="A24" s="12" t="s">
        <v>22</v>
      </c>
      <c r="B24" s="13" t="s">
        <v>92</v>
      </c>
      <c r="C24" s="14">
        <v>668533148</v>
      </c>
      <c r="D24" s="15">
        <f t="shared" si="0"/>
        <v>7.3007328096911669E-2</v>
      </c>
      <c r="E24" s="14">
        <v>623046209</v>
      </c>
      <c r="F24" s="15">
        <f t="shared" si="0"/>
        <v>4.0859697639051389E-2</v>
      </c>
      <c r="G24" s="16">
        <v>598588081</v>
      </c>
      <c r="P24" s="17"/>
    </row>
    <row r="25" spans="1:16" x14ac:dyDescent="0.2">
      <c r="A25" s="12" t="s">
        <v>23</v>
      </c>
      <c r="B25" s="13" t="s">
        <v>92</v>
      </c>
      <c r="C25" s="14">
        <v>333733857</v>
      </c>
      <c r="D25" s="15">
        <f t="shared" si="0"/>
        <v>0.10057187788369963</v>
      </c>
      <c r="E25" s="14">
        <v>303236766</v>
      </c>
      <c r="F25" s="15">
        <f t="shared" si="0"/>
        <v>0.25994673090840309</v>
      </c>
      <c r="G25" s="16">
        <v>240674275</v>
      </c>
      <c r="P25" s="17"/>
    </row>
    <row r="26" spans="1:16" x14ac:dyDescent="0.2">
      <c r="A26" s="12" t="s">
        <v>24</v>
      </c>
      <c r="B26" s="13" t="s">
        <v>91</v>
      </c>
      <c r="C26" s="14">
        <v>156554800</v>
      </c>
      <c r="D26" s="15">
        <f t="shared" si="0"/>
        <v>-3.0358143813440458E-2</v>
      </c>
      <c r="E26" s="14">
        <v>161456314</v>
      </c>
      <c r="F26" s="15">
        <f t="shared" si="0"/>
        <v>0.14758452286947005</v>
      </c>
      <c r="G26" s="16">
        <v>140692307</v>
      </c>
      <c r="P26" s="17"/>
    </row>
    <row r="27" spans="1:16" x14ac:dyDescent="0.2">
      <c r="A27" s="12" t="s">
        <v>25</v>
      </c>
      <c r="B27" s="13" t="s">
        <v>92</v>
      </c>
      <c r="C27" s="14">
        <v>116444943</v>
      </c>
      <c r="D27" s="15">
        <f t="shared" si="0"/>
        <v>8.9334398348562813E-2</v>
      </c>
      <c r="E27" s="14">
        <v>106895498</v>
      </c>
      <c r="F27" s="15">
        <f t="shared" si="0"/>
        <v>8.5253732957981485E-2</v>
      </c>
      <c r="G27" s="16">
        <v>98498162</v>
      </c>
      <c r="P27" s="17"/>
    </row>
    <row r="28" spans="1:16" x14ac:dyDescent="0.2">
      <c r="A28" s="12" t="s">
        <v>26</v>
      </c>
      <c r="B28" s="13" t="s">
        <v>92</v>
      </c>
      <c r="C28" s="14">
        <v>638907862</v>
      </c>
      <c r="D28" s="15">
        <f t="shared" si="0"/>
        <v>-3.2377759290650183E-2</v>
      </c>
      <c r="E28" s="14">
        <v>660286458</v>
      </c>
      <c r="F28" s="15">
        <f t="shared" si="0"/>
        <v>0.10559705933749765</v>
      </c>
      <c r="G28" s="16">
        <v>597221612</v>
      </c>
      <c r="P28" s="17"/>
    </row>
    <row r="29" spans="1:16" x14ac:dyDescent="0.2">
      <c r="A29" s="12" t="s">
        <v>27</v>
      </c>
      <c r="B29" s="13" t="s">
        <v>91</v>
      </c>
      <c r="C29" s="14">
        <v>845290892</v>
      </c>
      <c r="D29" s="15">
        <f t="shared" si="0"/>
        <v>2.5170890782513406E-2</v>
      </c>
      <c r="E29" s="14">
        <v>824536572</v>
      </c>
      <c r="F29" s="15">
        <f t="shared" si="0"/>
        <v>3.6531527275088398E-2</v>
      </c>
      <c r="G29" s="16">
        <v>795476597</v>
      </c>
      <c r="P29" s="17"/>
    </row>
    <row r="30" spans="1:16" x14ac:dyDescent="0.2">
      <c r="A30" s="12" t="s">
        <v>28</v>
      </c>
      <c r="B30" s="13" t="s">
        <v>91</v>
      </c>
      <c r="C30" s="14">
        <v>975989515</v>
      </c>
      <c r="D30" s="15">
        <f t="shared" si="0"/>
        <v>5.0357114762632431E-2</v>
      </c>
      <c r="E30" s="14">
        <v>929197795</v>
      </c>
      <c r="F30" s="15">
        <f t="shared" si="0"/>
        <v>0.25770308932338037</v>
      </c>
      <c r="G30" s="16">
        <v>738805369</v>
      </c>
      <c r="P30" s="17"/>
    </row>
    <row r="31" spans="1:16" x14ac:dyDescent="0.2">
      <c r="A31" s="12" t="s">
        <v>29</v>
      </c>
      <c r="B31" s="13" t="s">
        <v>91</v>
      </c>
      <c r="C31" s="14">
        <v>1817024643</v>
      </c>
      <c r="D31" s="15">
        <f t="shared" si="0"/>
        <v>2.862832856860038E-2</v>
      </c>
      <c r="E31" s="14">
        <v>1766454017</v>
      </c>
      <c r="F31" s="15">
        <f t="shared" si="0"/>
        <v>2.8877424091832023E-2</v>
      </c>
      <c r="G31" s="16">
        <v>1716875087</v>
      </c>
      <c r="P31" s="17"/>
    </row>
    <row r="32" spans="1:16" x14ac:dyDescent="0.2">
      <c r="A32" s="12" t="s">
        <v>30</v>
      </c>
      <c r="B32" s="13" t="s">
        <v>91</v>
      </c>
      <c r="C32" s="14">
        <v>751757665</v>
      </c>
      <c r="D32" s="15">
        <f t="shared" si="0"/>
        <v>5.0315295638715098E-2</v>
      </c>
      <c r="E32" s="14">
        <v>715744756</v>
      </c>
      <c r="F32" s="15">
        <f t="shared" si="0"/>
        <v>9.6831173673658386E-2</v>
      </c>
      <c r="G32" s="16">
        <v>652556905</v>
      </c>
      <c r="P32" s="17"/>
    </row>
    <row r="33" spans="1:16" x14ac:dyDescent="0.2">
      <c r="A33" s="12" t="s">
        <v>31</v>
      </c>
      <c r="B33" s="13" t="s">
        <v>91</v>
      </c>
      <c r="C33" s="14">
        <v>11845650280</v>
      </c>
      <c r="D33" s="15">
        <f t="shared" si="0"/>
        <v>1.2772143397393515E-2</v>
      </c>
      <c r="E33" s="14">
        <v>11696263920</v>
      </c>
      <c r="F33" s="15">
        <f t="shared" si="0"/>
        <v>2.7631635561461514E-2</v>
      </c>
      <c r="G33" s="16">
        <v>11381767080</v>
      </c>
      <c r="P33" s="17"/>
    </row>
    <row r="34" spans="1:16" x14ac:dyDescent="0.2">
      <c r="A34" s="12" t="s">
        <v>32</v>
      </c>
      <c r="B34" s="13" t="s">
        <v>92</v>
      </c>
      <c r="C34" s="14">
        <v>99918420</v>
      </c>
      <c r="D34" s="15">
        <f t="shared" si="0"/>
        <v>1.7255499812855422E-2</v>
      </c>
      <c r="E34" s="14">
        <v>98223524</v>
      </c>
      <c r="F34" s="15">
        <f t="shared" si="0"/>
        <v>4.7050113035142054E-2</v>
      </c>
      <c r="G34" s="16">
        <v>93809764</v>
      </c>
      <c r="P34" s="17"/>
    </row>
    <row r="35" spans="1:16" x14ac:dyDescent="0.2">
      <c r="A35" s="12" t="s">
        <v>33</v>
      </c>
      <c r="B35" s="13" t="s">
        <v>91</v>
      </c>
      <c r="C35" s="14">
        <v>850748919</v>
      </c>
      <c r="D35" s="15">
        <f t="shared" si="0"/>
        <v>6.0795652014857871E-2</v>
      </c>
      <c r="E35" s="14">
        <v>801991333</v>
      </c>
      <c r="F35" s="15">
        <f t="shared" si="0"/>
        <v>8.7118998102798245E-2</v>
      </c>
      <c r="G35" s="16">
        <v>737721753</v>
      </c>
      <c r="P35" s="17"/>
    </row>
    <row r="36" spans="1:16" x14ac:dyDescent="0.2">
      <c r="A36" s="12" t="s">
        <v>34</v>
      </c>
      <c r="B36" s="13" t="s">
        <v>92</v>
      </c>
      <c r="C36" s="14">
        <v>455867992</v>
      </c>
      <c r="D36" s="15">
        <f t="shared" si="0"/>
        <v>0.13573095272992064</v>
      </c>
      <c r="E36" s="14">
        <v>401387310</v>
      </c>
      <c r="F36" s="15">
        <f t="shared" si="0"/>
        <v>0.12334932639855052</v>
      </c>
      <c r="G36" s="16">
        <v>357312993</v>
      </c>
      <c r="P36" s="17"/>
    </row>
    <row r="37" spans="1:16" x14ac:dyDescent="0.2">
      <c r="A37" s="12" t="s">
        <v>35</v>
      </c>
      <c r="B37" s="13" t="s">
        <v>92</v>
      </c>
      <c r="C37" s="14">
        <v>171059426</v>
      </c>
      <c r="D37" s="15">
        <f t="shared" si="0"/>
        <v>-2.0694737262496782E-2</v>
      </c>
      <c r="E37" s="14">
        <v>174674264</v>
      </c>
      <c r="F37" s="15">
        <f t="shared" si="0"/>
        <v>5.1524261799467279E-2</v>
      </c>
      <c r="G37" s="16">
        <v>166115296</v>
      </c>
      <c r="P37" s="17"/>
    </row>
    <row r="38" spans="1:16" x14ac:dyDescent="0.2">
      <c r="A38" s="12" t="s">
        <v>36</v>
      </c>
      <c r="B38" s="13" t="s">
        <v>92</v>
      </c>
      <c r="C38" s="14">
        <v>73281607</v>
      </c>
      <c r="D38" s="15">
        <f t="shared" si="0"/>
        <v>2.2606033114907727E-2</v>
      </c>
      <c r="E38" s="14">
        <v>71661622</v>
      </c>
      <c r="F38" s="15">
        <f t="shared" si="0"/>
        <v>9.0320030441849566E-2</v>
      </c>
      <c r="G38" s="16">
        <v>65725310</v>
      </c>
      <c r="P38" s="17"/>
    </row>
    <row r="39" spans="1:16" x14ac:dyDescent="0.2">
      <c r="A39" s="12" t="s">
        <v>37</v>
      </c>
      <c r="B39" s="13" t="s">
        <v>91</v>
      </c>
      <c r="C39" s="14">
        <v>2097201257</v>
      </c>
      <c r="D39" s="15">
        <f t="shared" si="0"/>
        <v>2.9036285451401389E-3</v>
      </c>
      <c r="E39" s="14">
        <v>2091129394</v>
      </c>
      <c r="F39" s="15">
        <f t="shared" si="0"/>
        <v>3.0351803004132118E-2</v>
      </c>
      <c r="G39" s="16">
        <v>2029529514</v>
      </c>
      <c r="P39" s="17"/>
    </row>
    <row r="40" spans="1:16" x14ac:dyDescent="0.2">
      <c r="A40" s="12" t="s">
        <v>38</v>
      </c>
      <c r="B40" s="13" t="s">
        <v>91</v>
      </c>
      <c r="C40" s="14">
        <v>5839513281</v>
      </c>
      <c r="D40" s="15">
        <f t="shared" si="0"/>
        <v>5.3300094903918366E-3</v>
      </c>
      <c r="E40" s="14">
        <v>5808553635</v>
      </c>
      <c r="F40" s="15">
        <f t="shared" si="0"/>
        <v>0.16730872595546994</v>
      </c>
      <c r="G40" s="16">
        <v>4976021772</v>
      </c>
      <c r="P40" s="17"/>
    </row>
    <row r="41" spans="1:16" x14ac:dyDescent="0.2">
      <c r="A41" s="12" t="s">
        <v>39</v>
      </c>
      <c r="B41" s="13" t="s">
        <v>91</v>
      </c>
      <c r="C41" s="14">
        <v>2209204941</v>
      </c>
      <c r="D41" s="15">
        <f t="shared" si="0"/>
        <v>1.1840819024007772E-2</v>
      </c>
      <c r="E41" s="14">
        <v>2183352262</v>
      </c>
      <c r="F41" s="15">
        <f t="shared" si="0"/>
        <v>1.6883630607454686E-3</v>
      </c>
      <c r="G41" s="16">
        <v>2179672184</v>
      </c>
      <c r="P41" s="17"/>
    </row>
    <row r="42" spans="1:16" x14ac:dyDescent="0.2">
      <c r="A42" s="12" t="s">
        <v>40</v>
      </c>
      <c r="B42" s="13" t="s">
        <v>92</v>
      </c>
      <c r="C42" s="14">
        <v>413457689</v>
      </c>
      <c r="D42" s="15">
        <f t="shared" si="0"/>
        <v>-2.9068733399745163E-3</v>
      </c>
      <c r="E42" s="14">
        <v>414663062</v>
      </c>
      <c r="F42" s="15">
        <f t="shared" si="0"/>
        <v>9.3822835335884924E-2</v>
      </c>
      <c r="G42" s="16">
        <v>379095269</v>
      </c>
      <c r="P42" s="17"/>
    </row>
    <row r="43" spans="1:16" x14ac:dyDescent="0.2">
      <c r="A43" s="12" t="s">
        <v>41</v>
      </c>
      <c r="B43" s="13" t="s">
        <v>92</v>
      </c>
      <c r="C43" s="14">
        <v>134282881</v>
      </c>
      <c r="D43" s="15">
        <f t="shared" si="0"/>
        <v>0.21309961015331025</v>
      </c>
      <c r="E43" s="14">
        <v>110694027</v>
      </c>
      <c r="F43" s="15">
        <f t="shared" si="0"/>
        <v>5.8084791862917574E-2</v>
      </c>
      <c r="G43" s="16">
        <v>104617350</v>
      </c>
      <c r="P43" s="17"/>
    </row>
    <row r="44" spans="1:16" x14ac:dyDescent="0.2">
      <c r="A44" s="12" t="s">
        <v>42</v>
      </c>
      <c r="B44" s="13" t="s">
        <v>92</v>
      </c>
      <c r="C44" s="14">
        <v>221354582</v>
      </c>
      <c r="D44" s="15">
        <f t="shared" si="0"/>
        <v>9.8291458549043573E-2</v>
      </c>
      <c r="E44" s="14">
        <v>201544481</v>
      </c>
      <c r="F44" s="15">
        <f t="shared" si="0"/>
        <v>8.8559708948700577E-2</v>
      </c>
      <c r="G44" s="16">
        <v>185147842</v>
      </c>
      <c r="P44" s="17"/>
    </row>
    <row r="45" spans="1:16" x14ac:dyDescent="0.2">
      <c r="A45" s="12" t="s">
        <v>43</v>
      </c>
      <c r="B45" s="13" t="s">
        <v>91</v>
      </c>
      <c r="C45" s="14">
        <v>3707492179</v>
      </c>
      <c r="D45" s="15">
        <f t="shared" si="0"/>
        <v>5.6217359983992453E-3</v>
      </c>
      <c r="E45" s="14">
        <v>3686766153</v>
      </c>
      <c r="F45" s="15">
        <f t="shared" si="0"/>
        <v>4.1398042795249501E-2</v>
      </c>
      <c r="G45" s="16">
        <v>3540208452</v>
      </c>
      <c r="P45" s="17"/>
    </row>
    <row r="46" spans="1:16" x14ac:dyDescent="0.2">
      <c r="A46" s="12" t="s">
        <v>44</v>
      </c>
      <c r="B46" s="13" t="s">
        <v>91</v>
      </c>
      <c r="C46" s="14">
        <v>2106489927</v>
      </c>
      <c r="D46" s="15">
        <f t="shared" si="0"/>
        <v>4.6967420136580472E-2</v>
      </c>
      <c r="E46" s="14">
        <v>2011991860</v>
      </c>
      <c r="F46" s="15">
        <f t="shared" si="0"/>
        <v>8.4998182014018611E-2</v>
      </c>
      <c r="G46" s="16">
        <v>1854373485</v>
      </c>
      <c r="P46" s="17"/>
    </row>
    <row r="47" spans="1:16" x14ac:dyDescent="0.2">
      <c r="A47" s="12" t="s">
        <v>45</v>
      </c>
      <c r="B47" s="13" t="s">
        <v>91</v>
      </c>
      <c r="C47" s="14">
        <v>3187625099</v>
      </c>
      <c r="D47" s="15">
        <f t="shared" si="0"/>
        <v>2.5889445824208112E-2</v>
      </c>
      <c r="E47" s="14">
        <v>3107181882</v>
      </c>
      <c r="F47" s="15">
        <f t="shared" si="0"/>
        <v>4.1026351666896055E-2</v>
      </c>
      <c r="G47" s="16">
        <v>2984729327</v>
      </c>
      <c r="P47" s="17"/>
    </row>
    <row r="48" spans="1:16" x14ac:dyDescent="0.2">
      <c r="A48" s="12" t="s">
        <v>46</v>
      </c>
      <c r="B48" s="13" t="s">
        <v>91</v>
      </c>
      <c r="C48" s="14">
        <v>905787545</v>
      </c>
      <c r="D48" s="15">
        <f t="shared" si="0"/>
        <v>5.9456321459852357E-2</v>
      </c>
      <c r="E48" s="14">
        <v>854955062</v>
      </c>
      <c r="F48" s="15">
        <f t="shared" si="0"/>
        <v>4.3229698979466394E-2</v>
      </c>
      <c r="G48" s="16">
        <v>819527150</v>
      </c>
      <c r="P48" s="17"/>
    </row>
    <row r="49" spans="1:16" x14ac:dyDescent="0.2">
      <c r="A49" s="12" t="s">
        <v>47</v>
      </c>
      <c r="B49" s="13" t="s">
        <v>91</v>
      </c>
      <c r="C49" s="14">
        <v>1496386347</v>
      </c>
      <c r="D49" s="15">
        <f t="shared" si="0"/>
        <v>8.8033499097495832E-2</v>
      </c>
      <c r="E49" s="14">
        <v>1375312753</v>
      </c>
      <c r="F49" s="15">
        <f t="shared" si="0"/>
        <v>9.7641560638684829E-2</v>
      </c>
      <c r="G49" s="16">
        <v>1252970735</v>
      </c>
      <c r="P49" s="17"/>
    </row>
    <row r="50" spans="1:16" x14ac:dyDescent="0.2">
      <c r="A50" s="12" t="s">
        <v>48</v>
      </c>
      <c r="B50" s="13" t="s">
        <v>91</v>
      </c>
      <c r="C50" s="14">
        <v>1041372026</v>
      </c>
      <c r="D50" s="15">
        <f t="shared" si="0"/>
        <v>1.7379953206787594E-2</v>
      </c>
      <c r="E50" s="14">
        <v>1023582215</v>
      </c>
      <c r="F50" s="15">
        <f t="shared" si="0"/>
        <v>2.6194120191505625E-2</v>
      </c>
      <c r="G50" s="16">
        <v>997454765</v>
      </c>
      <c r="P50" s="17"/>
    </row>
    <row r="51" spans="1:16" x14ac:dyDescent="0.2">
      <c r="A51" s="12" t="s">
        <v>49</v>
      </c>
      <c r="B51" s="13" t="s">
        <v>91</v>
      </c>
      <c r="C51" s="14">
        <v>1733886831</v>
      </c>
      <c r="D51" s="15">
        <f t="shared" si="0"/>
        <v>9.5908533938446977E-2</v>
      </c>
      <c r="E51" s="14">
        <v>1582145569</v>
      </c>
      <c r="F51" s="15">
        <f t="shared" si="0"/>
        <v>0.46725035136925841</v>
      </c>
      <c r="G51" s="16">
        <v>1078306485</v>
      </c>
      <c r="P51" s="17"/>
    </row>
    <row r="52" spans="1:16" x14ac:dyDescent="0.2">
      <c r="A52" s="12" t="s">
        <v>50</v>
      </c>
      <c r="B52" s="13" t="s">
        <v>91</v>
      </c>
      <c r="C52" s="14">
        <v>16758628583</v>
      </c>
      <c r="D52" s="15">
        <f t="shared" si="0"/>
        <v>1.9016154701279955E-2</v>
      </c>
      <c r="E52" s="14">
        <v>16445890976</v>
      </c>
      <c r="F52" s="15">
        <f t="shared" si="0"/>
        <v>3.8349232533669779E-2</v>
      </c>
      <c r="G52" s="16">
        <v>15838496780</v>
      </c>
      <c r="P52" s="17"/>
    </row>
    <row r="53" spans="1:16" x14ac:dyDescent="0.2">
      <c r="A53" s="12" t="s">
        <v>51</v>
      </c>
      <c r="B53" s="13" t="s">
        <v>91</v>
      </c>
      <c r="C53" s="14">
        <v>3293289564</v>
      </c>
      <c r="D53" s="15">
        <f t="shared" si="0"/>
        <v>6.5164300073063036E-2</v>
      </c>
      <c r="E53" s="14">
        <v>3091813689</v>
      </c>
      <c r="F53" s="15">
        <f t="shared" si="0"/>
        <v>9.6069705892903902E-3</v>
      </c>
      <c r="G53" s="16">
        <v>3062393366</v>
      </c>
      <c r="P53" s="17"/>
    </row>
    <row r="54" spans="1:16" x14ac:dyDescent="0.2">
      <c r="A54" s="12" t="s">
        <v>52</v>
      </c>
      <c r="B54" s="13" t="s">
        <v>91</v>
      </c>
      <c r="C54" s="14">
        <v>11933611062</v>
      </c>
      <c r="D54" s="15">
        <f t="shared" si="0"/>
        <v>1.6736837384228324E-2</v>
      </c>
      <c r="E54" s="14">
        <v>11737167990</v>
      </c>
      <c r="F54" s="15">
        <f t="shared" si="0"/>
        <v>8.2259843576177966E-2</v>
      </c>
      <c r="G54" s="16">
        <v>10845055427</v>
      </c>
      <c r="P54" s="17"/>
    </row>
    <row r="55" spans="1:16" x14ac:dyDescent="0.2">
      <c r="A55" s="12" t="s">
        <v>53</v>
      </c>
      <c r="B55" s="13" t="s">
        <v>91</v>
      </c>
      <c r="C55" s="14">
        <v>3243128015</v>
      </c>
      <c r="D55" s="15">
        <f t="shared" si="0"/>
        <v>1.7126109908737051E-2</v>
      </c>
      <c r="E55" s="14">
        <v>3188521053</v>
      </c>
      <c r="F55" s="15">
        <f t="shared" si="0"/>
        <v>-4.9259401892874907E-2</v>
      </c>
      <c r="G55" s="16">
        <v>3353723465</v>
      </c>
      <c r="P55" s="17"/>
    </row>
    <row r="56" spans="1:16" x14ac:dyDescent="0.2">
      <c r="A56" s="12" t="s">
        <v>54</v>
      </c>
      <c r="B56" s="13" t="s">
        <v>91</v>
      </c>
      <c r="C56" s="14">
        <v>6526052124</v>
      </c>
      <c r="D56" s="15">
        <f t="shared" si="0"/>
        <v>-3.5284659814865824E-2</v>
      </c>
      <c r="E56" s="14">
        <v>6764743808</v>
      </c>
      <c r="F56" s="15">
        <f t="shared" si="0"/>
        <v>4.2038591596562813E-2</v>
      </c>
      <c r="G56" s="16">
        <v>6491836159</v>
      </c>
      <c r="P56" s="17"/>
    </row>
    <row r="57" spans="1:16" x14ac:dyDescent="0.2">
      <c r="A57" s="12" t="s">
        <v>55</v>
      </c>
      <c r="B57" s="13" t="s">
        <v>91</v>
      </c>
      <c r="C57" s="14">
        <v>8273472841</v>
      </c>
      <c r="D57" s="15">
        <f t="shared" si="0"/>
        <v>6.0115060019236756E-2</v>
      </c>
      <c r="E57" s="14">
        <v>7804315921</v>
      </c>
      <c r="F57" s="15">
        <f t="shared" si="0"/>
        <v>5.6765320652922807E-2</v>
      </c>
      <c r="G57" s="16">
        <v>7385098440</v>
      </c>
      <c r="P57" s="17"/>
    </row>
    <row r="58" spans="1:16" x14ac:dyDescent="0.2">
      <c r="A58" s="12" t="s">
        <v>56</v>
      </c>
      <c r="B58" s="13" t="s">
        <v>91</v>
      </c>
      <c r="C58" s="14">
        <v>2453994650</v>
      </c>
      <c r="D58" s="15">
        <f t="shared" si="0"/>
        <v>5.5705181871995954E-2</v>
      </c>
      <c r="E58" s="14">
        <v>2324507535</v>
      </c>
      <c r="F58" s="15">
        <f t="shared" si="0"/>
        <v>0.16964509581198134</v>
      </c>
      <c r="G58" s="16">
        <v>1987361417</v>
      </c>
      <c r="P58" s="17"/>
    </row>
    <row r="59" spans="1:16" x14ac:dyDescent="0.2">
      <c r="A59" s="12" t="s">
        <v>2</v>
      </c>
      <c r="B59" s="13" t="s">
        <v>91</v>
      </c>
      <c r="C59" s="14">
        <v>1634142042</v>
      </c>
      <c r="D59" s="15">
        <f t="shared" si="0"/>
        <v>5.86022729504777E-2</v>
      </c>
      <c r="E59" s="14">
        <v>1543678947</v>
      </c>
      <c r="F59" s="15">
        <f t="shared" si="0"/>
        <v>0.1029964485773749</v>
      </c>
      <c r="G59" s="16">
        <v>1399532110</v>
      </c>
      <c r="P59" s="17"/>
    </row>
    <row r="60" spans="1:16" x14ac:dyDescent="0.2">
      <c r="A60" s="12" t="s">
        <v>3</v>
      </c>
      <c r="B60" s="13" t="s">
        <v>91</v>
      </c>
      <c r="C60" s="14">
        <v>5532660118</v>
      </c>
      <c r="D60" s="15">
        <f t="shared" si="0"/>
        <v>3.7181830453518654E-3</v>
      </c>
      <c r="E60" s="14">
        <v>5512164880</v>
      </c>
      <c r="F60" s="15">
        <f t="shared" si="0"/>
        <v>1.2606609728020728E-2</v>
      </c>
      <c r="G60" s="16">
        <v>5443540292</v>
      </c>
      <c r="P60" s="17"/>
    </row>
    <row r="61" spans="1:16" x14ac:dyDescent="0.2">
      <c r="A61" s="12" t="s">
        <v>57</v>
      </c>
      <c r="B61" s="13" t="s">
        <v>91</v>
      </c>
      <c r="C61" s="14">
        <v>856836313</v>
      </c>
      <c r="D61" s="15">
        <f t="shared" si="0"/>
        <v>4.1008304201887412E-2</v>
      </c>
      <c r="E61" s="14">
        <v>823083072</v>
      </c>
      <c r="F61" s="15">
        <f t="shared" si="0"/>
        <v>5.4021063246886394E-2</v>
      </c>
      <c r="G61" s="16">
        <v>780898125</v>
      </c>
      <c r="P61" s="17"/>
    </row>
    <row r="62" spans="1:16" x14ac:dyDescent="0.2">
      <c r="A62" s="12" t="s">
        <v>58</v>
      </c>
      <c r="B62" s="13" t="s">
        <v>91</v>
      </c>
      <c r="C62" s="14">
        <v>2954634888</v>
      </c>
      <c r="D62" s="15">
        <f t="shared" si="0"/>
        <v>3.6473909518798142E-2</v>
      </c>
      <c r="E62" s="14">
        <v>2850660167</v>
      </c>
      <c r="F62" s="15">
        <f t="shared" si="0"/>
        <v>7.3271573125195846E-2</v>
      </c>
      <c r="G62" s="16">
        <v>2656047396</v>
      </c>
      <c r="P62" s="17"/>
    </row>
    <row r="63" spans="1:16" x14ac:dyDescent="0.2">
      <c r="A63" s="12" t="s">
        <v>59</v>
      </c>
      <c r="B63" s="13" t="s">
        <v>91</v>
      </c>
      <c r="C63" s="14">
        <v>2780602095</v>
      </c>
      <c r="D63" s="15">
        <f t="shared" si="0"/>
        <v>3.7376406101455872E-2</v>
      </c>
      <c r="E63" s="14">
        <v>2680417714</v>
      </c>
      <c r="F63" s="15">
        <f t="shared" si="0"/>
        <v>3.1750845814642492E-2</v>
      </c>
      <c r="G63" s="16">
        <v>2597931201</v>
      </c>
      <c r="P63" s="17"/>
    </row>
    <row r="64" spans="1:16" x14ac:dyDescent="0.2">
      <c r="A64" s="12" t="s">
        <v>60</v>
      </c>
      <c r="B64" s="13" t="s">
        <v>91</v>
      </c>
      <c r="C64" s="14">
        <v>1073294041</v>
      </c>
      <c r="D64" s="15">
        <f t="shared" si="0"/>
        <v>0.10786700282646487</v>
      </c>
      <c r="E64" s="14">
        <v>968793220</v>
      </c>
      <c r="F64" s="15">
        <f t="shared" si="0"/>
        <v>-2.4759448132514673E-2</v>
      </c>
      <c r="G64" s="16">
        <v>993388983</v>
      </c>
      <c r="P64" s="17"/>
    </row>
    <row r="65" spans="1:16" x14ac:dyDescent="0.2">
      <c r="A65" s="12" t="s">
        <v>61</v>
      </c>
      <c r="B65" s="13" t="s">
        <v>92</v>
      </c>
      <c r="C65" s="14">
        <v>748478067</v>
      </c>
      <c r="D65" s="15">
        <f t="shared" si="0"/>
        <v>3.3894772557177079E-2</v>
      </c>
      <c r="E65" s="14">
        <v>723940276</v>
      </c>
      <c r="F65" s="15">
        <f t="shared" si="0"/>
        <v>1.4148140045189378E-2</v>
      </c>
      <c r="G65" s="16">
        <v>713840757</v>
      </c>
      <c r="P65" s="17"/>
    </row>
    <row r="66" spans="1:16" x14ac:dyDescent="0.2">
      <c r="A66" s="12" t="s">
        <v>62</v>
      </c>
      <c r="B66" s="13" t="s">
        <v>92</v>
      </c>
      <c r="C66" s="14">
        <v>916556798</v>
      </c>
      <c r="D66" s="15">
        <f t="shared" si="0"/>
        <v>5.8528617653171931E-2</v>
      </c>
      <c r="E66" s="14">
        <v>865878147</v>
      </c>
      <c r="F66" s="15">
        <f t="shared" si="0"/>
        <v>0.34911471285754819</v>
      </c>
      <c r="G66" s="16">
        <v>641812100</v>
      </c>
      <c r="P66" s="17"/>
    </row>
    <row r="67" spans="1:16" x14ac:dyDescent="0.2">
      <c r="A67" s="12" t="s">
        <v>63</v>
      </c>
      <c r="B67" s="13" t="s">
        <v>92</v>
      </c>
      <c r="C67" s="14">
        <v>88506542</v>
      </c>
      <c r="D67" s="15">
        <f t="shared" si="0"/>
        <v>0.37233934311514133</v>
      </c>
      <c r="E67" s="14">
        <v>64493190</v>
      </c>
      <c r="F67" s="15">
        <f t="shared" si="0"/>
        <v>4.6743679646122374E-2</v>
      </c>
      <c r="G67" s="16">
        <v>61613164</v>
      </c>
      <c r="P67" s="17"/>
    </row>
    <row r="68" spans="1:16" x14ac:dyDescent="0.2">
      <c r="A68" s="12" t="s">
        <v>64</v>
      </c>
      <c r="B68" s="13" t="s">
        <v>91</v>
      </c>
      <c r="C68" s="14">
        <v>4352958410</v>
      </c>
      <c r="D68" s="15">
        <f t="shared" si="0"/>
        <v>9.208975044500467E-2</v>
      </c>
      <c r="E68" s="14">
        <v>3985898053</v>
      </c>
      <c r="F68" s="15">
        <f t="shared" si="0"/>
        <v>0.11101679512915549</v>
      </c>
      <c r="G68" s="16">
        <v>3587612780</v>
      </c>
      <c r="P68" s="17"/>
    </row>
    <row r="69" spans="1:16" x14ac:dyDescent="0.2">
      <c r="A69" s="12" t="s">
        <v>65</v>
      </c>
      <c r="B69" s="13" t="s">
        <v>92</v>
      </c>
      <c r="C69" s="14">
        <v>195831629</v>
      </c>
      <c r="D69" s="15">
        <f t="shared" si="0"/>
        <v>8.4896323050505026E-3</v>
      </c>
      <c r="E69" s="14">
        <v>194183086</v>
      </c>
      <c r="F69" s="15">
        <f t="shared" si="0"/>
        <v>-1.5698981512075991E-3</v>
      </c>
      <c r="G69" s="16">
        <v>194488413</v>
      </c>
      <c r="P69" s="17"/>
    </row>
    <row r="70" spans="1:16" x14ac:dyDescent="0.2">
      <c r="A70" s="12" t="s">
        <v>66</v>
      </c>
      <c r="B70" s="13" t="s">
        <v>92</v>
      </c>
      <c r="C70" s="14">
        <v>693919502</v>
      </c>
      <c r="D70" s="15">
        <f t="shared" ref="D70:F73" si="1">((C70-E70)/E70)</f>
        <v>6.9112565801497522E-2</v>
      </c>
      <c r="E70" s="14">
        <v>649061216</v>
      </c>
      <c r="F70" s="15">
        <f t="shared" si="1"/>
        <v>7.8570930061323568E-2</v>
      </c>
      <c r="G70" s="16">
        <v>601778889</v>
      </c>
      <c r="P70" s="17"/>
    </row>
    <row r="71" spans="1:16" x14ac:dyDescent="0.2">
      <c r="A71" s="12" t="s">
        <v>67</v>
      </c>
      <c r="B71" s="13" t="s">
        <v>92</v>
      </c>
      <c r="C71" s="14">
        <v>263038611</v>
      </c>
      <c r="D71" s="15">
        <f t="shared" si="1"/>
        <v>1.0435634122735987E-2</v>
      </c>
      <c r="E71" s="14">
        <v>260321986</v>
      </c>
      <c r="F71" s="15">
        <f t="shared" si="1"/>
        <v>0.19916596137740333</v>
      </c>
      <c r="G71" s="16">
        <v>217085870</v>
      </c>
      <c r="P71" s="17"/>
    </row>
    <row r="72" spans="1:16" x14ac:dyDescent="0.2">
      <c r="A72" s="18"/>
      <c r="B72" s="19"/>
      <c r="C72" s="14"/>
      <c r="D72" s="20"/>
      <c r="E72" s="14"/>
      <c r="F72" s="20"/>
      <c r="G72" s="16"/>
      <c r="P72" s="17"/>
    </row>
    <row r="73" spans="1:16" ht="15.75" thickBot="1" x14ac:dyDescent="0.3">
      <c r="A73" s="21" t="s">
        <v>68</v>
      </c>
      <c r="B73" s="22"/>
      <c r="C73" s="23">
        <f>SUM(C5:C71)</f>
        <v>195882322473</v>
      </c>
      <c r="D73" s="24">
        <f t="shared" si="1"/>
        <v>2.9476372016281373E-2</v>
      </c>
      <c r="E73" s="23">
        <f>SUM(E5:E71)</f>
        <v>190273742844</v>
      </c>
      <c r="F73" s="24">
        <f t="shared" si="1"/>
        <v>2.6579561311760324E-2</v>
      </c>
      <c r="G73" s="25">
        <f>SUM(G5:G71)</f>
        <v>185347293103</v>
      </c>
      <c r="P73" s="17"/>
    </row>
    <row r="74" spans="1:16" x14ac:dyDescent="0.2">
      <c r="P74" s="17"/>
    </row>
    <row r="75" spans="1:16" x14ac:dyDescent="0.2">
      <c r="A75" s="26" t="s">
        <v>93</v>
      </c>
      <c r="P75" s="17"/>
    </row>
  </sheetData>
  <phoneticPr fontId="3" type="noConversion"/>
  <conditionalFormatting sqref="A75">
    <cfRule type="expression" dxfId="3" priority="8" stopIfTrue="1">
      <formula>MOD(ROW(),5)=1</formula>
    </cfRule>
  </conditionalFormatting>
  <conditionalFormatting sqref="A4:G73">
    <cfRule type="expression" dxfId="2"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E7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75"/>
  <sheetViews>
    <sheetView zoomScaleNormal="100" zoomScaleSheetLayoutView="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19" ht="23.25" x14ac:dyDescent="0.35">
      <c r="A1" s="7" t="s">
        <v>71</v>
      </c>
      <c r="B1" s="8"/>
      <c r="C1" s="9"/>
      <c r="D1" s="8"/>
      <c r="E1" s="9"/>
      <c r="F1" s="8"/>
      <c r="G1" s="9"/>
    </row>
    <row r="2" spans="1:19" ht="15" x14ac:dyDescent="0.25">
      <c r="A2" s="10" t="s">
        <v>90</v>
      </c>
      <c r="B2" s="10"/>
      <c r="C2" s="10"/>
      <c r="D2" s="10"/>
      <c r="E2" s="10"/>
      <c r="F2" s="10"/>
      <c r="G2" s="10"/>
    </row>
    <row r="3" spans="1:19" ht="15" thickBot="1" x14ac:dyDescent="0.25"/>
    <row r="4" spans="1:19" s="36" customFormat="1" ht="25.5" x14ac:dyDescent="0.2">
      <c r="A4" s="33" t="s">
        <v>0</v>
      </c>
      <c r="B4" s="34" t="s">
        <v>1</v>
      </c>
      <c r="C4" s="37" t="s">
        <v>88</v>
      </c>
      <c r="D4" s="37" t="s">
        <v>89</v>
      </c>
      <c r="E4" s="37" t="s">
        <v>83</v>
      </c>
      <c r="F4" s="37" t="s">
        <v>82</v>
      </c>
      <c r="G4" s="38" t="s">
        <v>81</v>
      </c>
    </row>
    <row r="5" spans="1:19" x14ac:dyDescent="0.2">
      <c r="A5" s="12" t="s">
        <v>4</v>
      </c>
      <c r="B5" s="13" t="s">
        <v>91</v>
      </c>
      <c r="C5" s="14">
        <v>28013196</v>
      </c>
      <c r="D5" s="15">
        <f>((C5-E5)/E5)</f>
        <v>-7.0114403708601988E-2</v>
      </c>
      <c r="E5" s="14">
        <v>30125422</v>
      </c>
      <c r="F5" s="15">
        <f>((E5-G5)/G5)</f>
        <v>6.6200364644264792E-2</v>
      </c>
      <c r="G5" s="16">
        <v>28254935</v>
      </c>
    </row>
    <row r="6" spans="1:19" x14ac:dyDescent="0.2">
      <c r="A6" s="12" t="s">
        <v>5</v>
      </c>
      <c r="B6" s="13" t="s">
        <v>92</v>
      </c>
      <c r="C6" s="14">
        <v>14685049</v>
      </c>
      <c r="D6" s="15">
        <f t="shared" ref="D6:F68" si="0">((C6-E6)/E6)</f>
        <v>0.12983277915162728</v>
      </c>
      <c r="E6" s="14">
        <v>12997542</v>
      </c>
      <c r="F6" s="15">
        <f t="shared" si="0"/>
        <v>-0.3024327375053884</v>
      </c>
      <c r="G6" s="16">
        <v>18632672</v>
      </c>
    </row>
    <row r="7" spans="1:19" x14ac:dyDescent="0.2">
      <c r="A7" s="12" t="s">
        <v>6</v>
      </c>
      <c r="B7" s="13" t="s">
        <v>91</v>
      </c>
      <c r="C7" s="14">
        <v>33105085</v>
      </c>
      <c r="D7" s="15">
        <f t="shared" si="0"/>
        <v>9.0194214776830858E-2</v>
      </c>
      <c r="E7" s="14">
        <v>30366227</v>
      </c>
      <c r="F7" s="15">
        <f t="shared" si="0"/>
        <v>-1.1620452201582223E-2</v>
      </c>
      <c r="G7" s="16">
        <v>30723245</v>
      </c>
      <c r="S7" s="17"/>
    </row>
    <row r="8" spans="1:19" x14ac:dyDescent="0.2">
      <c r="A8" s="12" t="s">
        <v>7</v>
      </c>
      <c r="B8" s="13" t="s">
        <v>92</v>
      </c>
      <c r="C8" s="14">
        <v>17642751</v>
      </c>
      <c r="D8" s="15">
        <f t="shared" si="0"/>
        <v>8.3875733438987955E-3</v>
      </c>
      <c r="E8" s="14">
        <v>17496002</v>
      </c>
      <c r="F8" s="15">
        <f t="shared" si="0"/>
        <v>0.11676406542669018</v>
      </c>
      <c r="G8" s="16">
        <v>15666695</v>
      </c>
      <c r="S8" s="17"/>
    </row>
    <row r="9" spans="1:19" x14ac:dyDescent="0.2">
      <c r="A9" s="12" t="s">
        <v>8</v>
      </c>
      <c r="B9" s="13" t="s">
        <v>91</v>
      </c>
      <c r="C9" s="14">
        <v>84712640</v>
      </c>
      <c r="D9" s="15">
        <f t="shared" si="0"/>
        <v>2.2954252462554895E-2</v>
      </c>
      <c r="E9" s="14">
        <v>82811758</v>
      </c>
      <c r="F9" s="15">
        <f t="shared" si="0"/>
        <v>-8.9497679123560162E-3</v>
      </c>
      <c r="G9" s="16">
        <v>83559597</v>
      </c>
      <c r="S9" s="17"/>
    </row>
    <row r="10" spans="1:19" x14ac:dyDescent="0.2">
      <c r="A10" s="12" t="s">
        <v>9</v>
      </c>
      <c r="B10" s="13" t="s">
        <v>91</v>
      </c>
      <c r="C10" s="14">
        <v>98149701</v>
      </c>
      <c r="D10" s="15">
        <f t="shared" si="0"/>
        <v>-7.0719467559546237E-2</v>
      </c>
      <c r="E10" s="14">
        <v>105619022</v>
      </c>
      <c r="F10" s="15">
        <f t="shared" si="0"/>
        <v>-4.464373582962524E-2</v>
      </c>
      <c r="G10" s="16">
        <v>110554592</v>
      </c>
      <c r="S10" s="17"/>
    </row>
    <row r="11" spans="1:19" x14ac:dyDescent="0.2">
      <c r="A11" s="12" t="s">
        <v>10</v>
      </c>
      <c r="B11" s="13" t="s">
        <v>92</v>
      </c>
      <c r="C11" s="14">
        <v>0</v>
      </c>
      <c r="D11" s="15" t="s">
        <v>79</v>
      </c>
      <c r="E11" s="14">
        <v>0</v>
      </c>
      <c r="F11" s="15" t="s">
        <v>79</v>
      </c>
      <c r="G11" s="16">
        <v>0</v>
      </c>
      <c r="S11" s="17"/>
    </row>
    <row r="12" spans="1:19" x14ac:dyDescent="0.2">
      <c r="A12" s="12" t="s">
        <v>11</v>
      </c>
      <c r="B12" s="13" t="s">
        <v>91</v>
      </c>
      <c r="C12" s="14">
        <v>3007341</v>
      </c>
      <c r="D12" s="15">
        <f t="shared" si="0"/>
        <v>-0.12285543951713811</v>
      </c>
      <c r="E12" s="14">
        <v>3428558</v>
      </c>
      <c r="F12" s="15">
        <f t="shared" si="0"/>
        <v>-5.4960484592960435E-2</v>
      </c>
      <c r="G12" s="16">
        <v>3627952</v>
      </c>
      <c r="S12" s="17"/>
    </row>
    <row r="13" spans="1:19" x14ac:dyDescent="0.2">
      <c r="A13" s="12" t="s">
        <v>12</v>
      </c>
      <c r="B13" s="13" t="s">
        <v>91</v>
      </c>
      <c r="C13" s="14">
        <v>1838974</v>
      </c>
      <c r="D13" s="15">
        <f t="shared" si="0"/>
        <v>0.17127551095148533</v>
      </c>
      <c r="E13" s="14">
        <v>1570061</v>
      </c>
      <c r="F13" s="15">
        <f t="shared" si="0"/>
        <v>-5.6076482901232811E-3</v>
      </c>
      <c r="G13" s="16">
        <v>1578915</v>
      </c>
    </row>
    <row r="14" spans="1:19" x14ac:dyDescent="0.2">
      <c r="A14" s="12" t="s">
        <v>13</v>
      </c>
      <c r="B14" s="13" t="s">
        <v>91</v>
      </c>
      <c r="C14" s="14">
        <v>16027266</v>
      </c>
      <c r="D14" s="15">
        <f t="shared" si="0"/>
        <v>1.4301367622863102E-2</v>
      </c>
      <c r="E14" s="14">
        <v>15801286</v>
      </c>
      <c r="F14" s="15">
        <f t="shared" si="0"/>
        <v>-2.4867556318263744E-2</v>
      </c>
      <c r="G14" s="16">
        <v>16204246</v>
      </c>
      <c r="S14" s="17"/>
    </row>
    <row r="15" spans="1:19" x14ac:dyDescent="0.2">
      <c r="A15" s="12" t="s">
        <v>14</v>
      </c>
      <c r="B15" s="13" t="s">
        <v>91</v>
      </c>
      <c r="C15" s="14">
        <v>192903</v>
      </c>
      <c r="D15" s="15">
        <f t="shared" si="0"/>
        <v>-0.12715944363501444</v>
      </c>
      <c r="E15" s="14">
        <v>221006</v>
      </c>
      <c r="F15" s="15">
        <f t="shared" si="0"/>
        <v>-4.5899204793686699E-2</v>
      </c>
      <c r="G15" s="16">
        <v>231638</v>
      </c>
      <c r="S15" s="17"/>
    </row>
    <row r="16" spans="1:19" x14ac:dyDescent="0.2">
      <c r="A16" s="12" t="s">
        <v>15</v>
      </c>
      <c r="B16" s="13" t="s">
        <v>92</v>
      </c>
      <c r="C16" s="14">
        <v>14837529</v>
      </c>
      <c r="D16" s="15">
        <f t="shared" si="0"/>
        <v>0.13647439561701266</v>
      </c>
      <c r="E16" s="14">
        <v>13055753</v>
      </c>
      <c r="F16" s="15">
        <f t="shared" si="0"/>
        <v>-0.26097082285232848</v>
      </c>
      <c r="G16" s="16">
        <v>17666086</v>
      </c>
      <c r="S16" s="17"/>
    </row>
    <row r="17" spans="1:19" x14ac:dyDescent="0.2">
      <c r="A17" s="12" t="s">
        <v>78</v>
      </c>
      <c r="B17" s="13" t="s">
        <v>91</v>
      </c>
      <c r="C17" s="14">
        <v>148184954</v>
      </c>
      <c r="D17" s="15">
        <f t="shared" si="0"/>
        <v>-1.1686124087549276E-2</v>
      </c>
      <c r="E17" s="14">
        <v>149937138</v>
      </c>
      <c r="F17" s="15">
        <f t="shared" si="0"/>
        <v>-0.23941444589140851</v>
      </c>
      <c r="G17" s="16">
        <v>197133823</v>
      </c>
      <c r="S17" s="17"/>
    </row>
    <row r="18" spans="1:19" x14ac:dyDescent="0.2">
      <c r="A18" s="12" t="s">
        <v>16</v>
      </c>
      <c r="B18" s="13" t="s">
        <v>91</v>
      </c>
      <c r="C18" s="14">
        <v>4441811</v>
      </c>
      <c r="D18" s="15">
        <f t="shared" si="0"/>
        <v>-0.19991314311158409</v>
      </c>
      <c r="E18" s="14">
        <v>5551661</v>
      </c>
      <c r="F18" s="15">
        <f t="shared" si="0"/>
        <v>3.0413341252459258E-2</v>
      </c>
      <c r="G18" s="16">
        <v>5387800</v>
      </c>
      <c r="S18" s="17"/>
    </row>
    <row r="19" spans="1:19" x14ac:dyDescent="0.2">
      <c r="A19" s="12" t="s">
        <v>17</v>
      </c>
      <c r="B19" s="13" t="s">
        <v>92</v>
      </c>
      <c r="C19" s="14">
        <v>0</v>
      </c>
      <c r="D19" s="15" t="s">
        <v>79</v>
      </c>
      <c r="E19" s="14">
        <v>0</v>
      </c>
      <c r="F19" s="15" t="s">
        <v>79</v>
      </c>
      <c r="G19" s="16">
        <v>0</v>
      </c>
      <c r="S19" s="17"/>
    </row>
    <row r="20" spans="1:19" x14ac:dyDescent="0.2">
      <c r="A20" s="12" t="s">
        <v>18</v>
      </c>
      <c r="B20" s="13" t="s">
        <v>91</v>
      </c>
      <c r="C20" s="14">
        <v>224217159</v>
      </c>
      <c r="D20" s="15">
        <f t="shared" si="0"/>
        <v>2.2427991363324316E-2</v>
      </c>
      <c r="E20" s="14">
        <v>219298729</v>
      </c>
      <c r="F20" s="15">
        <f t="shared" si="0"/>
        <v>3.7036117708849632E-2</v>
      </c>
      <c r="G20" s="16">
        <v>211466819</v>
      </c>
      <c r="S20" s="17"/>
    </row>
    <row r="21" spans="1:19" x14ac:dyDescent="0.2">
      <c r="A21" s="12" t="s">
        <v>19</v>
      </c>
      <c r="B21" s="13" t="s">
        <v>91</v>
      </c>
      <c r="C21" s="14">
        <v>29048500</v>
      </c>
      <c r="D21" s="15">
        <f t="shared" si="0"/>
        <v>6.2902798875072189E-3</v>
      </c>
      <c r="E21" s="14">
        <v>28866919</v>
      </c>
      <c r="F21" s="15">
        <f t="shared" si="0"/>
        <v>8.7529593462570864E-4</v>
      </c>
      <c r="G21" s="16">
        <v>28841674</v>
      </c>
    </row>
    <row r="22" spans="1:19" x14ac:dyDescent="0.2">
      <c r="A22" s="12" t="s">
        <v>20</v>
      </c>
      <c r="B22" s="13" t="s">
        <v>91</v>
      </c>
      <c r="C22" s="14">
        <v>25509054</v>
      </c>
      <c r="D22" s="15">
        <f t="shared" si="0"/>
        <v>2.4603238709797141E-2</v>
      </c>
      <c r="E22" s="14">
        <v>24896519</v>
      </c>
      <c r="F22" s="15">
        <f t="shared" si="0"/>
        <v>-1.2860342475128137E-2</v>
      </c>
      <c r="G22" s="16">
        <v>25220868</v>
      </c>
      <c r="S22" s="17"/>
    </row>
    <row r="23" spans="1:19" x14ac:dyDescent="0.2">
      <c r="A23" s="12" t="s">
        <v>21</v>
      </c>
      <c r="B23" s="13" t="s">
        <v>92</v>
      </c>
      <c r="C23" s="14">
        <v>523624</v>
      </c>
      <c r="D23" s="15">
        <f t="shared" si="0"/>
        <v>7.8976595748776277E-3</v>
      </c>
      <c r="E23" s="14">
        <v>519521</v>
      </c>
      <c r="F23" s="15">
        <f t="shared" si="0"/>
        <v>-7.7962690500826159E-2</v>
      </c>
      <c r="G23" s="16">
        <v>563449</v>
      </c>
      <c r="S23" s="17"/>
    </row>
    <row r="24" spans="1:19" x14ac:dyDescent="0.2">
      <c r="A24" s="12" t="s">
        <v>22</v>
      </c>
      <c r="B24" s="13" t="s">
        <v>92</v>
      </c>
      <c r="C24" s="14">
        <v>7742091</v>
      </c>
      <c r="D24" s="15">
        <f t="shared" si="0"/>
        <v>3.4548876113894178E-2</v>
      </c>
      <c r="E24" s="14">
        <v>7483543</v>
      </c>
      <c r="F24" s="15">
        <f t="shared" si="0"/>
        <v>-0.58432120935032228</v>
      </c>
      <c r="G24" s="16">
        <v>18003187</v>
      </c>
      <c r="S24" s="17"/>
    </row>
    <row r="25" spans="1:19" x14ac:dyDescent="0.2">
      <c r="A25" s="12" t="s">
        <v>23</v>
      </c>
      <c r="B25" s="13" t="s">
        <v>92</v>
      </c>
      <c r="C25" s="14">
        <v>0</v>
      </c>
      <c r="D25" s="15" t="s">
        <v>79</v>
      </c>
      <c r="E25" s="14">
        <v>0</v>
      </c>
      <c r="F25" s="15" t="s">
        <v>79</v>
      </c>
      <c r="G25" s="16">
        <v>0</v>
      </c>
      <c r="S25" s="17"/>
    </row>
    <row r="26" spans="1:19" x14ac:dyDescent="0.2">
      <c r="A26" s="12" t="s">
        <v>24</v>
      </c>
      <c r="B26" s="13" t="s">
        <v>91</v>
      </c>
      <c r="C26" s="14">
        <v>19085359</v>
      </c>
      <c r="D26" s="15">
        <f t="shared" si="0"/>
        <v>3.8248101214039265E-2</v>
      </c>
      <c r="E26" s="14">
        <v>18382272</v>
      </c>
      <c r="F26" s="15">
        <f t="shared" si="0"/>
        <v>-2.610484629908099E-2</v>
      </c>
      <c r="G26" s="16">
        <v>18875001</v>
      </c>
      <c r="S26" s="17"/>
    </row>
    <row r="27" spans="1:19" x14ac:dyDescent="0.2">
      <c r="A27" s="12" t="s">
        <v>25</v>
      </c>
      <c r="B27" s="13" t="s">
        <v>92</v>
      </c>
      <c r="C27" s="14">
        <v>587330</v>
      </c>
      <c r="D27" s="15">
        <f t="shared" si="0"/>
        <v>9.5431590744235774E-3</v>
      </c>
      <c r="E27" s="14">
        <v>581778</v>
      </c>
      <c r="F27" s="15">
        <f t="shared" si="0"/>
        <v>-3.8033665134429046E-2</v>
      </c>
      <c r="G27" s="16">
        <v>604780</v>
      </c>
    </row>
    <row r="28" spans="1:19" x14ac:dyDescent="0.2">
      <c r="A28" s="12" t="s">
        <v>26</v>
      </c>
      <c r="B28" s="13" t="s">
        <v>92</v>
      </c>
      <c r="C28" s="14">
        <v>26849259</v>
      </c>
      <c r="D28" s="15">
        <f t="shared" si="0"/>
        <v>0.16494779696651371</v>
      </c>
      <c r="E28" s="14">
        <v>23047607</v>
      </c>
      <c r="F28" s="15">
        <f t="shared" si="0"/>
        <v>3.6546428482914781E-4</v>
      </c>
      <c r="G28" s="16">
        <v>23039187</v>
      </c>
      <c r="S28" s="17"/>
    </row>
    <row r="29" spans="1:19" x14ac:dyDescent="0.2">
      <c r="A29" s="12" t="s">
        <v>27</v>
      </c>
      <c r="B29" s="13" t="s">
        <v>91</v>
      </c>
      <c r="C29" s="14">
        <v>8761092</v>
      </c>
      <c r="D29" s="15">
        <f t="shared" si="0"/>
        <v>1.5833784855365501E-2</v>
      </c>
      <c r="E29" s="14">
        <v>8624533</v>
      </c>
      <c r="F29" s="15">
        <f t="shared" si="0"/>
        <v>0.10498318669038784</v>
      </c>
      <c r="G29" s="16">
        <v>7805126</v>
      </c>
      <c r="S29" s="17"/>
    </row>
    <row r="30" spans="1:19" x14ac:dyDescent="0.2">
      <c r="A30" s="12" t="s">
        <v>28</v>
      </c>
      <c r="B30" s="13" t="s">
        <v>91</v>
      </c>
      <c r="C30" s="14">
        <v>6152374</v>
      </c>
      <c r="D30" s="15">
        <f t="shared" si="0"/>
        <v>3.514883902798837E-2</v>
      </c>
      <c r="E30" s="14">
        <v>5943468</v>
      </c>
      <c r="F30" s="15">
        <f t="shared" si="0"/>
        <v>-2.4086883745766327E-2</v>
      </c>
      <c r="G30" s="16">
        <v>6090161</v>
      </c>
      <c r="S30" s="17"/>
    </row>
    <row r="31" spans="1:19" x14ac:dyDescent="0.2">
      <c r="A31" s="12" t="s">
        <v>29</v>
      </c>
      <c r="B31" s="13" t="s">
        <v>91</v>
      </c>
      <c r="C31" s="14">
        <v>10968325</v>
      </c>
      <c r="D31" s="15">
        <f t="shared" si="0"/>
        <v>2.974309009158884E-2</v>
      </c>
      <c r="E31" s="14">
        <v>10651516</v>
      </c>
      <c r="F31" s="15">
        <f t="shared" si="0"/>
        <v>0.22019102378816191</v>
      </c>
      <c r="G31" s="16">
        <v>8729384</v>
      </c>
      <c r="S31" s="17"/>
    </row>
    <row r="32" spans="1:19" x14ac:dyDescent="0.2">
      <c r="A32" s="12" t="s">
        <v>30</v>
      </c>
      <c r="B32" s="13" t="s">
        <v>91</v>
      </c>
      <c r="C32" s="14">
        <v>38105775</v>
      </c>
      <c r="D32" s="15">
        <f t="shared" si="0"/>
        <v>3.3742760929827073E-2</v>
      </c>
      <c r="E32" s="14">
        <v>36861951</v>
      </c>
      <c r="F32" s="15">
        <f t="shared" si="0"/>
        <v>3.3662989692603611E-2</v>
      </c>
      <c r="G32" s="16">
        <v>35661479</v>
      </c>
      <c r="S32" s="17"/>
    </row>
    <row r="33" spans="1:19" x14ac:dyDescent="0.2">
      <c r="A33" s="12" t="s">
        <v>31</v>
      </c>
      <c r="B33" s="13" t="s">
        <v>91</v>
      </c>
      <c r="C33" s="14">
        <v>130723891</v>
      </c>
      <c r="D33" s="15">
        <f t="shared" si="0"/>
        <v>1.838332859511977E-2</v>
      </c>
      <c r="E33" s="14">
        <v>128364131</v>
      </c>
      <c r="F33" s="15">
        <f t="shared" si="0"/>
        <v>8.6751884597911097E-2</v>
      </c>
      <c r="G33" s="16">
        <v>118117238</v>
      </c>
      <c r="S33" s="17"/>
    </row>
    <row r="34" spans="1:19" x14ac:dyDescent="0.2">
      <c r="A34" s="12" t="s">
        <v>32</v>
      </c>
      <c r="B34" s="13" t="s">
        <v>92</v>
      </c>
      <c r="C34" s="14">
        <v>3560975</v>
      </c>
      <c r="D34" s="15">
        <f t="shared" si="0"/>
        <v>3.4132117186199976E-2</v>
      </c>
      <c r="E34" s="14">
        <v>3443443</v>
      </c>
      <c r="F34" s="15">
        <f t="shared" si="0"/>
        <v>-0.59896092648954968</v>
      </c>
      <c r="G34" s="16">
        <v>8586303</v>
      </c>
      <c r="S34" s="17"/>
    </row>
    <row r="35" spans="1:19" x14ac:dyDescent="0.2">
      <c r="A35" s="12" t="s">
        <v>33</v>
      </c>
      <c r="B35" s="13" t="s">
        <v>91</v>
      </c>
      <c r="C35" s="14">
        <v>24551919</v>
      </c>
      <c r="D35" s="15">
        <f t="shared" si="0"/>
        <v>0.14252512846935192</v>
      </c>
      <c r="E35" s="14">
        <v>21489172</v>
      </c>
      <c r="F35" s="15">
        <f t="shared" si="0"/>
        <v>-1.2731884861633338E-2</v>
      </c>
      <c r="G35" s="16">
        <v>21766298</v>
      </c>
      <c r="S35" s="17"/>
    </row>
    <row r="36" spans="1:19" x14ac:dyDescent="0.2">
      <c r="A36" s="12" t="s">
        <v>34</v>
      </c>
      <c r="B36" s="13" t="s">
        <v>92</v>
      </c>
      <c r="C36" s="14">
        <v>26888388</v>
      </c>
      <c r="D36" s="15">
        <f t="shared" si="0"/>
        <v>8.4088501276128089E-2</v>
      </c>
      <c r="E36" s="14">
        <v>24802761</v>
      </c>
      <c r="F36" s="15">
        <f t="shared" si="0"/>
        <v>-0.26219199833369145</v>
      </c>
      <c r="G36" s="16">
        <v>33616823</v>
      </c>
      <c r="S36" s="17"/>
    </row>
    <row r="37" spans="1:19" x14ac:dyDescent="0.2">
      <c r="A37" s="12" t="s">
        <v>35</v>
      </c>
      <c r="B37" s="13" t="s">
        <v>92</v>
      </c>
      <c r="C37" s="14">
        <v>2910419</v>
      </c>
      <c r="D37" s="15">
        <f t="shared" si="0"/>
        <v>-0.20927954817511149</v>
      </c>
      <c r="E37" s="14">
        <v>3680718</v>
      </c>
      <c r="F37" s="15">
        <f t="shared" si="0"/>
        <v>-0.47609785550893075</v>
      </c>
      <c r="G37" s="16">
        <v>7025583</v>
      </c>
      <c r="S37" s="17"/>
    </row>
    <row r="38" spans="1:19" x14ac:dyDescent="0.2">
      <c r="A38" s="12" t="s">
        <v>36</v>
      </c>
      <c r="B38" s="13" t="s">
        <v>92</v>
      </c>
      <c r="C38" s="14">
        <v>0</v>
      </c>
      <c r="D38" s="15" t="s">
        <v>79</v>
      </c>
      <c r="E38" s="14">
        <v>0</v>
      </c>
      <c r="F38" s="15" t="s">
        <v>79</v>
      </c>
      <c r="G38" s="16">
        <v>0</v>
      </c>
      <c r="S38" s="17"/>
    </row>
    <row r="39" spans="1:19" x14ac:dyDescent="0.2">
      <c r="A39" s="12" t="s">
        <v>37</v>
      </c>
      <c r="B39" s="13" t="s">
        <v>91</v>
      </c>
      <c r="C39" s="14">
        <v>20096964</v>
      </c>
      <c r="D39" s="15">
        <f t="shared" si="0"/>
        <v>1.8955753966853188</v>
      </c>
      <c r="E39" s="14">
        <v>6940577</v>
      </c>
      <c r="F39" s="15">
        <f t="shared" si="0"/>
        <v>0.14115919310639308</v>
      </c>
      <c r="G39" s="16">
        <v>6082041</v>
      </c>
      <c r="S39" s="17"/>
    </row>
    <row r="40" spans="1:19" x14ac:dyDescent="0.2">
      <c r="A40" s="12" t="s">
        <v>38</v>
      </c>
      <c r="B40" s="13" t="s">
        <v>91</v>
      </c>
      <c r="C40" s="14">
        <v>5191529</v>
      </c>
      <c r="D40" s="15">
        <f t="shared" si="0"/>
        <v>-0.11585857971729772</v>
      </c>
      <c r="E40" s="14">
        <v>5871831</v>
      </c>
      <c r="F40" s="15">
        <f t="shared" si="0"/>
        <v>-4.6068795170681756E-2</v>
      </c>
      <c r="G40" s="16">
        <v>6155403</v>
      </c>
    </row>
    <row r="41" spans="1:19" x14ac:dyDescent="0.2">
      <c r="A41" s="12" t="s">
        <v>39</v>
      </c>
      <c r="B41" s="13" t="s">
        <v>91</v>
      </c>
      <c r="C41" s="14">
        <v>5535968</v>
      </c>
      <c r="D41" s="15">
        <f t="shared" si="0"/>
        <v>4.2128514615673358E-2</v>
      </c>
      <c r="E41" s="14">
        <v>5312174</v>
      </c>
      <c r="F41" s="15">
        <f t="shared" si="0"/>
        <v>-0.59883530115592365</v>
      </c>
      <c r="G41" s="16">
        <v>13241878</v>
      </c>
      <c r="S41" s="17"/>
    </row>
    <row r="42" spans="1:19" x14ac:dyDescent="0.2">
      <c r="A42" s="12" t="s">
        <v>40</v>
      </c>
      <c r="B42" s="13" t="s">
        <v>92</v>
      </c>
      <c r="C42" s="14">
        <v>3693700</v>
      </c>
      <c r="D42" s="15">
        <f t="shared" si="0"/>
        <v>0.11071117449956053</v>
      </c>
      <c r="E42" s="14">
        <v>3325527</v>
      </c>
      <c r="F42" s="15">
        <f t="shared" si="0"/>
        <v>-4.7119793635415986E-3</v>
      </c>
      <c r="G42" s="16">
        <v>3341271</v>
      </c>
      <c r="S42" s="17"/>
    </row>
    <row r="43" spans="1:19" x14ac:dyDescent="0.2">
      <c r="A43" s="12" t="s">
        <v>41</v>
      </c>
      <c r="B43" s="13" t="s">
        <v>92</v>
      </c>
      <c r="C43" s="14">
        <v>678405</v>
      </c>
      <c r="D43" s="15">
        <f t="shared" si="0"/>
        <v>7.7961010581483964E-3</v>
      </c>
      <c r="E43" s="14">
        <v>673157</v>
      </c>
      <c r="F43" s="15">
        <f t="shared" si="0"/>
        <v>-7.7875965572932859E-2</v>
      </c>
      <c r="G43" s="16">
        <v>730007</v>
      </c>
      <c r="S43" s="17"/>
    </row>
    <row r="44" spans="1:19" x14ac:dyDescent="0.2">
      <c r="A44" s="12" t="s">
        <v>42</v>
      </c>
      <c r="B44" s="13" t="s">
        <v>92</v>
      </c>
      <c r="C44" s="14">
        <v>8358063</v>
      </c>
      <c r="D44" s="15">
        <f t="shared" si="0"/>
        <v>4.09179287608014E-2</v>
      </c>
      <c r="E44" s="14">
        <v>8029512</v>
      </c>
      <c r="F44" s="15">
        <f t="shared" si="0"/>
        <v>-0.4922497296682033</v>
      </c>
      <c r="G44" s="16">
        <v>15813900</v>
      </c>
      <c r="S44" s="17"/>
    </row>
    <row r="45" spans="1:19" x14ac:dyDescent="0.2">
      <c r="A45" s="12" t="s">
        <v>43</v>
      </c>
      <c r="B45" s="13" t="s">
        <v>91</v>
      </c>
      <c r="C45" s="14">
        <v>9629951</v>
      </c>
      <c r="D45" s="15">
        <f t="shared" si="0"/>
        <v>-8.8149327622701348E-2</v>
      </c>
      <c r="E45" s="14">
        <v>10560886</v>
      </c>
      <c r="F45" s="15">
        <f t="shared" si="0"/>
        <v>0.15146590245983074</v>
      </c>
      <c r="G45" s="16">
        <v>9171688</v>
      </c>
      <c r="S45" s="17"/>
    </row>
    <row r="46" spans="1:19" x14ac:dyDescent="0.2">
      <c r="A46" s="12" t="s">
        <v>44</v>
      </c>
      <c r="B46" s="13" t="s">
        <v>91</v>
      </c>
      <c r="C46" s="14">
        <v>28519034</v>
      </c>
      <c r="D46" s="15">
        <f t="shared" si="0"/>
        <v>0.10150083026699284</v>
      </c>
      <c r="E46" s="14">
        <v>25891069</v>
      </c>
      <c r="F46" s="15">
        <f t="shared" si="0"/>
        <v>0.17218559626741534</v>
      </c>
      <c r="G46" s="16">
        <v>22087858</v>
      </c>
      <c r="S46" s="17"/>
    </row>
    <row r="47" spans="1:19" x14ac:dyDescent="0.2">
      <c r="A47" s="12" t="s">
        <v>45</v>
      </c>
      <c r="B47" s="13" t="s">
        <v>91</v>
      </c>
      <c r="C47" s="14">
        <v>68352425</v>
      </c>
      <c r="D47" s="15">
        <f t="shared" si="0"/>
        <v>2.5353566419207451E-2</v>
      </c>
      <c r="E47" s="14">
        <v>66662298</v>
      </c>
      <c r="F47" s="15">
        <f t="shared" si="0"/>
        <v>2.9856224725550856E-3</v>
      </c>
      <c r="G47" s="16">
        <v>66463862</v>
      </c>
      <c r="S47" s="17"/>
    </row>
    <row r="48" spans="1:19" x14ac:dyDescent="0.2">
      <c r="A48" s="12" t="s">
        <v>46</v>
      </c>
      <c r="B48" s="13" t="s">
        <v>91</v>
      </c>
      <c r="C48" s="14">
        <v>0</v>
      </c>
      <c r="D48" s="15" t="s">
        <v>79</v>
      </c>
      <c r="E48" s="14">
        <v>0</v>
      </c>
      <c r="F48" s="15" t="s">
        <v>79</v>
      </c>
      <c r="G48" s="16">
        <v>0</v>
      </c>
      <c r="S48" s="17"/>
    </row>
    <row r="49" spans="1:19" x14ac:dyDescent="0.2">
      <c r="A49" s="12" t="s">
        <v>47</v>
      </c>
      <c r="B49" s="13" t="s">
        <v>91</v>
      </c>
      <c r="C49" s="14">
        <v>45655186</v>
      </c>
      <c r="D49" s="15">
        <f t="shared" si="0"/>
        <v>-2.455104533175171E-2</v>
      </c>
      <c r="E49" s="14">
        <v>46804280</v>
      </c>
      <c r="F49" s="15">
        <f t="shared" si="0"/>
        <v>0.19625510291607035</v>
      </c>
      <c r="G49" s="16">
        <v>39125668</v>
      </c>
      <c r="S49" s="17"/>
    </row>
    <row r="50" spans="1:19" x14ac:dyDescent="0.2">
      <c r="A50" s="12" t="s">
        <v>48</v>
      </c>
      <c r="B50" s="13" t="s">
        <v>91</v>
      </c>
      <c r="C50" s="14">
        <v>4111036</v>
      </c>
      <c r="D50" s="15">
        <f t="shared" si="0"/>
        <v>3.3591297292798944E-2</v>
      </c>
      <c r="E50" s="14">
        <v>3977429</v>
      </c>
      <c r="F50" s="15">
        <f t="shared" si="0"/>
        <v>-0.58549920594715821</v>
      </c>
      <c r="G50" s="16">
        <v>9595709</v>
      </c>
    </row>
    <row r="51" spans="1:19" x14ac:dyDescent="0.2">
      <c r="A51" s="12" t="s">
        <v>49</v>
      </c>
      <c r="B51" s="13" t="s">
        <v>91</v>
      </c>
      <c r="C51" s="14">
        <v>11388330</v>
      </c>
      <c r="D51" s="15">
        <f t="shared" si="0"/>
        <v>2.2308902312812611E-2</v>
      </c>
      <c r="E51" s="14">
        <v>11139813</v>
      </c>
      <c r="F51" s="15">
        <f t="shared" si="0"/>
        <v>0.11272959048366493</v>
      </c>
      <c r="G51" s="16">
        <v>10011249</v>
      </c>
      <c r="S51" s="17"/>
    </row>
    <row r="52" spans="1:19" x14ac:dyDescent="0.2">
      <c r="A52" s="12" t="s">
        <v>50</v>
      </c>
      <c r="B52" s="13" t="s">
        <v>91</v>
      </c>
      <c r="C52" s="14">
        <v>59815275</v>
      </c>
      <c r="D52" s="15">
        <f t="shared" si="0"/>
        <v>0.74959455164458211</v>
      </c>
      <c r="E52" s="14">
        <v>34188078</v>
      </c>
      <c r="F52" s="15">
        <f t="shared" si="0"/>
        <v>0.1028245055639479</v>
      </c>
      <c r="G52" s="16">
        <v>31000470</v>
      </c>
      <c r="S52" s="17"/>
    </row>
    <row r="53" spans="1:19" x14ac:dyDescent="0.2">
      <c r="A53" s="12" t="s">
        <v>51</v>
      </c>
      <c r="B53" s="13" t="s">
        <v>91</v>
      </c>
      <c r="C53" s="14">
        <v>6391045</v>
      </c>
      <c r="D53" s="15">
        <f t="shared" si="0"/>
        <v>3.3128918256492855E-2</v>
      </c>
      <c r="E53" s="14">
        <v>6186106</v>
      </c>
      <c r="F53" s="15">
        <f t="shared" si="0"/>
        <v>0.1129158453221005</v>
      </c>
      <c r="G53" s="16">
        <v>5558467</v>
      </c>
      <c r="S53" s="17"/>
    </row>
    <row r="54" spans="1:19" x14ac:dyDescent="0.2">
      <c r="A54" s="12" t="s">
        <v>52</v>
      </c>
      <c r="B54" s="13" t="s">
        <v>91</v>
      </c>
      <c r="C54" s="14">
        <v>186232691</v>
      </c>
      <c r="D54" s="15">
        <f t="shared" si="0"/>
        <v>8.7230433520743957E-4</v>
      </c>
      <c r="E54" s="14">
        <v>186070381</v>
      </c>
      <c r="F54" s="15">
        <f t="shared" si="0"/>
        <v>-0.10348326417186875</v>
      </c>
      <c r="G54" s="16">
        <v>207548140</v>
      </c>
      <c r="S54" s="17"/>
    </row>
    <row r="55" spans="1:19" x14ac:dyDescent="0.2">
      <c r="A55" s="12" t="s">
        <v>53</v>
      </c>
      <c r="B55" s="13" t="s">
        <v>91</v>
      </c>
      <c r="C55" s="14">
        <v>21440225</v>
      </c>
      <c r="D55" s="15">
        <f t="shared" si="0"/>
        <v>-6.1745854808822262E-3</v>
      </c>
      <c r="E55" s="14">
        <v>21573432</v>
      </c>
      <c r="F55" s="15">
        <f t="shared" si="0"/>
        <v>0.2010436561412893</v>
      </c>
      <c r="G55" s="16">
        <v>17962238</v>
      </c>
      <c r="S55" s="17"/>
    </row>
    <row r="56" spans="1:19" x14ac:dyDescent="0.2">
      <c r="A56" s="12" t="s">
        <v>54</v>
      </c>
      <c r="B56" s="13" t="s">
        <v>91</v>
      </c>
      <c r="C56" s="14">
        <v>12583233</v>
      </c>
      <c r="D56" s="15">
        <f t="shared" si="0"/>
        <v>1.9131505134519951E-2</v>
      </c>
      <c r="E56" s="14">
        <v>12347016</v>
      </c>
      <c r="F56" s="15">
        <f t="shared" si="0"/>
        <v>0.10033908437327139</v>
      </c>
      <c r="G56" s="16">
        <v>11221101</v>
      </c>
      <c r="S56" s="17"/>
    </row>
    <row r="57" spans="1:19" x14ac:dyDescent="0.2">
      <c r="A57" s="12" t="s">
        <v>55</v>
      </c>
      <c r="B57" s="13" t="s">
        <v>91</v>
      </c>
      <c r="C57" s="14">
        <v>125299945</v>
      </c>
      <c r="D57" s="15">
        <f t="shared" si="0"/>
        <v>9.0944860270493325E-2</v>
      </c>
      <c r="E57" s="14">
        <v>114854517</v>
      </c>
      <c r="F57" s="15">
        <f t="shared" si="0"/>
        <v>0.11125111582736498</v>
      </c>
      <c r="G57" s="16">
        <v>103356042</v>
      </c>
      <c r="S57" s="17"/>
    </row>
    <row r="58" spans="1:19" x14ac:dyDescent="0.2">
      <c r="A58" s="12" t="s">
        <v>56</v>
      </c>
      <c r="B58" s="13" t="s">
        <v>91</v>
      </c>
      <c r="C58" s="14">
        <v>17240716</v>
      </c>
      <c r="D58" s="15">
        <f t="shared" si="0"/>
        <v>-0.15804380285662312</v>
      </c>
      <c r="E58" s="14">
        <v>20476975</v>
      </c>
      <c r="F58" s="15">
        <f t="shared" si="0"/>
        <v>0.10867064666758167</v>
      </c>
      <c r="G58" s="16">
        <v>18469845</v>
      </c>
      <c r="S58" s="17"/>
    </row>
    <row r="59" spans="1:19" x14ac:dyDescent="0.2">
      <c r="A59" s="12" t="s">
        <v>2</v>
      </c>
      <c r="B59" s="13" t="s">
        <v>91</v>
      </c>
      <c r="C59" s="14">
        <v>39390286</v>
      </c>
      <c r="D59" s="15">
        <f t="shared" si="0"/>
        <v>2.5431746193974612E-2</v>
      </c>
      <c r="E59" s="14">
        <v>38413367</v>
      </c>
      <c r="F59" s="15">
        <f t="shared" si="0"/>
        <v>-1.2458209254437623E-2</v>
      </c>
      <c r="G59" s="16">
        <v>38897966</v>
      </c>
      <c r="S59" s="17"/>
    </row>
    <row r="60" spans="1:19" x14ac:dyDescent="0.2">
      <c r="A60" s="12" t="s">
        <v>3</v>
      </c>
      <c r="B60" s="13" t="s">
        <v>91</v>
      </c>
      <c r="C60" s="14">
        <v>55286149</v>
      </c>
      <c r="D60" s="15">
        <f t="shared" si="0"/>
        <v>2.6174849729807104E-2</v>
      </c>
      <c r="E60" s="14">
        <v>53875954</v>
      </c>
      <c r="F60" s="15">
        <f t="shared" si="0"/>
        <v>-1.2213445903009859E-2</v>
      </c>
      <c r="G60" s="16">
        <v>54542101</v>
      </c>
      <c r="S60" s="17"/>
    </row>
    <row r="61" spans="1:19" x14ac:dyDescent="0.2">
      <c r="A61" s="12" t="s">
        <v>57</v>
      </c>
      <c r="B61" s="13" t="s">
        <v>91</v>
      </c>
      <c r="C61" s="14">
        <v>3831123</v>
      </c>
      <c r="D61" s="15">
        <f t="shared" si="0"/>
        <v>3.4972351645893594E-2</v>
      </c>
      <c r="E61" s="14">
        <v>3701667</v>
      </c>
      <c r="F61" s="15">
        <f t="shared" si="0"/>
        <v>-0.60172791610185017</v>
      </c>
      <c r="G61" s="16">
        <v>9294317</v>
      </c>
      <c r="S61" s="17"/>
    </row>
    <row r="62" spans="1:19" x14ac:dyDescent="0.2">
      <c r="A62" s="12" t="s">
        <v>58</v>
      </c>
      <c r="B62" s="13" t="s">
        <v>91</v>
      </c>
      <c r="C62" s="14">
        <v>893996</v>
      </c>
      <c r="D62" s="15">
        <f t="shared" si="0"/>
        <v>-0.12437719335189715</v>
      </c>
      <c r="E62" s="14">
        <v>1020983</v>
      </c>
      <c r="F62" s="15">
        <f t="shared" si="0"/>
        <v>-0.54385070579220962</v>
      </c>
      <c r="G62" s="16">
        <v>2238265</v>
      </c>
      <c r="S62" s="17"/>
    </row>
    <row r="63" spans="1:19" x14ac:dyDescent="0.2">
      <c r="A63" s="12" t="s">
        <v>59</v>
      </c>
      <c r="B63" s="13" t="s">
        <v>91</v>
      </c>
      <c r="C63" s="14">
        <v>13863051</v>
      </c>
      <c r="D63" s="15">
        <f t="shared" si="0"/>
        <v>3.803073646897881E-2</v>
      </c>
      <c r="E63" s="14">
        <v>13355145</v>
      </c>
      <c r="F63" s="15">
        <f t="shared" si="0"/>
        <v>0.12009897021625852</v>
      </c>
      <c r="G63" s="16">
        <v>11923183</v>
      </c>
      <c r="S63" s="17"/>
    </row>
    <row r="64" spans="1:19" x14ac:dyDescent="0.2">
      <c r="A64" s="12" t="s">
        <v>60</v>
      </c>
      <c r="B64" s="13" t="s">
        <v>91</v>
      </c>
      <c r="C64" s="14">
        <v>16195160</v>
      </c>
      <c r="D64" s="15">
        <f t="shared" si="0"/>
        <v>2.5372835998759308E-2</v>
      </c>
      <c r="E64" s="14">
        <v>15794411</v>
      </c>
      <c r="F64" s="15">
        <f t="shared" si="0"/>
        <v>0.11873227146960579</v>
      </c>
      <c r="G64" s="16">
        <v>14118133</v>
      </c>
      <c r="S64" s="17"/>
    </row>
    <row r="65" spans="1:19" x14ac:dyDescent="0.2">
      <c r="A65" s="12" t="s">
        <v>61</v>
      </c>
      <c r="B65" s="13" t="s">
        <v>92</v>
      </c>
      <c r="C65" s="14">
        <v>3886571</v>
      </c>
      <c r="D65" s="15">
        <f t="shared" si="0"/>
        <v>3.3415964329786219E-2</v>
      </c>
      <c r="E65" s="14">
        <v>3760897</v>
      </c>
      <c r="F65" s="15">
        <f t="shared" si="0"/>
        <v>-0.59906123817033019</v>
      </c>
      <c r="G65" s="16">
        <v>9380228</v>
      </c>
      <c r="S65" s="17"/>
    </row>
    <row r="66" spans="1:19" x14ac:dyDescent="0.2">
      <c r="A66" s="12" t="s">
        <v>62</v>
      </c>
      <c r="B66" s="13" t="s">
        <v>92</v>
      </c>
      <c r="C66" s="14">
        <v>11334097</v>
      </c>
      <c r="D66" s="15">
        <f t="shared" si="0"/>
        <v>6.4437352847538071E-2</v>
      </c>
      <c r="E66" s="14">
        <v>10647970</v>
      </c>
      <c r="F66" s="15">
        <f t="shared" si="0"/>
        <v>8.5250499106561545E-2</v>
      </c>
      <c r="G66" s="16">
        <v>9811532</v>
      </c>
      <c r="S66" s="17"/>
    </row>
    <row r="67" spans="1:19" x14ac:dyDescent="0.2">
      <c r="A67" s="12" t="s">
        <v>63</v>
      </c>
      <c r="B67" s="13" t="s">
        <v>92</v>
      </c>
      <c r="C67" s="14">
        <v>0</v>
      </c>
      <c r="D67" s="15" t="s">
        <v>79</v>
      </c>
      <c r="E67" s="14">
        <v>0</v>
      </c>
      <c r="F67" s="15" t="s">
        <v>79</v>
      </c>
      <c r="G67" s="16">
        <v>0</v>
      </c>
      <c r="S67" s="17"/>
    </row>
    <row r="68" spans="1:19" x14ac:dyDescent="0.2">
      <c r="A68" s="12" t="s">
        <v>64</v>
      </c>
      <c r="B68" s="13" t="s">
        <v>91</v>
      </c>
      <c r="C68" s="14">
        <v>70234706</v>
      </c>
      <c r="D68" s="15">
        <f t="shared" si="0"/>
        <v>2.2585467377021117E-2</v>
      </c>
      <c r="E68" s="14">
        <v>68683458</v>
      </c>
      <c r="F68" s="15">
        <f t="shared" si="0"/>
        <v>1.7061969628812689E-2</v>
      </c>
      <c r="G68" s="16">
        <v>67531242</v>
      </c>
      <c r="S68" s="17"/>
    </row>
    <row r="69" spans="1:19" x14ac:dyDescent="0.2">
      <c r="A69" s="12" t="s">
        <v>65</v>
      </c>
      <c r="B69" s="13" t="s">
        <v>92</v>
      </c>
      <c r="C69" s="14">
        <v>0</v>
      </c>
      <c r="D69" s="15" t="s">
        <v>79</v>
      </c>
      <c r="E69" s="14">
        <v>0</v>
      </c>
      <c r="F69" s="15" t="s">
        <v>79</v>
      </c>
      <c r="G69" s="16">
        <v>0</v>
      </c>
    </row>
    <row r="70" spans="1:19" x14ac:dyDescent="0.2">
      <c r="A70" s="12" t="s">
        <v>66</v>
      </c>
      <c r="B70" s="13" t="s">
        <v>92</v>
      </c>
      <c r="C70" s="14">
        <v>3314174</v>
      </c>
      <c r="D70" s="15">
        <f t="shared" ref="D70:F73" si="1">((C70-E70)/E70)</f>
        <v>3.5296638773853292E-2</v>
      </c>
      <c r="E70" s="14">
        <v>3201183</v>
      </c>
      <c r="F70" s="15">
        <f t="shared" si="1"/>
        <v>-0.59594832927684949</v>
      </c>
      <c r="G70" s="16">
        <v>7922707</v>
      </c>
      <c r="S70" s="17"/>
    </row>
    <row r="71" spans="1:19" x14ac:dyDescent="0.2">
      <c r="A71" s="12" t="s">
        <v>67</v>
      </c>
      <c r="B71" s="13" t="s">
        <v>92</v>
      </c>
      <c r="C71" s="14">
        <v>1947078</v>
      </c>
      <c r="D71" s="15">
        <f t="shared" si="1"/>
        <v>3.2949065502368736E-2</v>
      </c>
      <c r="E71" s="14">
        <v>1884970</v>
      </c>
      <c r="F71" s="15">
        <f t="shared" si="1"/>
        <v>-0.60211194320643346</v>
      </c>
      <c r="G71" s="16">
        <v>4737438</v>
      </c>
    </row>
    <row r="72" spans="1:19" x14ac:dyDescent="0.2">
      <c r="A72" s="18"/>
      <c r="B72" s="19"/>
      <c r="C72" s="14"/>
      <c r="D72" s="20"/>
      <c r="E72" s="14"/>
      <c r="F72" s="20"/>
      <c r="G72" s="16"/>
    </row>
    <row r="73" spans="1:19" ht="15.75" thickBot="1" x14ac:dyDescent="0.3">
      <c r="A73" s="21" t="s">
        <v>68</v>
      </c>
      <c r="B73" s="22"/>
      <c r="C73" s="23">
        <f>SUM(C5:C71)</f>
        <v>1911414846</v>
      </c>
      <c r="D73" s="24">
        <f t="shared" si="1"/>
        <v>3.8166338309417742E-2</v>
      </c>
      <c r="E73" s="23">
        <f>SUM(E5:E71)</f>
        <v>1841145080</v>
      </c>
      <c r="F73" s="24">
        <f t="shared" si="1"/>
        <v>-4.6320230775633221E-2</v>
      </c>
      <c r="G73" s="25">
        <f>SUM(G5:G71)</f>
        <v>1930569505</v>
      </c>
      <c r="S73" s="17"/>
    </row>
    <row r="74" spans="1:19" x14ac:dyDescent="0.2">
      <c r="S74" s="17"/>
    </row>
    <row r="75" spans="1:19" x14ac:dyDescent="0.2">
      <c r="A75" s="26" t="s">
        <v>93</v>
      </c>
      <c r="S75" s="17"/>
    </row>
  </sheetData>
  <phoneticPr fontId="3" type="noConversion"/>
  <conditionalFormatting sqref="A75">
    <cfRule type="expression" dxfId="1" priority="29" stopIfTrue="1">
      <formula>MOD(ROW(),5)=1</formula>
    </cfRule>
  </conditionalFormatting>
  <conditionalFormatting sqref="A4:G73">
    <cfRule type="expression" dxfId="0"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D74:F74 E73"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1166BEE4B88A42947F6C3C78DF4222" ma:contentTypeVersion="3" ma:contentTypeDescription="Create a new document." ma:contentTypeScope="" ma:versionID="56528aa3969daa96996fae423c61dab6">
  <xsd:schema xmlns:xsd="http://www.w3.org/2001/XMLSchema" xmlns:xs="http://www.w3.org/2001/XMLSchema" xmlns:p="http://schemas.microsoft.com/office/2006/metadata/properties" xmlns:ns1="http://schemas.microsoft.com/sharepoint/v3" targetNamespace="http://schemas.microsoft.com/office/2006/metadata/properties" ma:root="true" ma:fieldsID="ff328a1cd662c37536c074f55b1464a7"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A5EA2A23-100B-4C6D-B923-0192E5FBB427}"/>
</file>

<file path=customXml/itemProps2.xml><?xml version="1.0" encoding="utf-8"?>
<ds:datastoreItem xmlns:ds="http://schemas.openxmlformats.org/officeDocument/2006/customXml" ds:itemID="{DB82D36B-5D7D-4826-B285-D286FFCD04F8}"/>
</file>

<file path=customXml/itemProps3.xml><?xml version="1.0" encoding="utf-8"?>
<ds:datastoreItem xmlns:ds="http://schemas.openxmlformats.org/officeDocument/2006/customXml" ds:itemID="{9C73B0C7-4E08-4EB9-920C-3EC6DD03279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Report Index</vt:lpstr>
      <vt:lpstr>Just Value All Property Types</vt:lpstr>
      <vt:lpstr>All Property Just Value</vt:lpstr>
      <vt:lpstr>Real Property Just Value</vt:lpstr>
      <vt:lpstr>Personal Property Just Value</vt:lpstr>
      <vt:lpstr>Centrally Assessed Just Value </vt:lpstr>
      <vt:lpstr>'All Property Just Value'!Print_Area</vt:lpstr>
      <vt:lpstr>'Centrally Assessed Just Value '!Print_Area</vt:lpstr>
      <vt:lpstr>'Just Value All Property Types'!Print_Area</vt:lpstr>
      <vt:lpstr>'Personal Property Just Value'!Print_Area</vt:lpstr>
      <vt:lpstr>'Real Property Just Value'!Print_Area</vt:lpstr>
      <vt:lpstr>'Report Index'!Print_Area</vt:lpstr>
      <vt:lpstr>'All Property Just Value'!Print_Titles</vt:lpstr>
      <vt:lpstr>'Centrally Assessed Just Value '!Print_Titles</vt:lpstr>
      <vt:lpstr>'Just Value All Property Types'!Print_Titles</vt:lpstr>
      <vt:lpstr>'Personal Property Just Value'!Print_Titles</vt:lpstr>
      <vt:lpstr>'Real Property Just Value'!Print_Titles</vt:lpstr>
    </vt:vector>
  </TitlesOfParts>
  <Company>Florida Dept. of Revenue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Florida Dept. of Revenue</dc:creator>
  <cp:lastModifiedBy>Allison Kever</cp:lastModifiedBy>
  <cp:lastPrinted>2011-02-11T15:23:46Z</cp:lastPrinted>
  <dcterms:created xsi:type="dcterms:W3CDTF">2010-08-10T15:50:22Z</dcterms:created>
  <dcterms:modified xsi:type="dcterms:W3CDTF">2021-12-14T14:16:21Z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0x010100211166BEE4B88A42947F6C3C78DF4222</vt:lpwstr>
  </property>
</Properties>
</file>