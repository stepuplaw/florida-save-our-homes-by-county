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1 Data Book\Final Drafts\"/>
    </mc:Choice>
  </mc:AlternateContent>
  <xr:revisionPtr revIDLastSave="0" documentId="13_ncr:1_{21FDEAB6-C123-4EE7-BEF5-EDB98F86A339}" xr6:coauthVersionLast="46" xr6:coauthVersionMax="46" xr10:uidLastSave="{00000000-0000-0000-0000-000000000000}"/>
  <bookViews>
    <workbookView xWindow="28680" yWindow="-120" windowWidth="29040" windowHeight="15840" tabRatio="838" xr2:uid="{00000000-000D-0000-FFFF-FFFF00000000}"/>
  </bookViews>
  <sheets>
    <sheet name="Report Index" sheetId="7" r:id="rId1"/>
    <sheet name="Amendment 1 Summary" sheetId="1" r:id="rId2"/>
    <sheet name="Amendment 1 Impact" sheetId="10" r:id="rId3"/>
    <sheet name="Chart1" sheetId="8" r:id="rId4"/>
    <sheet name="Chart2" sheetId="9" r:id="rId5"/>
    <sheet name="Additional 25K H_EX" sheetId="4" r:id="rId6"/>
    <sheet name="25K TPP EX" sheetId="5" r:id="rId7"/>
    <sheet name="10% Non-Homestead" sheetId="3" r:id="rId8"/>
    <sheet name="10% Cap School TV &gt; 0" sheetId="11" r:id="rId9"/>
    <sheet name="Portability Impact" sheetId="2" r:id="rId10"/>
  </sheets>
  <definedNames>
    <definedName name="_xlnm.Print_Titles" localSheetId="1">'Amendment 1 Summary'!$2:$4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3" i="5" l="1"/>
  <c r="E73" i="5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5" i="10"/>
  <c r="C7" i="1"/>
  <c r="C9" i="1"/>
  <c r="C10" i="1"/>
  <c r="C15" i="1"/>
  <c r="C21" i="1"/>
  <c r="C22" i="1"/>
  <c r="C23" i="1"/>
  <c r="C27" i="1"/>
  <c r="C29" i="1"/>
  <c r="C30" i="1"/>
  <c r="C31" i="1"/>
  <c r="C34" i="1"/>
  <c r="C35" i="1"/>
  <c r="C41" i="1"/>
  <c r="C42" i="1"/>
  <c r="C43" i="1"/>
  <c r="C47" i="1"/>
  <c r="C53" i="1"/>
  <c r="C54" i="1"/>
  <c r="C55" i="1"/>
  <c r="C59" i="1"/>
  <c r="C61" i="1"/>
  <c r="C62" i="1"/>
  <c r="C63" i="1"/>
  <c r="C66" i="1"/>
  <c r="C67" i="1"/>
  <c r="C71" i="1"/>
  <c r="C8" i="1"/>
  <c r="C11" i="1"/>
  <c r="C16" i="1"/>
  <c r="C20" i="1"/>
  <c r="C24" i="1"/>
  <c r="C32" i="1"/>
  <c r="C36" i="1"/>
  <c r="C39" i="1"/>
  <c r="C40" i="1"/>
  <c r="C48" i="1"/>
  <c r="C52" i="1"/>
  <c r="C56" i="1"/>
  <c r="C64" i="1"/>
  <c r="C68" i="1"/>
  <c r="C6" i="1"/>
  <c r="C13" i="1"/>
  <c r="C14" i="1"/>
  <c r="C17" i="1"/>
  <c r="C18" i="1"/>
  <c r="C19" i="1"/>
  <c r="C25" i="1"/>
  <c r="C26" i="1"/>
  <c r="C33" i="1"/>
  <c r="C37" i="1"/>
  <c r="C38" i="1"/>
  <c r="C45" i="1"/>
  <c r="C46" i="1"/>
  <c r="C49" i="1"/>
  <c r="C50" i="1"/>
  <c r="C51" i="1"/>
  <c r="C57" i="1"/>
  <c r="C58" i="1"/>
  <c r="C65" i="1"/>
  <c r="C69" i="1"/>
  <c r="C70" i="1"/>
  <c r="C12" i="1"/>
  <c r="C28" i="1"/>
  <c r="C44" i="1"/>
  <c r="C60" i="1"/>
  <c r="C5" i="1"/>
  <c r="O5" i="9" l="1"/>
  <c r="C73" i="2"/>
  <c r="O7" i="9" s="1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C73" i="11"/>
  <c r="D73" i="11" s="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C73" i="3"/>
  <c r="O6" i="9" s="1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C73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C73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G6" i="10"/>
  <c r="H6" i="10" s="1"/>
  <c r="G7" i="10"/>
  <c r="H7" i="10" s="1"/>
  <c r="G8" i="10"/>
  <c r="H8" i="10" s="1"/>
  <c r="G9" i="10"/>
  <c r="H9" i="10" s="1"/>
  <c r="G10" i="10"/>
  <c r="H10" i="10" s="1"/>
  <c r="G11" i="10"/>
  <c r="H11" i="10" s="1"/>
  <c r="G12" i="10"/>
  <c r="H12" i="10" s="1"/>
  <c r="G13" i="10"/>
  <c r="H13" i="10" s="1"/>
  <c r="G14" i="10"/>
  <c r="H14" i="10" s="1"/>
  <c r="G15" i="10"/>
  <c r="H15" i="10" s="1"/>
  <c r="G16" i="10"/>
  <c r="H16" i="10" s="1"/>
  <c r="G17" i="10"/>
  <c r="H17" i="10" s="1"/>
  <c r="G18" i="10"/>
  <c r="H18" i="10" s="1"/>
  <c r="G19" i="10"/>
  <c r="H19" i="10" s="1"/>
  <c r="G20" i="10"/>
  <c r="H20" i="10" s="1"/>
  <c r="G21" i="10"/>
  <c r="H21" i="10" s="1"/>
  <c r="G22" i="10"/>
  <c r="H22" i="10" s="1"/>
  <c r="G23" i="10"/>
  <c r="H23" i="10" s="1"/>
  <c r="G24" i="10"/>
  <c r="H24" i="10" s="1"/>
  <c r="G25" i="10"/>
  <c r="H25" i="10" s="1"/>
  <c r="G26" i="10"/>
  <c r="H26" i="10" s="1"/>
  <c r="G27" i="10"/>
  <c r="G28" i="10"/>
  <c r="H28" i="10" s="1"/>
  <c r="G29" i="10"/>
  <c r="H29" i="10" s="1"/>
  <c r="G30" i="10"/>
  <c r="H30" i="10" s="1"/>
  <c r="G31" i="10"/>
  <c r="H31" i="10" s="1"/>
  <c r="G32" i="10"/>
  <c r="H32" i="10" s="1"/>
  <c r="G33" i="10"/>
  <c r="H33" i="10" s="1"/>
  <c r="G34" i="10"/>
  <c r="H34" i="10" s="1"/>
  <c r="G35" i="10"/>
  <c r="H35" i="10" s="1"/>
  <c r="G36" i="10"/>
  <c r="H36" i="10" s="1"/>
  <c r="G37" i="10"/>
  <c r="H37" i="10" s="1"/>
  <c r="G38" i="10"/>
  <c r="H38" i="10" s="1"/>
  <c r="G39" i="10"/>
  <c r="H39" i="10" s="1"/>
  <c r="G40" i="10"/>
  <c r="H40" i="10" s="1"/>
  <c r="G41" i="10"/>
  <c r="H41" i="10" s="1"/>
  <c r="G42" i="10"/>
  <c r="H42" i="10" s="1"/>
  <c r="G43" i="10"/>
  <c r="H43" i="10" s="1"/>
  <c r="G44" i="10"/>
  <c r="H44" i="10" s="1"/>
  <c r="G45" i="10"/>
  <c r="H45" i="10" s="1"/>
  <c r="G46" i="10"/>
  <c r="G47" i="10"/>
  <c r="H47" i="10" s="1"/>
  <c r="G48" i="10"/>
  <c r="H48" i="10" s="1"/>
  <c r="G49" i="10"/>
  <c r="H49" i="10" s="1"/>
  <c r="G50" i="10"/>
  <c r="H50" i="10" s="1"/>
  <c r="G51" i="10"/>
  <c r="H51" i="10" s="1"/>
  <c r="G52" i="10"/>
  <c r="H52" i="10" s="1"/>
  <c r="G53" i="10"/>
  <c r="H53" i="10" s="1"/>
  <c r="G54" i="10"/>
  <c r="H54" i="10" s="1"/>
  <c r="G55" i="10"/>
  <c r="H55" i="10" s="1"/>
  <c r="G56" i="10"/>
  <c r="H56" i="10" s="1"/>
  <c r="G57" i="10"/>
  <c r="H57" i="10" s="1"/>
  <c r="G58" i="10"/>
  <c r="H58" i="10" s="1"/>
  <c r="G59" i="10"/>
  <c r="H59" i="10" s="1"/>
  <c r="G60" i="10"/>
  <c r="H60" i="10" s="1"/>
  <c r="G61" i="10"/>
  <c r="H61" i="10" s="1"/>
  <c r="G62" i="10"/>
  <c r="H62" i="10" s="1"/>
  <c r="G63" i="10"/>
  <c r="H63" i="10" s="1"/>
  <c r="G64" i="10"/>
  <c r="H64" i="10" s="1"/>
  <c r="G65" i="10"/>
  <c r="H65" i="10" s="1"/>
  <c r="G66" i="10"/>
  <c r="H66" i="10" s="1"/>
  <c r="G67" i="10"/>
  <c r="H67" i="10" s="1"/>
  <c r="G68" i="10"/>
  <c r="H68" i="10" s="1"/>
  <c r="G69" i="10"/>
  <c r="H69" i="10" s="1"/>
  <c r="G70" i="10"/>
  <c r="H70" i="10" s="1"/>
  <c r="G71" i="10"/>
  <c r="H71" i="10" s="1"/>
  <c r="G5" i="10"/>
  <c r="H5" i="10" s="1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73" i="2"/>
  <c r="N7" i="9" s="1"/>
  <c r="N5" i="9"/>
  <c r="G73" i="3"/>
  <c r="M6" i="9" s="1"/>
  <c r="E73" i="3"/>
  <c r="N6" i="9" s="1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E73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H46" i="10"/>
  <c r="H27" i="10"/>
  <c r="F73" i="10"/>
  <c r="J5" i="10"/>
  <c r="K5" i="10" s="1"/>
  <c r="J7" i="10"/>
  <c r="K7" i="10" s="1"/>
  <c r="I73" i="10"/>
  <c r="J6" i="10"/>
  <c r="K6" i="10" s="1"/>
  <c r="J8" i="10"/>
  <c r="K8" i="10" s="1"/>
  <c r="J9" i="10"/>
  <c r="K9" i="10" s="1"/>
  <c r="J10" i="10"/>
  <c r="K10" i="10" s="1"/>
  <c r="J11" i="10"/>
  <c r="K11" i="10" s="1"/>
  <c r="J12" i="10"/>
  <c r="K12" i="10" s="1"/>
  <c r="J13" i="10"/>
  <c r="K13" i="10" s="1"/>
  <c r="J14" i="10"/>
  <c r="K14" i="10" s="1"/>
  <c r="J15" i="10"/>
  <c r="K15" i="10" s="1"/>
  <c r="J16" i="10"/>
  <c r="K16" i="10" s="1"/>
  <c r="J17" i="10"/>
  <c r="K17" i="10" s="1"/>
  <c r="J18" i="10"/>
  <c r="K18" i="10" s="1"/>
  <c r="J19" i="10"/>
  <c r="K19" i="10" s="1"/>
  <c r="J20" i="10"/>
  <c r="K20" i="10" s="1"/>
  <c r="J21" i="10"/>
  <c r="K21" i="10" s="1"/>
  <c r="J22" i="10"/>
  <c r="K22" i="10" s="1"/>
  <c r="J23" i="10"/>
  <c r="K23" i="10" s="1"/>
  <c r="J24" i="10"/>
  <c r="K24" i="10" s="1"/>
  <c r="J25" i="10"/>
  <c r="K25" i="10" s="1"/>
  <c r="J26" i="10"/>
  <c r="K26" i="10" s="1"/>
  <c r="J27" i="10"/>
  <c r="K27" i="10" s="1"/>
  <c r="J28" i="10"/>
  <c r="K28" i="10" s="1"/>
  <c r="J29" i="10"/>
  <c r="K29" i="10" s="1"/>
  <c r="J30" i="10"/>
  <c r="K30" i="10" s="1"/>
  <c r="J31" i="10"/>
  <c r="K31" i="10" s="1"/>
  <c r="J32" i="10"/>
  <c r="K32" i="10" s="1"/>
  <c r="J33" i="10"/>
  <c r="K33" i="10" s="1"/>
  <c r="J34" i="10"/>
  <c r="K34" i="10" s="1"/>
  <c r="J35" i="10"/>
  <c r="K35" i="10" s="1"/>
  <c r="J36" i="10"/>
  <c r="K36" i="10" s="1"/>
  <c r="J37" i="10"/>
  <c r="K37" i="10" s="1"/>
  <c r="J38" i="10"/>
  <c r="K38" i="10" s="1"/>
  <c r="J39" i="10"/>
  <c r="K39" i="10" s="1"/>
  <c r="J40" i="10"/>
  <c r="K40" i="10" s="1"/>
  <c r="J41" i="10"/>
  <c r="K41" i="10" s="1"/>
  <c r="J42" i="10"/>
  <c r="K42" i="10" s="1"/>
  <c r="J43" i="10"/>
  <c r="K43" i="10" s="1"/>
  <c r="J44" i="10"/>
  <c r="K44" i="10" s="1"/>
  <c r="J45" i="10"/>
  <c r="K45" i="10" s="1"/>
  <c r="J46" i="10"/>
  <c r="K46" i="10" s="1"/>
  <c r="J47" i="10"/>
  <c r="K47" i="10" s="1"/>
  <c r="J48" i="10"/>
  <c r="K48" i="10" s="1"/>
  <c r="J49" i="10"/>
  <c r="K49" i="10" s="1"/>
  <c r="J50" i="10"/>
  <c r="K50" i="10" s="1"/>
  <c r="J51" i="10"/>
  <c r="K51" i="10" s="1"/>
  <c r="J52" i="10"/>
  <c r="K52" i="10" s="1"/>
  <c r="J53" i="10"/>
  <c r="K53" i="10" s="1"/>
  <c r="J54" i="10"/>
  <c r="K54" i="10" s="1"/>
  <c r="J55" i="10"/>
  <c r="K55" i="10" s="1"/>
  <c r="J56" i="10"/>
  <c r="K56" i="10" s="1"/>
  <c r="J57" i="10"/>
  <c r="K57" i="10" s="1"/>
  <c r="J58" i="10"/>
  <c r="K58" i="10" s="1"/>
  <c r="J59" i="10"/>
  <c r="K59" i="10" s="1"/>
  <c r="J60" i="10"/>
  <c r="K60" i="10" s="1"/>
  <c r="J61" i="10"/>
  <c r="K61" i="10" s="1"/>
  <c r="J62" i="10"/>
  <c r="K62" i="10" s="1"/>
  <c r="J63" i="10"/>
  <c r="K63" i="10" s="1"/>
  <c r="J64" i="10"/>
  <c r="K64" i="10" s="1"/>
  <c r="J65" i="10"/>
  <c r="K65" i="10" s="1"/>
  <c r="J66" i="10"/>
  <c r="K66" i="10" s="1"/>
  <c r="J67" i="10"/>
  <c r="K67" i="10" s="1"/>
  <c r="J68" i="10"/>
  <c r="K68" i="10" s="1"/>
  <c r="J69" i="10"/>
  <c r="K69" i="10" s="1"/>
  <c r="J70" i="10"/>
  <c r="K70" i="10" s="1"/>
  <c r="J71" i="10"/>
  <c r="K71" i="10" s="1"/>
  <c r="G73" i="4"/>
  <c r="M4" i="9" s="1"/>
  <c r="G73" i="5"/>
  <c r="M5" i="9" s="1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5" i="2"/>
  <c r="G73" i="2"/>
  <c r="M7" i="9" s="1"/>
  <c r="I73" i="2"/>
  <c r="L7" i="9" s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5" i="2"/>
  <c r="L73" i="10"/>
  <c r="M6" i="10"/>
  <c r="N6" i="10" s="1"/>
  <c r="M7" i="10"/>
  <c r="N7" i="10" s="1"/>
  <c r="M8" i="10"/>
  <c r="N8" i="10" s="1"/>
  <c r="M9" i="10"/>
  <c r="N9" i="10" s="1"/>
  <c r="M10" i="10"/>
  <c r="N10" i="10" s="1"/>
  <c r="M11" i="10"/>
  <c r="N11" i="10" s="1"/>
  <c r="M12" i="10"/>
  <c r="N12" i="10" s="1"/>
  <c r="M13" i="10"/>
  <c r="N13" i="10" s="1"/>
  <c r="M14" i="10"/>
  <c r="N14" i="10" s="1"/>
  <c r="M15" i="10"/>
  <c r="N15" i="10" s="1"/>
  <c r="M16" i="10"/>
  <c r="N16" i="10" s="1"/>
  <c r="M17" i="10"/>
  <c r="N17" i="10" s="1"/>
  <c r="M18" i="10"/>
  <c r="N18" i="10" s="1"/>
  <c r="M19" i="10"/>
  <c r="N19" i="10" s="1"/>
  <c r="M20" i="10"/>
  <c r="N20" i="10" s="1"/>
  <c r="M21" i="10"/>
  <c r="N21" i="10" s="1"/>
  <c r="M22" i="10"/>
  <c r="N22" i="10" s="1"/>
  <c r="M23" i="10"/>
  <c r="N23" i="10" s="1"/>
  <c r="M24" i="10"/>
  <c r="N24" i="10" s="1"/>
  <c r="M25" i="10"/>
  <c r="N25" i="10" s="1"/>
  <c r="M26" i="10"/>
  <c r="N26" i="10" s="1"/>
  <c r="M27" i="10"/>
  <c r="N27" i="10" s="1"/>
  <c r="M28" i="10"/>
  <c r="N28" i="10" s="1"/>
  <c r="M29" i="10"/>
  <c r="N29" i="10" s="1"/>
  <c r="M30" i="10"/>
  <c r="N30" i="10" s="1"/>
  <c r="M31" i="10"/>
  <c r="N31" i="10" s="1"/>
  <c r="M32" i="10"/>
  <c r="N32" i="10" s="1"/>
  <c r="M33" i="10"/>
  <c r="N33" i="10" s="1"/>
  <c r="M34" i="10"/>
  <c r="N34" i="10" s="1"/>
  <c r="M35" i="10"/>
  <c r="N35" i="10" s="1"/>
  <c r="M36" i="10"/>
  <c r="N36" i="10" s="1"/>
  <c r="M37" i="10"/>
  <c r="N37" i="10" s="1"/>
  <c r="M38" i="10"/>
  <c r="N38" i="10" s="1"/>
  <c r="M39" i="10"/>
  <c r="N39" i="10" s="1"/>
  <c r="M40" i="10"/>
  <c r="N40" i="10" s="1"/>
  <c r="M41" i="10"/>
  <c r="N41" i="10" s="1"/>
  <c r="M42" i="10"/>
  <c r="N42" i="10" s="1"/>
  <c r="M43" i="10"/>
  <c r="N43" i="10" s="1"/>
  <c r="M44" i="10"/>
  <c r="N44" i="10" s="1"/>
  <c r="M45" i="10"/>
  <c r="N45" i="10" s="1"/>
  <c r="M46" i="10"/>
  <c r="N46" i="10" s="1"/>
  <c r="M47" i="10"/>
  <c r="N47" i="10" s="1"/>
  <c r="M48" i="10"/>
  <c r="N48" i="10" s="1"/>
  <c r="M49" i="10"/>
  <c r="N49" i="10" s="1"/>
  <c r="M50" i="10"/>
  <c r="N50" i="10" s="1"/>
  <c r="M51" i="10"/>
  <c r="N51" i="10" s="1"/>
  <c r="M52" i="10"/>
  <c r="N52" i="10" s="1"/>
  <c r="M53" i="10"/>
  <c r="N53" i="10" s="1"/>
  <c r="M54" i="10"/>
  <c r="N54" i="10" s="1"/>
  <c r="M55" i="10"/>
  <c r="N55" i="10" s="1"/>
  <c r="M56" i="10"/>
  <c r="N56" i="10" s="1"/>
  <c r="M57" i="10"/>
  <c r="N57" i="10" s="1"/>
  <c r="M58" i="10"/>
  <c r="N58" i="10" s="1"/>
  <c r="M59" i="10"/>
  <c r="N59" i="10" s="1"/>
  <c r="M60" i="10"/>
  <c r="N60" i="10" s="1"/>
  <c r="M61" i="10"/>
  <c r="N61" i="10" s="1"/>
  <c r="M62" i="10"/>
  <c r="N62" i="10" s="1"/>
  <c r="M63" i="10"/>
  <c r="N63" i="10" s="1"/>
  <c r="M64" i="10"/>
  <c r="N64" i="10" s="1"/>
  <c r="M65" i="10"/>
  <c r="N65" i="10" s="1"/>
  <c r="M66" i="10"/>
  <c r="N66" i="10" s="1"/>
  <c r="M67" i="10"/>
  <c r="N67" i="10" s="1"/>
  <c r="M68" i="10"/>
  <c r="N68" i="10" s="1"/>
  <c r="M69" i="10"/>
  <c r="N69" i="10" s="1"/>
  <c r="M70" i="10"/>
  <c r="N70" i="10" s="1"/>
  <c r="M71" i="10"/>
  <c r="N71" i="10" s="1"/>
  <c r="M5" i="10"/>
  <c r="N5" i="10" s="1"/>
  <c r="I73" i="3"/>
  <c r="L6" i="9" s="1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5" i="3"/>
  <c r="I73" i="5"/>
  <c r="L5" i="9" s="1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5" i="4"/>
  <c r="I73" i="4"/>
  <c r="L4" i="9" s="1"/>
  <c r="G5" i="8"/>
  <c r="G6" i="8" s="1"/>
  <c r="O73" i="10"/>
  <c r="K73" i="4"/>
  <c r="K4" i="9" s="1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L67" i="2"/>
  <c r="L11" i="2"/>
  <c r="R73" i="10"/>
  <c r="N70" i="4"/>
  <c r="L69" i="4"/>
  <c r="N68" i="4"/>
  <c r="N67" i="4"/>
  <c r="N66" i="4"/>
  <c r="L65" i="4"/>
  <c r="N64" i="4"/>
  <c r="N63" i="4"/>
  <c r="L61" i="4"/>
  <c r="N60" i="4"/>
  <c r="N59" i="4"/>
  <c r="L57" i="4"/>
  <c r="N56" i="4"/>
  <c r="L53" i="4"/>
  <c r="N51" i="4"/>
  <c r="L49" i="4"/>
  <c r="N48" i="4"/>
  <c r="L45" i="4"/>
  <c r="N44" i="4"/>
  <c r="N42" i="4"/>
  <c r="L41" i="4"/>
  <c r="N41" i="4"/>
  <c r="N40" i="4"/>
  <c r="L37" i="4"/>
  <c r="N34" i="4"/>
  <c r="L33" i="4"/>
  <c r="N32" i="4"/>
  <c r="N30" i="4"/>
  <c r="L29" i="4"/>
  <c r="N27" i="4"/>
  <c r="L25" i="4"/>
  <c r="N24" i="4"/>
  <c r="N22" i="4"/>
  <c r="N20" i="4"/>
  <c r="N15" i="4"/>
  <c r="N14" i="4"/>
  <c r="N12" i="4"/>
  <c r="N10" i="4"/>
  <c r="L9" i="4"/>
  <c r="N7" i="4"/>
  <c r="N6" i="4"/>
  <c r="N5" i="4"/>
  <c r="L70" i="3"/>
  <c r="N69" i="3"/>
  <c r="N68" i="3"/>
  <c r="L67" i="3"/>
  <c r="N66" i="3"/>
  <c r="L65" i="3"/>
  <c r="L64" i="3"/>
  <c r="L62" i="3"/>
  <c r="N61" i="3"/>
  <c r="N59" i="3"/>
  <c r="L58" i="3"/>
  <c r="L56" i="3"/>
  <c r="L54" i="3"/>
  <c r="N52" i="3"/>
  <c r="N51" i="3"/>
  <c r="L50" i="3"/>
  <c r="L49" i="3"/>
  <c r="N48" i="3"/>
  <c r="N46" i="3"/>
  <c r="L44" i="3"/>
  <c r="L41" i="3"/>
  <c r="L40" i="3"/>
  <c r="N38" i="3"/>
  <c r="N37" i="3"/>
  <c r="N36" i="3"/>
  <c r="L35" i="3"/>
  <c r="L33" i="3"/>
  <c r="L32" i="3"/>
  <c r="N30" i="3"/>
  <c r="N28" i="3"/>
  <c r="N27" i="3"/>
  <c r="N26" i="3"/>
  <c r="L24" i="3"/>
  <c r="L22" i="3"/>
  <c r="L20" i="3"/>
  <c r="L18" i="3"/>
  <c r="L17" i="3"/>
  <c r="N16" i="3"/>
  <c r="L15" i="3"/>
  <c r="N14" i="3"/>
  <c r="N13" i="3"/>
  <c r="N12" i="3"/>
  <c r="L11" i="3"/>
  <c r="L9" i="3"/>
  <c r="L8" i="3"/>
  <c r="N7" i="3"/>
  <c r="L6" i="3"/>
  <c r="L70" i="2"/>
  <c r="N68" i="2"/>
  <c r="N67" i="2"/>
  <c r="N66" i="2"/>
  <c r="N65" i="2"/>
  <c r="L61" i="2"/>
  <c r="L60" i="2"/>
  <c r="N59" i="2"/>
  <c r="L58" i="2"/>
  <c r="N56" i="2"/>
  <c r="S53" i="10"/>
  <c r="T53" i="10" s="1"/>
  <c r="N48" i="2"/>
  <c r="N45" i="2"/>
  <c r="L43" i="2"/>
  <c r="L41" i="2"/>
  <c r="N38" i="2"/>
  <c r="N36" i="2"/>
  <c r="L35" i="2"/>
  <c r="N34" i="2"/>
  <c r="N33" i="2"/>
  <c r="N32" i="2"/>
  <c r="N31" i="2"/>
  <c r="N29" i="2"/>
  <c r="N28" i="2"/>
  <c r="N21" i="2"/>
  <c r="S20" i="10"/>
  <c r="T20" i="10" s="1"/>
  <c r="N17" i="2"/>
  <c r="N16" i="2"/>
  <c r="N15" i="2"/>
  <c r="L13" i="2"/>
  <c r="L10" i="2"/>
  <c r="N9" i="2"/>
  <c r="L7" i="2"/>
  <c r="S5" i="10"/>
  <c r="T5" i="10" s="1"/>
  <c r="N71" i="3"/>
  <c r="N65" i="3"/>
  <c r="N63" i="3"/>
  <c r="N60" i="3"/>
  <c r="N58" i="3"/>
  <c r="N57" i="3"/>
  <c r="N55" i="3"/>
  <c r="N50" i="3"/>
  <c r="N49" i="3"/>
  <c r="N44" i="3"/>
  <c r="N43" i="3"/>
  <c r="N42" i="3"/>
  <c r="N35" i="3"/>
  <c r="N34" i="3"/>
  <c r="N31" i="3"/>
  <c r="N29" i="3"/>
  <c r="N25" i="3"/>
  <c r="N21" i="3"/>
  <c r="N19" i="3"/>
  <c r="N18" i="3"/>
  <c r="N17" i="3"/>
  <c r="N9" i="3"/>
  <c r="N5" i="3"/>
  <c r="N71" i="2"/>
  <c r="N70" i="2"/>
  <c r="N69" i="2"/>
  <c r="N64" i="2"/>
  <c r="N63" i="2"/>
  <c r="N60" i="2"/>
  <c r="N58" i="2"/>
  <c r="N54" i="2"/>
  <c r="N53" i="2"/>
  <c r="N52" i="2"/>
  <c r="N51" i="2"/>
  <c r="N50" i="2"/>
  <c r="N47" i="2"/>
  <c r="N46" i="2"/>
  <c r="N42" i="2"/>
  <c r="N40" i="2"/>
  <c r="N39" i="2"/>
  <c r="N37" i="2"/>
  <c r="N30" i="2"/>
  <c r="N27" i="2"/>
  <c r="N23" i="2"/>
  <c r="N22" i="2"/>
  <c r="N19" i="2"/>
  <c r="N18" i="2"/>
  <c r="N12" i="2"/>
  <c r="N11" i="2"/>
  <c r="N10" i="2"/>
  <c r="N8" i="2"/>
  <c r="N6" i="2"/>
  <c r="N71" i="4"/>
  <c r="N69" i="4"/>
  <c r="N65" i="4"/>
  <c r="N62" i="4"/>
  <c r="N61" i="4"/>
  <c r="N58" i="4"/>
  <c r="N57" i="4"/>
  <c r="N54" i="4"/>
  <c r="N53" i="4"/>
  <c r="N52" i="4"/>
  <c r="N50" i="4"/>
  <c r="N49" i="4"/>
  <c r="N47" i="4"/>
  <c r="N46" i="4"/>
  <c r="N45" i="4"/>
  <c r="N43" i="4"/>
  <c r="N39" i="4"/>
  <c r="N38" i="4"/>
  <c r="N35" i="4"/>
  <c r="N33" i="4"/>
  <c r="N31" i="4"/>
  <c r="N28" i="4"/>
  <c r="N26" i="4"/>
  <c r="N25" i="4"/>
  <c r="N23" i="4"/>
  <c r="N21" i="4"/>
  <c r="N19" i="4"/>
  <c r="N18" i="4"/>
  <c r="N13" i="4"/>
  <c r="N11" i="4"/>
  <c r="N9" i="4"/>
  <c r="U73" i="10"/>
  <c r="X73" i="10"/>
  <c r="V6" i="10"/>
  <c r="W6" i="10" s="1"/>
  <c r="V7" i="10"/>
  <c r="W7" i="10" s="1"/>
  <c r="V8" i="10"/>
  <c r="W8" i="10" s="1"/>
  <c r="V9" i="10"/>
  <c r="W9" i="10" s="1"/>
  <c r="V10" i="10"/>
  <c r="W10" i="10" s="1"/>
  <c r="V11" i="10"/>
  <c r="W11" i="10" s="1"/>
  <c r="V12" i="10"/>
  <c r="W12" i="10" s="1"/>
  <c r="V13" i="10"/>
  <c r="W13" i="10" s="1"/>
  <c r="V14" i="10"/>
  <c r="W14" i="10" s="1"/>
  <c r="V15" i="10"/>
  <c r="W15" i="10" s="1"/>
  <c r="V16" i="10"/>
  <c r="W16" i="10" s="1"/>
  <c r="V17" i="10"/>
  <c r="W17" i="10" s="1"/>
  <c r="V18" i="10"/>
  <c r="W18" i="10" s="1"/>
  <c r="V19" i="10"/>
  <c r="W19" i="10" s="1"/>
  <c r="V20" i="10"/>
  <c r="W20" i="10" s="1"/>
  <c r="V21" i="10"/>
  <c r="W21" i="10" s="1"/>
  <c r="V22" i="10"/>
  <c r="W22" i="10" s="1"/>
  <c r="V23" i="10"/>
  <c r="W23" i="10" s="1"/>
  <c r="V24" i="10"/>
  <c r="W24" i="10" s="1"/>
  <c r="V25" i="10"/>
  <c r="W25" i="10" s="1"/>
  <c r="V26" i="10"/>
  <c r="W26" i="10" s="1"/>
  <c r="V27" i="10"/>
  <c r="W27" i="10" s="1"/>
  <c r="V28" i="10"/>
  <c r="W28" i="10" s="1"/>
  <c r="V29" i="10"/>
  <c r="W29" i="10" s="1"/>
  <c r="V30" i="10"/>
  <c r="W30" i="10" s="1"/>
  <c r="V31" i="10"/>
  <c r="W31" i="10" s="1"/>
  <c r="V32" i="10"/>
  <c r="W32" i="10" s="1"/>
  <c r="V33" i="10"/>
  <c r="W33" i="10" s="1"/>
  <c r="V34" i="10"/>
  <c r="W34" i="10" s="1"/>
  <c r="V35" i="10"/>
  <c r="W35" i="10" s="1"/>
  <c r="V36" i="10"/>
  <c r="W36" i="10" s="1"/>
  <c r="V37" i="10"/>
  <c r="W37" i="10" s="1"/>
  <c r="V38" i="10"/>
  <c r="W38" i="10" s="1"/>
  <c r="V39" i="10"/>
  <c r="W39" i="10" s="1"/>
  <c r="V40" i="10"/>
  <c r="W40" i="10" s="1"/>
  <c r="V41" i="10"/>
  <c r="W41" i="10" s="1"/>
  <c r="V42" i="10"/>
  <c r="W42" i="10" s="1"/>
  <c r="V43" i="10"/>
  <c r="W43" i="10" s="1"/>
  <c r="V44" i="10"/>
  <c r="W44" i="10" s="1"/>
  <c r="V45" i="10"/>
  <c r="W45" i="10" s="1"/>
  <c r="V46" i="10"/>
  <c r="W46" i="10" s="1"/>
  <c r="V47" i="10"/>
  <c r="W47" i="10" s="1"/>
  <c r="V48" i="10"/>
  <c r="W48" i="10" s="1"/>
  <c r="V49" i="10"/>
  <c r="W49" i="10" s="1"/>
  <c r="V50" i="10"/>
  <c r="W50" i="10" s="1"/>
  <c r="V51" i="10"/>
  <c r="W51" i="10" s="1"/>
  <c r="V52" i="10"/>
  <c r="W52" i="10" s="1"/>
  <c r="V53" i="10"/>
  <c r="W53" i="10" s="1"/>
  <c r="V54" i="10"/>
  <c r="W54" i="10" s="1"/>
  <c r="V55" i="10"/>
  <c r="W55" i="10" s="1"/>
  <c r="V56" i="10"/>
  <c r="W56" i="10" s="1"/>
  <c r="V57" i="10"/>
  <c r="W57" i="10" s="1"/>
  <c r="V58" i="10"/>
  <c r="W58" i="10" s="1"/>
  <c r="V59" i="10"/>
  <c r="W59" i="10" s="1"/>
  <c r="V60" i="10"/>
  <c r="W60" i="10" s="1"/>
  <c r="V61" i="10"/>
  <c r="W61" i="10" s="1"/>
  <c r="V62" i="10"/>
  <c r="W62" i="10" s="1"/>
  <c r="V63" i="10"/>
  <c r="W63" i="10" s="1"/>
  <c r="V64" i="10"/>
  <c r="W64" i="10" s="1"/>
  <c r="V65" i="10"/>
  <c r="W65" i="10" s="1"/>
  <c r="V66" i="10"/>
  <c r="W66" i="10" s="1"/>
  <c r="V67" i="10"/>
  <c r="W67" i="10" s="1"/>
  <c r="V68" i="10"/>
  <c r="W68" i="10" s="1"/>
  <c r="V69" i="10"/>
  <c r="W69" i="10" s="1"/>
  <c r="V70" i="10"/>
  <c r="W70" i="10" s="1"/>
  <c r="V71" i="10"/>
  <c r="W71" i="10" s="1"/>
  <c r="Y6" i="10"/>
  <c r="Z6" i="10" s="1"/>
  <c r="Y7" i="10"/>
  <c r="Z7" i="10" s="1"/>
  <c r="Y8" i="10"/>
  <c r="Z8" i="10" s="1"/>
  <c r="Y9" i="10"/>
  <c r="Z9" i="10" s="1"/>
  <c r="Y10" i="10"/>
  <c r="Z10" i="10" s="1"/>
  <c r="Y11" i="10"/>
  <c r="Z11" i="10" s="1"/>
  <c r="Y12" i="10"/>
  <c r="Z12" i="10" s="1"/>
  <c r="Y13" i="10"/>
  <c r="Z13" i="10" s="1"/>
  <c r="Y14" i="10"/>
  <c r="Z14" i="10" s="1"/>
  <c r="Y15" i="10"/>
  <c r="Z15" i="10" s="1"/>
  <c r="Y16" i="10"/>
  <c r="Z16" i="10" s="1"/>
  <c r="Y17" i="10"/>
  <c r="Z17" i="10" s="1"/>
  <c r="Y18" i="10"/>
  <c r="Z18" i="10" s="1"/>
  <c r="Y19" i="10"/>
  <c r="Z19" i="10" s="1"/>
  <c r="Y20" i="10"/>
  <c r="Z20" i="10" s="1"/>
  <c r="Y21" i="10"/>
  <c r="Z21" i="10" s="1"/>
  <c r="Y22" i="10"/>
  <c r="Z22" i="10" s="1"/>
  <c r="Y23" i="10"/>
  <c r="Z23" i="10" s="1"/>
  <c r="Y24" i="10"/>
  <c r="Z24" i="10" s="1"/>
  <c r="Y25" i="10"/>
  <c r="Z25" i="10" s="1"/>
  <c r="Y26" i="10"/>
  <c r="Z26" i="10" s="1"/>
  <c r="Y27" i="10"/>
  <c r="Z27" i="10" s="1"/>
  <c r="Y28" i="10"/>
  <c r="Z28" i="10" s="1"/>
  <c r="Y29" i="10"/>
  <c r="Z29" i="10" s="1"/>
  <c r="Y30" i="10"/>
  <c r="Z30" i="10" s="1"/>
  <c r="Y31" i="10"/>
  <c r="Z31" i="10" s="1"/>
  <c r="Y32" i="10"/>
  <c r="Z32" i="10" s="1"/>
  <c r="Y33" i="10"/>
  <c r="Z33" i="10" s="1"/>
  <c r="Y34" i="10"/>
  <c r="Z34" i="10" s="1"/>
  <c r="Y35" i="10"/>
  <c r="Z35" i="10" s="1"/>
  <c r="Y36" i="10"/>
  <c r="Z36" i="10" s="1"/>
  <c r="Y37" i="10"/>
  <c r="Z37" i="10" s="1"/>
  <c r="Y38" i="10"/>
  <c r="Z38" i="10" s="1"/>
  <c r="Y39" i="10"/>
  <c r="Z39" i="10" s="1"/>
  <c r="Y40" i="10"/>
  <c r="Z40" i="10" s="1"/>
  <c r="Y41" i="10"/>
  <c r="Z41" i="10" s="1"/>
  <c r="Y42" i="10"/>
  <c r="Z42" i="10" s="1"/>
  <c r="Y43" i="10"/>
  <c r="Z43" i="10" s="1"/>
  <c r="Y44" i="10"/>
  <c r="Z44" i="10" s="1"/>
  <c r="Y45" i="10"/>
  <c r="Z45" i="10" s="1"/>
  <c r="Y46" i="10"/>
  <c r="Z46" i="10" s="1"/>
  <c r="Y47" i="10"/>
  <c r="Z47" i="10" s="1"/>
  <c r="Y48" i="10"/>
  <c r="Z48" i="10" s="1"/>
  <c r="Y49" i="10"/>
  <c r="Z49" i="10" s="1"/>
  <c r="Y50" i="10"/>
  <c r="Z50" i="10" s="1"/>
  <c r="Y51" i="10"/>
  <c r="Z51" i="10" s="1"/>
  <c r="Y52" i="10"/>
  <c r="Z52" i="10" s="1"/>
  <c r="Y53" i="10"/>
  <c r="Z53" i="10" s="1"/>
  <c r="Y54" i="10"/>
  <c r="Z54" i="10" s="1"/>
  <c r="Y55" i="10"/>
  <c r="Z55" i="10" s="1"/>
  <c r="Y56" i="10"/>
  <c r="Z56" i="10" s="1"/>
  <c r="Y57" i="10"/>
  <c r="Z57" i="10" s="1"/>
  <c r="Y58" i="10"/>
  <c r="Z58" i="10" s="1"/>
  <c r="Y59" i="10"/>
  <c r="Z59" i="10" s="1"/>
  <c r="Y60" i="10"/>
  <c r="Z60" i="10" s="1"/>
  <c r="Y61" i="10"/>
  <c r="Z61" i="10" s="1"/>
  <c r="Y62" i="10"/>
  <c r="Z62" i="10" s="1"/>
  <c r="Y63" i="10"/>
  <c r="Z63" i="10" s="1"/>
  <c r="Y64" i="10"/>
  <c r="Z64" i="10" s="1"/>
  <c r="Y65" i="10"/>
  <c r="Z65" i="10" s="1"/>
  <c r="Y66" i="10"/>
  <c r="Z66" i="10" s="1"/>
  <c r="Y67" i="10"/>
  <c r="Z67" i="10" s="1"/>
  <c r="Y68" i="10"/>
  <c r="Z68" i="10" s="1"/>
  <c r="Y69" i="10"/>
  <c r="Z69" i="10" s="1"/>
  <c r="Y70" i="10"/>
  <c r="Z70" i="10" s="1"/>
  <c r="Y71" i="10"/>
  <c r="Z71" i="10" s="1"/>
  <c r="V5" i="10"/>
  <c r="W5" i="10" s="1"/>
  <c r="Y5" i="10"/>
  <c r="Z5" i="10" s="1"/>
  <c r="O73" i="4"/>
  <c r="I4" i="9" s="1"/>
  <c r="Q73" i="4"/>
  <c r="H4" i="9" s="1"/>
  <c r="O73" i="5"/>
  <c r="P73" i="5" s="1"/>
  <c r="Q73" i="5"/>
  <c r="O73" i="3"/>
  <c r="I6" i="9" s="1"/>
  <c r="Q73" i="3"/>
  <c r="H6" i="9" s="1"/>
  <c r="Q73" i="2"/>
  <c r="H7" i="9" s="1"/>
  <c r="O73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AN31" i="10"/>
  <c r="AO31" i="10" s="1"/>
  <c r="AN32" i="10"/>
  <c r="AO32" i="10" s="1"/>
  <c r="AN33" i="10"/>
  <c r="AO33" i="10" s="1"/>
  <c r="AN34" i="10"/>
  <c r="AO34" i="10" s="1"/>
  <c r="AN35" i="10"/>
  <c r="AO35" i="10" s="1"/>
  <c r="AN36" i="10"/>
  <c r="AO36" i="10" s="1"/>
  <c r="AN37" i="10"/>
  <c r="AO37" i="10" s="1"/>
  <c r="AN38" i="10"/>
  <c r="AO38" i="10" s="1"/>
  <c r="AN39" i="10"/>
  <c r="AO39" i="10" s="1"/>
  <c r="AN40" i="10"/>
  <c r="AO40" i="10" s="1"/>
  <c r="AN41" i="10"/>
  <c r="AO41" i="10" s="1"/>
  <c r="AN42" i="10"/>
  <c r="AO42" i="10" s="1"/>
  <c r="AN43" i="10"/>
  <c r="AO43" i="10" s="1"/>
  <c r="AN44" i="10"/>
  <c r="AO44" i="10" s="1"/>
  <c r="AN45" i="10"/>
  <c r="AO45" i="10" s="1"/>
  <c r="AN46" i="10"/>
  <c r="AO46" i="10" s="1"/>
  <c r="AN47" i="10"/>
  <c r="AO47" i="10" s="1"/>
  <c r="AN48" i="10"/>
  <c r="AO48" i="10" s="1"/>
  <c r="AN49" i="10"/>
  <c r="AO49" i="10" s="1"/>
  <c r="AN50" i="10"/>
  <c r="AO50" i="10" s="1"/>
  <c r="AN51" i="10"/>
  <c r="AO51" i="10" s="1"/>
  <c r="AN52" i="10"/>
  <c r="AO52" i="10" s="1"/>
  <c r="AN53" i="10"/>
  <c r="AO53" i="10" s="1"/>
  <c r="AN54" i="10"/>
  <c r="AO54" i="10" s="1"/>
  <c r="AN55" i="10"/>
  <c r="AO55" i="10" s="1"/>
  <c r="AN56" i="10"/>
  <c r="AO56" i="10" s="1"/>
  <c r="AN57" i="10"/>
  <c r="AO57" i="10" s="1"/>
  <c r="AN58" i="10"/>
  <c r="AO58" i="10" s="1"/>
  <c r="AN59" i="10"/>
  <c r="AO59" i="10" s="1"/>
  <c r="AN60" i="10"/>
  <c r="AO60" i="10" s="1"/>
  <c r="AN61" i="10"/>
  <c r="AO61" i="10" s="1"/>
  <c r="AN62" i="10"/>
  <c r="AO62" i="10" s="1"/>
  <c r="AN63" i="10"/>
  <c r="AO63" i="10" s="1"/>
  <c r="AN64" i="10"/>
  <c r="AO64" i="10" s="1"/>
  <c r="AN65" i="10"/>
  <c r="AO65" i="10" s="1"/>
  <c r="AN66" i="10"/>
  <c r="AO66" i="10" s="1"/>
  <c r="AN67" i="10"/>
  <c r="AO67" i="10" s="1"/>
  <c r="AN68" i="10"/>
  <c r="AO68" i="10" s="1"/>
  <c r="AN69" i="10"/>
  <c r="AO69" i="10" s="1"/>
  <c r="AN70" i="10"/>
  <c r="AO70" i="10" s="1"/>
  <c r="AN71" i="10"/>
  <c r="AO71" i="10" s="1"/>
  <c r="AN6" i="10"/>
  <c r="AO6" i="10" s="1"/>
  <c r="AN7" i="10"/>
  <c r="AO7" i="10" s="1"/>
  <c r="AN8" i="10"/>
  <c r="AO8" i="10" s="1"/>
  <c r="AN9" i="10"/>
  <c r="AO9" i="10" s="1"/>
  <c r="AN10" i="10"/>
  <c r="AO10" i="10" s="1"/>
  <c r="AN11" i="10"/>
  <c r="AO11" i="10" s="1"/>
  <c r="AN12" i="10"/>
  <c r="AO12" i="10" s="1"/>
  <c r="AN13" i="10"/>
  <c r="AO13" i="10" s="1"/>
  <c r="AN14" i="10"/>
  <c r="AO14" i="10" s="1"/>
  <c r="AN15" i="10"/>
  <c r="AO15" i="10" s="1"/>
  <c r="AN16" i="10"/>
  <c r="AO16" i="10" s="1"/>
  <c r="AN17" i="10"/>
  <c r="AO17" i="10" s="1"/>
  <c r="AN18" i="10"/>
  <c r="AO18" i="10" s="1"/>
  <c r="AN19" i="10"/>
  <c r="AO19" i="10" s="1"/>
  <c r="AN20" i="10"/>
  <c r="AO20" i="10" s="1"/>
  <c r="AN21" i="10"/>
  <c r="AO21" i="10" s="1"/>
  <c r="AN22" i="10"/>
  <c r="AO22" i="10" s="1"/>
  <c r="AN23" i="10"/>
  <c r="AO23" i="10" s="1"/>
  <c r="AN24" i="10"/>
  <c r="AO24" i="10" s="1"/>
  <c r="AN25" i="10"/>
  <c r="AO25" i="10" s="1"/>
  <c r="AN26" i="10"/>
  <c r="AO26" i="10" s="1"/>
  <c r="AN27" i="10"/>
  <c r="AO27" i="10" s="1"/>
  <c r="AN28" i="10"/>
  <c r="AO28" i="10" s="1"/>
  <c r="AN29" i="10"/>
  <c r="AO29" i="10" s="1"/>
  <c r="AN30" i="10"/>
  <c r="AO30" i="10" s="1"/>
  <c r="AN5" i="10"/>
  <c r="AO5" i="10" s="1"/>
  <c r="AK6" i="10"/>
  <c r="AL6" i="10" s="1"/>
  <c r="AK7" i="10"/>
  <c r="AL7" i="10" s="1"/>
  <c r="AK8" i="10"/>
  <c r="AL8" i="10" s="1"/>
  <c r="AK9" i="10"/>
  <c r="AL9" i="10" s="1"/>
  <c r="AK10" i="10"/>
  <c r="AL10" i="10" s="1"/>
  <c r="AK11" i="10"/>
  <c r="AL11" i="10" s="1"/>
  <c r="AK12" i="10"/>
  <c r="AL12" i="10" s="1"/>
  <c r="AK13" i="10"/>
  <c r="AL13" i="10" s="1"/>
  <c r="AK14" i="10"/>
  <c r="AL14" i="10" s="1"/>
  <c r="AK15" i="10"/>
  <c r="AL15" i="10" s="1"/>
  <c r="AK16" i="10"/>
  <c r="AL16" i="10" s="1"/>
  <c r="AK17" i="10"/>
  <c r="AL17" i="10" s="1"/>
  <c r="AK18" i="10"/>
  <c r="AL18" i="10" s="1"/>
  <c r="AK19" i="10"/>
  <c r="AL19" i="10" s="1"/>
  <c r="AK20" i="10"/>
  <c r="AL20" i="10" s="1"/>
  <c r="AK21" i="10"/>
  <c r="AL21" i="10" s="1"/>
  <c r="AK22" i="10"/>
  <c r="AL22" i="10" s="1"/>
  <c r="AK23" i="10"/>
  <c r="AL23" i="10" s="1"/>
  <c r="AK24" i="10"/>
  <c r="AL24" i="10" s="1"/>
  <c r="AK25" i="10"/>
  <c r="AL25" i="10" s="1"/>
  <c r="AK26" i="10"/>
  <c r="AL26" i="10" s="1"/>
  <c r="AK27" i="10"/>
  <c r="AL27" i="10" s="1"/>
  <c r="AK28" i="10"/>
  <c r="AL28" i="10" s="1"/>
  <c r="AK29" i="10"/>
  <c r="AL29" i="10" s="1"/>
  <c r="AK30" i="10"/>
  <c r="AL30" i="10" s="1"/>
  <c r="AK31" i="10"/>
  <c r="AL31" i="10" s="1"/>
  <c r="AK32" i="10"/>
  <c r="AL32" i="10" s="1"/>
  <c r="AK33" i="10"/>
  <c r="AL33" i="10" s="1"/>
  <c r="AK34" i="10"/>
  <c r="AL34" i="10" s="1"/>
  <c r="AK35" i="10"/>
  <c r="AL35" i="10" s="1"/>
  <c r="AK36" i="10"/>
  <c r="AL36" i="10" s="1"/>
  <c r="AK37" i="10"/>
  <c r="AL37" i="10" s="1"/>
  <c r="AK38" i="10"/>
  <c r="AL38" i="10" s="1"/>
  <c r="AK39" i="10"/>
  <c r="AL39" i="10" s="1"/>
  <c r="AK40" i="10"/>
  <c r="AL40" i="10" s="1"/>
  <c r="AK41" i="10"/>
  <c r="AL41" i="10" s="1"/>
  <c r="AK42" i="10"/>
  <c r="AL42" i="10" s="1"/>
  <c r="AK43" i="10"/>
  <c r="AL43" i="10" s="1"/>
  <c r="AK44" i="10"/>
  <c r="AL44" i="10" s="1"/>
  <c r="AK45" i="10"/>
  <c r="AL45" i="10" s="1"/>
  <c r="AK46" i="10"/>
  <c r="AL46" i="10" s="1"/>
  <c r="AK47" i="10"/>
  <c r="AL47" i="10" s="1"/>
  <c r="AK48" i="10"/>
  <c r="AL48" i="10" s="1"/>
  <c r="AK49" i="10"/>
  <c r="AL49" i="10" s="1"/>
  <c r="AK50" i="10"/>
  <c r="AL50" i="10" s="1"/>
  <c r="AK51" i="10"/>
  <c r="AL51" i="10" s="1"/>
  <c r="AK52" i="10"/>
  <c r="AL52" i="10" s="1"/>
  <c r="AK53" i="10"/>
  <c r="AL53" i="10" s="1"/>
  <c r="AK54" i="10"/>
  <c r="AL54" i="10" s="1"/>
  <c r="AK55" i="10"/>
  <c r="AL55" i="10" s="1"/>
  <c r="AK56" i="10"/>
  <c r="AL56" i="10" s="1"/>
  <c r="AK57" i="10"/>
  <c r="AL57" i="10" s="1"/>
  <c r="AK58" i="10"/>
  <c r="AL58" i="10" s="1"/>
  <c r="AK59" i="10"/>
  <c r="AL59" i="10" s="1"/>
  <c r="AK60" i="10"/>
  <c r="AL60" i="10" s="1"/>
  <c r="AK61" i="10"/>
  <c r="AL61" i="10" s="1"/>
  <c r="AK62" i="10"/>
  <c r="AL62" i="10" s="1"/>
  <c r="AK63" i="10"/>
  <c r="AL63" i="10" s="1"/>
  <c r="AK64" i="10"/>
  <c r="AL64" i="10" s="1"/>
  <c r="AK65" i="10"/>
  <c r="AL65" i="10" s="1"/>
  <c r="AK66" i="10"/>
  <c r="AL66" i="10" s="1"/>
  <c r="AK67" i="10"/>
  <c r="AL67" i="10" s="1"/>
  <c r="AK68" i="10"/>
  <c r="AL68" i="10" s="1"/>
  <c r="AK69" i="10"/>
  <c r="AL69" i="10" s="1"/>
  <c r="AK70" i="10"/>
  <c r="AL70" i="10" s="1"/>
  <c r="AK71" i="10"/>
  <c r="AL71" i="10" s="1"/>
  <c r="AK5" i="10"/>
  <c r="AL5" i="10" s="1"/>
  <c r="AH6" i="10"/>
  <c r="AI6" i="10" s="1"/>
  <c r="AH7" i="10"/>
  <c r="AI7" i="10" s="1"/>
  <c r="AH8" i="10"/>
  <c r="AI8" i="10" s="1"/>
  <c r="AH9" i="10"/>
  <c r="AI9" i="10" s="1"/>
  <c r="AH10" i="10"/>
  <c r="AI10" i="10" s="1"/>
  <c r="AH11" i="10"/>
  <c r="AI11" i="10" s="1"/>
  <c r="AH12" i="10"/>
  <c r="AI12" i="10" s="1"/>
  <c r="AH13" i="10"/>
  <c r="AI13" i="10" s="1"/>
  <c r="AH14" i="10"/>
  <c r="AI14" i="10" s="1"/>
  <c r="AH15" i="10"/>
  <c r="AI15" i="10" s="1"/>
  <c r="AH16" i="10"/>
  <c r="AI16" i="10" s="1"/>
  <c r="AH17" i="10"/>
  <c r="AI17" i="10" s="1"/>
  <c r="AH18" i="10"/>
  <c r="AI18" i="10" s="1"/>
  <c r="AH19" i="10"/>
  <c r="AI19" i="10" s="1"/>
  <c r="AH20" i="10"/>
  <c r="AI20" i="10" s="1"/>
  <c r="AH21" i="10"/>
  <c r="AI21" i="10" s="1"/>
  <c r="AH22" i="10"/>
  <c r="AI22" i="10" s="1"/>
  <c r="AH23" i="10"/>
  <c r="AI23" i="10" s="1"/>
  <c r="AH24" i="10"/>
  <c r="AI24" i="10" s="1"/>
  <c r="AH25" i="10"/>
  <c r="AI25" i="10" s="1"/>
  <c r="AH26" i="10"/>
  <c r="AI26" i="10" s="1"/>
  <c r="AH27" i="10"/>
  <c r="AI27" i="10" s="1"/>
  <c r="AH28" i="10"/>
  <c r="AI28" i="10" s="1"/>
  <c r="AH29" i="10"/>
  <c r="AI29" i="10" s="1"/>
  <c r="AH30" i="10"/>
  <c r="AI30" i="10" s="1"/>
  <c r="AH31" i="10"/>
  <c r="AI31" i="10" s="1"/>
  <c r="AH32" i="10"/>
  <c r="AI32" i="10" s="1"/>
  <c r="AH33" i="10"/>
  <c r="AI33" i="10" s="1"/>
  <c r="AH34" i="10"/>
  <c r="AI34" i="10" s="1"/>
  <c r="AH35" i="10"/>
  <c r="AI35" i="10" s="1"/>
  <c r="AH36" i="10"/>
  <c r="AI36" i="10" s="1"/>
  <c r="AH37" i="10"/>
  <c r="AI37" i="10" s="1"/>
  <c r="AH38" i="10"/>
  <c r="AI38" i="10" s="1"/>
  <c r="AH39" i="10"/>
  <c r="AI39" i="10" s="1"/>
  <c r="AH40" i="10"/>
  <c r="AI40" i="10" s="1"/>
  <c r="AH41" i="10"/>
  <c r="AI41" i="10" s="1"/>
  <c r="AH42" i="10"/>
  <c r="AI42" i="10" s="1"/>
  <c r="AH43" i="10"/>
  <c r="AI43" i="10" s="1"/>
  <c r="AH44" i="10"/>
  <c r="AI44" i="10" s="1"/>
  <c r="AH45" i="10"/>
  <c r="AI45" i="10" s="1"/>
  <c r="AH46" i="10"/>
  <c r="AI46" i="10" s="1"/>
  <c r="AH47" i="10"/>
  <c r="AI47" i="10" s="1"/>
  <c r="AH48" i="10"/>
  <c r="AI48" i="10" s="1"/>
  <c r="AH49" i="10"/>
  <c r="AI49" i="10" s="1"/>
  <c r="AH50" i="10"/>
  <c r="AI50" i="10" s="1"/>
  <c r="AH51" i="10"/>
  <c r="AI51" i="10" s="1"/>
  <c r="AH52" i="10"/>
  <c r="AI52" i="10" s="1"/>
  <c r="AH53" i="10"/>
  <c r="AI53" i="10" s="1"/>
  <c r="AH54" i="10"/>
  <c r="AI54" i="10" s="1"/>
  <c r="AH55" i="10"/>
  <c r="AI55" i="10" s="1"/>
  <c r="AH56" i="10"/>
  <c r="AI56" i="10" s="1"/>
  <c r="AH57" i="10"/>
  <c r="AI57" i="10" s="1"/>
  <c r="AH58" i="10"/>
  <c r="AI58" i="10" s="1"/>
  <c r="AH59" i="10"/>
  <c r="AI59" i="10" s="1"/>
  <c r="AH60" i="10"/>
  <c r="AI60" i="10" s="1"/>
  <c r="AH61" i="10"/>
  <c r="AI61" i="10" s="1"/>
  <c r="AH62" i="10"/>
  <c r="AI62" i="10" s="1"/>
  <c r="AH63" i="10"/>
  <c r="AI63" i="10" s="1"/>
  <c r="AH64" i="10"/>
  <c r="AI64" i="10" s="1"/>
  <c r="AH65" i="10"/>
  <c r="AI65" i="10" s="1"/>
  <c r="AH66" i="10"/>
  <c r="AI66" i="10" s="1"/>
  <c r="AH67" i="10"/>
  <c r="AI67" i="10" s="1"/>
  <c r="AH68" i="10"/>
  <c r="AI68" i="10" s="1"/>
  <c r="AH69" i="10"/>
  <c r="AI69" i="10" s="1"/>
  <c r="AH70" i="10"/>
  <c r="AI70" i="10" s="1"/>
  <c r="AH71" i="10"/>
  <c r="AI71" i="10" s="1"/>
  <c r="AH5" i="10"/>
  <c r="AI5" i="10" s="1"/>
  <c r="AE6" i="10"/>
  <c r="AF6" i="10" s="1"/>
  <c r="AE7" i="10"/>
  <c r="AF7" i="10" s="1"/>
  <c r="AE8" i="10"/>
  <c r="AF8" i="10" s="1"/>
  <c r="AE9" i="10"/>
  <c r="AF9" i="10" s="1"/>
  <c r="AE10" i="10"/>
  <c r="AF10" i="10" s="1"/>
  <c r="AE11" i="10"/>
  <c r="AF11" i="10" s="1"/>
  <c r="AE12" i="10"/>
  <c r="AF12" i="10" s="1"/>
  <c r="AE13" i="10"/>
  <c r="AF13" i="10" s="1"/>
  <c r="AE14" i="10"/>
  <c r="AF14" i="10" s="1"/>
  <c r="AE15" i="10"/>
  <c r="AF15" i="10" s="1"/>
  <c r="AE16" i="10"/>
  <c r="AF16" i="10" s="1"/>
  <c r="AE17" i="10"/>
  <c r="AF17" i="10" s="1"/>
  <c r="AE18" i="10"/>
  <c r="AF18" i="10" s="1"/>
  <c r="AE19" i="10"/>
  <c r="AF19" i="10" s="1"/>
  <c r="AE20" i="10"/>
  <c r="AF20" i="10" s="1"/>
  <c r="AE21" i="10"/>
  <c r="AF21" i="10" s="1"/>
  <c r="AE22" i="10"/>
  <c r="AF22" i="10" s="1"/>
  <c r="AE23" i="10"/>
  <c r="AF23" i="10" s="1"/>
  <c r="AE24" i="10"/>
  <c r="AF24" i="10" s="1"/>
  <c r="AE25" i="10"/>
  <c r="AF25" i="10" s="1"/>
  <c r="AE26" i="10"/>
  <c r="AF26" i="10" s="1"/>
  <c r="AE27" i="10"/>
  <c r="AF27" i="10" s="1"/>
  <c r="AE28" i="10"/>
  <c r="AF28" i="10" s="1"/>
  <c r="AE29" i="10"/>
  <c r="AF29" i="10" s="1"/>
  <c r="AE30" i="10"/>
  <c r="AF30" i="10" s="1"/>
  <c r="AE31" i="10"/>
  <c r="AF31" i="10" s="1"/>
  <c r="AE32" i="10"/>
  <c r="AF32" i="10" s="1"/>
  <c r="AE33" i="10"/>
  <c r="AF33" i="10" s="1"/>
  <c r="AE34" i="10"/>
  <c r="AF34" i="10" s="1"/>
  <c r="AE35" i="10"/>
  <c r="AF35" i="10" s="1"/>
  <c r="AE36" i="10"/>
  <c r="AF36" i="10" s="1"/>
  <c r="AE37" i="10"/>
  <c r="AF37" i="10" s="1"/>
  <c r="AE38" i="10"/>
  <c r="AF38" i="10" s="1"/>
  <c r="AE39" i="10"/>
  <c r="AF39" i="10" s="1"/>
  <c r="AE40" i="10"/>
  <c r="AF40" i="10" s="1"/>
  <c r="AE41" i="10"/>
  <c r="AF41" i="10" s="1"/>
  <c r="AE42" i="10"/>
  <c r="AF42" i="10" s="1"/>
  <c r="AE43" i="10"/>
  <c r="AF43" i="10" s="1"/>
  <c r="AE44" i="10"/>
  <c r="AF44" i="10" s="1"/>
  <c r="AE45" i="10"/>
  <c r="AF45" i="10" s="1"/>
  <c r="AE46" i="10"/>
  <c r="AF46" i="10" s="1"/>
  <c r="AE47" i="10"/>
  <c r="AF47" i="10" s="1"/>
  <c r="AE48" i="10"/>
  <c r="AF48" i="10" s="1"/>
  <c r="AE49" i="10"/>
  <c r="AF49" i="10" s="1"/>
  <c r="AE50" i="10"/>
  <c r="AF50" i="10" s="1"/>
  <c r="AE51" i="10"/>
  <c r="AF51" i="10" s="1"/>
  <c r="AE52" i="10"/>
  <c r="AF52" i="10" s="1"/>
  <c r="AE53" i="10"/>
  <c r="AF53" i="10" s="1"/>
  <c r="AE54" i="10"/>
  <c r="AF54" i="10" s="1"/>
  <c r="AE55" i="10"/>
  <c r="AF55" i="10" s="1"/>
  <c r="AE56" i="10"/>
  <c r="AF56" i="10" s="1"/>
  <c r="AE57" i="10"/>
  <c r="AF57" i="10" s="1"/>
  <c r="AE58" i="10"/>
  <c r="AF58" i="10" s="1"/>
  <c r="AE59" i="10"/>
  <c r="AF59" i="10" s="1"/>
  <c r="AE60" i="10"/>
  <c r="AF60" i="10" s="1"/>
  <c r="AE61" i="10"/>
  <c r="AF61" i="10" s="1"/>
  <c r="AE62" i="10"/>
  <c r="AF62" i="10" s="1"/>
  <c r="AE63" i="10"/>
  <c r="AF63" i="10" s="1"/>
  <c r="AE64" i="10"/>
  <c r="AF64" i="10" s="1"/>
  <c r="AE65" i="10"/>
  <c r="AF65" i="10" s="1"/>
  <c r="AE66" i="10"/>
  <c r="AF66" i="10" s="1"/>
  <c r="AE67" i="10"/>
  <c r="AF67" i="10" s="1"/>
  <c r="AE68" i="10"/>
  <c r="AF68" i="10" s="1"/>
  <c r="AE69" i="10"/>
  <c r="AF69" i="10" s="1"/>
  <c r="AE70" i="10"/>
  <c r="AF70" i="10" s="1"/>
  <c r="AE71" i="10"/>
  <c r="AF71" i="10" s="1"/>
  <c r="AE5" i="10"/>
  <c r="AF5" i="10" s="1"/>
  <c r="AB71" i="10"/>
  <c r="AC71" i="10" s="1"/>
  <c r="AB70" i="10"/>
  <c r="AC70" i="10" s="1"/>
  <c r="AB69" i="10"/>
  <c r="AC69" i="10" s="1"/>
  <c r="AB68" i="10"/>
  <c r="AC68" i="10" s="1"/>
  <c r="AB67" i="10"/>
  <c r="AC67" i="10" s="1"/>
  <c r="AB66" i="10"/>
  <c r="AC66" i="10" s="1"/>
  <c r="AB65" i="10"/>
  <c r="AC65" i="10" s="1"/>
  <c r="AB64" i="10"/>
  <c r="AC64" i="10" s="1"/>
  <c r="AB63" i="10"/>
  <c r="AC63" i="10" s="1"/>
  <c r="AB62" i="10"/>
  <c r="AC62" i="10" s="1"/>
  <c r="AB61" i="10"/>
  <c r="AC61" i="10" s="1"/>
  <c r="AB60" i="10"/>
  <c r="AC60" i="10" s="1"/>
  <c r="AB59" i="10"/>
  <c r="AC59" i="10" s="1"/>
  <c r="AB58" i="10"/>
  <c r="AC58" i="10" s="1"/>
  <c r="AB57" i="10"/>
  <c r="AC57" i="10" s="1"/>
  <c r="AB56" i="10"/>
  <c r="AC56" i="10" s="1"/>
  <c r="AB55" i="10"/>
  <c r="AC55" i="10" s="1"/>
  <c r="AB54" i="10"/>
  <c r="AC54" i="10" s="1"/>
  <c r="AB53" i="10"/>
  <c r="AC53" i="10" s="1"/>
  <c r="AB52" i="10"/>
  <c r="AC52" i="10" s="1"/>
  <c r="AB51" i="10"/>
  <c r="AC51" i="10" s="1"/>
  <c r="AB50" i="10"/>
  <c r="AC50" i="10" s="1"/>
  <c r="AB49" i="10"/>
  <c r="AC49" i="10" s="1"/>
  <c r="AB48" i="10"/>
  <c r="AC48" i="10" s="1"/>
  <c r="AB47" i="10"/>
  <c r="AC47" i="10" s="1"/>
  <c r="AB46" i="10"/>
  <c r="AC46" i="10" s="1"/>
  <c r="AB45" i="10"/>
  <c r="AC45" i="10" s="1"/>
  <c r="AB44" i="10"/>
  <c r="AC44" i="10" s="1"/>
  <c r="AB43" i="10"/>
  <c r="AC43" i="10" s="1"/>
  <c r="AB42" i="10"/>
  <c r="AC42" i="10" s="1"/>
  <c r="AB41" i="10"/>
  <c r="AC41" i="10" s="1"/>
  <c r="AB40" i="10"/>
  <c r="AC40" i="10" s="1"/>
  <c r="AB39" i="10"/>
  <c r="AC39" i="10" s="1"/>
  <c r="AB38" i="10"/>
  <c r="AC38" i="10" s="1"/>
  <c r="AB37" i="10"/>
  <c r="AC37" i="10" s="1"/>
  <c r="AB36" i="10"/>
  <c r="AC36" i="10" s="1"/>
  <c r="AB35" i="10"/>
  <c r="AC35" i="10" s="1"/>
  <c r="AB34" i="10"/>
  <c r="AC34" i="10" s="1"/>
  <c r="AB33" i="10"/>
  <c r="AC33" i="10" s="1"/>
  <c r="AB32" i="10"/>
  <c r="AC32" i="10" s="1"/>
  <c r="AB31" i="10"/>
  <c r="AC31" i="10" s="1"/>
  <c r="AB30" i="10"/>
  <c r="AC30" i="10" s="1"/>
  <c r="AB29" i="10"/>
  <c r="AC29" i="10" s="1"/>
  <c r="AB28" i="10"/>
  <c r="AC28" i="10" s="1"/>
  <c r="AB27" i="10"/>
  <c r="AC27" i="10" s="1"/>
  <c r="AB26" i="10"/>
  <c r="AC26" i="10" s="1"/>
  <c r="AB25" i="10"/>
  <c r="AC25" i="10" s="1"/>
  <c r="AB24" i="10"/>
  <c r="AC24" i="10" s="1"/>
  <c r="AB23" i="10"/>
  <c r="AC23" i="10" s="1"/>
  <c r="AB22" i="10"/>
  <c r="AC22" i="10" s="1"/>
  <c r="AB21" i="10"/>
  <c r="AC21" i="10" s="1"/>
  <c r="AB20" i="10"/>
  <c r="AC20" i="10" s="1"/>
  <c r="AB19" i="10"/>
  <c r="AC19" i="10" s="1"/>
  <c r="AB18" i="10"/>
  <c r="AC18" i="10" s="1"/>
  <c r="AB17" i="10"/>
  <c r="AC17" i="10" s="1"/>
  <c r="AB16" i="10"/>
  <c r="AC16" i="10" s="1"/>
  <c r="AB15" i="10"/>
  <c r="AC15" i="10" s="1"/>
  <c r="AB14" i="10"/>
  <c r="AC14" i="10" s="1"/>
  <c r="AB13" i="10"/>
  <c r="AC13" i="10" s="1"/>
  <c r="AB12" i="10"/>
  <c r="AC12" i="10" s="1"/>
  <c r="AB11" i="10"/>
  <c r="AC11" i="10" s="1"/>
  <c r="AB10" i="10"/>
  <c r="AC10" i="10" s="1"/>
  <c r="AB9" i="10"/>
  <c r="AC9" i="10" s="1"/>
  <c r="AB8" i="10"/>
  <c r="AC8" i="10" s="1"/>
  <c r="AB7" i="10"/>
  <c r="AC7" i="10" s="1"/>
  <c r="AB6" i="10"/>
  <c r="AC6" i="10" s="1"/>
  <c r="AB5" i="10"/>
  <c r="AC5" i="10" s="1"/>
  <c r="T5" i="2"/>
  <c r="S73" i="2"/>
  <c r="G7" i="9" s="1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S73" i="3"/>
  <c r="G6" i="9" s="1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S73" i="5"/>
  <c r="G5" i="9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U73" i="5"/>
  <c r="F5" i="9"/>
  <c r="S73" i="4"/>
  <c r="G4" i="9" s="1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AA73" i="10"/>
  <c r="AM73" i="10"/>
  <c r="AG73" i="10"/>
  <c r="U73" i="2"/>
  <c r="F7" i="9" s="1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U73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U73" i="4"/>
  <c r="F4" i="9" s="1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W73" i="3"/>
  <c r="X73" i="3" s="1"/>
  <c r="L7" i="5"/>
  <c r="L9" i="5"/>
  <c r="L12" i="5"/>
  <c r="L13" i="5"/>
  <c r="L15" i="5"/>
  <c r="L16" i="5"/>
  <c r="L17" i="5"/>
  <c r="L21" i="5"/>
  <c r="L23" i="5"/>
  <c r="L24" i="5"/>
  <c r="L28" i="5"/>
  <c r="L29" i="5"/>
  <c r="L32" i="5"/>
  <c r="L33" i="5"/>
  <c r="L36" i="5"/>
  <c r="L39" i="5"/>
  <c r="L40" i="5"/>
  <c r="L41" i="5"/>
  <c r="L45" i="5"/>
  <c r="L47" i="5"/>
  <c r="L49" i="5"/>
  <c r="L52" i="5"/>
  <c r="L53" i="5"/>
  <c r="L56" i="5"/>
  <c r="L57" i="5"/>
  <c r="L60" i="5"/>
  <c r="L61" i="5"/>
  <c r="L63" i="5"/>
  <c r="L64" i="5"/>
  <c r="L65" i="5"/>
  <c r="L68" i="5"/>
  <c r="L69" i="5"/>
  <c r="L71" i="5"/>
  <c r="G73" i="1"/>
  <c r="H5" i="8" s="1"/>
  <c r="H6" i="8" s="1"/>
  <c r="E73" i="1"/>
  <c r="F5" i="8" s="1"/>
  <c r="F6" i="8" s="1"/>
  <c r="D73" i="1"/>
  <c r="AJ73" i="10"/>
  <c r="Y73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W73" i="2"/>
  <c r="E7" i="9" s="1"/>
  <c r="Y73" i="2"/>
  <c r="D7" i="9" s="1"/>
  <c r="AA73" i="2"/>
  <c r="C7" i="9" s="1"/>
  <c r="AA73" i="3"/>
  <c r="Z73" i="3" s="1"/>
  <c r="W73" i="5"/>
  <c r="E5" i="9" s="1"/>
  <c r="Y73" i="5"/>
  <c r="D5" i="9" s="1"/>
  <c r="AA73" i="5"/>
  <c r="C5" i="9" s="1"/>
  <c r="W73" i="4"/>
  <c r="E4" i="9" s="1"/>
  <c r="Y73" i="4"/>
  <c r="D4" i="9" s="1"/>
  <c r="AA73" i="4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Z6" i="4"/>
  <c r="Z5" i="4"/>
  <c r="X6" i="4"/>
  <c r="X5" i="4"/>
  <c r="Z71" i="3"/>
  <c r="Z70" i="3"/>
  <c r="Z69" i="3"/>
  <c r="Z68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6" i="2"/>
  <c r="Z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5" i="2"/>
  <c r="AD73" i="10"/>
  <c r="C4" i="9"/>
  <c r="I7" i="9"/>
  <c r="I5" i="9"/>
  <c r="T73" i="5"/>
  <c r="H5" i="9"/>
  <c r="T73" i="4"/>
  <c r="D6" i="9"/>
  <c r="N6" i="3"/>
  <c r="N62" i="3"/>
  <c r="S64" i="10"/>
  <c r="T64" i="10" s="1"/>
  <c r="N8" i="4"/>
  <c r="N16" i="4"/>
  <c r="L5" i="4"/>
  <c r="S25" i="10"/>
  <c r="T25" i="10" s="1"/>
  <c r="S41" i="10"/>
  <c r="T41" i="10" s="1"/>
  <c r="S12" i="10"/>
  <c r="T12" i="10" s="1"/>
  <c r="S16" i="10"/>
  <c r="T16" i="10" s="1"/>
  <c r="N39" i="3"/>
  <c r="N10" i="3"/>
  <c r="L26" i="3"/>
  <c r="L38" i="3"/>
  <c r="L46" i="3"/>
  <c r="L66" i="3"/>
  <c r="L32" i="2"/>
  <c r="L26" i="2"/>
  <c r="N26" i="2"/>
  <c r="S32" i="10"/>
  <c r="T32" i="10" s="1"/>
  <c r="N62" i="2"/>
  <c r="L44" i="2"/>
  <c r="N55" i="2"/>
  <c r="N44" i="2"/>
  <c r="N14" i="2"/>
  <c r="N49" i="2"/>
  <c r="S49" i="10"/>
  <c r="T49" i="10" s="1"/>
  <c r="N57" i="2"/>
  <c r="N25" i="2"/>
  <c r="N20" i="2"/>
  <c r="S45" i="10"/>
  <c r="T45" i="10" s="1"/>
  <c r="N13" i="2"/>
  <c r="L69" i="2"/>
  <c r="N43" i="2"/>
  <c r="L24" i="2"/>
  <c r="L5" i="2"/>
  <c r="N5" i="2"/>
  <c r="N35" i="2"/>
  <c r="L57" i="2"/>
  <c r="N15" i="3"/>
  <c r="N22" i="3"/>
  <c r="S69" i="10"/>
  <c r="T69" i="10" s="1"/>
  <c r="L23" i="3"/>
  <c r="L31" i="3"/>
  <c r="N32" i="3"/>
  <c r="L47" i="3"/>
  <c r="L55" i="3"/>
  <c r="L63" i="3"/>
  <c r="S8" i="10"/>
  <c r="T8" i="10" s="1"/>
  <c r="N20" i="3"/>
  <c r="L14" i="3"/>
  <c r="L70" i="5"/>
  <c r="L62" i="5"/>
  <c r="L54" i="5"/>
  <c r="L46" i="5"/>
  <c r="L38" i="5"/>
  <c r="L30" i="5"/>
  <c r="L22" i="5"/>
  <c r="L14" i="5"/>
  <c r="L6" i="5"/>
  <c r="S46" i="10"/>
  <c r="T46" i="10" s="1"/>
  <c r="S70" i="10"/>
  <c r="T70" i="10" s="1"/>
  <c r="S62" i="10"/>
  <c r="T62" i="10" s="1"/>
  <c r="S6" i="10"/>
  <c r="T6" i="10" s="1"/>
  <c r="S14" i="10"/>
  <c r="T14" i="10" s="1"/>
  <c r="S29" i="10"/>
  <c r="T29" i="10" s="1"/>
  <c r="N29" i="4"/>
  <c r="M73" i="2"/>
  <c r="J7" i="9" s="1"/>
  <c r="S38" i="10"/>
  <c r="T38" i="10" s="1"/>
  <c r="S61" i="10"/>
  <c r="T61" i="10" s="1"/>
  <c r="S9" i="10"/>
  <c r="T9" i="10" s="1"/>
  <c r="L36" i="2"/>
  <c r="L66" i="2"/>
  <c r="N41" i="2"/>
  <c r="L6" i="2"/>
  <c r="L22" i="2"/>
  <c r="L37" i="2"/>
  <c r="N24" i="2"/>
  <c r="S44" i="10"/>
  <c r="T44" i="10" s="1"/>
  <c r="L23" i="2"/>
  <c r="N61" i="2"/>
  <c r="L31" i="2"/>
  <c r="L39" i="2"/>
  <c r="L9" i="2"/>
  <c r="L40" i="2"/>
  <c r="L47" i="2"/>
  <c r="L55" i="2"/>
  <c r="S60" i="10"/>
  <c r="T60" i="10" s="1"/>
  <c r="L18" i="2"/>
  <c r="L56" i="2"/>
  <c r="L71" i="2"/>
  <c r="L21" i="2"/>
  <c r="N7" i="2"/>
  <c r="N24" i="3"/>
  <c r="L30" i="3"/>
  <c r="L21" i="4"/>
  <c r="S36" i="10"/>
  <c r="T36" i="10" s="1"/>
  <c r="L17" i="2"/>
  <c r="L30" i="2"/>
  <c r="L46" i="2"/>
  <c r="L54" i="2"/>
  <c r="L59" i="2"/>
  <c r="L65" i="2"/>
  <c r="L28" i="4"/>
  <c r="S66" i="10"/>
  <c r="T66" i="10" s="1"/>
  <c r="N8" i="3"/>
  <c r="L53" i="3"/>
  <c r="L12" i="2"/>
  <c r="L19" i="2"/>
  <c r="L48" i="2"/>
  <c r="S22" i="10"/>
  <c r="T22" i="10" s="1"/>
  <c r="N45" i="3"/>
  <c r="S58" i="10"/>
  <c r="T58" i="10" s="1"/>
  <c r="L21" i="3"/>
  <c r="L8" i="2"/>
  <c r="L20" i="2"/>
  <c r="L25" i="2"/>
  <c r="L33" i="2"/>
  <c r="L42" i="2"/>
  <c r="L49" i="2"/>
  <c r="L68" i="2"/>
  <c r="L15" i="4"/>
  <c r="S26" i="10"/>
  <c r="T26" i="10" s="1"/>
  <c r="S56" i="10"/>
  <c r="T56" i="10" s="1"/>
  <c r="S37" i="10"/>
  <c r="T37" i="10" s="1"/>
  <c r="L38" i="2"/>
  <c r="L50" i="2"/>
  <c r="L14" i="2"/>
  <c r="S48" i="10"/>
  <c r="T48" i="10" s="1"/>
  <c r="N37" i="4"/>
  <c r="L27" i="2"/>
  <c r="L34" i="2"/>
  <c r="L51" i="2"/>
  <c r="L62" i="2"/>
  <c r="K73" i="2"/>
  <c r="K7" i="9" s="1"/>
  <c r="S18" i="10"/>
  <c r="T18" i="10" s="1"/>
  <c r="S21" i="10"/>
  <c r="T21" i="10" s="1"/>
  <c r="N23" i="3"/>
  <c r="L29" i="3"/>
  <c r="S34" i="10"/>
  <c r="T34" i="10" s="1"/>
  <c r="S57" i="10"/>
  <c r="T57" i="10" s="1"/>
  <c r="S65" i="10"/>
  <c r="T65" i="10" s="1"/>
  <c r="L15" i="2"/>
  <c r="L28" i="2"/>
  <c r="L52" i="2"/>
  <c r="L63" i="2"/>
  <c r="S52" i="10"/>
  <c r="T52" i="10" s="1"/>
  <c r="S24" i="10"/>
  <c r="T24" i="10" s="1"/>
  <c r="L66" i="5"/>
  <c r="L58" i="5"/>
  <c r="L50" i="5"/>
  <c r="L42" i="5"/>
  <c r="L34" i="5"/>
  <c r="L26" i="5"/>
  <c r="L18" i="5"/>
  <c r="L10" i="5"/>
  <c r="L13" i="4"/>
  <c r="L16" i="2"/>
  <c r="L29" i="2"/>
  <c r="L45" i="2"/>
  <c r="L53" i="2"/>
  <c r="L64" i="2"/>
  <c r="K73" i="3"/>
  <c r="K6" i="9" s="1"/>
  <c r="L66" i="4"/>
  <c r="S40" i="10"/>
  <c r="T40" i="10" s="1"/>
  <c r="N33" i="3"/>
  <c r="S50" i="10"/>
  <c r="T50" i="10" s="1"/>
  <c r="L34" i="3"/>
  <c r="L7" i="3"/>
  <c r="L12" i="3"/>
  <c r="S13" i="10"/>
  <c r="T13" i="10" s="1"/>
  <c r="S17" i="10"/>
  <c r="T17" i="10" s="1"/>
  <c r="L13" i="3"/>
  <c r="L19" i="3"/>
  <c r="N11" i="3"/>
  <c r="S28" i="10"/>
  <c r="T28" i="10" s="1"/>
  <c r="N56" i="3"/>
  <c r="N41" i="3"/>
  <c r="S33" i="10"/>
  <c r="T33" i="10" s="1"/>
  <c r="L25" i="3"/>
  <c r="L36" i="3"/>
  <c r="S54" i="10"/>
  <c r="T54" i="10" s="1"/>
  <c r="N67" i="3"/>
  <c r="L10" i="3"/>
  <c r="L37" i="3"/>
  <c r="L16" i="3"/>
  <c r="L27" i="3"/>
  <c r="L28" i="3"/>
  <c r="N47" i="3"/>
  <c r="M73" i="3"/>
  <c r="J6" i="9" s="1"/>
  <c r="N53" i="3"/>
  <c r="L43" i="3"/>
  <c r="L61" i="3"/>
  <c r="N40" i="3"/>
  <c r="L39" i="3"/>
  <c r="N64" i="3"/>
  <c r="L45" i="3"/>
  <c r="L51" i="3"/>
  <c r="L68" i="3"/>
  <c r="N54" i="3"/>
  <c r="L52" i="3"/>
  <c r="L57" i="3"/>
  <c r="L69" i="3"/>
  <c r="N70" i="3"/>
  <c r="L59" i="3"/>
  <c r="L71" i="3"/>
  <c r="L42" i="3"/>
  <c r="L48" i="3"/>
  <c r="L60" i="3"/>
  <c r="S59" i="10"/>
  <c r="T59" i="10" s="1"/>
  <c r="S35" i="10"/>
  <c r="T35" i="10" s="1"/>
  <c r="S15" i="10"/>
  <c r="T15" i="10" s="1"/>
  <c r="S47" i="10"/>
  <c r="T47" i="10" s="1"/>
  <c r="S67" i="10"/>
  <c r="T67" i="10" s="1"/>
  <c r="S27" i="10"/>
  <c r="T27" i="10" s="1"/>
  <c r="S39" i="10"/>
  <c r="T39" i="10" s="1"/>
  <c r="S7" i="10"/>
  <c r="T7" i="10" s="1"/>
  <c r="S63" i="10"/>
  <c r="T63" i="10" s="1"/>
  <c r="S11" i="10"/>
  <c r="T11" i="10" s="1"/>
  <c r="S71" i="10"/>
  <c r="T71" i="10" s="1"/>
  <c r="S55" i="10"/>
  <c r="T55" i="10" s="1"/>
  <c r="L59" i="5"/>
  <c r="L51" i="5"/>
  <c r="L35" i="5"/>
  <c r="L27" i="5"/>
  <c r="L19" i="5"/>
  <c r="L11" i="5"/>
  <c r="S51" i="10"/>
  <c r="T51" i="10" s="1"/>
  <c r="M73" i="5"/>
  <c r="L73" i="5" s="1"/>
  <c r="S23" i="10"/>
  <c r="T23" i="10" s="1"/>
  <c r="S43" i="10"/>
  <c r="T43" i="10" s="1"/>
  <c r="S19" i="10"/>
  <c r="T19" i="10" s="1"/>
  <c r="S31" i="10"/>
  <c r="T31" i="10" s="1"/>
  <c r="P55" i="10"/>
  <c r="Q55" i="10" s="1"/>
  <c r="L55" i="5"/>
  <c r="P31" i="10"/>
  <c r="Q31" i="10" s="1"/>
  <c r="L31" i="5"/>
  <c r="L5" i="5"/>
  <c r="K73" i="5"/>
  <c r="L37" i="5"/>
  <c r="P37" i="10"/>
  <c r="Q37" i="10" s="1"/>
  <c r="L44" i="5"/>
  <c r="P44" i="10"/>
  <c r="Q44" i="10" s="1"/>
  <c r="P20" i="10"/>
  <c r="Q20" i="10" s="1"/>
  <c r="L20" i="5"/>
  <c r="P67" i="10"/>
  <c r="Q67" i="10" s="1"/>
  <c r="L67" i="5"/>
  <c r="P43" i="10"/>
  <c r="Q43" i="10" s="1"/>
  <c r="L43" i="5"/>
  <c r="P25" i="10"/>
  <c r="Q25" i="10" s="1"/>
  <c r="L25" i="5"/>
  <c r="P48" i="10"/>
  <c r="Q48" i="10" s="1"/>
  <c r="L48" i="5"/>
  <c r="L8" i="5"/>
  <c r="P8" i="10"/>
  <c r="Q8" i="10" s="1"/>
  <c r="P9" i="10"/>
  <c r="Q9" i="10" s="1"/>
  <c r="L16" i="4"/>
  <c r="P22" i="10"/>
  <c r="Q22" i="10" s="1"/>
  <c r="P35" i="10"/>
  <c r="Q35" i="10" s="1"/>
  <c r="P41" i="10"/>
  <c r="Q41" i="10" s="1"/>
  <c r="L48" i="4"/>
  <c r="L54" i="4"/>
  <c r="L67" i="4"/>
  <c r="P47" i="10"/>
  <c r="Q47" i="10" s="1"/>
  <c r="S10" i="10"/>
  <c r="T10" i="10" s="1"/>
  <c r="S68" i="10"/>
  <c r="T68" i="10" s="1"/>
  <c r="N36" i="4"/>
  <c r="N55" i="4"/>
  <c r="P10" i="10"/>
  <c r="Q10" i="10" s="1"/>
  <c r="L17" i="4"/>
  <c r="P23" i="10"/>
  <c r="Q23" i="10" s="1"/>
  <c r="P29" i="10"/>
  <c r="Q29" i="10" s="1"/>
  <c r="P36" i="10"/>
  <c r="Q36" i="10" s="1"/>
  <c r="P42" i="10"/>
  <c r="Q42" i="10" s="1"/>
  <c r="L55" i="4"/>
  <c r="P61" i="10"/>
  <c r="Q61" i="10" s="1"/>
  <c r="L68" i="4"/>
  <c r="P60" i="10"/>
  <c r="Q60" i="10" s="1"/>
  <c r="M73" i="4"/>
  <c r="L73" i="4" s="1"/>
  <c r="P11" i="10"/>
  <c r="Q11" i="10" s="1"/>
  <c r="P17" i="10"/>
  <c r="Q17" i="10" s="1"/>
  <c r="P24" i="10"/>
  <c r="Q24" i="10" s="1"/>
  <c r="P30" i="10"/>
  <c r="Q30" i="10" s="1"/>
  <c r="L43" i="4"/>
  <c r="P49" i="10"/>
  <c r="Q49" i="10" s="1"/>
  <c r="L56" i="4"/>
  <c r="P62" i="10"/>
  <c r="Q62" i="10" s="1"/>
  <c r="P14" i="10"/>
  <c r="Q14" i="10" s="1"/>
  <c r="P53" i="10"/>
  <c r="Q53" i="10" s="1"/>
  <c r="N17" i="4"/>
  <c r="P5" i="10"/>
  <c r="Q5" i="10" s="1"/>
  <c r="L12" i="4"/>
  <c r="P18" i="10"/>
  <c r="Q18" i="10" s="1"/>
  <c r="L31" i="4"/>
  <c r="L44" i="4"/>
  <c r="P50" i="10"/>
  <c r="Q50" i="10" s="1"/>
  <c r="P63" i="10"/>
  <c r="Q63" i="10" s="1"/>
  <c r="P69" i="10"/>
  <c r="Q69" i="10" s="1"/>
  <c r="P54" i="10"/>
  <c r="Q54" i="10" s="1"/>
  <c r="L5" i="3"/>
  <c r="S30" i="10"/>
  <c r="T30" i="10" s="1"/>
  <c r="S42" i="10"/>
  <c r="T42" i="10" s="1"/>
  <c r="P6" i="10"/>
  <c r="Q6" i="10" s="1"/>
  <c r="P19" i="10"/>
  <c r="Q19" i="10" s="1"/>
  <c r="L32" i="4"/>
  <c r="P38" i="10"/>
  <c r="Q38" i="10" s="1"/>
  <c r="L51" i="4"/>
  <c r="P57" i="10"/>
  <c r="Q57" i="10" s="1"/>
  <c r="P64" i="10"/>
  <c r="Q64" i="10" s="1"/>
  <c r="P70" i="10"/>
  <c r="Q70" i="10" s="1"/>
  <c r="P21" i="10"/>
  <c r="Q21" i="10" s="1"/>
  <c r="P34" i="10"/>
  <c r="Q34" i="10" s="1"/>
  <c r="P7" i="10"/>
  <c r="Q7" i="10" s="1"/>
  <c r="P13" i="10"/>
  <c r="Q13" i="10" s="1"/>
  <c r="L20" i="4"/>
  <c r="L26" i="4"/>
  <c r="L39" i="4"/>
  <c r="P45" i="10"/>
  <c r="Q45" i="10" s="1"/>
  <c r="L52" i="4"/>
  <c r="P58" i="10"/>
  <c r="Q58" i="10" s="1"/>
  <c r="P71" i="10"/>
  <c r="Q71" i="10" s="1"/>
  <c r="P26" i="10"/>
  <c r="Q26" i="10" s="1"/>
  <c r="P66" i="10"/>
  <c r="Q66" i="10" s="1"/>
  <c r="L8" i="4"/>
  <c r="L14" i="4"/>
  <c r="L27" i="4"/>
  <c r="P33" i="10"/>
  <c r="Q33" i="10" s="1"/>
  <c r="L40" i="4"/>
  <c r="P46" i="10"/>
  <c r="Q46" i="10" s="1"/>
  <c r="P59" i="10"/>
  <c r="Q59" i="10" s="1"/>
  <c r="P65" i="10"/>
  <c r="Q65" i="10" s="1"/>
  <c r="L6" i="4"/>
  <c r="L10" i="4"/>
  <c r="L18" i="4"/>
  <c r="L22" i="4"/>
  <c r="L30" i="4"/>
  <c r="L34" i="4"/>
  <c r="L38" i="4"/>
  <c r="L42" i="4"/>
  <c r="L46" i="4"/>
  <c r="L50" i="4"/>
  <c r="L58" i="4"/>
  <c r="L62" i="4"/>
  <c r="L70" i="4"/>
  <c r="P15" i="10"/>
  <c r="Q15" i="10" s="1"/>
  <c r="P27" i="10"/>
  <c r="Q27" i="10" s="1"/>
  <c r="P32" i="10"/>
  <c r="Q32" i="10" s="1"/>
  <c r="P68" i="10"/>
  <c r="Q68" i="10" s="1"/>
  <c r="P28" i="10"/>
  <c r="Q28" i="10" s="1"/>
  <c r="P39" i="10"/>
  <c r="Q39" i="10" s="1"/>
  <c r="P51" i="10"/>
  <c r="Q51" i="10" s="1"/>
  <c r="P56" i="10"/>
  <c r="Q56" i="10" s="1"/>
  <c r="L7" i="4"/>
  <c r="L11" i="4"/>
  <c r="L19" i="4"/>
  <c r="L23" i="4"/>
  <c r="L35" i="4"/>
  <c r="L47" i="4"/>
  <c r="L59" i="4"/>
  <c r="L63" i="4"/>
  <c r="L71" i="4"/>
  <c r="P16" i="10"/>
  <c r="Q16" i="10" s="1"/>
  <c r="P52" i="10"/>
  <c r="Q52" i="10" s="1"/>
  <c r="P12" i="10"/>
  <c r="Q12" i="10" s="1"/>
  <c r="P40" i="10"/>
  <c r="Q40" i="10" s="1"/>
  <c r="L24" i="4"/>
  <c r="L36" i="4"/>
  <c r="L60" i="4"/>
  <c r="L64" i="4"/>
  <c r="N73" i="3"/>
  <c r="J5" i="9"/>
  <c r="F73" i="2"/>
  <c r="H73" i="4"/>
  <c r="H73" i="5"/>
  <c r="H73" i="2"/>
  <c r="J73" i="2"/>
  <c r="J4" i="9"/>
  <c r="J3" i="9" s="1"/>
  <c r="Z73" i="4"/>
  <c r="F6" i="9"/>
  <c r="K5" i="9"/>
  <c r="R73" i="5"/>
  <c r="J73" i="4"/>
  <c r="P73" i="3" l="1"/>
  <c r="H73" i="3"/>
  <c r="X73" i="4"/>
  <c r="L73" i="3"/>
  <c r="F73" i="3"/>
  <c r="E6" i="9"/>
  <c r="J73" i="5"/>
  <c r="J73" i="3"/>
  <c r="Z73" i="5"/>
  <c r="R73" i="4"/>
  <c r="V73" i="4"/>
  <c r="D73" i="4"/>
  <c r="V73" i="3"/>
  <c r="N73" i="5"/>
  <c r="P73" i="4"/>
  <c r="N73" i="4"/>
  <c r="P73" i="2"/>
  <c r="L3" i="9"/>
  <c r="D73" i="2"/>
  <c r="D73" i="3"/>
  <c r="F73" i="5"/>
  <c r="D73" i="5"/>
  <c r="O4" i="9"/>
  <c r="O3" i="9" s="1"/>
  <c r="C73" i="1"/>
  <c r="T73" i="2"/>
  <c r="I3" i="9"/>
  <c r="K3" i="9"/>
  <c r="H3" i="9"/>
  <c r="AK73" i="10"/>
  <c r="AL73" i="10" s="1"/>
  <c r="M3" i="9"/>
  <c r="J73" i="10"/>
  <c r="K73" i="10" s="1"/>
  <c r="G73" i="10"/>
  <c r="H73" i="10" s="1"/>
  <c r="D73" i="10"/>
  <c r="E73" i="10" s="1"/>
  <c r="E5" i="10"/>
  <c r="F3" i="9"/>
  <c r="V73" i="10"/>
  <c r="W73" i="10" s="1"/>
  <c r="S73" i="10"/>
  <c r="T73" i="10" s="1"/>
  <c r="D3" i="9"/>
  <c r="Y73" i="10"/>
  <c r="Z73" i="10" s="1"/>
  <c r="AB73" i="10"/>
  <c r="AC73" i="10" s="1"/>
  <c r="E3" i="9"/>
  <c r="AH73" i="10"/>
  <c r="AI73" i="10" s="1"/>
  <c r="AN73" i="10"/>
  <c r="AO73" i="10" s="1"/>
  <c r="M73" i="10"/>
  <c r="N73" i="10" s="1"/>
  <c r="AE73" i="10"/>
  <c r="AF73" i="10" s="1"/>
  <c r="G3" i="9"/>
  <c r="X73" i="2"/>
  <c r="V73" i="2"/>
  <c r="N73" i="2"/>
  <c r="R73" i="3"/>
  <c r="Z73" i="2"/>
  <c r="C6" i="9"/>
  <c r="C3" i="9" s="1"/>
  <c r="P73" i="10"/>
  <c r="Q73" i="10" s="1"/>
  <c r="V73" i="5"/>
  <c r="T73" i="3"/>
  <c r="X73" i="5"/>
  <c r="L73" i="2"/>
  <c r="R73" i="2"/>
  <c r="E5" i="8"/>
  <c r="F73" i="4"/>
  <c r="N4" i="9"/>
  <c r="N3" i="9" s="1"/>
  <c r="E6" i="8" l="1"/>
  <c r="D5" i="8"/>
  <c r="D6" i="8" l="1"/>
  <c r="F7" i="8"/>
  <c r="H7" i="8"/>
  <c r="G7" i="8"/>
  <c r="E7" i="8"/>
</calcChain>
</file>

<file path=xl/sharedStrings.xml><?xml version="1.0" encoding="utf-8"?>
<sst xmlns="http://schemas.openxmlformats.org/spreadsheetml/2006/main" count="1194" uniqueCount="152">
  <si>
    <t>Statewide</t>
  </si>
  <si>
    <t>Washington</t>
  </si>
  <si>
    <t>Walton</t>
  </si>
  <si>
    <t>Wakulla</t>
  </si>
  <si>
    <t>Volusia</t>
  </si>
  <si>
    <t>Union</t>
  </si>
  <si>
    <t>Taylor</t>
  </si>
  <si>
    <t>Suwannee</t>
  </si>
  <si>
    <t>Sumter</t>
  </si>
  <si>
    <t>Seminole</t>
  </si>
  <si>
    <t>Sarasota</t>
  </si>
  <si>
    <t>Santa Rosa</t>
  </si>
  <si>
    <t>Saint Lucie</t>
  </si>
  <si>
    <t>Saint Johns</t>
  </si>
  <si>
    <t>Putnam</t>
  </si>
  <si>
    <t>Polk</t>
  </si>
  <si>
    <t>Pinellas</t>
  </si>
  <si>
    <t>Pasco</t>
  </si>
  <si>
    <t>Palm Beach</t>
  </si>
  <si>
    <t>Osceola</t>
  </si>
  <si>
    <t>Orange</t>
  </si>
  <si>
    <t>Okeechobee</t>
  </si>
  <si>
    <t>Okaloosa</t>
  </si>
  <si>
    <t>Nassau</t>
  </si>
  <si>
    <t>Monroe</t>
  </si>
  <si>
    <t>Martin</t>
  </si>
  <si>
    <t>Marion</t>
  </si>
  <si>
    <t>Manatee</t>
  </si>
  <si>
    <t>Madison</t>
  </si>
  <si>
    <t>Liberty</t>
  </si>
  <si>
    <t>Levy</t>
  </si>
  <si>
    <t>Leon</t>
  </si>
  <si>
    <t>Lee</t>
  </si>
  <si>
    <t>Lake</t>
  </si>
  <si>
    <t>Lafayette</t>
  </si>
  <si>
    <t>Jefferson</t>
  </si>
  <si>
    <t>Jackson</t>
  </si>
  <si>
    <t>Indian River</t>
  </si>
  <si>
    <t>Holmes</t>
  </si>
  <si>
    <t>Hillsborough</t>
  </si>
  <si>
    <t>Highlands</t>
  </si>
  <si>
    <t>Hernando</t>
  </si>
  <si>
    <t>Hendry</t>
  </si>
  <si>
    <t>Hardee</t>
  </si>
  <si>
    <t>Hamilton</t>
  </si>
  <si>
    <t>Gulf</t>
  </si>
  <si>
    <t>Glades</t>
  </si>
  <si>
    <t>Gilchrist</t>
  </si>
  <si>
    <t>Gadsden</t>
  </si>
  <si>
    <t>Franklin</t>
  </si>
  <si>
    <t>Flagler</t>
  </si>
  <si>
    <t>Escambia</t>
  </si>
  <si>
    <t>Duval</t>
  </si>
  <si>
    <t>Dixie</t>
  </si>
  <si>
    <t>DeSoto</t>
  </si>
  <si>
    <t>Columbia</t>
  </si>
  <si>
    <t>Collier</t>
  </si>
  <si>
    <t>Clay</t>
  </si>
  <si>
    <t>Citrus</t>
  </si>
  <si>
    <t>Charlotte</t>
  </si>
  <si>
    <t>Calhoun</t>
  </si>
  <si>
    <t>Broward</t>
  </si>
  <si>
    <t>Brevard</t>
  </si>
  <si>
    <t>Bradford</t>
  </si>
  <si>
    <t>Bay</t>
  </si>
  <si>
    <t>Baker</t>
  </si>
  <si>
    <t>Alachua</t>
  </si>
  <si>
    <t>Status</t>
  </si>
  <si>
    <t>County</t>
  </si>
  <si>
    <t>Total</t>
  </si>
  <si>
    <t>2010 Value</t>
  </si>
  <si>
    <t>Percent increase 2009-2010</t>
  </si>
  <si>
    <t>2009 Value</t>
  </si>
  <si>
    <t>TPP $25K Exemption</t>
  </si>
  <si>
    <t>10% Cap</t>
  </si>
  <si>
    <t>Portability</t>
  </si>
  <si>
    <t>Additional $25K Exemption</t>
  </si>
  <si>
    <t>Homestead Portability Impact</t>
  </si>
  <si>
    <t>10% Non-Homestead Assessment Increase Limitation</t>
  </si>
  <si>
    <t>Additional $25K Homestead Exemption for Non-School Levies</t>
  </si>
  <si>
    <t>$25K Tangible Personal Property Exemption</t>
  </si>
  <si>
    <t>Amendment 1 Impact</t>
  </si>
  <si>
    <t>Billions</t>
  </si>
  <si>
    <t>Year</t>
  </si>
  <si>
    <t>Taxable Value</t>
  </si>
  <si>
    <t>%</t>
  </si>
  <si>
    <t>Percent Impact</t>
  </si>
  <si>
    <t xml:space="preserve">Contact Information: </t>
  </si>
  <si>
    <t xml:space="preserve">Property Tax Oversight, Research &amp; Analysis  </t>
  </si>
  <si>
    <t>2011 Value</t>
  </si>
  <si>
    <t>Percent increase 2010-2011</t>
  </si>
  <si>
    <t>2012 Value</t>
  </si>
  <si>
    <t>Percent increase 2011-2012</t>
  </si>
  <si>
    <t>Miami-Dade</t>
  </si>
  <si>
    <t>2013 Value</t>
  </si>
  <si>
    <t>Percent increase 2012-2013</t>
  </si>
  <si>
    <t xml:space="preserve"> 2013 Value</t>
  </si>
  <si>
    <t>Summary of 2008 Constitutional Amendment Impact</t>
  </si>
  <si>
    <t>2008 Constitutional Amendment Impact to Taxable Value</t>
  </si>
  <si>
    <t>2008 Constitutional Amendment Impact Report</t>
  </si>
  <si>
    <t>10% Non-Homestead Assessment Increase Limitation: School Taxable Value &gt; '0'</t>
  </si>
  <si>
    <t>2014 Value</t>
  </si>
  <si>
    <t>Percent increase 2013-2014</t>
  </si>
  <si>
    <t>2015 Value</t>
  </si>
  <si>
    <t>Percent increase 2014-2015</t>
  </si>
  <si>
    <t>2009</t>
  </si>
  <si>
    <t>2010</t>
  </si>
  <si>
    <t>2011</t>
  </si>
  <si>
    <t>2012</t>
  </si>
  <si>
    <t>2013</t>
  </si>
  <si>
    <t>2014</t>
  </si>
  <si>
    <t>2015</t>
  </si>
  <si>
    <t>Percent increase 2015-2016</t>
  </si>
  <si>
    <t>2016 Value</t>
  </si>
  <si>
    <t>2016</t>
  </si>
  <si>
    <t>PTOResearchAnalysis@floridarevenue</t>
  </si>
  <si>
    <t>2017 Value</t>
  </si>
  <si>
    <t>Percent increase 2016-2017</t>
  </si>
  <si>
    <t>2017</t>
  </si>
  <si>
    <t>2018 Value</t>
  </si>
  <si>
    <t>Percent increase 2017-2018</t>
  </si>
  <si>
    <t>2018</t>
  </si>
  <si>
    <t>2019 Value</t>
  </si>
  <si>
    <t>Percent increase 2018-2019</t>
  </si>
  <si>
    <t xml:space="preserve">2019 Value </t>
  </si>
  <si>
    <t>2019</t>
  </si>
  <si>
    <t>Final</t>
  </si>
  <si>
    <t>2020</t>
  </si>
  <si>
    <t>2020 Value</t>
  </si>
  <si>
    <t>Percent increase 2019-2020</t>
  </si>
  <si>
    <t xml:space="preserve">2020 Value </t>
  </si>
  <si>
    <t>Percent Increase 2019-2020</t>
  </si>
  <si>
    <t>R-NVAB</t>
  </si>
  <si>
    <t>R-Final</t>
  </si>
  <si>
    <t>Data Extract: November 2021</t>
  </si>
  <si>
    <t>2021 Final NAL</t>
  </si>
  <si>
    <t>2021</t>
  </si>
  <si>
    <t>2021 Value</t>
  </si>
  <si>
    <t>Percent increase 2020-2021</t>
  </si>
  <si>
    <t>2009-2021</t>
  </si>
  <si>
    <t xml:space="preserve">2021 Value </t>
  </si>
  <si>
    <t>Percent increase 2021-2019</t>
  </si>
  <si>
    <t>2010-2021</t>
  </si>
  <si>
    <t>Summary of 2008 Constitutional Amendment Impact: 2021</t>
  </si>
  <si>
    <t>2008 Constitutional Amendment Impact to Taxable Value: 2009-2021</t>
  </si>
  <si>
    <t>2008 Constitutional Amendment Impact in 2021</t>
  </si>
  <si>
    <t>2008 Constitutional Amendment Impact by Category: 2009-2021</t>
  </si>
  <si>
    <t>Additional $25K Homestead Exemption for Non-School Levies: 2009-2021</t>
  </si>
  <si>
    <t>$25K Tangible Personal Property Exemption: 2009-2021</t>
  </si>
  <si>
    <t>10% Non-Homestead Assessment Increase Limitation: 2009-2021</t>
  </si>
  <si>
    <t>10% Non-Homestead Assessment Increase Limitation (School Taxable Value &gt; '0'): 2010-2021</t>
  </si>
  <si>
    <t>Homestead Portability Impact: 2009-2021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</si>
</sst>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25" x14ac:knownFonts="1">
    <font>
      <sz val="10"/>
      <name val="Arial"/>
    </font>
    <font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6"/>
      <color indexed="60"/>
      <name val="Arial"/>
      <family val="2"/>
    </font>
    <font>
      <b/>
      <sz val="10"/>
      <color indexed="18"/>
      <name val="Arial"/>
      <family val="2"/>
    </font>
    <font>
      <b/>
      <sz val="11"/>
      <color indexed="63"/>
      <name val="Arial"/>
      <family val="2"/>
    </font>
    <font>
      <b/>
      <sz val="10"/>
      <color indexed="16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sz val="11"/>
      <color indexed="8"/>
      <name val="Arial"/>
      <family val="2"/>
    </font>
    <font>
      <b/>
      <sz val="11"/>
      <color indexed="16"/>
      <name val="Arial"/>
      <family val="2"/>
    </font>
    <font>
      <b/>
      <sz val="12"/>
      <color indexed="16"/>
      <name val="Arial"/>
      <family val="2"/>
    </font>
    <font>
      <b/>
      <sz val="12"/>
      <color indexed="16"/>
      <name val="Arial"/>
    </font>
    <font>
      <sz val="11"/>
      <color theme="1"/>
      <name val="Calibri"/>
      <family val="2"/>
      <scheme val="minor"/>
    </font>
    <font>
      <b/>
      <sz val="11"/>
      <color theme="3"/>
      <name val="Arial"/>
      <family val="2"/>
    </font>
    <font>
      <b/>
      <sz val="10"/>
      <color theme="4"/>
      <name val="Arial"/>
      <family val="2"/>
    </font>
    <font>
      <b/>
      <sz val="18"/>
      <color theme="3"/>
      <name val="Arial"/>
      <family val="2"/>
    </font>
    <font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4" fillId="0" borderId="0"/>
    <xf numFmtId="0" fontId="14" fillId="0" borderId="0"/>
    <xf numFmtId="0" fontId="14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2" applyFont="1" applyBorder="1" applyAlignment="1" applyProtection="1"/>
    <xf numFmtId="0" fontId="13" fillId="0" borderId="0" xfId="0" applyFont="1"/>
    <xf numFmtId="0" fontId="11" fillId="0" borderId="0" xfId="0" applyFont="1"/>
    <xf numFmtId="0" fontId="7" fillId="3" borderId="0" xfId="0" applyFont="1" applyFill="1" applyBorder="1" applyAlignment="1">
      <alignment horizontal="left" vertical="center" inden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 wrapText="1" indent="1"/>
    </xf>
    <xf numFmtId="3" fontId="7" fillId="3" borderId="0" xfId="0" applyNumberFormat="1" applyFont="1" applyFill="1" applyBorder="1" applyAlignment="1">
      <alignment horizontal="right" vertical="center" indent="1"/>
    </xf>
    <xf numFmtId="164" fontId="7" fillId="3" borderId="0" xfId="0" applyNumberFormat="1" applyFont="1" applyFill="1" applyBorder="1" applyAlignment="1">
      <alignment horizontal="right" vertical="center" indent="1"/>
    </xf>
    <xf numFmtId="0" fontId="21" fillId="3" borderId="0" xfId="0" applyFont="1" applyFill="1" applyBorder="1" applyAlignment="1">
      <alignment horizontal="center" vertical="center" wrapText="1"/>
    </xf>
    <xf numFmtId="4" fontId="22" fillId="3" borderId="0" xfId="0" applyNumberFormat="1" applyFont="1" applyFill="1" applyBorder="1" applyAlignment="1">
      <alignment horizontal="right" vertical="center" indent="1"/>
    </xf>
    <xf numFmtId="0" fontId="12" fillId="0" borderId="0" xfId="2" applyFont="1" applyAlignment="1" applyProtection="1"/>
    <xf numFmtId="0" fontId="23" fillId="0" borderId="0" xfId="0" applyFont="1" applyFill="1" applyAlignment="1">
      <alignment vertical="center"/>
    </xf>
    <xf numFmtId="0" fontId="15" fillId="3" borderId="0" xfId="0" applyFont="1" applyFill="1" applyBorder="1" applyAlignment="1">
      <alignment horizontal="left" vertical="center" wrapText="1" indent="1"/>
    </xf>
    <xf numFmtId="0" fontId="24" fillId="3" borderId="0" xfId="0" applyFont="1" applyFill="1" applyBorder="1" applyAlignment="1">
      <alignment horizontal="left" vertical="center" wrapText="1" indent="1"/>
    </xf>
    <xf numFmtId="0" fontId="8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21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/>
    </xf>
    <xf numFmtId="3" fontId="16" fillId="0" borderId="0" xfId="4" applyNumberFormat="1" applyFont="1"/>
    <xf numFmtId="0" fontId="11" fillId="0" borderId="0" xfId="0" applyFont="1" applyFill="1" applyBorder="1" applyAlignment="1"/>
    <xf numFmtId="0" fontId="11" fillId="0" borderId="0" xfId="0" applyFont="1" applyAlignment="1"/>
    <xf numFmtId="0" fontId="17" fillId="3" borderId="0" xfId="0" applyFont="1" applyFill="1" applyBorder="1" applyAlignment="1">
      <alignment horizontal="center" vertical="center"/>
    </xf>
    <xf numFmtId="0" fontId="11" fillId="3" borderId="0" xfId="0" applyFont="1" applyFill="1"/>
    <xf numFmtId="0" fontId="11" fillId="4" borderId="0" xfId="0" applyFont="1" applyFill="1"/>
    <xf numFmtId="0" fontId="11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indent="1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Border="1" applyAlignment="1"/>
    <xf numFmtId="0" fontId="11" fillId="3" borderId="0" xfId="0" applyFont="1" applyFill="1" applyAlignment="1"/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 indent="1"/>
    </xf>
    <xf numFmtId="0" fontId="11" fillId="3" borderId="0" xfId="0" applyFont="1" applyFill="1" applyAlignment="1">
      <alignment horizontal="left" vertical="center" indent="1"/>
    </xf>
    <xf numFmtId="0" fontId="11" fillId="0" borderId="0" xfId="0" applyFont="1" applyFill="1" applyAlignment="1">
      <alignment horizontal="right" vertical="center" indent="1"/>
    </xf>
    <xf numFmtId="0" fontId="10" fillId="0" borderId="0" xfId="0" applyFont="1" applyFill="1" applyAlignment="1">
      <alignment horizontal="center" vertical="center"/>
    </xf>
    <xf numFmtId="3" fontId="16" fillId="0" borderId="0" xfId="6" applyNumberFormat="1" applyFont="1" applyAlignment="1">
      <alignment horizontal="right" vertical="center" indent="1"/>
    </xf>
    <xf numFmtId="3" fontId="11" fillId="0" borderId="1" xfId="0" applyNumberFormat="1" applyFont="1" applyFill="1" applyBorder="1" applyAlignment="1">
      <alignment vertical="center"/>
    </xf>
    <xf numFmtId="3" fontId="16" fillId="0" borderId="1" xfId="0" applyNumberFormat="1" applyFont="1" applyBorder="1" applyAlignment="1">
      <alignment vertical="center"/>
    </xf>
    <xf numFmtId="0" fontId="21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vertical="center"/>
    </xf>
    <xf numFmtId="3" fontId="16" fillId="0" borderId="5" xfId="3" applyNumberFormat="1" applyFont="1" applyFill="1" applyBorder="1" applyAlignment="1">
      <alignment vertical="center"/>
    </xf>
    <xf numFmtId="0" fontId="10" fillId="0" borderId="6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center" vertical="center" wrapText="1"/>
    </xf>
    <xf numFmtId="3" fontId="10" fillId="0" borderId="7" xfId="0" applyNumberFormat="1" applyFont="1" applyFill="1" applyBorder="1" applyAlignment="1">
      <alignment vertical="center"/>
    </xf>
    <xf numFmtId="3" fontId="10" fillId="0" borderId="8" xfId="0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/>
    <xf numFmtId="0" fontId="3" fillId="2" borderId="9" xfId="0" applyFont="1" applyFill="1" applyBorder="1" applyAlignment="1">
      <alignment horizontal="center" vertical="center" wrapText="1"/>
    </xf>
    <xf numFmtId="0" fontId="11" fillId="0" borderId="4" xfId="0" applyFont="1" applyBorder="1" applyAlignment="1"/>
    <xf numFmtId="0" fontId="11" fillId="0" borderId="5" xfId="0" applyFont="1" applyBorder="1" applyAlignment="1"/>
    <xf numFmtId="0" fontId="8" fillId="0" borderId="0" xfId="0" applyFont="1" applyAlignment="1">
      <alignment horizontal="center" vertical="center"/>
    </xf>
    <xf numFmtId="3" fontId="11" fillId="0" borderId="1" xfId="0" applyNumberFormat="1" applyFont="1" applyFill="1" applyBorder="1" applyAlignment="1"/>
    <xf numFmtId="0" fontId="11" fillId="0" borderId="0" xfId="0" applyFont="1" applyAlignment="1">
      <alignment horizontal="center" vertical="center"/>
    </xf>
    <xf numFmtId="3" fontId="11" fillId="0" borderId="1" xfId="0" applyNumberFormat="1" applyFont="1" applyFill="1" applyBorder="1" applyAlignment="1">
      <alignment horizontal="right" vertical="center" wrapText="1"/>
    </xf>
    <xf numFmtId="164" fontId="11" fillId="0" borderId="1" xfId="0" applyNumberFormat="1" applyFont="1" applyFill="1" applyBorder="1" applyAlignment="1">
      <alignment horizontal="right" vertical="center"/>
    </xf>
    <xf numFmtId="3" fontId="16" fillId="0" borderId="1" xfId="0" applyNumberFormat="1" applyFont="1" applyBorder="1" applyAlignment="1">
      <alignment horizontal="right" vertical="center"/>
    </xf>
    <xf numFmtId="3" fontId="11" fillId="0" borderId="1" xfId="0" applyNumberFormat="1" applyFont="1" applyFill="1" applyBorder="1" applyAlignment="1">
      <alignment horizontal="right" vertical="center"/>
    </xf>
    <xf numFmtId="0" fontId="11" fillId="0" borderId="1" xfId="0" applyFont="1" applyFill="1" applyBorder="1" applyAlignment="1">
      <alignment horizontal="right" vertical="center" wrapText="1"/>
    </xf>
    <xf numFmtId="3" fontId="16" fillId="0" borderId="1" xfId="1" applyNumberFormat="1" applyFont="1" applyBorder="1" applyAlignment="1">
      <alignment horizontal="right" vertical="center"/>
    </xf>
    <xf numFmtId="3" fontId="16" fillId="0" borderId="1" xfId="5" applyNumberFormat="1" applyFont="1" applyBorder="1" applyAlignment="1">
      <alignment horizontal="righ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3" fontId="16" fillId="0" borderId="5" xfId="0" applyNumberFormat="1" applyFont="1" applyBorder="1" applyAlignment="1">
      <alignment horizontal="right" vertical="center"/>
    </xf>
    <xf numFmtId="3" fontId="11" fillId="0" borderId="5" xfId="0" applyNumberFormat="1" applyFont="1" applyFill="1" applyBorder="1" applyAlignment="1">
      <alignment horizontal="right" vertical="center"/>
    </xf>
    <xf numFmtId="0" fontId="11" fillId="0" borderId="7" xfId="0" applyFont="1" applyFill="1" applyBorder="1" applyAlignment="1">
      <alignment horizontal="center" wrapText="1"/>
    </xf>
    <xf numFmtId="3" fontId="10" fillId="0" borderId="7" xfId="0" applyNumberFormat="1" applyFont="1" applyFill="1" applyBorder="1" applyAlignment="1">
      <alignment horizontal="right" vertical="center"/>
    </xf>
    <xf numFmtId="164" fontId="10" fillId="0" borderId="7" xfId="0" applyNumberFormat="1" applyFont="1" applyFill="1" applyBorder="1" applyAlignment="1">
      <alignment horizontal="right" vertical="center"/>
    </xf>
    <xf numFmtId="3" fontId="10" fillId="0" borderId="8" xfId="0" applyNumberFormat="1" applyFont="1" applyFill="1" applyBorder="1" applyAlignment="1">
      <alignment horizontal="right" vertical="center"/>
    </xf>
    <xf numFmtId="3" fontId="10" fillId="0" borderId="7" xfId="0" applyNumberFormat="1" applyFont="1" applyFill="1" applyBorder="1" applyAlignment="1">
      <alignment horizontal="right" vertical="center" wrapText="1"/>
    </xf>
    <xf numFmtId="164" fontId="10" fillId="0" borderId="7" xfId="0" applyNumberFormat="1" applyFont="1" applyFill="1" applyBorder="1" applyAlignment="1">
      <alignment horizontal="right" vertical="center" wrapText="1"/>
    </xf>
    <xf numFmtId="3" fontId="16" fillId="0" borderId="5" xfId="5" applyNumberFormat="1" applyFont="1" applyBorder="1" applyAlignment="1">
      <alignment horizontal="right" vertical="center"/>
    </xf>
    <xf numFmtId="0" fontId="11" fillId="0" borderId="4" xfId="0" applyFont="1" applyFill="1" applyBorder="1" applyAlignment="1">
      <alignment horizontal="left"/>
    </xf>
    <xf numFmtId="164" fontId="11" fillId="0" borderId="5" xfId="0" applyNumberFormat="1" applyFont="1" applyFill="1" applyBorder="1" applyAlignment="1"/>
    <xf numFmtId="0" fontId="10" fillId="0" borderId="6" xfId="0" applyFont="1" applyFill="1" applyBorder="1" applyAlignment="1">
      <alignment horizontal="left"/>
    </xf>
    <xf numFmtId="3" fontId="10" fillId="0" borderId="7" xfId="0" applyNumberFormat="1" applyFont="1" applyFill="1" applyBorder="1" applyAlignment="1"/>
    <xf numFmtId="164" fontId="10" fillId="0" borderId="8" xfId="0" applyNumberFormat="1" applyFont="1" applyFill="1" applyBorder="1" applyAlignment="1"/>
    <xf numFmtId="0" fontId="3" fillId="2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3" fontId="11" fillId="0" borderId="4" xfId="0" applyNumberFormat="1" applyFont="1" applyFill="1" applyBorder="1" applyAlignment="1"/>
    <xf numFmtId="3" fontId="10" fillId="2" borderId="6" xfId="0" applyNumberFormat="1" applyFont="1" applyFill="1" applyBorder="1" applyAlignment="1"/>
    <xf numFmtId="0" fontId="18" fillId="3" borderId="0" xfId="0" applyFont="1" applyFill="1" applyAlignment="1">
      <alignment horizontal="center" vertical="center"/>
    </xf>
    <xf numFmtId="0" fontId="10" fillId="0" borderId="0" xfId="3" applyFont="1" applyFill="1" applyAlignment="1">
      <alignment vertical="center"/>
    </xf>
    <xf numFmtId="0" fontId="10" fillId="0" borderId="7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/>
    <xf numFmtId="0" fontId="8" fillId="3" borderId="0" xfId="0" applyFont="1" applyFill="1" applyAlignment="1"/>
    <xf numFmtId="0" fontId="8" fillId="3" borderId="0" xfId="0" applyFont="1" applyFill="1" applyAlignment="1">
      <alignment vertical="center"/>
    </xf>
    <xf numFmtId="0" fontId="19" fillId="3" borderId="0" xfId="0" applyFont="1" applyFill="1" applyAlignment="1">
      <alignment horizontal="center" vertical="center"/>
    </xf>
    <xf numFmtId="164" fontId="11" fillId="0" borderId="1" xfId="7" applyNumberFormat="1" applyFont="1" applyFill="1" applyBorder="1" applyAlignment="1">
      <alignment vertical="center" wrapText="1"/>
    </xf>
    <xf numFmtId="164" fontId="11" fillId="0" borderId="1" xfId="7" applyNumberFormat="1" applyFont="1" applyFill="1" applyBorder="1" applyAlignment="1">
      <alignment horizontal="right" vertical="center" wrapText="1"/>
    </xf>
    <xf numFmtId="165" fontId="11" fillId="0" borderId="1" xfId="1" applyNumberFormat="1" applyFont="1" applyFill="1" applyBorder="1" applyAlignment="1">
      <alignment horizontal="center" vertical="center" wrapText="1"/>
    </xf>
    <xf numFmtId="165" fontId="10" fillId="0" borderId="0" xfId="1" applyNumberFormat="1" applyFont="1" applyFill="1" applyAlignment="1">
      <alignment horizontal="center" vertical="center"/>
    </xf>
    <xf numFmtId="165" fontId="3" fillId="0" borderId="3" xfId="1" applyNumberFormat="1" applyFont="1" applyFill="1" applyBorder="1" applyAlignment="1">
      <alignment horizontal="center" vertical="center" wrapText="1"/>
    </xf>
    <xf numFmtId="165" fontId="10" fillId="0" borderId="7" xfId="1" applyNumberFormat="1" applyFont="1" applyFill="1" applyBorder="1" applyAlignment="1">
      <alignment horizontal="right" vertical="center"/>
    </xf>
    <xf numFmtId="165" fontId="11" fillId="0" borderId="0" xfId="1" applyNumberFormat="1" applyFont="1" applyAlignment="1"/>
    <xf numFmtId="165" fontId="11" fillId="0" borderId="0" xfId="1" applyNumberFormat="1" applyFont="1" applyFill="1" applyAlignment="1">
      <alignment horizontal="center" vertical="center"/>
    </xf>
    <xf numFmtId="165" fontId="10" fillId="0" borderId="0" xfId="1" applyNumberFormat="1" applyFont="1" applyFill="1" applyAlignment="1">
      <alignment vertical="center"/>
    </xf>
    <xf numFmtId="165" fontId="10" fillId="0" borderId="0" xfId="1" applyNumberFormat="1" applyFont="1" applyFill="1" applyAlignment="1">
      <alignment horizontal="left" vertical="center"/>
    </xf>
    <xf numFmtId="165" fontId="11" fillId="0" borderId="1" xfId="1" applyNumberFormat="1" applyFont="1" applyFill="1" applyBorder="1" applyAlignment="1">
      <alignment horizontal="right" vertical="center" wrapText="1"/>
    </xf>
    <xf numFmtId="165" fontId="11" fillId="0" borderId="0" xfId="1" applyNumberFormat="1" applyFont="1" applyFill="1" applyAlignment="1">
      <alignment vertical="center"/>
    </xf>
    <xf numFmtId="0" fontId="9" fillId="0" borderId="0" xfId="2" applyBorder="1" applyAlignment="1" applyProtection="1"/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1" fillId="3" borderId="0" xfId="0" applyFont="1" applyFill="1" applyBorder="1" applyAlignment="1"/>
    <xf numFmtId="0" fontId="11" fillId="3" borderId="0" xfId="0" applyFont="1" applyFill="1" applyAlignment="1"/>
  </cellXfs>
  <cellStyles count="8">
    <cellStyle name="Comma" xfId="1" builtinId="3"/>
    <cellStyle name="Hyperlink" xfId="2" builtinId="8"/>
    <cellStyle name="Normal" xfId="0" builtinId="0"/>
    <cellStyle name="Normal 2" xfId="3" xr:uid="{00000000-0005-0000-0000-000003000000}"/>
    <cellStyle name="Normal 3" xfId="4" xr:uid="{00000000-0005-0000-0000-000004000000}"/>
    <cellStyle name="Normal_10% Non-Homestead" xfId="5" xr:uid="{00000000-0005-0000-0000-000005000000}"/>
    <cellStyle name="Normal_Amendment 1 Summary" xfId="6" xr:uid="{00000000-0005-0000-0000-000006000000}"/>
    <cellStyle name="Percent" xfId="7" builtinId="5"/>
  </cellStyles>
  <dxfs count="134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16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bgColor indexed="22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600" b="1" i="0" u="none" strike="noStrike" baseline="0">
                <a:solidFill>
                  <a:srgbClr val="800000"/>
                </a:solidFill>
                <a:latin typeface="Times New Roman"/>
                <a:cs typeface="Times New Roman"/>
              </a:rPr>
              <a:t> 2008 Constitutional Amendment Impact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 i="0" u="none" strike="noStrike" baseline="0">
                <a:solidFill>
                  <a:srgbClr val="33CCCC"/>
                </a:solidFill>
                <a:latin typeface="Times New Roman"/>
                <a:cs typeface="Times New Roman"/>
              </a:rPr>
              <a:t>- 2021 Final Tax Roll -</a:t>
            </a:r>
          </a:p>
        </c:rich>
      </c:tx>
      <c:layout>
        <c:manualLayout>
          <c:xMode val="edge"/>
          <c:yMode val="edge"/>
          <c:x val="0.24140255905511809"/>
          <c:y val="5.972225486739530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3260271552594389E-2"/>
          <c:y val="0.34406177772554553"/>
          <c:w val="0.84821408742176463"/>
          <c:h val="0.48464018490226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8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163-41F2-A693-624800D51368}"/>
              </c:ext>
            </c:extLst>
          </c:dPt>
          <c:dPt>
            <c:idx val="1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63-41F2-A693-624800D51368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163-41F2-A693-624800D51368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63-41F2-A693-624800D51368}"/>
              </c:ext>
            </c:extLst>
          </c:dPt>
          <c:dLbls>
            <c:dLbl>
              <c:idx val="0"/>
              <c:layout>
                <c:manualLayout>
                  <c:x val="-0.11217948717948718"/>
                  <c:y val="-0.21308398950131233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Times New Roman"/>
                        <a:ea typeface="Times New Roman"/>
                        <a:cs typeface="Times New Roman"/>
                      </a:defRPr>
                    </a:pPr>
                    <a:r>
                      <a:rPr lang="en-US" sz="1075" b="1" i="0" u="none" strike="noStrike" baseline="0">
                        <a:solidFill>
                          <a:srgbClr val="993300"/>
                        </a:solidFill>
                        <a:latin typeface="Arial"/>
                        <a:cs typeface="Arial"/>
                      </a:rPr>
                      <a:t>Additional $25K Exemption </a:t>
                    </a:r>
                    <a:r>
                      <a:rPr lang="en-US" sz="1075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            </a:t>
                    </a:r>
                    <a:r>
                      <a:rPr lang="en-US" sz="1000" b="1" i="0" u="none" strike="noStrike" baseline="0">
                        <a:solidFill>
                          <a:srgbClr val="3366FF"/>
                        </a:solidFill>
                        <a:latin typeface="Arial"/>
                        <a:cs typeface="Arial"/>
                      </a:rPr>
                      <a:t>$96.17 billion  (48.8%)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1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1163-41F2-A693-624800D51368}"/>
                </c:ext>
              </c:extLst>
            </c:dLbl>
            <c:dLbl>
              <c:idx val="1"/>
              <c:layout>
                <c:manualLayout>
                  <c:x val="0.17047281950333132"/>
                  <c:y val="1.6622008069886788E-2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Times New Roman"/>
                        <a:ea typeface="Times New Roman"/>
                        <a:cs typeface="Times New Roman"/>
                      </a:defRPr>
                    </a:pPr>
                    <a:r>
                      <a:rPr lang="en-US" sz="1200" b="1" i="0" u="none" strike="noStrike" baseline="0">
                        <a:solidFill>
                          <a:srgbClr val="993300"/>
                        </a:solidFill>
                        <a:latin typeface="Arial"/>
                        <a:cs typeface="Arial"/>
                      </a:rPr>
                      <a:t>TPP $25K Exemption</a:t>
                    </a:r>
                    <a:r>
                      <a:rPr lang="en-US" sz="1200" b="1" i="0" u="none" strike="noStrike" baseline="0">
                        <a:solidFill>
                          <a:srgbClr val="3366FF"/>
                        </a:solidFill>
                        <a:latin typeface="Arial"/>
                        <a:cs typeface="Arial"/>
                      </a:rPr>
                      <a:t>              </a:t>
                    </a:r>
                    <a:r>
                      <a:rPr lang="en-US" sz="1000" b="1" i="0" u="none" strike="noStrike" baseline="0">
                        <a:solidFill>
                          <a:srgbClr val="3366FF"/>
                        </a:solidFill>
                        <a:latin typeface="Arial"/>
                        <a:cs typeface="Arial"/>
                      </a:rPr>
                      <a:t>7.86 billion  (4.0%)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1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163-41F2-A693-624800D51368}"/>
                </c:ext>
              </c:extLst>
            </c:dLbl>
            <c:dLbl>
              <c:idx val="2"/>
              <c:layout>
                <c:manualLayout>
                  <c:x val="6.3433777508580647E-2"/>
                  <c:y val="-0.34558800485760177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Times New Roman"/>
                        <a:ea typeface="Times New Roman"/>
                        <a:cs typeface="Times New Roman"/>
                      </a:defRPr>
                    </a:pPr>
                    <a:r>
                      <a:rPr lang="en-US" sz="1200" b="1" i="0" u="none" strike="noStrike" baseline="0">
                        <a:solidFill>
                          <a:srgbClr val="993300"/>
                        </a:solidFill>
                        <a:latin typeface="Arial"/>
                        <a:cs typeface="Arial"/>
                      </a:rPr>
                      <a:t>10% Cap</a:t>
                    </a:r>
                    <a:r>
                      <a:rPr lang="en-US" sz="1200" b="1" i="0" u="none" strike="noStrike" baseline="0">
                        <a:solidFill>
                          <a:srgbClr val="3366FF"/>
                        </a:solidFill>
                        <a:latin typeface="Arial"/>
                        <a:cs typeface="Arial"/>
                      </a:rPr>
                      <a:t>               </a:t>
                    </a:r>
                    <a:r>
                      <a:rPr lang="en-US" sz="1000" b="1" i="0" u="none" strike="noStrike" baseline="0">
                        <a:solidFill>
                          <a:srgbClr val="3366FF"/>
                        </a:solidFill>
                        <a:latin typeface="Arial"/>
                        <a:cs typeface="Arial"/>
                      </a:rPr>
                      <a:t>87.86 billion (44.6%)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1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163-41F2-A693-624800D51368}"/>
                </c:ext>
              </c:extLst>
            </c:dLbl>
            <c:dLbl>
              <c:idx val="3"/>
              <c:layout>
                <c:manualLayout>
                  <c:x val="-2.1667423783566105E-3"/>
                  <c:y val="-6.0614055705723355E-2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Times New Roman"/>
                        <a:ea typeface="Times New Roman"/>
                        <a:cs typeface="Times New Roman"/>
                      </a:defRPr>
                    </a:pPr>
                    <a:r>
                      <a:rPr lang="en-US" sz="1200" b="1" i="0" u="none" strike="noStrike" baseline="0">
                        <a:solidFill>
                          <a:srgbClr val="993300"/>
                        </a:solidFill>
                        <a:latin typeface="Arial"/>
                        <a:cs typeface="Arial"/>
                      </a:rPr>
                      <a:t>Portability              </a:t>
                    </a:r>
                    <a:r>
                      <a:rPr lang="en-US" sz="1000" b="1" i="0" u="none" strike="noStrike" baseline="0">
                        <a:solidFill>
                          <a:srgbClr val="3366FF"/>
                        </a:solidFill>
                        <a:latin typeface="Arial"/>
                        <a:cs typeface="Arial"/>
                      </a:rPr>
                      <a:t>5.16 billion (2.6%)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1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63-41F2-A693-624800D51368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Chart1!$E$4:$H$4</c:f>
              <c:strCache>
                <c:ptCount val="4"/>
                <c:pt idx="0">
                  <c:v>Additional $25K Exemption</c:v>
                </c:pt>
                <c:pt idx="1">
                  <c:v>TPP $25K Exemption</c:v>
                </c:pt>
                <c:pt idx="2">
                  <c:v>10% Cap</c:v>
                </c:pt>
                <c:pt idx="3">
                  <c:v>Portability</c:v>
                </c:pt>
              </c:strCache>
            </c:strRef>
          </c:cat>
          <c:val>
            <c:numRef>
              <c:f>Chart1!$E$6:$H$6</c:f>
              <c:numCache>
                <c:formatCode>#,##0.00</c:formatCode>
                <c:ptCount val="4"/>
                <c:pt idx="0">
                  <c:v>104.29749993999999</c:v>
                </c:pt>
                <c:pt idx="1">
                  <c:v>7.7805435999999997</c:v>
                </c:pt>
                <c:pt idx="2">
                  <c:v>82.697686688000005</c:v>
                </c:pt>
                <c:pt idx="3">
                  <c:v>5.5101870130000004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63-41F2-A693-624800D51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75" b="1" i="0" u="none" strike="noStrike" baseline="0">
                <a:solidFill>
                  <a:srgbClr val="33CCCC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2008 Constitutional Amendment Impact by Category</a:t>
            </a:r>
          </a:p>
        </c:rich>
      </c:tx>
      <c:layout>
        <c:manualLayout>
          <c:xMode val="edge"/>
          <c:yMode val="edge"/>
          <c:x val="0.24651450346263817"/>
          <c:y val="3.39393162173946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7"/>
      <c:rotY val="20"/>
      <c:depthPercent val="100"/>
      <c:rAngAx val="1"/>
    </c:view3D>
    <c:floor>
      <c:thickness val="0"/>
      <c:spPr>
        <a:solidFill>
          <a:srgbClr val="00808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gradFill rotWithShape="0">
          <a:gsLst>
            <a:gs pos="85000">
              <a:schemeClr val="accent3">
                <a:lumMod val="20000"/>
                <a:lumOff val="80000"/>
              </a:schemeClr>
            </a:gs>
            <a:gs pos="100000">
              <a:srgbClr xmlns:mc="http://schemas.openxmlformats.org/markup-compatibility/2006" xmlns:a14="http://schemas.microsoft.com/office/drawing/2010/main" val="765E47" mc:Ignorable="a14" a14:legacySpreadsheetColorIndex="47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9999FF"/>
          </a:solidFill>
          <a:prstDash val="solid"/>
        </a:ln>
      </c:spPr>
    </c:sideWall>
    <c:backWall>
      <c:thickness val="0"/>
      <c:spPr>
        <a:gradFill rotWithShape="0">
          <a:gsLst>
            <a:gs pos="85000">
              <a:schemeClr val="accent3">
                <a:lumMod val="20000"/>
                <a:lumOff val="80000"/>
              </a:schemeClr>
            </a:gs>
            <a:gs pos="100000">
              <a:srgbClr xmlns:mc="http://schemas.openxmlformats.org/markup-compatibility/2006" xmlns:a14="http://schemas.microsoft.com/office/drawing/2010/main" val="765E47" mc:Ignorable="a14" a14:legacySpreadsheetColorIndex="47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9999FF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531603459747171"/>
          <c:y val="0.1034370377969855"/>
          <c:w val="0.86468396540252823"/>
          <c:h val="0.73777373105234811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Chart2!$B$3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Chart2!$C$2:$O$2</c:f>
              <c:strCach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strCache>
            </c:strRef>
          </c:cat>
          <c:val>
            <c:numRef>
              <c:f>Chart2!$C$3:$O$3</c:f>
              <c:numCache>
                <c:formatCode>#,##0</c:formatCode>
                <c:ptCount val="13"/>
                <c:pt idx="0">
                  <c:v>109763958199</c:v>
                </c:pt>
                <c:pt idx="1">
                  <c:v>104767650017</c:v>
                </c:pt>
                <c:pt idx="2">
                  <c:v>102234039946</c:v>
                </c:pt>
                <c:pt idx="3">
                  <c:v>104038479741</c:v>
                </c:pt>
                <c:pt idx="4">
                  <c:v>111756447044</c:v>
                </c:pt>
                <c:pt idx="5">
                  <c:v>134219486721</c:v>
                </c:pt>
                <c:pt idx="6">
                  <c:v>161874247936</c:v>
                </c:pt>
                <c:pt idx="7">
                  <c:v>176120810676</c:v>
                </c:pt>
                <c:pt idx="8">
                  <c:v>181030253983</c:v>
                </c:pt>
                <c:pt idx="9">
                  <c:v>184905847954</c:v>
                </c:pt>
                <c:pt idx="10">
                  <c:v>191966421525</c:v>
                </c:pt>
                <c:pt idx="11">
                  <c:v>189911443957</c:v>
                </c:pt>
                <c:pt idx="12">
                  <c:v>200285917241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5-42C0-998F-EE795A00C8D3}"/>
            </c:ext>
          </c:extLst>
        </c:ser>
        <c:ser>
          <c:idx val="1"/>
          <c:order val="1"/>
          <c:tx>
            <c:strRef>
              <c:f>Chart2!$B$4</c:f>
              <c:strCache>
                <c:ptCount val="1"/>
                <c:pt idx="0">
                  <c:v>Additional $25K Exemption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Chart2!$C$2:$O$2</c:f>
              <c:strCach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strCache>
            </c:strRef>
          </c:cat>
          <c:val>
            <c:numRef>
              <c:f>Chart2!$C$4:$O$4</c:f>
              <c:numCache>
                <c:formatCode>#,##0</c:formatCode>
                <c:ptCount val="13"/>
                <c:pt idx="0">
                  <c:v>91832647069</c:v>
                </c:pt>
                <c:pt idx="1">
                  <c:v>87962853837</c:v>
                </c:pt>
                <c:pt idx="2">
                  <c:v>84198498206</c:v>
                </c:pt>
                <c:pt idx="3">
                  <c:v>81251969966</c:v>
                </c:pt>
                <c:pt idx="4">
                  <c:v>80691798384</c:v>
                </c:pt>
                <c:pt idx="5">
                  <c:v>81390121038</c:v>
                </c:pt>
                <c:pt idx="6">
                  <c:v>82828511565</c:v>
                </c:pt>
                <c:pt idx="7">
                  <c:v>85550292030</c:v>
                </c:pt>
                <c:pt idx="8">
                  <c:v>89053943966</c:v>
                </c:pt>
                <c:pt idx="9">
                  <c:v>92819831879</c:v>
                </c:pt>
                <c:pt idx="10">
                  <c:v>96658642921</c:v>
                </c:pt>
                <c:pt idx="11">
                  <c:v>100699133910</c:v>
                </c:pt>
                <c:pt idx="12">
                  <c:v>104297499940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E5-42C0-998F-EE795A00C8D3}"/>
            </c:ext>
          </c:extLst>
        </c:ser>
        <c:ser>
          <c:idx val="2"/>
          <c:order val="2"/>
          <c:tx>
            <c:strRef>
              <c:f>Chart2!$B$5</c:f>
              <c:strCache>
                <c:ptCount val="1"/>
                <c:pt idx="0">
                  <c:v>TPP $25K Exemption</c:v>
                </c:pt>
              </c:strCache>
            </c:strRef>
          </c:tx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Chart2!$C$2:$O$2</c:f>
              <c:strCach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strCache>
            </c:strRef>
          </c:cat>
          <c:val>
            <c:numRef>
              <c:f>Chart2!$C$5:$O$5</c:f>
              <c:numCache>
                <c:formatCode>#,##0</c:formatCode>
                <c:ptCount val="13"/>
                <c:pt idx="0">
                  <c:v>8448822519</c:v>
                </c:pt>
                <c:pt idx="1">
                  <c:v>8098463300</c:v>
                </c:pt>
                <c:pt idx="2">
                  <c:v>7765836667</c:v>
                </c:pt>
                <c:pt idx="3">
                  <c:v>7705343193</c:v>
                </c:pt>
                <c:pt idx="4">
                  <c:v>7716750591</c:v>
                </c:pt>
                <c:pt idx="5">
                  <c:v>7772183186</c:v>
                </c:pt>
                <c:pt idx="6">
                  <c:v>7828525706</c:v>
                </c:pt>
                <c:pt idx="7">
                  <c:v>7813927621</c:v>
                </c:pt>
                <c:pt idx="8">
                  <c:v>7775073167</c:v>
                </c:pt>
                <c:pt idx="9">
                  <c:v>7768664613</c:v>
                </c:pt>
                <c:pt idx="10">
                  <c:v>7812219947</c:v>
                </c:pt>
                <c:pt idx="11">
                  <c:v>7860095811</c:v>
                </c:pt>
                <c:pt idx="12">
                  <c:v>7780543600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5-42C0-998F-EE795A00C8D3}"/>
            </c:ext>
          </c:extLst>
        </c:ser>
        <c:ser>
          <c:idx val="3"/>
          <c:order val="3"/>
          <c:tx>
            <c:strRef>
              <c:f>Chart2!$B$6</c:f>
              <c:strCache>
                <c:ptCount val="1"/>
                <c:pt idx="0">
                  <c:v>10% Cap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Chart2!$C$2:$O$2</c:f>
              <c:strCach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strCache>
            </c:strRef>
          </c:cat>
          <c:val>
            <c:numRef>
              <c:f>Chart2!$C$6:$O$6</c:f>
              <c:numCache>
                <c:formatCode>#,##0</c:formatCode>
                <c:ptCount val="13"/>
                <c:pt idx="0">
                  <c:v>7205266094</c:v>
                </c:pt>
                <c:pt idx="1">
                  <c:v>7671415627</c:v>
                </c:pt>
                <c:pt idx="2">
                  <c:v>9707982064</c:v>
                </c:pt>
                <c:pt idx="3">
                  <c:v>14615646273</c:v>
                </c:pt>
                <c:pt idx="4">
                  <c:v>22840323397</c:v>
                </c:pt>
                <c:pt idx="5">
                  <c:v>44158789416</c:v>
                </c:pt>
                <c:pt idx="6">
                  <c:v>69462507954</c:v>
                </c:pt>
                <c:pt idx="7">
                  <c:v>79900415651</c:v>
                </c:pt>
                <c:pt idx="8">
                  <c:v>80593934236</c:v>
                </c:pt>
                <c:pt idx="9">
                  <c:v>80107473356</c:v>
                </c:pt>
                <c:pt idx="10">
                  <c:v>82653094157</c:v>
                </c:pt>
                <c:pt idx="11">
                  <c:v>76168336911</c:v>
                </c:pt>
                <c:pt idx="12">
                  <c:v>82697686688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E5-42C0-998F-EE795A00C8D3}"/>
            </c:ext>
          </c:extLst>
        </c:ser>
        <c:ser>
          <c:idx val="4"/>
          <c:order val="4"/>
          <c:tx>
            <c:strRef>
              <c:f>Chart2!$B$7</c:f>
              <c:strCache>
                <c:ptCount val="1"/>
                <c:pt idx="0">
                  <c:v>Portability</c:v>
                </c:pt>
              </c:strCache>
            </c:strRef>
          </c:tx>
          <c:invertIfNegative val="0"/>
          <c:cat>
            <c:strRef>
              <c:f>Chart2!$C$2:$O$2</c:f>
              <c:strCach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strCache>
            </c:strRef>
          </c:cat>
          <c:val>
            <c:numRef>
              <c:f>Chart2!$C$7:$O$7</c:f>
              <c:numCache>
                <c:formatCode>#,##0</c:formatCode>
                <c:ptCount val="13"/>
                <c:pt idx="0">
                  <c:v>2277222517</c:v>
                </c:pt>
                <c:pt idx="1">
                  <c:v>1034917253</c:v>
                </c:pt>
                <c:pt idx="2">
                  <c:v>561723009</c:v>
                </c:pt>
                <c:pt idx="3">
                  <c:v>465520309</c:v>
                </c:pt>
                <c:pt idx="4">
                  <c:v>507574672</c:v>
                </c:pt>
                <c:pt idx="5">
                  <c:v>898393081</c:v>
                </c:pt>
                <c:pt idx="6">
                  <c:v>1754702711</c:v>
                </c:pt>
                <c:pt idx="7">
                  <c:v>2856175374</c:v>
                </c:pt>
                <c:pt idx="8">
                  <c:v>3607302614</c:v>
                </c:pt>
                <c:pt idx="9">
                  <c:v>4209878106</c:v>
                </c:pt>
                <c:pt idx="10">
                  <c:v>4842464500</c:v>
                </c:pt>
                <c:pt idx="11">
                  <c:v>5183877325</c:v>
                </c:pt>
                <c:pt idx="12">
                  <c:v>5510187013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E5-42C0-998F-EE795A00C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8237632"/>
        <c:axId val="1"/>
        <c:axId val="0"/>
      </c:bar3DChart>
      <c:catAx>
        <c:axId val="35823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582376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808000"/>
            </a:solidFill>
            <a:prstDash val="solid"/>
          </a:ln>
        </c:spPr>
        <c:txPr>
          <a:bodyPr/>
          <a:lstStyle/>
          <a:p>
            <a:pPr rtl="0">
              <a:defRPr sz="7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10</xdr:row>
      <xdr:rowOff>38100</xdr:rowOff>
    </xdr:from>
    <xdr:to>
      <xdr:col>7</xdr:col>
      <xdr:colOff>647700</xdr:colOff>
      <xdr:row>38</xdr:row>
      <xdr:rowOff>76200</xdr:rowOff>
    </xdr:to>
    <xdr:graphicFrame macro="">
      <xdr:nvGraphicFramePr>
        <xdr:cNvPr id="1243" name="Chart 3">
          <a:extLst>
            <a:ext uri="{FF2B5EF4-FFF2-40B4-BE49-F238E27FC236}">
              <a16:creationId xmlns:a16="http://schemas.microsoft.com/office/drawing/2014/main" id="{C3868C72-F6E3-4DBA-A1FF-B17E238AE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11</xdr:row>
      <xdr:rowOff>0</xdr:rowOff>
    </xdr:from>
    <xdr:to>
      <xdr:col>15</xdr:col>
      <xdr:colOff>238124</xdr:colOff>
      <xdr:row>44</xdr:row>
      <xdr:rowOff>119062</xdr:rowOff>
    </xdr:to>
    <xdr:graphicFrame macro="">
      <xdr:nvGraphicFramePr>
        <xdr:cNvPr id="2266" name="Chart 2">
          <a:extLst>
            <a:ext uri="{FF2B5EF4-FFF2-40B4-BE49-F238E27FC236}">
              <a16:creationId xmlns:a16="http://schemas.microsoft.com/office/drawing/2014/main" id="{62BF7B3A-410A-4792-A04C-539109736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H8" totalsRowShown="0" headerRowDxfId="108" dataDxfId="107">
  <autoFilter ref="B4:H8" xr:uid="{00000000-0009-0000-0100-000001000000}"/>
  <tableColumns count="7">
    <tableColumn id="1" xr3:uid="{00000000-0010-0000-0000-000001000000}" name="County" dataDxfId="106"/>
    <tableColumn id="2" xr3:uid="{00000000-0010-0000-0000-000002000000}" name="Status" dataDxfId="105"/>
    <tableColumn id="3" xr3:uid="{00000000-0010-0000-0000-000003000000}" name="Total" dataDxfId="104"/>
    <tableColumn id="4" xr3:uid="{00000000-0010-0000-0000-000004000000}" name="Additional $25K Exemption" dataDxfId="103"/>
    <tableColumn id="5" xr3:uid="{00000000-0010-0000-0000-000005000000}" name="TPP $25K Exemption" dataDxfId="102"/>
    <tableColumn id="6" xr3:uid="{00000000-0010-0000-0000-000006000000}" name="10% Cap" dataDxfId="101"/>
    <tableColumn id="7" xr3:uid="{00000000-0010-0000-0000-000007000000}" name="Portability" dataDxfId="100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2:O7" totalsRowShown="0" headerRowDxfId="98" dataDxfId="97">
  <autoFilter ref="B2:O7" xr:uid="{00000000-0009-0000-0100-000002000000}"/>
  <tableColumns count="14">
    <tableColumn id="1" xr3:uid="{00000000-0010-0000-0100-000001000000}" name="Year" dataDxfId="96"/>
    <tableColumn id="2" xr3:uid="{00000000-0010-0000-0100-000002000000}" name="2009" dataDxfId="95"/>
    <tableColumn id="3" xr3:uid="{00000000-0010-0000-0100-000003000000}" name="2010" dataDxfId="94"/>
    <tableColumn id="4" xr3:uid="{00000000-0010-0000-0100-000004000000}" name="2011" dataDxfId="93"/>
    <tableColumn id="5" xr3:uid="{00000000-0010-0000-0100-000005000000}" name="2012" dataDxfId="92"/>
    <tableColumn id="6" xr3:uid="{00000000-0010-0000-0100-000006000000}" name="2013" dataDxfId="91"/>
    <tableColumn id="7" xr3:uid="{00000000-0010-0000-0100-000007000000}" name="2014" dataDxfId="90"/>
    <tableColumn id="9" xr3:uid="{00000000-0010-0000-0100-000009000000}" name="2015" dataDxfId="89"/>
    <tableColumn id="8" xr3:uid="{00000000-0010-0000-0100-000008000000}" name="2016" dataDxfId="88"/>
    <tableColumn id="12" xr3:uid="{00000000-0010-0000-0100-00000C000000}" name="2017" dataDxfId="87"/>
    <tableColumn id="10" xr3:uid="{00000000-0010-0000-0100-00000A000000}" name="2018" dataDxfId="86"/>
    <tableColumn id="13" xr3:uid="{00000000-0010-0000-0100-00000D000000}" name="2019" dataDxfId="85"/>
    <tableColumn id="15" xr3:uid="{00000000-0010-0000-0100-00000F000000}" name="2020" dataDxfId="84"/>
    <tableColumn id="16" xr3:uid="{00000000-0010-0000-0100-000010000000}" name="2021" dataDxfId="83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27"/>
  <sheetViews>
    <sheetView tabSelected="1" zoomScaleNormal="100" workbookViewId="0"/>
  </sheetViews>
  <sheetFormatPr defaultRowHeight="14.25" x14ac:dyDescent="0.2"/>
  <cols>
    <col min="1" max="16384" width="9.140625" style="2"/>
  </cols>
  <sheetData>
    <row r="2" spans="1:9" ht="15" x14ac:dyDescent="0.2">
      <c r="A2" s="1" t="s">
        <v>99</v>
      </c>
    </row>
    <row r="4" spans="1:9" ht="15" x14ac:dyDescent="0.2">
      <c r="A4" s="1"/>
      <c r="B4" s="113" t="s">
        <v>143</v>
      </c>
      <c r="C4" s="113"/>
      <c r="D4" s="113"/>
      <c r="E4" s="113"/>
      <c r="F4" s="113"/>
      <c r="G4" s="113"/>
      <c r="H4" s="113"/>
    </row>
    <row r="5" spans="1:9" ht="15" x14ac:dyDescent="0.2">
      <c r="A5" s="1"/>
      <c r="B5" s="3"/>
      <c r="C5" s="3"/>
      <c r="D5" s="3"/>
      <c r="E5" s="3"/>
      <c r="F5" s="3"/>
      <c r="G5" s="3"/>
      <c r="H5" s="3"/>
    </row>
    <row r="6" spans="1:9" ht="15" x14ac:dyDescent="0.2">
      <c r="A6" s="1"/>
      <c r="B6" s="113" t="s">
        <v>144</v>
      </c>
      <c r="C6" s="113"/>
      <c r="D6" s="113"/>
      <c r="E6" s="113"/>
      <c r="F6" s="113"/>
      <c r="G6" s="113"/>
      <c r="H6" s="113"/>
    </row>
    <row r="7" spans="1:9" ht="15" x14ac:dyDescent="0.2">
      <c r="A7" s="1"/>
      <c r="B7" s="3"/>
      <c r="C7" s="3"/>
      <c r="D7" s="3"/>
      <c r="E7" s="3"/>
      <c r="F7" s="3"/>
      <c r="G7" s="3"/>
      <c r="H7" s="3"/>
    </row>
    <row r="8" spans="1:9" ht="15" x14ac:dyDescent="0.2">
      <c r="A8" s="1"/>
      <c r="B8" s="113" t="s">
        <v>145</v>
      </c>
      <c r="C8" s="113"/>
      <c r="D8" s="113"/>
      <c r="E8" s="113"/>
      <c r="F8" s="113"/>
      <c r="G8" s="113"/>
      <c r="H8" s="113"/>
    </row>
    <row r="9" spans="1:9" ht="15" x14ac:dyDescent="0.2">
      <c r="A9" s="1"/>
      <c r="B9" s="3"/>
      <c r="C9" s="3"/>
      <c r="D9" s="3"/>
      <c r="E9" s="3"/>
      <c r="F9" s="3"/>
      <c r="G9" s="3"/>
      <c r="H9" s="3"/>
    </row>
    <row r="10" spans="1:9" ht="15" x14ac:dyDescent="0.2">
      <c r="A10" s="1"/>
      <c r="B10" s="113" t="s">
        <v>146</v>
      </c>
      <c r="C10" s="113"/>
      <c r="D10" s="113"/>
      <c r="E10" s="113"/>
      <c r="F10" s="113"/>
      <c r="G10" s="113"/>
      <c r="H10" s="113"/>
    </row>
    <row r="11" spans="1:9" ht="15" x14ac:dyDescent="0.2">
      <c r="A11" s="1"/>
      <c r="B11" s="3"/>
      <c r="C11" s="3"/>
      <c r="D11" s="3"/>
      <c r="E11" s="3"/>
      <c r="F11" s="3"/>
      <c r="G11" s="3"/>
      <c r="H11" s="3"/>
    </row>
    <row r="12" spans="1:9" x14ac:dyDescent="0.2">
      <c r="B12" s="113" t="s">
        <v>147</v>
      </c>
      <c r="C12" s="113"/>
      <c r="D12" s="113"/>
      <c r="E12" s="113"/>
      <c r="F12" s="113"/>
      <c r="G12" s="113"/>
      <c r="H12" s="113"/>
      <c r="I12" s="113"/>
    </row>
    <row r="13" spans="1:9" x14ac:dyDescent="0.2">
      <c r="B13" s="3"/>
      <c r="C13" s="3"/>
      <c r="D13" s="3"/>
      <c r="E13" s="3"/>
      <c r="F13" s="3"/>
      <c r="G13" s="3"/>
      <c r="H13" s="3"/>
    </row>
    <row r="14" spans="1:9" x14ac:dyDescent="0.2">
      <c r="B14" s="113" t="s">
        <v>148</v>
      </c>
      <c r="C14" s="113"/>
      <c r="D14" s="113"/>
      <c r="E14" s="113"/>
      <c r="F14" s="113"/>
      <c r="G14" s="113"/>
      <c r="H14" s="113"/>
    </row>
    <row r="15" spans="1:9" x14ac:dyDescent="0.2">
      <c r="B15" s="3"/>
      <c r="C15" s="3"/>
      <c r="D15" s="3"/>
      <c r="E15" s="3"/>
      <c r="F15" s="3"/>
      <c r="G15" s="3"/>
      <c r="H15" s="3"/>
    </row>
    <row r="16" spans="1:9" x14ac:dyDescent="0.2">
      <c r="B16" s="113" t="s">
        <v>149</v>
      </c>
      <c r="C16" s="113"/>
      <c r="D16" s="113"/>
      <c r="E16" s="113"/>
      <c r="F16" s="113"/>
      <c r="G16" s="113"/>
      <c r="H16" s="113"/>
    </row>
    <row r="17" spans="1:11" x14ac:dyDescent="0.2">
      <c r="B17" s="3"/>
      <c r="C17" s="3"/>
      <c r="D17" s="3"/>
      <c r="E17" s="3"/>
      <c r="F17" s="3"/>
      <c r="G17" s="3"/>
      <c r="H17" s="3"/>
    </row>
    <row r="18" spans="1:11" x14ac:dyDescent="0.2">
      <c r="B18" s="113" t="s">
        <v>150</v>
      </c>
      <c r="C18" s="113"/>
      <c r="D18" s="113"/>
      <c r="E18" s="113"/>
      <c r="F18" s="113"/>
      <c r="G18" s="113"/>
      <c r="H18" s="113"/>
      <c r="I18" s="113"/>
      <c r="J18" s="113"/>
      <c r="K18" s="113"/>
    </row>
    <row r="19" spans="1:11" x14ac:dyDescent="0.2">
      <c r="B19" s="3"/>
      <c r="C19" s="3"/>
      <c r="D19" s="3"/>
      <c r="E19" s="3"/>
      <c r="F19" s="3"/>
      <c r="G19" s="3"/>
      <c r="H19" s="3"/>
    </row>
    <row r="20" spans="1:11" x14ac:dyDescent="0.2">
      <c r="B20" s="113" t="s">
        <v>151</v>
      </c>
      <c r="C20" s="113"/>
      <c r="D20" s="113"/>
      <c r="E20" s="113"/>
      <c r="F20" s="113"/>
      <c r="G20" s="113"/>
      <c r="H20" s="113"/>
    </row>
    <row r="21" spans="1:11" ht="15" customHeight="1" x14ac:dyDescent="0.2"/>
    <row r="26" spans="1:11" x14ac:dyDescent="0.2">
      <c r="A26" s="4" t="s">
        <v>87</v>
      </c>
      <c r="B26" s="5"/>
      <c r="C26" s="5"/>
      <c r="D26" s="4" t="s">
        <v>88</v>
      </c>
      <c r="E26" s="5"/>
      <c r="F26" s="5"/>
      <c r="G26" s="5"/>
      <c r="H26" s="5"/>
    </row>
    <row r="27" spans="1:11" x14ac:dyDescent="0.2">
      <c r="A27" s="5"/>
      <c r="B27" s="5"/>
      <c r="C27" s="5"/>
      <c r="D27" s="13" t="s">
        <v>115</v>
      </c>
      <c r="E27" s="5"/>
      <c r="F27" s="5"/>
      <c r="G27" s="5"/>
      <c r="H27" s="5"/>
    </row>
  </sheetData>
  <mergeCells count="9">
    <mergeCell ref="B20:H20"/>
    <mergeCell ref="B8:H8"/>
    <mergeCell ref="B10:H10"/>
    <mergeCell ref="B4:H4"/>
    <mergeCell ref="B14:H14"/>
    <mergeCell ref="B16:H16"/>
    <mergeCell ref="B6:H6"/>
    <mergeCell ref="B12:I12"/>
    <mergeCell ref="B18:K18"/>
  </mergeCells>
  <phoneticPr fontId="2" type="noConversion"/>
  <hyperlinks>
    <hyperlink ref="B4:H4" location="'Amendment 1 Summary'!A1" display="Summary of 2008 Constitutional Amendment Impact: 2020" xr:uid="{00000000-0004-0000-0000-000000000000}"/>
    <hyperlink ref="B12:H12" location="'Additional 25K H_EX'!A1" display="Additional $25K Homestead Exemption for Non-School Levies: 2008-2010" xr:uid="{00000000-0004-0000-0000-000001000000}"/>
    <hyperlink ref="B14:H14" location="'25K TPP EX'!A1" display="$25K Tangible Personal Property Exemption: 2009-2020" xr:uid="{00000000-0004-0000-0000-000002000000}"/>
    <hyperlink ref="B16:H16" location="'10% Non-Homestead'!A1" display="10% Non-Homestead Assessment Increase Limitation: 2009-2020" xr:uid="{00000000-0004-0000-0000-000003000000}"/>
    <hyperlink ref="B20:H20" location="'Portability Impact'!A1" display="Homestead Portability Impact: 2009-2020" xr:uid="{00000000-0004-0000-0000-000004000000}"/>
    <hyperlink ref="B6:H6" location="'Amendment 1 Impact'!A1" display="2008 Constitutional Amendment Impact to Taxable Value: 2009-2020" xr:uid="{00000000-0004-0000-0000-000005000000}"/>
    <hyperlink ref="B10:H10" location="Chart2!A1" display="2008 Constitutional Amendment Impact by Category: 2009-2020" xr:uid="{00000000-0004-0000-0000-000006000000}"/>
    <hyperlink ref="B8:H8" location="Chart1!A1" display="2008 Constitutional Amendment Impact in 2020" xr:uid="{00000000-0004-0000-0000-000007000000}"/>
    <hyperlink ref="B18:K18" location="'10% Cap School TV &gt; 0'!A1" display="10% Non-Homestead Assessment Increase Limitation (School Taxable Value &gt; '0'): 2010-2020" xr:uid="{00000000-0004-0000-0000-000008000000}"/>
    <hyperlink ref="D27" r:id="rId1" xr:uid="{00000000-0004-0000-0000-000009000000}"/>
    <hyperlink ref="B12:I12" location="'Additional 25K H_EX'!A1" display="Additional $25K Homestead Exemption for Non-School Levies: 2009-2020" xr:uid="{00000000-0004-0000-0000-00000A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J86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1" width="17.7109375" style="23" customWidth="1"/>
    <col min="2" max="2" width="10.42578125" style="47" customWidth="1"/>
    <col min="3" max="3" width="17.42578125" style="23" customWidth="1"/>
    <col min="4" max="4" width="16.5703125" style="23" customWidth="1"/>
    <col min="5" max="5" width="16" style="23" bestFit="1" customWidth="1"/>
    <col min="6" max="6" width="17.28515625" style="23" bestFit="1" customWidth="1"/>
    <col min="7" max="7" width="15.85546875" style="23" customWidth="1"/>
    <col min="8" max="8" width="9.140625" style="2"/>
    <col min="9" max="9" width="14.28515625" style="2" bestFit="1" customWidth="1"/>
    <col min="10" max="10" width="15.42578125" style="2" bestFit="1" customWidth="1"/>
    <col min="11" max="16384" width="9.140625" style="2"/>
  </cols>
  <sheetData>
    <row r="1" spans="1:10" ht="23.25" x14ac:dyDescent="0.2">
      <c r="A1" s="14" t="s">
        <v>97</v>
      </c>
      <c r="B1" s="44"/>
      <c r="C1" s="20"/>
      <c r="D1" s="20"/>
      <c r="E1" s="20"/>
      <c r="F1" s="20"/>
      <c r="G1" s="20"/>
    </row>
    <row r="2" spans="1:10" ht="15" x14ac:dyDescent="0.2">
      <c r="A2" s="22">
        <v>2021</v>
      </c>
      <c r="B2" s="40"/>
      <c r="C2" s="22"/>
      <c r="D2" s="22"/>
      <c r="E2" s="22"/>
      <c r="F2" s="22"/>
      <c r="G2" s="22"/>
    </row>
    <row r="3" spans="1:10" ht="15.75" thickBot="1" x14ac:dyDescent="0.25">
      <c r="A3" s="40"/>
      <c r="B3" s="40"/>
      <c r="C3" s="40"/>
      <c r="D3" s="40"/>
      <c r="E3" s="40"/>
      <c r="F3" s="40"/>
      <c r="G3" s="40"/>
    </row>
    <row r="4" spans="1:10" s="19" customFormat="1" ht="25.5" x14ac:dyDescent="0.2">
      <c r="A4" s="49" t="s">
        <v>68</v>
      </c>
      <c r="B4" s="50" t="s">
        <v>67</v>
      </c>
      <c r="C4" s="50" t="s">
        <v>69</v>
      </c>
      <c r="D4" s="50" t="s">
        <v>76</v>
      </c>
      <c r="E4" s="50" t="s">
        <v>73</v>
      </c>
      <c r="F4" s="50" t="s">
        <v>74</v>
      </c>
      <c r="G4" s="59" t="s">
        <v>75</v>
      </c>
    </row>
    <row r="5" spans="1:10" ht="14.25" customHeight="1" x14ac:dyDescent="0.2">
      <c r="A5" s="51" t="s">
        <v>66</v>
      </c>
      <c r="B5" s="45" t="s">
        <v>132</v>
      </c>
      <c r="C5" s="42">
        <f>D5+E5+F5+G5</f>
        <v>2270008972</v>
      </c>
      <c r="D5" s="43">
        <v>1136734402</v>
      </c>
      <c r="E5" s="43">
        <v>78153825</v>
      </c>
      <c r="F5" s="43">
        <v>1017545800</v>
      </c>
      <c r="G5" s="52">
        <v>37574945</v>
      </c>
      <c r="I5" s="24"/>
      <c r="J5" s="24"/>
    </row>
    <row r="6" spans="1:10" ht="14.25" customHeight="1" x14ac:dyDescent="0.2">
      <c r="A6" s="51" t="s">
        <v>65</v>
      </c>
      <c r="B6" s="45" t="s">
        <v>133</v>
      </c>
      <c r="C6" s="42">
        <f t="shared" ref="C6:C69" si="0">D6+E6+F6+G6</f>
        <v>143032458</v>
      </c>
      <c r="D6" s="43">
        <v>118697611</v>
      </c>
      <c r="E6" s="43">
        <v>6989627</v>
      </c>
      <c r="F6" s="43">
        <v>13101813</v>
      </c>
      <c r="G6" s="52">
        <v>4243407</v>
      </c>
      <c r="I6" s="24"/>
      <c r="J6" s="24"/>
    </row>
    <row r="7" spans="1:10" ht="14.25" customHeight="1" x14ac:dyDescent="0.2">
      <c r="A7" s="51" t="s">
        <v>64</v>
      </c>
      <c r="B7" s="45" t="s">
        <v>132</v>
      </c>
      <c r="C7" s="42">
        <f t="shared" si="0"/>
        <v>1621589936</v>
      </c>
      <c r="D7" s="43">
        <v>798569920</v>
      </c>
      <c r="E7" s="43">
        <v>82026463</v>
      </c>
      <c r="F7" s="43">
        <v>727632472</v>
      </c>
      <c r="G7" s="52">
        <v>13361081</v>
      </c>
      <c r="I7" s="24"/>
      <c r="J7" s="24"/>
    </row>
    <row r="8" spans="1:10" ht="14.25" customHeight="1" x14ac:dyDescent="0.2">
      <c r="A8" s="51" t="s">
        <v>63</v>
      </c>
      <c r="B8" s="45" t="s">
        <v>133</v>
      </c>
      <c r="C8" s="42">
        <f t="shared" si="0"/>
        <v>121450078</v>
      </c>
      <c r="D8" s="43">
        <v>102353370</v>
      </c>
      <c r="E8" s="43">
        <v>9169201</v>
      </c>
      <c r="F8" s="43">
        <v>8043434</v>
      </c>
      <c r="G8" s="52">
        <v>1884073</v>
      </c>
      <c r="I8" s="24"/>
      <c r="J8" s="24"/>
    </row>
    <row r="9" spans="1:10" ht="14.25" customHeight="1" x14ac:dyDescent="0.2">
      <c r="A9" s="51" t="s">
        <v>62</v>
      </c>
      <c r="B9" s="45" t="s">
        <v>132</v>
      </c>
      <c r="C9" s="42">
        <f t="shared" si="0"/>
        <v>5353890537</v>
      </c>
      <c r="D9" s="43">
        <v>3505410815</v>
      </c>
      <c r="E9" s="43">
        <v>166343003</v>
      </c>
      <c r="F9" s="43">
        <v>1458250839</v>
      </c>
      <c r="G9" s="52">
        <v>223885880</v>
      </c>
      <c r="I9" s="24"/>
      <c r="J9" s="24"/>
    </row>
    <row r="10" spans="1:10" ht="14.25" customHeight="1" x14ac:dyDescent="0.2">
      <c r="A10" s="51" t="s">
        <v>61</v>
      </c>
      <c r="B10" s="45" t="s">
        <v>132</v>
      </c>
      <c r="C10" s="42">
        <f t="shared" si="0"/>
        <v>16513189016</v>
      </c>
      <c r="D10" s="43">
        <v>9083807510</v>
      </c>
      <c r="E10" s="43">
        <v>807147296</v>
      </c>
      <c r="F10" s="43">
        <v>6117417380</v>
      </c>
      <c r="G10" s="52">
        <v>504816830</v>
      </c>
      <c r="I10" s="24"/>
      <c r="J10" s="24"/>
    </row>
    <row r="11" spans="1:10" ht="14.25" customHeight="1" x14ac:dyDescent="0.2">
      <c r="A11" s="51" t="s">
        <v>60</v>
      </c>
      <c r="B11" s="45" t="s">
        <v>133</v>
      </c>
      <c r="C11" s="42">
        <f t="shared" si="0"/>
        <v>43910653</v>
      </c>
      <c r="D11" s="43">
        <v>36464601</v>
      </c>
      <c r="E11" s="43">
        <v>5024378</v>
      </c>
      <c r="F11" s="43">
        <v>2051855</v>
      </c>
      <c r="G11" s="52">
        <v>369819</v>
      </c>
      <c r="I11" s="24"/>
      <c r="J11" s="24"/>
    </row>
    <row r="12" spans="1:10" ht="14.25" customHeight="1" x14ac:dyDescent="0.2">
      <c r="A12" s="51" t="s">
        <v>59</v>
      </c>
      <c r="B12" s="45" t="s">
        <v>132</v>
      </c>
      <c r="C12" s="42">
        <f t="shared" si="0"/>
        <v>2232637319</v>
      </c>
      <c r="D12" s="43">
        <v>1292277461</v>
      </c>
      <c r="E12" s="43">
        <v>98597856</v>
      </c>
      <c r="F12" s="43">
        <v>767536640</v>
      </c>
      <c r="G12" s="52">
        <v>74225362</v>
      </c>
      <c r="I12" s="24"/>
      <c r="J12" s="24"/>
    </row>
    <row r="13" spans="1:10" ht="14.25" customHeight="1" x14ac:dyDescent="0.2">
      <c r="A13" s="51" t="s">
        <v>58</v>
      </c>
      <c r="B13" s="45" t="s">
        <v>132</v>
      </c>
      <c r="C13" s="42">
        <f t="shared" si="0"/>
        <v>1303200477</v>
      </c>
      <c r="D13" s="43">
        <v>895834284</v>
      </c>
      <c r="E13" s="43">
        <v>55066060</v>
      </c>
      <c r="F13" s="43">
        <v>293630977</v>
      </c>
      <c r="G13" s="52">
        <v>58669156</v>
      </c>
      <c r="I13" s="24"/>
      <c r="J13" s="24"/>
    </row>
    <row r="14" spans="1:10" ht="14.25" customHeight="1" x14ac:dyDescent="0.2">
      <c r="A14" s="51" t="s">
        <v>57</v>
      </c>
      <c r="B14" s="45" t="s">
        <v>132</v>
      </c>
      <c r="C14" s="42">
        <f t="shared" si="0"/>
        <v>1429946378</v>
      </c>
      <c r="D14" s="43">
        <v>1189837997</v>
      </c>
      <c r="E14" s="43">
        <v>50600521</v>
      </c>
      <c r="F14" s="43">
        <v>146773834</v>
      </c>
      <c r="G14" s="52">
        <v>42734026</v>
      </c>
      <c r="I14" s="24"/>
      <c r="J14" s="24"/>
    </row>
    <row r="15" spans="1:10" ht="14.25" customHeight="1" x14ac:dyDescent="0.2">
      <c r="A15" s="51" t="s">
        <v>56</v>
      </c>
      <c r="B15" s="45" t="s">
        <v>132</v>
      </c>
      <c r="C15" s="42">
        <f t="shared" si="0"/>
        <v>5147522079</v>
      </c>
      <c r="D15" s="43">
        <v>2363885539</v>
      </c>
      <c r="E15" s="43">
        <v>162820987</v>
      </c>
      <c r="F15" s="43">
        <v>2433941918</v>
      </c>
      <c r="G15" s="52">
        <v>186873635</v>
      </c>
      <c r="I15" s="24"/>
      <c r="J15" s="24"/>
    </row>
    <row r="16" spans="1:10" ht="14.25" customHeight="1" x14ac:dyDescent="0.2">
      <c r="A16" s="51" t="s">
        <v>55</v>
      </c>
      <c r="B16" s="45" t="s">
        <v>133</v>
      </c>
      <c r="C16" s="42">
        <f t="shared" si="0"/>
        <v>326476747</v>
      </c>
      <c r="D16" s="43">
        <v>267598414</v>
      </c>
      <c r="E16" s="43">
        <v>23196763</v>
      </c>
      <c r="F16" s="43">
        <v>25912636</v>
      </c>
      <c r="G16" s="52">
        <v>9768934</v>
      </c>
      <c r="I16" s="24"/>
      <c r="J16" s="24"/>
    </row>
    <row r="17" spans="1:10" ht="14.25" customHeight="1" x14ac:dyDescent="0.2">
      <c r="A17" s="51" t="s">
        <v>93</v>
      </c>
      <c r="B17" s="45" t="s">
        <v>132</v>
      </c>
      <c r="C17" s="42">
        <f t="shared" si="0"/>
        <v>30289290271</v>
      </c>
      <c r="D17" s="43">
        <v>10055932448</v>
      </c>
      <c r="E17" s="43">
        <v>1070063848</v>
      </c>
      <c r="F17" s="43">
        <v>18815864691</v>
      </c>
      <c r="G17" s="52">
        <v>347429284</v>
      </c>
      <c r="I17" s="24"/>
      <c r="J17" s="24"/>
    </row>
    <row r="18" spans="1:10" ht="14.25" customHeight="1" x14ac:dyDescent="0.2">
      <c r="A18" s="51" t="s">
        <v>54</v>
      </c>
      <c r="B18" s="45" t="s">
        <v>132</v>
      </c>
      <c r="C18" s="42">
        <f t="shared" si="0"/>
        <v>186358396</v>
      </c>
      <c r="D18" s="43">
        <v>101570479</v>
      </c>
      <c r="E18" s="43">
        <v>21576753</v>
      </c>
      <c r="F18" s="43">
        <v>58147405</v>
      </c>
      <c r="G18" s="52">
        <v>5063759</v>
      </c>
      <c r="I18" s="24"/>
      <c r="J18" s="24"/>
    </row>
    <row r="19" spans="1:10" ht="14.25" customHeight="1" x14ac:dyDescent="0.2">
      <c r="A19" s="51" t="s">
        <v>53</v>
      </c>
      <c r="B19" s="45" t="s">
        <v>133</v>
      </c>
      <c r="C19" s="42">
        <f t="shared" si="0"/>
        <v>54751677</v>
      </c>
      <c r="D19" s="43">
        <v>32720081</v>
      </c>
      <c r="E19" s="43">
        <v>3542148</v>
      </c>
      <c r="F19" s="43">
        <v>16980082</v>
      </c>
      <c r="G19" s="52">
        <v>1509366</v>
      </c>
      <c r="I19" s="24"/>
      <c r="J19" s="24"/>
    </row>
    <row r="20" spans="1:10" ht="14.25" customHeight="1" x14ac:dyDescent="0.2">
      <c r="A20" s="51" t="s">
        <v>52</v>
      </c>
      <c r="B20" s="45" t="s">
        <v>132</v>
      </c>
      <c r="C20" s="42">
        <f t="shared" si="0"/>
        <v>7490012227</v>
      </c>
      <c r="D20" s="43">
        <v>4368933014</v>
      </c>
      <c r="E20" s="43">
        <v>272501533</v>
      </c>
      <c r="F20" s="43">
        <v>2682937653</v>
      </c>
      <c r="G20" s="52">
        <v>165640027</v>
      </c>
      <c r="I20" s="24"/>
      <c r="J20" s="24"/>
    </row>
    <row r="21" spans="1:10" ht="14.25" customHeight="1" x14ac:dyDescent="0.2">
      <c r="A21" s="51" t="s">
        <v>51</v>
      </c>
      <c r="B21" s="45" t="s">
        <v>132</v>
      </c>
      <c r="C21" s="42">
        <f t="shared" si="0"/>
        <v>2120706633</v>
      </c>
      <c r="D21" s="43">
        <v>1457757582</v>
      </c>
      <c r="E21" s="43">
        <v>105133051</v>
      </c>
      <c r="F21" s="43">
        <v>518491511</v>
      </c>
      <c r="G21" s="52">
        <v>39324489</v>
      </c>
      <c r="I21" s="24"/>
      <c r="J21" s="24"/>
    </row>
    <row r="22" spans="1:10" ht="14.25" customHeight="1" x14ac:dyDescent="0.2">
      <c r="A22" s="51" t="s">
        <v>50</v>
      </c>
      <c r="B22" s="45" t="s">
        <v>132</v>
      </c>
      <c r="C22" s="42">
        <f t="shared" si="0"/>
        <v>1276875220</v>
      </c>
      <c r="D22" s="43">
        <v>865938458</v>
      </c>
      <c r="E22" s="43">
        <v>32393849</v>
      </c>
      <c r="F22" s="43">
        <v>320226960</v>
      </c>
      <c r="G22" s="52">
        <v>58315953</v>
      </c>
      <c r="I22" s="24"/>
      <c r="J22" s="24"/>
    </row>
    <row r="23" spans="1:10" ht="14.25" customHeight="1" x14ac:dyDescent="0.2">
      <c r="A23" s="51" t="s">
        <v>49</v>
      </c>
      <c r="B23" s="45" t="s">
        <v>133</v>
      </c>
      <c r="C23" s="42">
        <f t="shared" si="0"/>
        <v>221574438</v>
      </c>
      <c r="D23" s="43">
        <v>51418212</v>
      </c>
      <c r="E23" s="43">
        <v>4854448</v>
      </c>
      <c r="F23" s="43">
        <v>163389663</v>
      </c>
      <c r="G23" s="52">
        <v>1912115</v>
      </c>
      <c r="I23" s="24"/>
      <c r="J23" s="24"/>
    </row>
    <row r="24" spans="1:10" ht="14.25" customHeight="1" x14ac:dyDescent="0.2">
      <c r="A24" s="51" t="s">
        <v>48</v>
      </c>
      <c r="B24" s="45" t="s">
        <v>133</v>
      </c>
      <c r="C24" s="42">
        <f t="shared" si="0"/>
        <v>199433263</v>
      </c>
      <c r="D24" s="43">
        <v>139129739</v>
      </c>
      <c r="E24" s="43">
        <v>12634388</v>
      </c>
      <c r="F24" s="43">
        <v>46031591</v>
      </c>
      <c r="G24" s="52">
        <v>1637545</v>
      </c>
      <c r="I24" s="24"/>
      <c r="J24" s="24"/>
    </row>
    <row r="25" spans="1:10" ht="14.25" customHeight="1" x14ac:dyDescent="0.2">
      <c r="A25" s="51" t="s">
        <v>47</v>
      </c>
      <c r="B25" s="45" t="s">
        <v>133</v>
      </c>
      <c r="C25" s="42">
        <f t="shared" si="0"/>
        <v>107022672</v>
      </c>
      <c r="D25" s="43">
        <v>73828295</v>
      </c>
      <c r="E25" s="43">
        <v>5771300</v>
      </c>
      <c r="F25" s="43">
        <v>23171800</v>
      </c>
      <c r="G25" s="52">
        <v>4251277</v>
      </c>
      <c r="I25" s="24"/>
      <c r="J25" s="24"/>
    </row>
    <row r="26" spans="1:10" ht="14.25" customHeight="1" x14ac:dyDescent="0.2">
      <c r="A26" s="51" t="s">
        <v>46</v>
      </c>
      <c r="B26" s="45" t="s">
        <v>132</v>
      </c>
      <c r="C26" s="42">
        <f t="shared" si="0"/>
        <v>102364391</v>
      </c>
      <c r="D26" s="43">
        <v>37826437</v>
      </c>
      <c r="E26" s="43">
        <v>15513010</v>
      </c>
      <c r="F26" s="43">
        <v>47406313</v>
      </c>
      <c r="G26" s="52">
        <v>1618631</v>
      </c>
      <c r="I26" s="24"/>
      <c r="J26" s="24"/>
    </row>
    <row r="27" spans="1:10" ht="14.25" customHeight="1" x14ac:dyDescent="0.2">
      <c r="A27" s="51" t="s">
        <v>45</v>
      </c>
      <c r="B27" s="45" t="s">
        <v>133</v>
      </c>
      <c r="C27" s="42">
        <f t="shared" si="0"/>
        <v>304717989</v>
      </c>
      <c r="D27" s="43">
        <v>56311215</v>
      </c>
      <c r="E27" s="43">
        <v>4869849</v>
      </c>
      <c r="F27" s="43">
        <v>240159009</v>
      </c>
      <c r="G27" s="52">
        <v>3377916</v>
      </c>
      <c r="I27" s="24"/>
      <c r="J27" s="24"/>
    </row>
    <row r="28" spans="1:10" ht="14.25" customHeight="1" x14ac:dyDescent="0.2">
      <c r="A28" s="51" t="s">
        <v>44</v>
      </c>
      <c r="B28" s="45" t="s">
        <v>133</v>
      </c>
      <c r="C28" s="42">
        <f t="shared" si="0"/>
        <v>50829595</v>
      </c>
      <c r="D28" s="43">
        <v>30805544</v>
      </c>
      <c r="E28" s="43">
        <v>7661986</v>
      </c>
      <c r="F28" s="43">
        <v>11594126</v>
      </c>
      <c r="G28" s="52">
        <v>767939</v>
      </c>
      <c r="I28" s="24"/>
      <c r="J28" s="24"/>
    </row>
    <row r="29" spans="1:10" ht="14.25" customHeight="1" x14ac:dyDescent="0.2">
      <c r="A29" s="51" t="s">
        <v>43</v>
      </c>
      <c r="B29" s="45" t="s">
        <v>132</v>
      </c>
      <c r="C29" s="42">
        <f t="shared" si="0"/>
        <v>147988184</v>
      </c>
      <c r="D29" s="43">
        <v>63167930</v>
      </c>
      <c r="E29" s="43">
        <v>19385774</v>
      </c>
      <c r="F29" s="43">
        <v>64091715</v>
      </c>
      <c r="G29" s="52">
        <v>1342765</v>
      </c>
      <c r="I29" s="24"/>
      <c r="J29" s="24"/>
    </row>
    <row r="30" spans="1:10" ht="14.25" customHeight="1" x14ac:dyDescent="0.2">
      <c r="A30" s="51" t="s">
        <v>42</v>
      </c>
      <c r="B30" s="45" t="s">
        <v>132</v>
      </c>
      <c r="C30" s="42">
        <f t="shared" si="0"/>
        <v>306714024</v>
      </c>
      <c r="D30" s="43">
        <v>106328325</v>
      </c>
      <c r="E30" s="43">
        <v>16586610</v>
      </c>
      <c r="F30" s="43">
        <v>178852155</v>
      </c>
      <c r="G30" s="52">
        <v>4946934</v>
      </c>
      <c r="I30" s="24"/>
      <c r="J30" s="24"/>
    </row>
    <row r="31" spans="1:10" ht="14.25" customHeight="1" x14ac:dyDescent="0.2">
      <c r="A31" s="51" t="s">
        <v>41</v>
      </c>
      <c r="B31" s="45" t="s">
        <v>132</v>
      </c>
      <c r="C31" s="42">
        <f t="shared" si="0"/>
        <v>1552004108</v>
      </c>
      <c r="D31" s="43">
        <v>1112931399</v>
      </c>
      <c r="E31" s="43">
        <v>56856507</v>
      </c>
      <c r="F31" s="43">
        <v>328157928</v>
      </c>
      <c r="G31" s="52">
        <v>54058274</v>
      </c>
      <c r="I31" s="24"/>
      <c r="J31" s="24"/>
    </row>
    <row r="32" spans="1:10" ht="14.25" customHeight="1" x14ac:dyDescent="0.2">
      <c r="A32" s="51" t="s">
        <v>40</v>
      </c>
      <c r="B32" s="45" t="s">
        <v>132</v>
      </c>
      <c r="C32" s="42">
        <f t="shared" si="0"/>
        <v>728763188</v>
      </c>
      <c r="D32" s="43">
        <v>444621462</v>
      </c>
      <c r="E32" s="43">
        <v>77680065</v>
      </c>
      <c r="F32" s="43">
        <v>181088978</v>
      </c>
      <c r="G32" s="52">
        <v>25372683</v>
      </c>
      <c r="I32" s="24"/>
      <c r="J32" s="24"/>
    </row>
    <row r="33" spans="1:10" ht="14.25" customHeight="1" x14ac:dyDescent="0.2">
      <c r="A33" s="51" t="s">
        <v>39</v>
      </c>
      <c r="B33" s="45" t="s">
        <v>132</v>
      </c>
      <c r="C33" s="42">
        <f t="shared" si="0"/>
        <v>10987638461</v>
      </c>
      <c r="D33" s="43">
        <v>6422436714</v>
      </c>
      <c r="E33" s="43">
        <v>415423203</v>
      </c>
      <c r="F33" s="43">
        <v>3821932834</v>
      </c>
      <c r="G33" s="52">
        <v>327845710</v>
      </c>
      <c r="I33" s="24"/>
      <c r="J33" s="24"/>
    </row>
    <row r="34" spans="1:10" ht="14.25" customHeight="1" x14ac:dyDescent="0.2">
      <c r="A34" s="51" t="s">
        <v>38</v>
      </c>
      <c r="B34" s="45" t="s">
        <v>133</v>
      </c>
      <c r="C34" s="42">
        <f t="shared" si="0"/>
        <v>70669551</v>
      </c>
      <c r="D34" s="43">
        <v>56809423</v>
      </c>
      <c r="E34" s="43">
        <v>12545740</v>
      </c>
      <c r="F34" s="43">
        <v>1101655</v>
      </c>
      <c r="G34" s="52">
        <v>212733</v>
      </c>
      <c r="I34" s="24"/>
      <c r="J34" s="24"/>
    </row>
    <row r="35" spans="1:10" ht="14.25" customHeight="1" x14ac:dyDescent="0.2">
      <c r="A35" s="51" t="s">
        <v>37</v>
      </c>
      <c r="B35" s="45" t="s">
        <v>132</v>
      </c>
      <c r="C35" s="42">
        <f t="shared" si="0"/>
        <v>1540578256</v>
      </c>
      <c r="D35" s="43">
        <v>1033568996</v>
      </c>
      <c r="E35" s="43">
        <v>48412670</v>
      </c>
      <c r="F35" s="43">
        <v>365237476</v>
      </c>
      <c r="G35" s="52">
        <v>93359114</v>
      </c>
      <c r="I35" s="24"/>
      <c r="J35" s="24"/>
    </row>
    <row r="36" spans="1:10" ht="14.25" customHeight="1" x14ac:dyDescent="0.2">
      <c r="A36" s="51" t="s">
        <v>36</v>
      </c>
      <c r="B36" s="45" t="s">
        <v>133</v>
      </c>
      <c r="C36" s="42">
        <f t="shared" si="0"/>
        <v>174345870</v>
      </c>
      <c r="D36" s="43">
        <v>124512971</v>
      </c>
      <c r="E36" s="43">
        <v>18433765</v>
      </c>
      <c r="F36" s="43">
        <v>30434225</v>
      </c>
      <c r="G36" s="52">
        <v>964909</v>
      </c>
      <c r="I36" s="24"/>
      <c r="J36" s="24"/>
    </row>
    <row r="37" spans="1:10" ht="14.25" customHeight="1" x14ac:dyDescent="0.2">
      <c r="A37" s="51" t="s">
        <v>35</v>
      </c>
      <c r="B37" s="45" t="s">
        <v>133</v>
      </c>
      <c r="C37" s="42">
        <f t="shared" si="0"/>
        <v>109623215</v>
      </c>
      <c r="D37" s="43">
        <v>60816497</v>
      </c>
      <c r="E37" s="43">
        <v>14389203</v>
      </c>
      <c r="F37" s="43">
        <v>31913435</v>
      </c>
      <c r="G37" s="52">
        <v>2504080</v>
      </c>
      <c r="I37" s="24"/>
      <c r="J37" s="24"/>
    </row>
    <row r="38" spans="1:10" ht="14.25" customHeight="1" x14ac:dyDescent="0.2">
      <c r="A38" s="51" t="s">
        <v>34</v>
      </c>
      <c r="B38" s="45" t="s">
        <v>133</v>
      </c>
      <c r="C38" s="42">
        <f t="shared" si="0"/>
        <v>29386004</v>
      </c>
      <c r="D38" s="43">
        <v>23865038</v>
      </c>
      <c r="E38" s="43">
        <v>3545606</v>
      </c>
      <c r="F38" s="43">
        <v>1227395</v>
      </c>
      <c r="G38" s="52">
        <v>747965</v>
      </c>
      <c r="I38" s="24"/>
      <c r="J38" s="24"/>
    </row>
    <row r="39" spans="1:10" ht="14.25" customHeight="1" x14ac:dyDescent="0.2">
      <c r="A39" s="51" t="s">
        <v>33</v>
      </c>
      <c r="B39" s="45" t="s">
        <v>132</v>
      </c>
      <c r="C39" s="42">
        <f t="shared" si="0"/>
        <v>2990782518</v>
      </c>
      <c r="D39" s="43">
        <v>2143608891</v>
      </c>
      <c r="E39" s="43">
        <v>132385619</v>
      </c>
      <c r="F39" s="43">
        <v>587310392</v>
      </c>
      <c r="G39" s="52">
        <v>127477616</v>
      </c>
      <c r="I39" s="24"/>
      <c r="J39" s="24"/>
    </row>
    <row r="40" spans="1:10" ht="14.25" customHeight="1" x14ac:dyDescent="0.2">
      <c r="A40" s="51" t="s">
        <v>32</v>
      </c>
      <c r="B40" s="45" t="s">
        <v>132</v>
      </c>
      <c r="C40" s="42">
        <f t="shared" si="0"/>
        <v>10928256699</v>
      </c>
      <c r="D40" s="43">
        <v>4312833968</v>
      </c>
      <c r="E40" s="43">
        <v>386293617</v>
      </c>
      <c r="F40" s="43">
        <v>6045573554</v>
      </c>
      <c r="G40" s="52">
        <v>183555560</v>
      </c>
      <c r="I40" s="24"/>
      <c r="J40" s="24"/>
    </row>
    <row r="41" spans="1:10" ht="14.25" customHeight="1" x14ac:dyDescent="0.2">
      <c r="A41" s="51" t="s">
        <v>31</v>
      </c>
      <c r="B41" s="45" t="s">
        <v>132</v>
      </c>
      <c r="C41" s="42">
        <f t="shared" si="0"/>
        <v>1657833223</v>
      </c>
      <c r="D41" s="43">
        <v>1249865551</v>
      </c>
      <c r="E41" s="43">
        <v>119592479</v>
      </c>
      <c r="F41" s="43">
        <v>252371150</v>
      </c>
      <c r="G41" s="52">
        <v>36004043</v>
      </c>
      <c r="I41" s="24"/>
      <c r="J41" s="24"/>
    </row>
    <row r="42" spans="1:10" ht="14.25" customHeight="1" x14ac:dyDescent="0.2">
      <c r="A42" s="51" t="s">
        <v>30</v>
      </c>
      <c r="B42" s="45" t="s">
        <v>133</v>
      </c>
      <c r="C42" s="42">
        <f t="shared" si="0"/>
        <v>326891146</v>
      </c>
      <c r="D42" s="43">
        <v>175046950</v>
      </c>
      <c r="E42" s="43">
        <v>15861180</v>
      </c>
      <c r="F42" s="43">
        <v>128008462</v>
      </c>
      <c r="G42" s="52">
        <v>7974554</v>
      </c>
      <c r="I42" s="24"/>
      <c r="J42" s="24"/>
    </row>
    <row r="43" spans="1:10" ht="14.25" customHeight="1" x14ac:dyDescent="0.2">
      <c r="A43" s="51" t="s">
        <v>29</v>
      </c>
      <c r="B43" s="45" t="s">
        <v>133</v>
      </c>
      <c r="C43" s="42">
        <f t="shared" si="0"/>
        <v>30917138</v>
      </c>
      <c r="D43" s="43">
        <v>17675448</v>
      </c>
      <c r="E43" s="43">
        <v>2197106</v>
      </c>
      <c r="F43" s="43">
        <v>10988497</v>
      </c>
      <c r="G43" s="52">
        <v>56087</v>
      </c>
      <c r="I43" s="24"/>
      <c r="J43" s="24"/>
    </row>
    <row r="44" spans="1:10" ht="14.25" customHeight="1" x14ac:dyDescent="0.2">
      <c r="A44" s="51" t="s">
        <v>28</v>
      </c>
      <c r="B44" s="45" t="s">
        <v>133</v>
      </c>
      <c r="C44" s="42">
        <f t="shared" si="0"/>
        <v>79842790</v>
      </c>
      <c r="D44" s="43">
        <v>50390530</v>
      </c>
      <c r="E44" s="43">
        <v>11628482</v>
      </c>
      <c r="F44" s="43">
        <v>15787505</v>
      </c>
      <c r="G44" s="52">
        <v>2036273</v>
      </c>
      <c r="I44" s="24"/>
      <c r="J44" s="24"/>
    </row>
    <row r="45" spans="1:10" ht="14.25" customHeight="1" x14ac:dyDescent="0.2">
      <c r="A45" s="51" t="s">
        <v>27</v>
      </c>
      <c r="B45" s="45" t="s">
        <v>132</v>
      </c>
      <c r="C45" s="42">
        <f t="shared" si="0"/>
        <v>3233134722</v>
      </c>
      <c r="D45" s="43">
        <v>2157420500</v>
      </c>
      <c r="E45" s="43">
        <v>142862211</v>
      </c>
      <c r="F45" s="43">
        <v>802152365</v>
      </c>
      <c r="G45" s="52">
        <v>130699646</v>
      </c>
      <c r="I45" s="24"/>
      <c r="J45" s="24"/>
    </row>
    <row r="46" spans="1:10" ht="14.25" customHeight="1" x14ac:dyDescent="0.2">
      <c r="A46" s="51" t="s">
        <v>26</v>
      </c>
      <c r="B46" s="45" t="s">
        <v>132</v>
      </c>
      <c r="C46" s="42">
        <f t="shared" si="0"/>
        <v>2938253420</v>
      </c>
      <c r="D46" s="43">
        <v>1950346983</v>
      </c>
      <c r="E46" s="43">
        <v>123700712</v>
      </c>
      <c r="F46" s="43">
        <v>784580653</v>
      </c>
      <c r="G46" s="52">
        <v>79625072</v>
      </c>
      <c r="I46" s="24"/>
      <c r="J46" s="24"/>
    </row>
    <row r="47" spans="1:10" ht="14.25" customHeight="1" x14ac:dyDescent="0.2">
      <c r="A47" s="51" t="s">
        <v>25</v>
      </c>
      <c r="B47" s="45" t="s">
        <v>132</v>
      </c>
      <c r="C47" s="42">
        <f t="shared" si="0"/>
        <v>1878888104</v>
      </c>
      <c r="D47" s="43">
        <v>1061076392</v>
      </c>
      <c r="E47" s="43">
        <v>69815224</v>
      </c>
      <c r="F47" s="43">
        <v>652871819</v>
      </c>
      <c r="G47" s="52">
        <v>95124669</v>
      </c>
      <c r="I47" s="24"/>
      <c r="J47" s="24"/>
    </row>
    <row r="48" spans="1:10" ht="14.25" customHeight="1" x14ac:dyDescent="0.2">
      <c r="A48" s="51" t="s">
        <v>24</v>
      </c>
      <c r="B48" s="45" t="s">
        <v>132</v>
      </c>
      <c r="C48" s="42">
        <f t="shared" si="0"/>
        <v>2230746002</v>
      </c>
      <c r="D48" s="43">
        <v>396143413</v>
      </c>
      <c r="E48" s="43">
        <v>86071634</v>
      </c>
      <c r="F48" s="43">
        <v>1693085652</v>
      </c>
      <c r="G48" s="52">
        <v>55445303</v>
      </c>
      <c r="I48" s="24"/>
      <c r="J48" s="24"/>
    </row>
    <row r="49" spans="1:10" ht="14.25" customHeight="1" x14ac:dyDescent="0.2">
      <c r="A49" s="51" t="s">
        <v>23</v>
      </c>
      <c r="B49" s="45" t="s">
        <v>132</v>
      </c>
      <c r="C49" s="42">
        <f t="shared" si="0"/>
        <v>1328352349</v>
      </c>
      <c r="D49" s="43">
        <v>577328799</v>
      </c>
      <c r="E49" s="43">
        <v>27316377</v>
      </c>
      <c r="F49" s="43">
        <v>684897663</v>
      </c>
      <c r="G49" s="52">
        <v>38809510</v>
      </c>
      <c r="I49" s="24"/>
      <c r="J49" s="24"/>
    </row>
    <row r="50" spans="1:10" ht="14.25" customHeight="1" x14ac:dyDescent="0.2">
      <c r="A50" s="51" t="s">
        <v>22</v>
      </c>
      <c r="B50" s="45" t="s">
        <v>132</v>
      </c>
      <c r="C50" s="42">
        <f t="shared" si="0"/>
        <v>1660311921</v>
      </c>
      <c r="D50" s="43">
        <v>1063870661</v>
      </c>
      <c r="E50" s="43">
        <v>84637510</v>
      </c>
      <c r="F50" s="43">
        <v>477116742</v>
      </c>
      <c r="G50" s="52">
        <v>34687008</v>
      </c>
      <c r="I50" s="24"/>
      <c r="J50" s="24"/>
    </row>
    <row r="51" spans="1:10" ht="14.25" customHeight="1" x14ac:dyDescent="0.2">
      <c r="A51" s="51" t="s">
        <v>21</v>
      </c>
      <c r="B51" s="45" t="s">
        <v>132</v>
      </c>
      <c r="C51" s="42">
        <f t="shared" si="0"/>
        <v>408820596</v>
      </c>
      <c r="D51" s="43">
        <v>124639230</v>
      </c>
      <c r="E51" s="43">
        <v>31152018</v>
      </c>
      <c r="F51" s="43">
        <v>245789976</v>
      </c>
      <c r="G51" s="52">
        <v>7239372</v>
      </c>
      <c r="I51" s="24"/>
      <c r="J51" s="24"/>
    </row>
    <row r="52" spans="1:10" ht="14.25" customHeight="1" x14ac:dyDescent="0.2">
      <c r="A52" s="51" t="s">
        <v>20</v>
      </c>
      <c r="B52" s="45" t="s">
        <v>132</v>
      </c>
      <c r="C52" s="42">
        <f t="shared" si="0"/>
        <v>12468826028</v>
      </c>
      <c r="D52" s="43">
        <v>5389531403</v>
      </c>
      <c r="E52" s="43">
        <v>524398159</v>
      </c>
      <c r="F52" s="43">
        <v>6334193129</v>
      </c>
      <c r="G52" s="52">
        <v>220703337</v>
      </c>
      <c r="I52" s="24"/>
      <c r="J52" s="24"/>
    </row>
    <row r="53" spans="1:10" ht="14.25" customHeight="1" x14ac:dyDescent="0.2">
      <c r="A53" s="51" t="s">
        <v>19</v>
      </c>
      <c r="B53" s="45" t="s">
        <v>132</v>
      </c>
      <c r="C53" s="42">
        <f t="shared" si="0"/>
        <v>2559185529</v>
      </c>
      <c r="D53" s="43">
        <v>1615108849</v>
      </c>
      <c r="E53" s="43">
        <v>147626405</v>
      </c>
      <c r="F53" s="43">
        <v>744968398</v>
      </c>
      <c r="G53" s="52">
        <v>51481877</v>
      </c>
      <c r="I53" s="24"/>
      <c r="J53" s="24"/>
    </row>
    <row r="54" spans="1:10" ht="14.25" customHeight="1" x14ac:dyDescent="0.2">
      <c r="A54" s="51" t="s">
        <v>18</v>
      </c>
      <c r="B54" s="45" t="s">
        <v>132</v>
      </c>
      <c r="C54" s="42">
        <f t="shared" si="0"/>
        <v>14102618123</v>
      </c>
      <c r="D54" s="43">
        <v>7845392965</v>
      </c>
      <c r="E54" s="43">
        <v>368391884</v>
      </c>
      <c r="F54" s="43">
        <v>5336991014</v>
      </c>
      <c r="G54" s="52">
        <v>551842260</v>
      </c>
      <c r="I54" s="24"/>
      <c r="J54" s="24"/>
    </row>
    <row r="55" spans="1:10" ht="14.25" customHeight="1" x14ac:dyDescent="0.2">
      <c r="A55" s="51" t="s">
        <v>17</v>
      </c>
      <c r="B55" s="45" t="s">
        <v>132</v>
      </c>
      <c r="C55" s="42">
        <f t="shared" si="0"/>
        <v>4602156270</v>
      </c>
      <c r="D55" s="43">
        <v>2909908086</v>
      </c>
      <c r="E55" s="43">
        <v>122419616</v>
      </c>
      <c r="F55" s="43">
        <v>1400643647</v>
      </c>
      <c r="G55" s="52">
        <v>169184921</v>
      </c>
      <c r="I55" s="24"/>
      <c r="J55" s="24"/>
    </row>
    <row r="56" spans="1:10" ht="14.25" customHeight="1" x14ac:dyDescent="0.2">
      <c r="A56" s="51" t="s">
        <v>16</v>
      </c>
      <c r="B56" s="45" t="s">
        <v>132</v>
      </c>
      <c r="C56" s="42">
        <f t="shared" si="0"/>
        <v>10037076281</v>
      </c>
      <c r="D56" s="43">
        <v>5322883512</v>
      </c>
      <c r="E56" s="43">
        <v>322418028</v>
      </c>
      <c r="F56" s="43">
        <v>4029521966</v>
      </c>
      <c r="G56" s="52">
        <v>362252775</v>
      </c>
      <c r="I56" s="24"/>
      <c r="J56" s="24"/>
    </row>
    <row r="57" spans="1:10" ht="14.25" customHeight="1" x14ac:dyDescent="0.2">
      <c r="A57" s="51" t="s">
        <v>15</v>
      </c>
      <c r="B57" s="45" t="s">
        <v>132</v>
      </c>
      <c r="C57" s="42">
        <f t="shared" si="0"/>
        <v>5141476777</v>
      </c>
      <c r="D57" s="43">
        <v>2865321504</v>
      </c>
      <c r="E57" s="43">
        <v>355608007</v>
      </c>
      <c r="F57" s="43">
        <v>1798437739</v>
      </c>
      <c r="G57" s="52">
        <v>122109527</v>
      </c>
      <c r="I57" s="24"/>
      <c r="J57" s="24"/>
    </row>
    <row r="58" spans="1:10" ht="14.25" customHeight="1" x14ac:dyDescent="0.2">
      <c r="A58" s="51" t="s">
        <v>14</v>
      </c>
      <c r="B58" s="45" t="s">
        <v>132</v>
      </c>
      <c r="C58" s="42">
        <f t="shared" si="0"/>
        <v>416784372</v>
      </c>
      <c r="D58" s="43">
        <v>263160024</v>
      </c>
      <c r="E58" s="43">
        <v>22882031</v>
      </c>
      <c r="F58" s="43">
        <v>116055857</v>
      </c>
      <c r="G58" s="52">
        <v>14686460</v>
      </c>
      <c r="I58" s="24"/>
      <c r="J58" s="24"/>
    </row>
    <row r="59" spans="1:10" ht="14.25" customHeight="1" x14ac:dyDescent="0.2">
      <c r="A59" s="51" t="s">
        <v>13</v>
      </c>
      <c r="B59" s="45" t="s">
        <v>132</v>
      </c>
      <c r="C59" s="42">
        <f t="shared" si="0"/>
        <v>2889994748</v>
      </c>
      <c r="D59" s="43">
        <v>1864262180</v>
      </c>
      <c r="E59" s="43">
        <v>104466669</v>
      </c>
      <c r="F59" s="43">
        <v>750808250</v>
      </c>
      <c r="G59" s="52">
        <v>170457649</v>
      </c>
      <c r="I59" s="24"/>
      <c r="J59" s="24"/>
    </row>
    <row r="60" spans="1:10" ht="14.25" customHeight="1" x14ac:dyDescent="0.2">
      <c r="A60" s="51" t="s">
        <v>12</v>
      </c>
      <c r="B60" s="45" t="s">
        <v>132</v>
      </c>
      <c r="C60" s="42">
        <f t="shared" si="0"/>
        <v>3503914728</v>
      </c>
      <c r="D60" s="43">
        <v>1870345252</v>
      </c>
      <c r="E60" s="43">
        <v>87585442</v>
      </c>
      <c r="F60" s="43">
        <v>1404660180</v>
      </c>
      <c r="G60" s="52">
        <v>141323854</v>
      </c>
      <c r="I60" s="24"/>
      <c r="J60" s="24"/>
    </row>
    <row r="61" spans="1:10" ht="14.25" customHeight="1" x14ac:dyDescent="0.2">
      <c r="A61" s="51" t="s">
        <v>11</v>
      </c>
      <c r="B61" s="45" t="s">
        <v>132</v>
      </c>
      <c r="C61" s="42">
        <f t="shared" si="0"/>
        <v>1431805027</v>
      </c>
      <c r="D61" s="43">
        <v>1044428629</v>
      </c>
      <c r="E61" s="43">
        <v>38997677</v>
      </c>
      <c r="F61" s="43">
        <v>315723911</v>
      </c>
      <c r="G61" s="52">
        <v>32654810</v>
      </c>
      <c r="I61" s="24"/>
      <c r="J61" s="24"/>
    </row>
    <row r="62" spans="1:10" ht="14.25" customHeight="1" x14ac:dyDescent="0.2">
      <c r="A62" s="51" t="s">
        <v>10</v>
      </c>
      <c r="B62" s="45" t="s">
        <v>132</v>
      </c>
      <c r="C62" s="42">
        <f t="shared" si="0"/>
        <v>5762094920</v>
      </c>
      <c r="D62" s="43">
        <v>2992031417</v>
      </c>
      <c r="E62" s="43">
        <v>136484302</v>
      </c>
      <c r="F62" s="43">
        <v>2472646063</v>
      </c>
      <c r="G62" s="52">
        <v>160933138</v>
      </c>
      <c r="I62" s="24"/>
      <c r="J62" s="24"/>
    </row>
    <row r="63" spans="1:10" ht="14.25" customHeight="1" x14ac:dyDescent="0.2">
      <c r="A63" s="51" t="s">
        <v>9</v>
      </c>
      <c r="B63" s="45" t="s">
        <v>132</v>
      </c>
      <c r="C63" s="42">
        <f t="shared" si="0"/>
        <v>3997633426</v>
      </c>
      <c r="D63" s="43">
        <v>2427932929</v>
      </c>
      <c r="E63" s="43">
        <v>163389715</v>
      </c>
      <c r="F63" s="43">
        <v>1302601190</v>
      </c>
      <c r="G63" s="52">
        <v>103709592</v>
      </c>
      <c r="I63" s="24"/>
      <c r="J63" s="24"/>
    </row>
    <row r="64" spans="1:10" ht="14.25" customHeight="1" x14ac:dyDescent="0.2">
      <c r="A64" s="51" t="s">
        <v>8</v>
      </c>
      <c r="B64" s="45" t="s">
        <v>132</v>
      </c>
      <c r="C64" s="42">
        <f t="shared" si="0"/>
        <v>1519347748</v>
      </c>
      <c r="D64" s="43">
        <v>1141264309</v>
      </c>
      <c r="E64" s="43">
        <v>32933362</v>
      </c>
      <c r="F64" s="43">
        <v>280443997</v>
      </c>
      <c r="G64" s="52">
        <v>64706080</v>
      </c>
      <c r="I64" s="24"/>
      <c r="J64" s="24"/>
    </row>
    <row r="65" spans="1:10" ht="14.25" customHeight="1" x14ac:dyDescent="0.2">
      <c r="A65" s="51" t="s">
        <v>7</v>
      </c>
      <c r="B65" s="45" t="s">
        <v>133</v>
      </c>
      <c r="C65" s="42">
        <f t="shared" si="0"/>
        <v>203901506</v>
      </c>
      <c r="D65" s="43">
        <v>156066778</v>
      </c>
      <c r="E65" s="43">
        <v>14505314</v>
      </c>
      <c r="F65" s="43">
        <v>29049515</v>
      </c>
      <c r="G65" s="52">
        <v>4279899</v>
      </c>
      <c r="I65" s="24"/>
      <c r="J65" s="24"/>
    </row>
    <row r="66" spans="1:10" ht="14.25" customHeight="1" x14ac:dyDescent="0.2">
      <c r="A66" s="51" t="s">
        <v>6</v>
      </c>
      <c r="B66" s="45" t="s">
        <v>133</v>
      </c>
      <c r="C66" s="42">
        <f t="shared" si="0"/>
        <v>157990638</v>
      </c>
      <c r="D66" s="43">
        <v>63890450</v>
      </c>
      <c r="E66" s="43">
        <v>12434304</v>
      </c>
      <c r="F66" s="43">
        <v>80314584</v>
      </c>
      <c r="G66" s="52">
        <v>1351300</v>
      </c>
      <c r="I66" s="24"/>
      <c r="J66" s="24"/>
    </row>
    <row r="67" spans="1:10" ht="14.25" customHeight="1" x14ac:dyDescent="0.2">
      <c r="A67" s="51" t="s">
        <v>5</v>
      </c>
      <c r="B67" s="45" t="s">
        <v>133</v>
      </c>
      <c r="C67" s="42">
        <f t="shared" si="0"/>
        <v>41295016</v>
      </c>
      <c r="D67" s="43">
        <v>35625492</v>
      </c>
      <c r="E67" s="43">
        <v>3806154</v>
      </c>
      <c r="F67" s="43">
        <v>1650986</v>
      </c>
      <c r="G67" s="52">
        <v>212384</v>
      </c>
      <c r="I67" s="24"/>
      <c r="J67" s="24"/>
    </row>
    <row r="68" spans="1:10" ht="14.25" customHeight="1" x14ac:dyDescent="0.2">
      <c r="A68" s="51" t="s">
        <v>4</v>
      </c>
      <c r="B68" s="45" t="s">
        <v>132</v>
      </c>
      <c r="C68" s="42">
        <f t="shared" si="0"/>
        <v>4829398948</v>
      </c>
      <c r="D68" s="43">
        <v>3085681373</v>
      </c>
      <c r="E68" s="43">
        <v>229564283</v>
      </c>
      <c r="F68" s="43">
        <v>1307913554</v>
      </c>
      <c r="G68" s="52">
        <v>206239738</v>
      </c>
      <c r="I68" s="24"/>
      <c r="J68" s="24"/>
    </row>
    <row r="69" spans="1:10" ht="14.25" customHeight="1" x14ac:dyDescent="0.2">
      <c r="A69" s="51" t="s">
        <v>3</v>
      </c>
      <c r="B69" s="45" t="s">
        <v>133</v>
      </c>
      <c r="C69" s="42">
        <f t="shared" si="0"/>
        <v>327212650</v>
      </c>
      <c r="D69" s="43">
        <v>167446873</v>
      </c>
      <c r="E69" s="43">
        <v>6776899</v>
      </c>
      <c r="F69" s="43">
        <v>147502407</v>
      </c>
      <c r="G69" s="52">
        <v>5486471</v>
      </c>
      <c r="I69" s="24"/>
      <c r="J69" s="24"/>
    </row>
    <row r="70" spans="1:10" ht="14.25" customHeight="1" x14ac:dyDescent="0.2">
      <c r="A70" s="51" t="s">
        <v>2</v>
      </c>
      <c r="B70" s="45" t="s">
        <v>133</v>
      </c>
      <c r="C70" s="42">
        <f t="shared" ref="C70:C71" si="1">D70+E70+F70+G70</f>
        <v>1935352940</v>
      </c>
      <c r="D70" s="43">
        <v>363433717</v>
      </c>
      <c r="E70" s="43">
        <v>57716591</v>
      </c>
      <c r="F70" s="43">
        <v>1488300924</v>
      </c>
      <c r="G70" s="52">
        <v>25901708</v>
      </c>
      <c r="I70" s="24"/>
      <c r="J70" s="24"/>
    </row>
    <row r="71" spans="1:10" ht="14.25" customHeight="1" x14ac:dyDescent="0.2">
      <c r="A71" s="51" t="s">
        <v>1</v>
      </c>
      <c r="B71" s="45" t="s">
        <v>133</v>
      </c>
      <c r="C71" s="42">
        <f t="shared" si="1"/>
        <v>106318655</v>
      </c>
      <c r="D71" s="43">
        <v>80834699</v>
      </c>
      <c r="E71" s="43">
        <v>9713303</v>
      </c>
      <c r="F71" s="43">
        <v>14446749</v>
      </c>
      <c r="G71" s="52">
        <v>1323904</v>
      </c>
      <c r="I71" s="24"/>
      <c r="J71" s="24"/>
    </row>
    <row r="72" spans="1:10" s="5" customFormat="1" ht="14.25" customHeight="1" x14ac:dyDescent="0.2">
      <c r="A72" s="60"/>
      <c r="B72" s="57"/>
      <c r="C72" s="42"/>
      <c r="D72" s="58"/>
      <c r="E72" s="58"/>
      <c r="F72" s="58"/>
      <c r="G72" s="61"/>
    </row>
    <row r="73" spans="1:10" ht="14.25" customHeight="1" thickBot="1" x14ac:dyDescent="0.25">
      <c r="A73" s="53" t="s">
        <v>0</v>
      </c>
      <c r="B73" s="96" t="s">
        <v>126</v>
      </c>
      <c r="C73" s="55">
        <f>SUM(D73:G73)</f>
        <v>200285917241</v>
      </c>
      <c r="D73" s="55">
        <f>SUM(D5:D71)</f>
        <v>104297499940</v>
      </c>
      <c r="E73" s="55">
        <f>SUM(E5:E71)</f>
        <v>7780543600</v>
      </c>
      <c r="F73" s="55">
        <v>82697686688</v>
      </c>
      <c r="G73" s="56">
        <f>SUM(G5:G71)</f>
        <v>5510187013</v>
      </c>
    </row>
    <row r="74" spans="1:10" x14ac:dyDescent="0.2">
      <c r="G74" s="41"/>
    </row>
    <row r="75" spans="1:10" x14ac:dyDescent="0.2">
      <c r="A75" s="25" t="s">
        <v>134</v>
      </c>
      <c r="B75" s="48"/>
      <c r="C75" s="25"/>
      <c r="G75" s="41"/>
    </row>
    <row r="76" spans="1:10" x14ac:dyDescent="0.2">
      <c r="G76" s="41"/>
    </row>
    <row r="77" spans="1:10" x14ac:dyDescent="0.2">
      <c r="G77" s="41"/>
    </row>
    <row r="78" spans="1:10" x14ac:dyDescent="0.2">
      <c r="G78" s="41"/>
    </row>
    <row r="79" spans="1:10" x14ac:dyDescent="0.2">
      <c r="G79" s="41"/>
    </row>
    <row r="80" spans="1:10" x14ac:dyDescent="0.2">
      <c r="G80" s="41"/>
    </row>
    <row r="81" spans="7:7" x14ac:dyDescent="0.2">
      <c r="G81" s="41"/>
    </row>
    <row r="82" spans="7:7" x14ac:dyDescent="0.2">
      <c r="G82" s="41"/>
    </row>
    <row r="83" spans="7:7" x14ac:dyDescent="0.2">
      <c r="G83" s="41"/>
    </row>
    <row r="84" spans="7:7" x14ac:dyDescent="0.2">
      <c r="G84" s="41"/>
    </row>
    <row r="85" spans="7:7" x14ac:dyDescent="0.2">
      <c r="G85" s="41"/>
    </row>
    <row r="86" spans="7:7" x14ac:dyDescent="0.2">
      <c r="G86" s="41"/>
    </row>
  </sheetData>
  <phoneticPr fontId="2" type="noConversion"/>
  <conditionalFormatting sqref="A4:G73">
    <cfRule type="expression" dxfId="133" priority="1" stopIfTrue="1">
      <formula>MOD(ROW(),3)=1</formula>
    </cfRule>
  </conditionalFormatting>
  <pageMargins left="0.25" right="0.25" top="0.5" bottom="0.5" header="0.25" footer="0.25"/>
  <pageSetup scale="69" orientation="portrait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R75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ColWidth="34.5703125" defaultRowHeight="14.25" x14ac:dyDescent="0.2"/>
  <cols>
    <col min="1" max="1" width="44" style="23" customWidth="1"/>
    <col min="2" max="2" width="9.7109375" style="47" bestFit="1" customWidth="1"/>
    <col min="3" max="3" width="18.42578125" style="47" bestFit="1" customWidth="1"/>
    <col min="4" max="4" width="20.5703125" style="47" bestFit="1" customWidth="1"/>
    <col min="5" max="5" width="14.85546875" style="47" bestFit="1" customWidth="1"/>
    <col min="6" max="6" width="18.42578125" style="47" bestFit="1" customWidth="1"/>
    <col min="7" max="7" width="20.5703125" style="47" bestFit="1" customWidth="1"/>
    <col min="8" max="8" width="14.85546875" style="47" bestFit="1" customWidth="1"/>
    <col min="9" max="9" width="18.42578125" style="47" bestFit="1" customWidth="1"/>
    <col min="10" max="10" width="20.5703125" style="47" bestFit="1" customWidth="1"/>
    <col min="11" max="11" width="14.85546875" style="47" bestFit="1" customWidth="1"/>
    <col min="12" max="12" width="18.42578125" style="23" bestFit="1" customWidth="1"/>
    <col min="13" max="13" width="20.5703125" style="23" bestFit="1" customWidth="1"/>
    <col min="14" max="14" width="14.85546875" style="23" bestFit="1" customWidth="1"/>
    <col min="15" max="15" width="18.42578125" style="23" bestFit="1" customWidth="1"/>
    <col min="16" max="16" width="20.5703125" style="23" bestFit="1" customWidth="1"/>
    <col min="17" max="17" width="14.85546875" style="23" bestFit="1" customWidth="1"/>
    <col min="18" max="18" width="18.42578125" style="23" bestFit="1" customWidth="1"/>
    <col min="19" max="19" width="20.5703125" style="23" bestFit="1" customWidth="1"/>
    <col min="20" max="20" width="14.85546875" style="23" bestFit="1" customWidth="1"/>
    <col min="21" max="21" width="18.42578125" style="23" bestFit="1" customWidth="1"/>
    <col min="22" max="22" width="20.5703125" style="23" bestFit="1" customWidth="1"/>
    <col min="23" max="23" width="14.85546875" style="23" bestFit="1" customWidth="1"/>
    <col min="24" max="24" width="18.42578125" style="23" bestFit="1" customWidth="1"/>
    <col min="25" max="25" width="20.5703125" style="23" bestFit="1" customWidth="1"/>
    <col min="26" max="26" width="14.85546875" style="23" bestFit="1" customWidth="1"/>
    <col min="27" max="27" width="18.42578125" style="23" bestFit="1" customWidth="1"/>
    <col min="28" max="28" width="20.5703125" style="23" bestFit="1" customWidth="1"/>
    <col min="29" max="29" width="14.85546875" style="23" bestFit="1" customWidth="1"/>
    <col min="30" max="30" width="18.42578125" style="23" bestFit="1" customWidth="1"/>
    <col min="31" max="31" width="20.5703125" style="23" bestFit="1" customWidth="1"/>
    <col min="32" max="32" width="14.85546875" style="23" bestFit="1" customWidth="1"/>
    <col min="33" max="33" width="18.42578125" style="39" bestFit="1" customWidth="1"/>
    <col min="34" max="34" width="20.5703125" style="39" bestFit="1" customWidth="1"/>
    <col min="35" max="35" width="14.85546875" style="39" bestFit="1" customWidth="1"/>
    <col min="36" max="36" width="18.42578125" style="39" bestFit="1" customWidth="1"/>
    <col min="37" max="37" width="20.5703125" style="39" bestFit="1" customWidth="1"/>
    <col min="38" max="38" width="14.85546875" style="39" bestFit="1" customWidth="1"/>
    <col min="39" max="39" width="18.42578125" style="39" bestFit="1" customWidth="1"/>
    <col min="40" max="40" width="20.5703125" style="23" bestFit="1" customWidth="1"/>
    <col min="41" max="41" width="14.85546875" style="23" bestFit="1" customWidth="1"/>
    <col min="42" max="16384" width="34.5703125" style="2"/>
  </cols>
  <sheetData>
    <row r="1" spans="1:44" ht="23.25" x14ac:dyDescent="0.2">
      <c r="A1" s="14" t="s">
        <v>98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</row>
    <row r="2" spans="1:44" ht="15.75" thickBot="1" x14ac:dyDescent="0.25">
      <c r="A2" s="21" t="s">
        <v>139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</row>
    <row r="3" spans="1:44" s="64" customFormat="1" ht="15.75" thickBot="1" x14ac:dyDescent="0.25">
      <c r="C3" s="114">
        <v>2021</v>
      </c>
      <c r="D3" s="115"/>
      <c r="E3" s="116"/>
      <c r="F3" s="114">
        <v>2020</v>
      </c>
      <c r="G3" s="115"/>
      <c r="H3" s="116"/>
      <c r="I3" s="114">
        <v>2019</v>
      </c>
      <c r="J3" s="115"/>
      <c r="K3" s="116"/>
      <c r="L3" s="114">
        <v>2018</v>
      </c>
      <c r="M3" s="115"/>
      <c r="N3" s="116"/>
      <c r="O3" s="114">
        <v>2017</v>
      </c>
      <c r="P3" s="117"/>
      <c r="Q3" s="118"/>
      <c r="R3" s="114">
        <v>2016</v>
      </c>
      <c r="S3" s="117"/>
      <c r="T3" s="118"/>
      <c r="U3" s="114">
        <v>2015</v>
      </c>
      <c r="V3" s="117"/>
      <c r="W3" s="118"/>
      <c r="X3" s="114">
        <v>2014</v>
      </c>
      <c r="Y3" s="117"/>
      <c r="Z3" s="118"/>
      <c r="AA3" s="114">
        <v>2013</v>
      </c>
      <c r="AB3" s="117"/>
      <c r="AC3" s="118"/>
      <c r="AD3" s="114">
        <v>2012</v>
      </c>
      <c r="AE3" s="117"/>
      <c r="AF3" s="118"/>
      <c r="AG3" s="114">
        <v>2011</v>
      </c>
      <c r="AH3" s="117"/>
      <c r="AI3" s="118"/>
      <c r="AJ3" s="114">
        <v>2010</v>
      </c>
      <c r="AK3" s="117"/>
      <c r="AL3" s="118"/>
      <c r="AM3" s="114">
        <v>2009</v>
      </c>
      <c r="AN3" s="117"/>
      <c r="AO3" s="118"/>
    </row>
    <row r="4" spans="1:44" s="62" customFormat="1" ht="12.75" x14ac:dyDescent="0.2">
      <c r="A4" s="49" t="s">
        <v>68</v>
      </c>
      <c r="B4" s="89" t="s">
        <v>67</v>
      </c>
      <c r="C4" s="49" t="s">
        <v>84</v>
      </c>
      <c r="D4" s="50" t="s">
        <v>81</v>
      </c>
      <c r="E4" s="59" t="s">
        <v>86</v>
      </c>
      <c r="F4" s="49" t="s">
        <v>84</v>
      </c>
      <c r="G4" s="50" t="s">
        <v>81</v>
      </c>
      <c r="H4" s="59" t="s">
        <v>86</v>
      </c>
      <c r="I4" s="49" t="s">
        <v>84</v>
      </c>
      <c r="J4" s="50" t="s">
        <v>81</v>
      </c>
      <c r="K4" s="59" t="s">
        <v>86</v>
      </c>
      <c r="L4" s="49" t="s">
        <v>84</v>
      </c>
      <c r="M4" s="50" t="s">
        <v>81</v>
      </c>
      <c r="N4" s="59" t="s">
        <v>86</v>
      </c>
      <c r="O4" s="49" t="s">
        <v>84</v>
      </c>
      <c r="P4" s="50" t="s">
        <v>81</v>
      </c>
      <c r="Q4" s="59" t="s">
        <v>86</v>
      </c>
      <c r="R4" s="49" t="s">
        <v>84</v>
      </c>
      <c r="S4" s="50" t="s">
        <v>81</v>
      </c>
      <c r="T4" s="59" t="s">
        <v>86</v>
      </c>
      <c r="U4" s="49" t="s">
        <v>84</v>
      </c>
      <c r="V4" s="50" t="s">
        <v>81</v>
      </c>
      <c r="W4" s="59" t="s">
        <v>86</v>
      </c>
      <c r="X4" s="49" t="s">
        <v>84</v>
      </c>
      <c r="Y4" s="50" t="s">
        <v>81</v>
      </c>
      <c r="Z4" s="59" t="s">
        <v>86</v>
      </c>
      <c r="AA4" s="49" t="s">
        <v>84</v>
      </c>
      <c r="AB4" s="50" t="s">
        <v>81</v>
      </c>
      <c r="AC4" s="59" t="s">
        <v>86</v>
      </c>
      <c r="AD4" s="49" t="s">
        <v>84</v>
      </c>
      <c r="AE4" s="50" t="s">
        <v>81</v>
      </c>
      <c r="AF4" s="59" t="s">
        <v>86</v>
      </c>
      <c r="AG4" s="49" t="s">
        <v>84</v>
      </c>
      <c r="AH4" s="50" t="s">
        <v>81</v>
      </c>
      <c r="AI4" s="59" t="s">
        <v>86</v>
      </c>
      <c r="AJ4" s="49" t="s">
        <v>84</v>
      </c>
      <c r="AK4" s="50" t="s">
        <v>81</v>
      </c>
      <c r="AL4" s="59" t="s">
        <v>86</v>
      </c>
      <c r="AM4" s="49" t="s">
        <v>84</v>
      </c>
      <c r="AN4" s="50" t="s">
        <v>81</v>
      </c>
      <c r="AO4" s="59" t="s">
        <v>86</v>
      </c>
    </row>
    <row r="5" spans="1:44" ht="14.25" customHeight="1" x14ac:dyDescent="0.2">
      <c r="A5" s="84" t="s">
        <v>66</v>
      </c>
      <c r="B5" s="90" t="s">
        <v>132</v>
      </c>
      <c r="C5" s="92">
        <v>17228900917</v>
      </c>
      <c r="D5" s="63">
        <f>SUM('Additional 25K H_EX'!C5+'25K TPP EX'!C5+'10% Non-Homestead'!C5+'Portability Impact'!C5)</f>
        <v>2270008972</v>
      </c>
      <c r="E5" s="85">
        <f>D5/C5</f>
        <v>0.13175587827312596</v>
      </c>
      <c r="F5" s="92">
        <v>16184501452</v>
      </c>
      <c r="G5" s="63">
        <f>SUM('Additional 25K H_EX'!E5+'25K TPP EX'!E5+'10% Non-Homestead'!E5+'Portability Impact'!E5)</f>
        <v>1957074006</v>
      </c>
      <c r="H5" s="85">
        <f>G5/F5</f>
        <v>0.12092272423740025</v>
      </c>
      <c r="I5" s="92">
        <v>15257672680</v>
      </c>
      <c r="J5" s="63">
        <f>SUM('Additional 25K H_EX'!G5+'25K TPP EX'!G5+'10% Non-Homestead'!G5+'Portability Impact'!G5)</f>
        <v>2143566962</v>
      </c>
      <c r="K5" s="85">
        <f>J5/I5</f>
        <v>0.14049108320496492</v>
      </c>
      <c r="L5" s="92">
        <v>14253438005</v>
      </c>
      <c r="M5" s="63">
        <f>SUM('Additional 25K H_EX'!I5+'25K TPP EX'!I5+'10% Non-Homestead'!I5+'Portability Impact'!I5)</f>
        <v>2068993158</v>
      </c>
      <c r="N5" s="85">
        <f t="shared" ref="N5:N68" si="0">M5/L5</f>
        <v>0.14515748111257176</v>
      </c>
      <c r="O5" s="92">
        <v>13581048400</v>
      </c>
      <c r="P5" s="63">
        <f>SUM('Additional 25K H_EX'!K5+'25K TPP EX'!K5+'10% Non-Homestead'!K5+'Portability Impact'!K5)</f>
        <v>1825595523</v>
      </c>
      <c r="Q5" s="85">
        <f t="shared" ref="Q5:Q69" si="1">P5/O5</f>
        <v>0.13442228237696288</v>
      </c>
      <c r="R5" s="92">
        <v>12606261456</v>
      </c>
      <c r="S5" s="63">
        <f>SUM('Additional 25K H_EX'!M5+'25K TPP EX'!M5+'10% Non-Homestead'!M5+'Portability Impact'!M5)</f>
        <v>1313390230</v>
      </c>
      <c r="T5" s="85">
        <f t="shared" ref="T5:T69" si="2">S5/R5</f>
        <v>0.10418554577692712</v>
      </c>
      <c r="U5" s="92">
        <v>12103270196</v>
      </c>
      <c r="V5" s="63">
        <f>SUM('Additional 25K H_EX'!O5+'25K TPP EX'!O5+'10% Non-Homestead'!O5+'Portability Impact'!O5)</f>
        <v>1167928679</v>
      </c>
      <c r="W5" s="85">
        <f t="shared" ref="W5:W69" si="3">V5/U5</f>
        <v>9.6496951657411387E-2</v>
      </c>
      <c r="X5" s="92">
        <v>11791403268</v>
      </c>
      <c r="Y5" s="63">
        <f>SUM('Additional 25K H_EX'!Q5+'25K TPP EX'!Q5+'10% Non-Homestead'!Q5+'Portability Impact'!Q5)</f>
        <v>1145830953</v>
      </c>
      <c r="Z5" s="85">
        <f>Y5/X5</f>
        <v>9.717511367875982E-2</v>
      </c>
      <c r="AA5" s="92">
        <v>11239983061</v>
      </c>
      <c r="AB5" s="63">
        <f>SUM('Additional 25K H_EX'!S5+'25K TPP EX'!S5+'10% Non-Homestead'!S5+'Portability Impact'!S5)</f>
        <v>1260002052</v>
      </c>
      <c r="AC5" s="85">
        <f>AB5/AA5</f>
        <v>0.11209999562827633</v>
      </c>
      <c r="AD5" s="92">
        <v>11186774393</v>
      </c>
      <c r="AE5" s="63">
        <f>SUM('Additional 25K H_EX'!U5+'25K TPP EX'!U5+'10% Non-Homestead'!U5+'Portability Impact'!U5)</f>
        <v>1119158527</v>
      </c>
      <c r="AF5" s="85">
        <f>AE5/AD5</f>
        <v>0.10004300504176619</v>
      </c>
      <c r="AG5" s="92">
        <v>11610636972</v>
      </c>
      <c r="AH5" s="63">
        <f>SUM('Additional 25K H_EX'!W5+'25K TPP EX'!W5+'10% Non-Homestead'!W5+'Portability Impact'!W5)</f>
        <v>1151346710</v>
      </c>
      <c r="AI5" s="85">
        <f>AH5/AG5</f>
        <v>9.916309611406908E-2</v>
      </c>
      <c r="AJ5" s="92">
        <v>12052898624</v>
      </c>
      <c r="AK5" s="63">
        <f>SUM('Additional 25K H_EX'!Y5+'25K TPP EX'!Y5+'10% Non-Homestead'!Y5+'Portability Impact'!Y5)</f>
        <v>1215353145</v>
      </c>
      <c r="AL5" s="85">
        <f t="shared" ref="AL5:AL27" si="4">AK5/AJ5</f>
        <v>0.1008349263454321</v>
      </c>
      <c r="AM5" s="92">
        <v>12558830292</v>
      </c>
      <c r="AN5" s="63">
        <f>SUM('Additional 25K H_EX'!AA5+'25K TPP EX'!AA5+'10% Non-Homestead'!AA5+'Portability Impact'!AA5)</f>
        <v>1275091360</v>
      </c>
      <c r="AO5" s="85">
        <f t="shared" ref="AO5:AO68" si="5">AN5/AM5</f>
        <v>0.10152946813942025</v>
      </c>
      <c r="AP5" s="24"/>
      <c r="AQ5" s="24"/>
      <c r="AR5" s="24"/>
    </row>
    <row r="6" spans="1:44" ht="14.25" customHeight="1" x14ac:dyDescent="0.2">
      <c r="A6" s="84" t="s">
        <v>65</v>
      </c>
      <c r="B6" s="90" t="s">
        <v>133</v>
      </c>
      <c r="C6" s="92">
        <v>1124579841</v>
      </c>
      <c r="D6" s="63">
        <f>SUM('Additional 25K H_EX'!C6+'25K TPP EX'!C6+'10% Non-Homestead'!C6+'Portability Impact'!C6)</f>
        <v>143032458</v>
      </c>
      <c r="E6" s="85">
        <f t="shared" ref="E6:E69" si="6">D6/C6</f>
        <v>0.12718746396237418</v>
      </c>
      <c r="F6" s="92">
        <v>1026085614</v>
      </c>
      <c r="G6" s="63">
        <f>SUM('Additional 25K H_EX'!E6+'25K TPP EX'!E6+'10% Non-Homestead'!E6+'Portability Impact'!E6)</f>
        <v>136356591</v>
      </c>
      <c r="H6" s="85">
        <f t="shared" ref="H6:H69" si="7">G6/F6</f>
        <v>0.1328900718804932</v>
      </c>
      <c r="I6" s="92">
        <v>952001327</v>
      </c>
      <c r="J6" s="63">
        <f>SUM('Additional 25K H_EX'!G6+'25K TPP EX'!G6+'10% Non-Homestead'!G6+'Portability Impact'!G6)</f>
        <v>124055087</v>
      </c>
      <c r="K6" s="85">
        <f t="shared" ref="K6:K69" si="8">J6/I6</f>
        <v>0.13030978369634141</v>
      </c>
      <c r="L6" s="92">
        <v>890720067</v>
      </c>
      <c r="M6" s="63">
        <f>SUM('Additional 25K H_EX'!I6+'25K TPP EX'!I6+'10% Non-Homestead'!I6+'Portability Impact'!I6)</f>
        <v>115616304</v>
      </c>
      <c r="N6" s="85">
        <f t="shared" si="0"/>
        <v>0.12980094227516714</v>
      </c>
      <c r="O6" s="92">
        <v>840223080</v>
      </c>
      <c r="P6" s="63">
        <f>SUM('Additional 25K H_EX'!K6+'25K TPP EX'!K6+'10% Non-Homestead'!K6+'Portability Impact'!K6)</f>
        <v>109253281</v>
      </c>
      <c r="Q6" s="85">
        <f t="shared" si="1"/>
        <v>0.13002889780175997</v>
      </c>
      <c r="R6" s="92">
        <v>807691673</v>
      </c>
      <c r="S6" s="63">
        <f>SUM('Additional 25K H_EX'!M6+'25K TPP EX'!M6+'10% Non-Homestead'!M6+'Portability Impact'!M6)</f>
        <v>104384602</v>
      </c>
      <c r="T6" s="85">
        <f t="shared" si="2"/>
        <v>0.12923818022325953</v>
      </c>
      <c r="U6" s="92">
        <v>777186107</v>
      </c>
      <c r="V6" s="63">
        <f>SUM('Additional 25K H_EX'!O6+'25K TPP EX'!O6+'10% Non-Homestead'!O6+'Portability Impact'!O6)</f>
        <v>100463876</v>
      </c>
      <c r="W6" s="85">
        <f t="shared" si="3"/>
        <v>0.12926617588134523</v>
      </c>
      <c r="X6" s="92">
        <v>770117554</v>
      </c>
      <c r="Y6" s="63">
        <f>SUM('Additional 25K H_EX'!Q6+'25K TPP EX'!Q6+'10% Non-Homestead'!Q6+'Portability Impact'!Q6)</f>
        <v>100688284</v>
      </c>
      <c r="Z6" s="85">
        <f t="shared" ref="Z6:Z69" si="9">Y6/X6</f>
        <v>0.13074404482409707</v>
      </c>
      <c r="AA6" s="92">
        <v>749596354</v>
      </c>
      <c r="AB6" s="63">
        <f>SUM('Additional 25K H_EX'!S6+'25K TPP EX'!S6+'10% Non-Homestead'!S6+'Portability Impact'!S6)</f>
        <v>97650802</v>
      </c>
      <c r="AC6" s="85">
        <f t="shared" ref="AC6:AC69" si="10">AB6/AA6</f>
        <v>0.13027118058794612</v>
      </c>
      <c r="AD6" s="92">
        <v>745566250</v>
      </c>
      <c r="AE6" s="63">
        <f>SUM('Additional 25K H_EX'!U6+'25K TPP EX'!U6+'10% Non-Homestead'!U6+'Portability Impact'!U6)</f>
        <v>98198058</v>
      </c>
      <c r="AF6" s="85">
        <f t="shared" ref="AF6:AF69" si="11">AE6/AD6</f>
        <v>0.13170936586788901</v>
      </c>
      <c r="AG6" s="92">
        <v>775833785</v>
      </c>
      <c r="AH6" s="63">
        <f>SUM('Additional 25K H_EX'!W6+'25K TPP EX'!W6+'10% Non-Homestead'!W6+'Portability Impact'!W6)</f>
        <v>104636652</v>
      </c>
      <c r="AI6" s="85">
        <f t="shared" ref="AI6:AI69" si="12">AH6/AG6</f>
        <v>0.134869934801821</v>
      </c>
      <c r="AJ6" s="92">
        <v>802336380</v>
      </c>
      <c r="AK6" s="63">
        <f>SUM('Additional 25K H_EX'!Y6+'25K TPP EX'!Y6+'10% Non-Homestead'!Y6+'Portability Impact'!Y6)</f>
        <v>103715736</v>
      </c>
      <c r="AL6" s="85">
        <f t="shared" si="4"/>
        <v>0.12926714852441318</v>
      </c>
      <c r="AM6" s="92">
        <v>807815246</v>
      </c>
      <c r="AN6" s="63">
        <f>SUM('Additional 25K H_EX'!AA6+'25K TPP EX'!AA6+'10% Non-Homestead'!AA6+'Portability Impact'!AA6)</f>
        <v>107274484</v>
      </c>
      <c r="AO6" s="85">
        <f t="shared" si="5"/>
        <v>0.13279581504704605</v>
      </c>
      <c r="AP6" s="24"/>
      <c r="AQ6" s="24"/>
      <c r="AR6" s="24"/>
    </row>
    <row r="7" spans="1:44" ht="14.25" customHeight="1" x14ac:dyDescent="0.2">
      <c r="A7" s="84" t="s">
        <v>64</v>
      </c>
      <c r="B7" s="90" t="s">
        <v>132</v>
      </c>
      <c r="C7" s="92">
        <v>19438620300</v>
      </c>
      <c r="D7" s="63">
        <f>SUM('Additional 25K H_EX'!C7+'25K TPP EX'!C7+'10% Non-Homestead'!C7+'Portability Impact'!C7)</f>
        <v>1621589936</v>
      </c>
      <c r="E7" s="85">
        <f t="shared" si="6"/>
        <v>8.3421040741250549E-2</v>
      </c>
      <c r="F7" s="92">
        <v>17527161860</v>
      </c>
      <c r="G7" s="63">
        <f>SUM('Additional 25K H_EX'!E7+'25K TPP EX'!E7+'10% Non-Homestead'!E7+'Portability Impact'!E7)</f>
        <v>1361552088</v>
      </c>
      <c r="H7" s="85">
        <f t="shared" si="7"/>
        <v>7.7682405107885502E-2</v>
      </c>
      <c r="I7" s="92">
        <v>16050988505</v>
      </c>
      <c r="J7" s="63">
        <f>SUM('Additional 25K H_EX'!G7+'25K TPP EX'!G7+'10% Non-Homestead'!G7+'Portability Impact'!G7)</f>
        <v>1156684986</v>
      </c>
      <c r="K7" s="85">
        <f t="shared" si="8"/>
        <v>7.2063162068783757E-2</v>
      </c>
      <c r="L7" s="92">
        <v>16433018703</v>
      </c>
      <c r="M7" s="63">
        <f>SUM('Additional 25K H_EX'!I7+'25K TPP EX'!I7+'10% Non-Homestead'!I7+'Portability Impact'!I7)</f>
        <v>1157314535</v>
      </c>
      <c r="N7" s="85">
        <f t="shared" si="0"/>
        <v>7.0426167943734005E-2</v>
      </c>
      <c r="O7" s="92">
        <v>15615281639</v>
      </c>
      <c r="P7" s="63">
        <f>SUM('Additional 25K H_EX'!K7+'25K TPP EX'!K7+'10% Non-Homestead'!K7+'Portability Impact'!K7)</f>
        <v>1096177878</v>
      </c>
      <c r="Q7" s="85">
        <f t="shared" si="1"/>
        <v>7.0199046251092731E-2</v>
      </c>
      <c r="R7" s="92">
        <v>15129564922</v>
      </c>
      <c r="S7" s="63">
        <f>SUM('Additional 25K H_EX'!M7+'25K TPP EX'!M7+'10% Non-Homestead'!M7+'Portability Impact'!M7)</f>
        <v>1023402411</v>
      </c>
      <c r="T7" s="85">
        <f t="shared" si="2"/>
        <v>6.764255391851115E-2</v>
      </c>
      <c r="U7" s="92">
        <v>14637979228</v>
      </c>
      <c r="V7" s="63">
        <f>SUM('Additional 25K H_EX'!O7+'25K TPP EX'!O7+'10% Non-Homestead'!O7+'Portability Impact'!O7)</f>
        <v>1039002580</v>
      </c>
      <c r="W7" s="85">
        <f t="shared" si="3"/>
        <v>7.0979919004978659E-2</v>
      </c>
      <c r="X7" s="92">
        <v>14190043326</v>
      </c>
      <c r="Y7" s="63">
        <f>SUM('Additional 25K H_EX'!Q7+'25K TPP EX'!Q7+'10% Non-Homestead'!Q7+'Portability Impact'!Q7)</f>
        <v>1022696958</v>
      </c>
      <c r="Z7" s="85">
        <f t="shared" si="9"/>
        <v>7.207144717635515E-2</v>
      </c>
      <c r="AA7" s="92">
        <v>13944111814</v>
      </c>
      <c r="AB7" s="63">
        <f>SUM('Additional 25K H_EX'!S7+'25K TPP EX'!S7+'10% Non-Homestead'!S7+'Portability Impact'!S7)</f>
        <v>982103345</v>
      </c>
      <c r="AC7" s="85">
        <f t="shared" si="10"/>
        <v>7.043140202117143E-2</v>
      </c>
      <c r="AD7" s="92">
        <v>13720932291</v>
      </c>
      <c r="AE7" s="63">
        <f>SUM('Additional 25K H_EX'!U7+'25K TPP EX'!U7+'10% Non-Homestead'!U7+'Portability Impact'!U7)</f>
        <v>983300528</v>
      </c>
      <c r="AF7" s="85">
        <f t="shared" si="11"/>
        <v>7.1664265018272735E-2</v>
      </c>
      <c r="AG7" s="92">
        <v>14237124084</v>
      </c>
      <c r="AH7" s="63">
        <f>SUM('Additional 25K H_EX'!W7+'25K TPP EX'!W7+'10% Non-Homestead'!W7+'Portability Impact'!W7)</f>
        <v>990468690</v>
      </c>
      <c r="AI7" s="85">
        <f t="shared" si="12"/>
        <v>6.9569435804321678E-2</v>
      </c>
      <c r="AJ7" s="92">
        <v>15070375927</v>
      </c>
      <c r="AK7" s="63">
        <f>SUM('Additional 25K H_EX'!Y7+'25K TPP EX'!Y7+'10% Non-Homestead'!Y7+'Portability Impact'!Y7)</f>
        <v>1066267726</v>
      </c>
      <c r="AL7" s="85">
        <f t="shared" si="4"/>
        <v>7.0752563251569645E-2</v>
      </c>
      <c r="AM7" s="92">
        <v>16100957751</v>
      </c>
      <c r="AN7" s="63">
        <f>SUM('Additional 25K H_EX'!AA7+'25K TPP EX'!AA7+'10% Non-Homestead'!AA7+'Portability Impact'!AA7)</f>
        <v>1031809347</v>
      </c>
      <c r="AO7" s="85">
        <f t="shared" si="5"/>
        <v>6.4083724891205077E-2</v>
      </c>
      <c r="AP7" s="24"/>
      <c r="AQ7" s="24"/>
      <c r="AR7" s="24"/>
    </row>
    <row r="8" spans="1:44" ht="14.25" customHeight="1" x14ac:dyDescent="0.2">
      <c r="A8" s="84" t="s">
        <v>63</v>
      </c>
      <c r="B8" s="90" t="s">
        <v>133</v>
      </c>
      <c r="C8" s="92">
        <v>1086979460</v>
      </c>
      <c r="D8" s="63">
        <f>SUM('Additional 25K H_EX'!C8+'25K TPP EX'!C8+'10% Non-Homestead'!C8+'Portability Impact'!C8)</f>
        <v>121450078</v>
      </c>
      <c r="E8" s="85">
        <f t="shared" si="6"/>
        <v>0.111731713863296</v>
      </c>
      <c r="F8" s="92">
        <v>1033358392</v>
      </c>
      <c r="G8" s="63">
        <f>SUM('Additional 25K H_EX'!E8+'25K TPP EX'!E8+'10% Non-Homestead'!E8+'Portability Impact'!E8)</f>
        <v>111513720</v>
      </c>
      <c r="H8" s="85">
        <f t="shared" si="7"/>
        <v>0.10791388627925325</v>
      </c>
      <c r="I8" s="92">
        <v>960788697</v>
      </c>
      <c r="J8" s="63">
        <f>SUM('Additional 25K H_EX'!G8+'25K TPP EX'!G8+'10% Non-Homestead'!G8+'Portability Impact'!G8)</f>
        <v>106317372</v>
      </c>
      <c r="K8" s="85">
        <f t="shared" si="8"/>
        <v>0.11065635173682731</v>
      </c>
      <c r="L8" s="92">
        <v>929061310</v>
      </c>
      <c r="M8" s="63">
        <f>SUM('Additional 25K H_EX'!I8+'25K TPP EX'!I8+'10% Non-Homestead'!I8+'Portability Impact'!I8)</f>
        <v>102205670</v>
      </c>
      <c r="N8" s="85">
        <f t="shared" si="0"/>
        <v>0.11000960743914737</v>
      </c>
      <c r="O8" s="92">
        <v>895134697</v>
      </c>
      <c r="P8" s="63">
        <f>SUM('Additional 25K H_EX'!K8+'25K TPP EX'!K8+'10% Non-Homestead'!K8+'Portability Impact'!K8)</f>
        <v>98113015</v>
      </c>
      <c r="Q8" s="85">
        <f t="shared" si="1"/>
        <v>0.10960698465696946</v>
      </c>
      <c r="R8" s="92">
        <v>875631893</v>
      </c>
      <c r="S8" s="63">
        <f>SUM('Additional 25K H_EX'!M8+'25K TPP EX'!M8+'10% Non-Homestead'!M8+'Portability Impact'!M8)</f>
        <v>93735045</v>
      </c>
      <c r="T8" s="85">
        <f t="shared" si="2"/>
        <v>0.10704845923194349</v>
      </c>
      <c r="U8" s="92">
        <v>855802803</v>
      </c>
      <c r="V8" s="63">
        <f>SUM('Additional 25K H_EX'!O8+'25K TPP EX'!O8+'10% Non-Homestead'!O8+'Portability Impact'!O8)</f>
        <v>91673785</v>
      </c>
      <c r="W8" s="85">
        <f t="shared" si="3"/>
        <v>0.10712022054454523</v>
      </c>
      <c r="X8" s="92">
        <v>829117834</v>
      </c>
      <c r="Y8" s="63">
        <f>SUM('Additional 25K H_EX'!Q8+'25K TPP EX'!Q8+'10% Non-Homestead'!Q8+'Portability Impact'!Q8)</f>
        <v>91780857</v>
      </c>
      <c r="Z8" s="85">
        <f t="shared" si="9"/>
        <v>0.11069700015643373</v>
      </c>
      <c r="AA8" s="92">
        <v>817407350</v>
      </c>
      <c r="AB8" s="63">
        <f>SUM('Additional 25K H_EX'!S8+'25K TPP EX'!S8+'10% Non-Homestead'!S8+'Portability Impact'!S8)</f>
        <v>90224350</v>
      </c>
      <c r="AC8" s="85">
        <f t="shared" si="10"/>
        <v>0.11037868695455209</v>
      </c>
      <c r="AD8" s="92">
        <v>817229276</v>
      </c>
      <c r="AE8" s="63">
        <f>SUM('Additional 25K H_EX'!U8+'25K TPP EX'!U8+'10% Non-Homestead'!U8+'Portability Impact'!U8)</f>
        <v>93170893</v>
      </c>
      <c r="AF8" s="85">
        <f t="shared" si="11"/>
        <v>0.11400826639010421</v>
      </c>
      <c r="AG8" s="92">
        <v>830580274</v>
      </c>
      <c r="AH8" s="63">
        <f>SUM('Additional 25K H_EX'!W8+'25K TPP EX'!W8+'10% Non-Homestead'!W8+'Portability Impact'!W8)</f>
        <v>95708377</v>
      </c>
      <c r="AI8" s="85">
        <f t="shared" si="12"/>
        <v>0.11523073686674143</v>
      </c>
      <c r="AJ8" s="92">
        <v>846871177</v>
      </c>
      <c r="AK8" s="63">
        <f>SUM('Additional 25K H_EX'!Y8+'25K TPP EX'!Y8+'10% Non-Homestead'!Y8+'Portability Impact'!Y8)</f>
        <v>97779769</v>
      </c>
      <c r="AL8" s="85">
        <f t="shared" si="4"/>
        <v>0.11546002704493979</v>
      </c>
      <c r="AM8" s="92">
        <v>856965433</v>
      </c>
      <c r="AN8" s="63">
        <f>SUM('Additional 25K H_EX'!AA8+'25K TPP EX'!AA8+'10% Non-Homestead'!AA8+'Portability Impact'!AA8)</f>
        <v>97784657</v>
      </c>
      <c r="AO8" s="85">
        <f t="shared" si="5"/>
        <v>0.11410571912764654</v>
      </c>
      <c r="AP8" s="24"/>
      <c r="AQ8" s="24"/>
      <c r="AR8" s="24"/>
    </row>
    <row r="9" spans="1:44" ht="14.25" customHeight="1" x14ac:dyDescent="0.2">
      <c r="A9" s="84" t="s">
        <v>62</v>
      </c>
      <c r="B9" s="90" t="s">
        <v>132</v>
      </c>
      <c r="C9" s="92">
        <v>46975130599</v>
      </c>
      <c r="D9" s="63">
        <f>SUM('Additional 25K H_EX'!C9+'25K TPP EX'!C9+'10% Non-Homestead'!C9+'Portability Impact'!C9)</f>
        <v>5353890537</v>
      </c>
      <c r="E9" s="85">
        <f t="shared" si="6"/>
        <v>0.11397287178833246</v>
      </c>
      <c r="F9" s="92">
        <v>43803472075</v>
      </c>
      <c r="G9" s="63">
        <f>SUM('Additional 25K H_EX'!E9+'25K TPP EX'!E9+'10% Non-Homestead'!E9+'Portability Impact'!E9)</f>
        <v>5816520031</v>
      </c>
      <c r="H9" s="85">
        <f t="shared" si="7"/>
        <v>0.13278673482871392</v>
      </c>
      <c r="I9" s="92">
        <v>40742328549</v>
      </c>
      <c r="J9" s="63">
        <f>SUM('Additional 25K H_EX'!G9+'25K TPP EX'!G9+'10% Non-Homestead'!G9+'Portability Impact'!G9)</f>
        <v>5077779529</v>
      </c>
      <c r="K9" s="85">
        <f t="shared" si="8"/>
        <v>0.12463154929628173</v>
      </c>
      <c r="L9" s="92">
        <v>37698498609</v>
      </c>
      <c r="M9" s="63">
        <f>SUM('Additional 25K H_EX'!I9+'25K TPP EX'!I9+'10% Non-Homestead'!I9+'Portability Impact'!I9)</f>
        <v>4855982360</v>
      </c>
      <c r="N9" s="85">
        <f t="shared" si="0"/>
        <v>0.12881102800313382</v>
      </c>
      <c r="O9" s="92">
        <v>34564221486</v>
      </c>
      <c r="P9" s="63">
        <f>SUM('Additional 25K H_EX'!K9+'25K TPP EX'!K9+'10% Non-Homestead'!K9+'Portability Impact'!K9)</f>
        <v>4634778421</v>
      </c>
      <c r="Q9" s="85">
        <f t="shared" si="1"/>
        <v>0.13409179266130108</v>
      </c>
      <c r="R9" s="92">
        <v>31906496454</v>
      </c>
      <c r="S9" s="63">
        <f>SUM('Additional 25K H_EX'!M9+'25K TPP EX'!M9+'10% Non-Homestead'!M9+'Portability Impact'!M9)</f>
        <v>3828787071</v>
      </c>
      <c r="T9" s="85">
        <f t="shared" si="2"/>
        <v>0.12000023495277869</v>
      </c>
      <c r="U9" s="92">
        <v>29651180137</v>
      </c>
      <c r="V9" s="63">
        <f>SUM('Additional 25K H_EX'!O9+'25K TPP EX'!O9+'10% Non-Homestead'!O9+'Portability Impact'!O9)</f>
        <v>3464540573</v>
      </c>
      <c r="W9" s="85">
        <f t="shared" si="3"/>
        <v>0.11684326077385362</v>
      </c>
      <c r="X9" s="92">
        <v>27982368405</v>
      </c>
      <c r="Y9" s="63">
        <f>SUM('Additional 25K H_EX'!Q9+'25K TPP EX'!Q9+'10% Non-Homestead'!Q9+'Portability Impact'!Q9)</f>
        <v>3229920243</v>
      </c>
      <c r="Z9" s="85">
        <f t="shared" si="9"/>
        <v>0.11542697874075823</v>
      </c>
      <c r="AA9" s="92">
        <v>25739437801</v>
      </c>
      <c r="AB9" s="63">
        <f>SUM('Additional 25K H_EX'!S9+'25K TPP EX'!S9+'10% Non-Homestead'!S9+'Portability Impact'!S9)</f>
        <v>2919342960</v>
      </c>
      <c r="AC9" s="85">
        <f t="shared" si="10"/>
        <v>0.11341906464975629</v>
      </c>
      <c r="AD9" s="92">
        <v>24622309982</v>
      </c>
      <c r="AE9" s="63">
        <f>SUM('Additional 25K H_EX'!U9+'25K TPP EX'!U9+'10% Non-Homestead'!U9+'Portability Impact'!U9)</f>
        <v>2802155215</v>
      </c>
      <c r="AF9" s="85">
        <f t="shared" si="11"/>
        <v>0.11380553721598419</v>
      </c>
      <c r="AG9" s="92">
        <v>24875931599</v>
      </c>
      <c r="AH9" s="63">
        <f>SUM('Additional 25K H_EX'!W9+'25K TPP EX'!W9+'10% Non-Homestead'!W9+'Portability Impact'!W9)</f>
        <v>2897108973</v>
      </c>
      <c r="AI9" s="85">
        <f t="shared" si="12"/>
        <v>0.11646233072599631</v>
      </c>
      <c r="AJ9" s="92">
        <v>29075661832</v>
      </c>
      <c r="AK9" s="63">
        <f>SUM('Additional 25K H_EX'!Y9+'25K TPP EX'!Y9+'10% Non-Homestead'!Y9+'Portability Impact'!Y9)</f>
        <v>3289137207</v>
      </c>
      <c r="AL9" s="85">
        <f t="shared" si="4"/>
        <v>0.11312338222960248</v>
      </c>
      <c r="AM9" s="92">
        <v>33298150445</v>
      </c>
      <c r="AN9" s="63">
        <f>SUM('Additional 25K H_EX'!AA9+'25K TPP EX'!AA9+'10% Non-Homestead'!AA9+'Portability Impact'!AA9)</f>
        <v>3449370171</v>
      </c>
      <c r="AO9" s="85">
        <f t="shared" si="5"/>
        <v>0.10359044346013976</v>
      </c>
      <c r="AP9" s="24"/>
      <c r="AQ9" s="24"/>
      <c r="AR9" s="24"/>
    </row>
    <row r="10" spans="1:44" ht="14.25" customHeight="1" x14ac:dyDescent="0.2">
      <c r="A10" s="84" t="s">
        <v>61</v>
      </c>
      <c r="B10" s="90" t="s">
        <v>132</v>
      </c>
      <c r="C10" s="92">
        <v>221522571655</v>
      </c>
      <c r="D10" s="63">
        <f>SUM('Additional 25K H_EX'!C10+'25K TPP EX'!C10+'10% Non-Homestead'!C10+'Portability Impact'!C10)</f>
        <v>16513189016</v>
      </c>
      <c r="E10" s="85">
        <f t="shared" si="6"/>
        <v>7.4544047103776392E-2</v>
      </c>
      <c r="F10" s="92">
        <v>209533224342</v>
      </c>
      <c r="G10" s="63">
        <f>SUM('Additional 25K H_EX'!E10+'25K TPP EX'!E10+'10% Non-Homestead'!E10+'Portability Impact'!E10)</f>
        <v>16110845563</v>
      </c>
      <c r="H10" s="85">
        <f t="shared" si="7"/>
        <v>7.6889217037503746E-2</v>
      </c>
      <c r="I10" s="92">
        <v>199031547482</v>
      </c>
      <c r="J10" s="63">
        <f>SUM('Additional 25K H_EX'!G10+'25K TPP EX'!G10+'10% Non-Homestead'!G10+'Portability Impact'!G10)</f>
        <v>16762280471</v>
      </c>
      <c r="K10" s="85">
        <f t="shared" si="8"/>
        <v>8.4219213903845805E-2</v>
      </c>
      <c r="L10" s="92">
        <v>187787051235</v>
      </c>
      <c r="M10" s="63">
        <f>SUM('Additional 25K H_EX'!I10+'25K TPP EX'!I10+'10% Non-Homestead'!I10+'Portability Impact'!I10)</f>
        <v>16328303187</v>
      </c>
      <c r="N10" s="85">
        <f t="shared" si="0"/>
        <v>8.6951166651882059E-2</v>
      </c>
      <c r="O10" s="92">
        <v>177102876979</v>
      </c>
      <c r="P10" s="63">
        <f>SUM('Additional 25K H_EX'!K10+'25K TPP EX'!K10+'10% Non-Homestead'!K10+'Portability Impact'!K10)</f>
        <v>17227899572</v>
      </c>
      <c r="Q10" s="85">
        <f t="shared" si="1"/>
        <v>9.7276226484128772E-2</v>
      </c>
      <c r="R10" s="92">
        <v>162143969028</v>
      </c>
      <c r="S10" s="63">
        <f>SUM('Additional 25K H_EX'!M10+'25K TPP EX'!M10+'10% Non-Homestead'!M10+'Portability Impact'!M10)</f>
        <v>16636339804</v>
      </c>
      <c r="T10" s="85">
        <f t="shared" si="2"/>
        <v>0.10260227317568091</v>
      </c>
      <c r="U10" s="92">
        <v>149774682202</v>
      </c>
      <c r="V10" s="63">
        <f>SUM('Additional 25K H_EX'!O10+'25K TPP EX'!O10+'10% Non-Homestead'!O10+'Portability Impact'!O10)</f>
        <v>14972784356</v>
      </c>
      <c r="W10" s="85">
        <f t="shared" si="3"/>
        <v>9.9968727263305537E-2</v>
      </c>
      <c r="X10" s="92">
        <v>139401195926</v>
      </c>
      <c r="Y10" s="63">
        <f>SUM('Additional 25K H_EX'!Q10+'25K TPP EX'!Q10+'10% Non-Homestead'!Q10+'Portability Impact'!Q10)</f>
        <v>13452480240</v>
      </c>
      <c r="Z10" s="85">
        <f t="shared" si="9"/>
        <v>9.6501899791025761E-2</v>
      </c>
      <c r="AA10" s="92">
        <v>130735966888</v>
      </c>
      <c r="AB10" s="63">
        <f>SUM('Additional 25K H_EX'!S10+'25K TPP EX'!S10+'10% Non-Homestead'!S10+'Portability Impact'!S10)</f>
        <v>10761022187</v>
      </c>
      <c r="AC10" s="85">
        <f t="shared" si="10"/>
        <v>8.2311107212132709E-2</v>
      </c>
      <c r="AD10" s="92">
        <v>125760535139</v>
      </c>
      <c r="AE10" s="63">
        <f>SUM('Additional 25K H_EX'!U10+'25K TPP EX'!U10+'10% Non-Homestead'!U10+'Portability Impact'!U10)</f>
        <v>10365548894</v>
      </c>
      <c r="AF10" s="85">
        <f t="shared" si="11"/>
        <v>8.2422907015648555E-2</v>
      </c>
      <c r="AG10" s="92">
        <v>124478201073</v>
      </c>
      <c r="AH10" s="63">
        <f>SUM('Additional 25K H_EX'!W10+'25K TPP EX'!W10+'10% Non-Homestead'!W10+'Portability Impact'!W10)</f>
        <v>10121399616</v>
      </c>
      <c r="AI10" s="85">
        <f t="shared" si="12"/>
        <v>8.1310619279148524E-2</v>
      </c>
      <c r="AJ10" s="92">
        <v>126976299960</v>
      </c>
      <c r="AK10" s="63">
        <f>SUM('Additional 25K H_EX'!Y10+'25K TPP EX'!Y10+'10% Non-Homestead'!Y10+'Portability Impact'!Y10)</f>
        <v>10008251518</v>
      </c>
      <c r="AL10" s="85">
        <f t="shared" si="4"/>
        <v>7.8819838986903798E-2</v>
      </c>
      <c r="AM10" s="92">
        <v>145942238249</v>
      </c>
      <c r="AN10" s="63">
        <f>SUM('Additional 25K H_EX'!AA10+'25K TPP EX'!AA10+'10% Non-Homestead'!AA10+'Portability Impact'!AA10)</f>
        <v>10784005968</v>
      </c>
      <c r="AO10" s="85">
        <f t="shared" si="5"/>
        <v>7.3892288465528533E-2</v>
      </c>
      <c r="AP10" s="24"/>
      <c r="AQ10" s="24"/>
      <c r="AR10" s="24"/>
    </row>
    <row r="11" spans="1:44" ht="14.25" customHeight="1" x14ac:dyDescent="0.2">
      <c r="A11" s="84" t="s">
        <v>60</v>
      </c>
      <c r="B11" s="90" t="s">
        <v>133</v>
      </c>
      <c r="C11" s="92">
        <v>450980818</v>
      </c>
      <c r="D11" s="63">
        <f>SUM('Additional 25K H_EX'!C11+'25K TPP EX'!C11+'10% Non-Homestead'!C11+'Portability Impact'!C11)</f>
        <v>43910653</v>
      </c>
      <c r="E11" s="85">
        <f t="shared" si="6"/>
        <v>9.736700819057896E-2</v>
      </c>
      <c r="F11" s="92">
        <v>427733108</v>
      </c>
      <c r="G11" s="63">
        <f>SUM('Additional 25K H_EX'!E11+'25K TPP EX'!E11+'10% Non-Homestead'!E11+'Portability Impact'!E11)</f>
        <v>42032107</v>
      </c>
      <c r="H11" s="85">
        <f t="shared" si="7"/>
        <v>9.8267134841476894E-2</v>
      </c>
      <c r="I11" s="92">
        <v>385521820</v>
      </c>
      <c r="J11" s="63">
        <f>SUM('Additional 25K H_EX'!G11+'25K TPP EX'!G11+'10% Non-Homestead'!G11+'Portability Impact'!G11)</f>
        <v>36880050</v>
      </c>
      <c r="K11" s="85">
        <f t="shared" si="8"/>
        <v>9.566267870389282E-2</v>
      </c>
      <c r="L11" s="92">
        <v>409020225</v>
      </c>
      <c r="M11" s="63">
        <f>SUM('Additional 25K H_EX'!I11+'25K TPP EX'!I11+'10% Non-Homestead'!I11+'Portability Impact'!I11)</f>
        <v>40551802</v>
      </c>
      <c r="N11" s="85">
        <f t="shared" si="0"/>
        <v>9.9143757500011157E-2</v>
      </c>
      <c r="O11" s="92">
        <v>407951961</v>
      </c>
      <c r="P11" s="63">
        <f>SUM('Additional 25K H_EX'!K11+'25K TPP EX'!K11+'10% Non-Homestead'!K11+'Portability Impact'!K11)</f>
        <v>39677362</v>
      </c>
      <c r="Q11" s="85">
        <f t="shared" si="1"/>
        <v>9.7259887911165105E-2</v>
      </c>
      <c r="R11" s="92">
        <v>407447269</v>
      </c>
      <c r="S11" s="63">
        <f>SUM('Additional 25K H_EX'!M11+'25K TPP EX'!M11+'10% Non-Homestead'!M11+'Portability Impact'!M11)</f>
        <v>39052170</v>
      </c>
      <c r="T11" s="85">
        <f t="shared" si="2"/>
        <v>9.5845948595620609E-2</v>
      </c>
      <c r="U11" s="92">
        <v>404735692</v>
      </c>
      <c r="V11" s="63">
        <f>SUM('Additional 25K H_EX'!O11+'25K TPP EX'!O11+'10% Non-Homestead'!O11+'Portability Impact'!O11)</f>
        <v>38823752</v>
      </c>
      <c r="W11" s="85">
        <f t="shared" si="3"/>
        <v>9.5923717051373869E-2</v>
      </c>
      <c r="X11" s="92">
        <v>393306434</v>
      </c>
      <c r="Y11" s="63">
        <f>SUM('Additional 25K H_EX'!Q11+'25K TPP EX'!Q11+'10% Non-Homestead'!Q11+'Portability Impact'!Q11)</f>
        <v>38504535</v>
      </c>
      <c r="Z11" s="85">
        <f t="shared" si="9"/>
        <v>9.7899580763024074E-2</v>
      </c>
      <c r="AA11" s="92">
        <v>390232987</v>
      </c>
      <c r="AB11" s="63">
        <f>SUM('Additional 25K H_EX'!S11+'25K TPP EX'!S11+'10% Non-Homestead'!S11+'Portability Impact'!S11)</f>
        <v>39099034</v>
      </c>
      <c r="AC11" s="85">
        <f t="shared" si="10"/>
        <v>0.10019407713474515</v>
      </c>
      <c r="AD11" s="92">
        <v>400395519</v>
      </c>
      <c r="AE11" s="63">
        <f>SUM('Additional 25K H_EX'!U11+'25K TPP EX'!U11+'10% Non-Homestead'!U11+'Portability Impact'!U11)</f>
        <v>39590152</v>
      </c>
      <c r="AF11" s="85">
        <f t="shared" si="11"/>
        <v>9.8877610066360408E-2</v>
      </c>
      <c r="AG11" s="92">
        <v>364441318</v>
      </c>
      <c r="AH11" s="63">
        <f>SUM('Additional 25K H_EX'!W11+'25K TPP EX'!W11+'10% Non-Homestead'!W11+'Portability Impact'!W11)</f>
        <v>39021816</v>
      </c>
      <c r="AI11" s="85">
        <f t="shared" si="12"/>
        <v>0.1070729746400489</v>
      </c>
      <c r="AJ11" s="92">
        <v>363788518</v>
      </c>
      <c r="AK11" s="63">
        <f>SUM('Additional 25K H_EX'!Y11+'25K TPP EX'!Y11+'10% Non-Homestead'!Y11+'Portability Impact'!Y11)</f>
        <v>38615886</v>
      </c>
      <c r="AL11" s="85">
        <f t="shared" si="4"/>
        <v>0.10614927104433791</v>
      </c>
      <c r="AM11" s="92">
        <v>357344105</v>
      </c>
      <c r="AN11" s="63">
        <f>SUM('Additional 25K H_EX'!AA11+'25K TPP EX'!AA11+'10% Non-Homestead'!AA11+'Portability Impact'!AA11)</f>
        <v>35930484</v>
      </c>
      <c r="AO11" s="85">
        <f t="shared" si="5"/>
        <v>0.1005486966127509</v>
      </c>
      <c r="AP11" s="24"/>
      <c r="AQ11" s="24"/>
      <c r="AR11" s="24"/>
    </row>
    <row r="12" spans="1:44" ht="14.25" customHeight="1" x14ac:dyDescent="0.2">
      <c r="A12" s="84" t="s">
        <v>59</v>
      </c>
      <c r="B12" s="90" t="s">
        <v>132</v>
      </c>
      <c r="C12" s="92">
        <v>20179714013</v>
      </c>
      <c r="D12" s="63">
        <f>SUM('Additional 25K H_EX'!C12+'25K TPP EX'!C12+'10% Non-Homestead'!C12+'Portability Impact'!C12)</f>
        <v>2232637319</v>
      </c>
      <c r="E12" s="85">
        <f t="shared" si="6"/>
        <v>0.11063770861974108</v>
      </c>
      <c r="F12" s="92">
        <v>18838045279</v>
      </c>
      <c r="G12" s="63">
        <f>SUM('Additional 25K H_EX'!E12+'25K TPP EX'!E12+'10% Non-Homestead'!E12+'Portability Impact'!E12)</f>
        <v>2004268510</v>
      </c>
      <c r="H12" s="85">
        <f t="shared" si="7"/>
        <v>0.10639471772765559</v>
      </c>
      <c r="I12" s="92">
        <v>17643668832</v>
      </c>
      <c r="J12" s="63">
        <f>SUM('Additional 25K H_EX'!G12+'25K TPP EX'!G12+'10% Non-Homestead'!G12+'Portability Impact'!G12)</f>
        <v>1978479927</v>
      </c>
      <c r="K12" s="85">
        <f t="shared" si="8"/>
        <v>0.11213540368722333</v>
      </c>
      <c r="L12" s="92">
        <v>16435814856</v>
      </c>
      <c r="M12" s="63">
        <f>SUM('Additional 25K H_EX'!I12+'25K TPP EX'!I12+'10% Non-Homestead'!I12+'Portability Impact'!I12)</f>
        <v>2055643099</v>
      </c>
      <c r="N12" s="85">
        <f t="shared" si="0"/>
        <v>0.12507095735807552</v>
      </c>
      <c r="O12" s="92">
        <v>15214557093</v>
      </c>
      <c r="P12" s="63">
        <f>SUM('Additional 25K H_EX'!K12+'25K TPP EX'!K12+'10% Non-Homestead'!K12+'Portability Impact'!K12)</f>
        <v>1944909271</v>
      </c>
      <c r="Q12" s="85">
        <f t="shared" si="1"/>
        <v>0.12783213202406168</v>
      </c>
      <c r="R12" s="92">
        <v>14004316687</v>
      </c>
      <c r="S12" s="63">
        <f>SUM('Additional 25K H_EX'!M12+'25K TPP EX'!M12+'10% Non-Homestead'!M12+'Portability Impact'!M12)</f>
        <v>1834295069</v>
      </c>
      <c r="T12" s="85">
        <f t="shared" si="2"/>
        <v>0.130980690454019</v>
      </c>
      <c r="U12" s="92">
        <v>13139696755</v>
      </c>
      <c r="V12" s="63">
        <f>SUM('Additional 25K H_EX'!O12+'25K TPP EX'!O12+'10% Non-Homestead'!O12+'Portability Impact'!O12)</f>
        <v>1666104601</v>
      </c>
      <c r="W12" s="85">
        <f t="shared" si="3"/>
        <v>0.12679931904562436</v>
      </c>
      <c r="X12" s="92">
        <v>12492377154</v>
      </c>
      <c r="Y12" s="63">
        <f>SUM('Additional 25K H_EX'!Q12+'25K TPP EX'!Q12+'10% Non-Homestead'!Q12+'Portability Impact'!Q12)</f>
        <v>1533404165</v>
      </c>
      <c r="Z12" s="85">
        <f t="shared" si="9"/>
        <v>0.12274718783278259</v>
      </c>
      <c r="AA12" s="92">
        <v>12005148792</v>
      </c>
      <c r="AB12" s="63">
        <f>SUM('Additional 25K H_EX'!S12+'25K TPP EX'!S12+'10% Non-Homestead'!S12+'Portability Impact'!S12)</f>
        <v>1307705633</v>
      </c>
      <c r="AC12" s="85">
        <f t="shared" si="10"/>
        <v>0.10892873180142755</v>
      </c>
      <c r="AD12" s="92">
        <v>11749734126</v>
      </c>
      <c r="AE12" s="63">
        <f>SUM('Additional 25K H_EX'!U12+'25K TPP EX'!U12+'10% Non-Homestead'!U12+'Portability Impact'!U12)</f>
        <v>1166668838</v>
      </c>
      <c r="AF12" s="85">
        <f t="shared" si="11"/>
        <v>9.9293211700712147E-2</v>
      </c>
      <c r="AG12" s="92">
        <v>12395018451</v>
      </c>
      <c r="AH12" s="63">
        <f>SUM('Additional 25K H_EX'!W12+'25K TPP EX'!W12+'10% Non-Homestead'!W12+'Portability Impact'!W12)</f>
        <v>1124302687</v>
      </c>
      <c r="AI12" s="85">
        <f t="shared" si="12"/>
        <v>9.0706011567840306E-2</v>
      </c>
      <c r="AJ12" s="92">
        <v>13379662397</v>
      </c>
      <c r="AK12" s="63">
        <f>SUM('Additional 25K H_EX'!Y12+'25K TPP EX'!Y12+'10% Non-Homestead'!Y12+'Portability Impact'!Y12)</f>
        <v>1210829440</v>
      </c>
      <c r="AL12" s="85">
        <f t="shared" si="4"/>
        <v>9.0497757273120233E-2</v>
      </c>
      <c r="AM12" s="92">
        <v>15588648694</v>
      </c>
      <c r="AN12" s="63">
        <f>SUM('Additional 25K H_EX'!AA12+'25K TPP EX'!AA12+'10% Non-Homestead'!AA12+'Portability Impact'!AA12)</f>
        <v>1238837158</v>
      </c>
      <c r="AO12" s="85">
        <f t="shared" si="5"/>
        <v>7.9470464843872116E-2</v>
      </c>
      <c r="AP12" s="24"/>
      <c r="AQ12" s="24"/>
      <c r="AR12" s="24"/>
    </row>
    <row r="13" spans="1:44" ht="14.25" customHeight="1" x14ac:dyDescent="0.2">
      <c r="A13" s="84" t="s">
        <v>58</v>
      </c>
      <c r="B13" s="90" t="s">
        <v>132</v>
      </c>
      <c r="C13" s="92">
        <v>11195416635</v>
      </c>
      <c r="D13" s="63">
        <f>SUM('Additional 25K H_EX'!C13+'25K TPP EX'!C13+'10% Non-Homestead'!C13+'Portability Impact'!C13)</f>
        <v>1303200477</v>
      </c>
      <c r="E13" s="85">
        <f t="shared" si="6"/>
        <v>0.11640482167727741</v>
      </c>
      <c r="F13" s="92">
        <v>10655493324</v>
      </c>
      <c r="G13" s="63">
        <f>SUM('Additional 25K H_EX'!E13+'25K TPP EX'!E13+'10% Non-Homestead'!E13+'Portability Impact'!E13)</f>
        <v>1223458497</v>
      </c>
      <c r="H13" s="85">
        <f t="shared" si="7"/>
        <v>0.11481950762845788</v>
      </c>
      <c r="I13" s="92">
        <v>10160817278</v>
      </c>
      <c r="J13" s="63">
        <f>SUM('Additional 25K H_EX'!G13+'25K TPP EX'!G13+'10% Non-Homestead'!G13+'Portability Impact'!G13)</f>
        <v>1190761744</v>
      </c>
      <c r="K13" s="85">
        <f t="shared" si="8"/>
        <v>0.11719153208061459</v>
      </c>
      <c r="L13" s="92">
        <v>9091226499</v>
      </c>
      <c r="M13" s="63">
        <f>SUM('Additional 25K H_EX'!I13+'25K TPP EX'!I13+'10% Non-Homestead'!I13+'Portability Impact'!I13)</f>
        <v>1107244259</v>
      </c>
      <c r="N13" s="85">
        <f t="shared" si="0"/>
        <v>0.12179261611420555</v>
      </c>
      <c r="O13" s="92">
        <v>8642427953</v>
      </c>
      <c r="P13" s="63">
        <f>SUM('Additional 25K H_EX'!K13+'25K TPP EX'!K13+'10% Non-Homestead'!K13+'Portability Impact'!K13)</f>
        <v>1000530687</v>
      </c>
      <c r="Q13" s="85">
        <f t="shared" si="1"/>
        <v>0.11576963006705669</v>
      </c>
      <c r="R13" s="92">
        <v>8292626815</v>
      </c>
      <c r="S13" s="63">
        <f>SUM('Additional 25K H_EX'!M13+'25K TPP EX'!M13+'10% Non-Homestead'!M13+'Portability Impact'!M13)</f>
        <v>954873408</v>
      </c>
      <c r="T13" s="85">
        <f t="shared" si="2"/>
        <v>0.11514727833559214</v>
      </c>
      <c r="U13" s="92">
        <v>8083820200</v>
      </c>
      <c r="V13" s="63">
        <f>SUM('Additional 25K H_EX'!O13+'25K TPP EX'!O13+'10% Non-Homestead'!O13+'Portability Impact'!O13)</f>
        <v>855001720</v>
      </c>
      <c r="W13" s="85">
        <f t="shared" si="3"/>
        <v>0.10576703821294789</v>
      </c>
      <c r="X13" s="92">
        <v>7856463122</v>
      </c>
      <c r="Y13" s="63">
        <f>SUM('Additional 25K H_EX'!Q13+'25K TPP EX'!Q13+'10% Non-Homestead'!Q13+'Portability Impact'!Q13)</f>
        <v>823397101</v>
      </c>
      <c r="Z13" s="85">
        <f t="shared" si="9"/>
        <v>0.1048050615415337</v>
      </c>
      <c r="AA13" s="92">
        <v>8160777743</v>
      </c>
      <c r="AB13" s="63">
        <f>SUM('Additional 25K H_EX'!S13+'25K TPP EX'!S13+'10% Non-Homestead'!S13+'Portability Impact'!S13)</f>
        <v>828607954</v>
      </c>
      <c r="AC13" s="85">
        <f t="shared" si="10"/>
        <v>0.10153541489483008</v>
      </c>
      <c r="AD13" s="92">
        <v>9032362268</v>
      </c>
      <c r="AE13" s="63">
        <f>SUM('Additional 25K H_EX'!U13+'25K TPP EX'!U13+'10% Non-Homestead'!U13+'Portability Impact'!U13)</f>
        <v>847653387</v>
      </c>
      <c r="AF13" s="85">
        <f t="shared" si="11"/>
        <v>9.3846256588166338E-2</v>
      </c>
      <c r="AG13" s="92">
        <v>9316089786</v>
      </c>
      <c r="AH13" s="63">
        <f>SUM('Additional 25K H_EX'!W13+'25K TPP EX'!W13+'10% Non-Homestead'!W13+'Portability Impact'!W13)</f>
        <v>878495080</v>
      </c>
      <c r="AI13" s="85">
        <f t="shared" si="12"/>
        <v>9.4298691852474595E-2</v>
      </c>
      <c r="AJ13" s="92">
        <v>9559999106</v>
      </c>
      <c r="AK13" s="63">
        <f>SUM('Additional 25K H_EX'!Y13+'25K TPP EX'!Y13+'10% Non-Homestead'!Y13+'Portability Impact'!Y13)</f>
        <v>922164390</v>
      </c>
      <c r="AL13" s="85">
        <f t="shared" si="4"/>
        <v>9.6460719271535877E-2</v>
      </c>
      <c r="AM13" s="92">
        <v>10024972585</v>
      </c>
      <c r="AN13" s="63">
        <f>SUM('Additional 25K H_EX'!AA13+'25K TPP EX'!AA13+'10% Non-Homestead'!AA13+'Portability Impact'!AA13)</f>
        <v>988793570</v>
      </c>
      <c r="AO13" s="85">
        <f t="shared" si="5"/>
        <v>9.8633044790516003E-2</v>
      </c>
      <c r="AP13" s="24"/>
      <c r="AQ13" s="24"/>
      <c r="AR13" s="24"/>
    </row>
    <row r="14" spans="1:44" ht="14.25" customHeight="1" x14ac:dyDescent="0.2">
      <c r="A14" s="84" t="s">
        <v>57</v>
      </c>
      <c r="B14" s="90" t="s">
        <v>132</v>
      </c>
      <c r="C14" s="92">
        <v>13020087703</v>
      </c>
      <c r="D14" s="63">
        <f>SUM('Additional 25K H_EX'!C14+'25K TPP EX'!C14+'10% Non-Homestead'!C14+'Portability Impact'!C14)</f>
        <v>1429946378</v>
      </c>
      <c r="E14" s="85">
        <f t="shared" si="6"/>
        <v>0.10982617096123873</v>
      </c>
      <c r="F14" s="92">
        <v>12194592179</v>
      </c>
      <c r="G14" s="63">
        <f>SUM('Additional 25K H_EX'!E14+'25K TPP EX'!E14+'10% Non-Homestead'!E14+'Portability Impact'!E14)</f>
        <v>1369940663</v>
      </c>
      <c r="H14" s="85">
        <f t="shared" si="7"/>
        <v>0.1123400145647462</v>
      </c>
      <c r="I14" s="92">
        <v>11379535331</v>
      </c>
      <c r="J14" s="63">
        <f>SUM('Additional 25K H_EX'!G14+'25K TPP EX'!G14+'10% Non-Homestead'!G14+'Portability Impact'!G14)</f>
        <v>1347220481</v>
      </c>
      <c r="K14" s="85">
        <f t="shared" si="8"/>
        <v>0.11838976213114057</v>
      </c>
      <c r="L14" s="92">
        <v>10614446287</v>
      </c>
      <c r="M14" s="63">
        <f>SUM('Additional 25K H_EX'!I14+'25K TPP EX'!I14+'10% Non-Homestead'!I14+'Portability Impact'!I14)</f>
        <v>1335503259</v>
      </c>
      <c r="N14" s="85">
        <f t="shared" si="0"/>
        <v>0.12581939960783939</v>
      </c>
      <c r="O14" s="92">
        <v>9919301689</v>
      </c>
      <c r="P14" s="63">
        <f>SUM('Additional 25K H_EX'!K14+'25K TPP EX'!K14+'10% Non-Homestead'!K14+'Portability Impact'!K14)</f>
        <v>1281057558</v>
      </c>
      <c r="Q14" s="85">
        <f t="shared" si="1"/>
        <v>0.12914795800803472</v>
      </c>
      <c r="R14" s="92">
        <v>9293061431</v>
      </c>
      <c r="S14" s="63">
        <f>SUM('Additional 25K H_EX'!M14+'25K TPP EX'!M14+'10% Non-Homestead'!M14+'Portability Impact'!M14)</f>
        <v>1231051521</v>
      </c>
      <c r="T14" s="85">
        <f t="shared" si="2"/>
        <v>0.1324699648377908</v>
      </c>
      <c r="U14" s="92">
        <v>8806329297</v>
      </c>
      <c r="V14" s="63">
        <f>SUM('Additional 25K H_EX'!O14+'25K TPP EX'!O14+'10% Non-Homestead'!O14+'Portability Impact'!O14)</f>
        <v>1125847529</v>
      </c>
      <c r="W14" s="85">
        <f t="shared" si="3"/>
        <v>0.12784526799191301</v>
      </c>
      <c r="X14" s="92">
        <v>8451515994</v>
      </c>
      <c r="Y14" s="63">
        <f>SUM('Additional 25K H_EX'!Q14+'25K TPP EX'!Q14+'10% Non-Homestead'!Q14+'Portability Impact'!Q14)</f>
        <v>1110257724</v>
      </c>
      <c r="Z14" s="85">
        <f t="shared" si="9"/>
        <v>0.13136787823488796</v>
      </c>
      <c r="AA14" s="92">
        <v>8093876706</v>
      </c>
      <c r="AB14" s="63">
        <f>SUM('Additional 25K H_EX'!S14+'25K TPP EX'!S14+'10% Non-Homestead'!S14+'Portability Impact'!S14)</f>
        <v>1091365811</v>
      </c>
      <c r="AC14" s="85">
        <f t="shared" si="10"/>
        <v>0.13483845265285166</v>
      </c>
      <c r="AD14" s="92">
        <v>7925816942</v>
      </c>
      <c r="AE14" s="63">
        <f>SUM('Additional 25K H_EX'!U14+'25K TPP EX'!U14+'10% Non-Homestead'!U14+'Portability Impact'!U14)</f>
        <v>1098257779</v>
      </c>
      <c r="AF14" s="85">
        <f t="shared" si="11"/>
        <v>0.13856713913996427</v>
      </c>
      <c r="AG14" s="92">
        <v>8119776938</v>
      </c>
      <c r="AH14" s="63">
        <f>SUM('Additional 25K H_EX'!W14+'25K TPP EX'!W14+'10% Non-Homestead'!W14+'Portability Impact'!W14)</f>
        <v>1119432137</v>
      </c>
      <c r="AI14" s="85">
        <f t="shared" si="12"/>
        <v>0.13786488785931228</v>
      </c>
      <c r="AJ14" s="92">
        <v>8598848683</v>
      </c>
      <c r="AK14" s="63">
        <f>SUM('Additional 25K H_EX'!Y14+'25K TPP EX'!Y14+'10% Non-Homestead'!Y14+'Portability Impact'!Y14)</f>
        <v>1157252035</v>
      </c>
      <c r="AL14" s="85">
        <f t="shared" si="4"/>
        <v>0.1345822071840731</v>
      </c>
      <c r="AM14" s="92">
        <v>9356682433</v>
      </c>
      <c r="AN14" s="63">
        <f>SUM('Additional 25K H_EX'!AA14+'25K TPP EX'!AA14+'10% Non-Homestead'!AA14+'Portability Impact'!AA14)</f>
        <v>1174858481</v>
      </c>
      <c r="AO14" s="85">
        <f t="shared" si="5"/>
        <v>0.12556357335121282</v>
      </c>
      <c r="AP14" s="24"/>
      <c r="AQ14" s="24"/>
      <c r="AR14" s="24"/>
    </row>
    <row r="15" spans="1:44" ht="14.25" customHeight="1" x14ac:dyDescent="0.2">
      <c r="A15" s="84" t="s">
        <v>56</v>
      </c>
      <c r="B15" s="90" t="s">
        <v>132</v>
      </c>
      <c r="C15" s="92">
        <v>104679006577</v>
      </c>
      <c r="D15" s="63">
        <f>SUM('Additional 25K H_EX'!C15+'25K TPP EX'!C15+'10% Non-Homestead'!C15+'Portability Impact'!C15)</f>
        <v>5147522079</v>
      </c>
      <c r="E15" s="85">
        <f t="shared" si="6"/>
        <v>4.9174349731849767E-2</v>
      </c>
      <c r="F15" s="92">
        <v>99159595002</v>
      </c>
      <c r="G15" s="63">
        <f>SUM('Additional 25K H_EX'!E15+'25K TPP EX'!E15+'10% Non-Homestead'!E15+'Portability Impact'!E15)</f>
        <v>5267638006</v>
      </c>
      <c r="H15" s="85">
        <f t="shared" si="7"/>
        <v>5.3122826952790136E-2</v>
      </c>
      <c r="I15" s="92">
        <v>93175403621</v>
      </c>
      <c r="J15" s="63">
        <f>SUM('Additional 25K H_EX'!G15+'25K TPP EX'!G15+'10% Non-Homestead'!G15+'Portability Impact'!G15)</f>
        <v>5373066732</v>
      </c>
      <c r="K15" s="85">
        <f t="shared" si="8"/>
        <v>5.7666149253889694E-2</v>
      </c>
      <c r="L15" s="92">
        <v>88274604097</v>
      </c>
      <c r="M15" s="63">
        <f>SUM('Additional 25K H_EX'!I15+'25K TPP EX'!I15+'10% Non-Homestead'!I15+'Portability Impact'!I15)</f>
        <v>4625870473</v>
      </c>
      <c r="N15" s="85">
        <f t="shared" si="0"/>
        <v>5.2403185721647545E-2</v>
      </c>
      <c r="O15" s="92">
        <v>83597615791</v>
      </c>
      <c r="P15" s="63">
        <f>SUM('Additional 25K H_EX'!K15+'25K TPP EX'!K15+'10% Non-Homestead'!K15+'Portability Impact'!K15)</f>
        <v>5518518072</v>
      </c>
      <c r="Q15" s="85">
        <f t="shared" si="1"/>
        <v>6.6012864359633036E-2</v>
      </c>
      <c r="R15" s="92">
        <v>77115163725</v>
      </c>
      <c r="S15" s="63">
        <f>SUM('Additional 25K H_EX'!M15+'25K TPP EX'!M15+'10% Non-Homestead'!M15+'Portability Impact'!M15)</f>
        <v>5860464402</v>
      </c>
      <c r="T15" s="85">
        <f t="shared" si="2"/>
        <v>7.5996264792991597E-2</v>
      </c>
      <c r="U15" s="92">
        <v>70086389131</v>
      </c>
      <c r="V15" s="63">
        <f>SUM('Additional 25K H_EX'!O15+'25K TPP EX'!O15+'10% Non-Homestead'!O15+'Portability Impact'!O15)</f>
        <v>4770530276</v>
      </c>
      <c r="W15" s="85">
        <f t="shared" si="3"/>
        <v>6.8066429661304106E-2</v>
      </c>
      <c r="X15" s="92">
        <v>64595296747</v>
      </c>
      <c r="Y15" s="63">
        <f>SUM('Additional 25K H_EX'!Q15+'25K TPP EX'!Q15+'10% Non-Homestead'!Q15+'Portability Impact'!Q15)</f>
        <v>3478656726</v>
      </c>
      <c r="Z15" s="85">
        <f t="shared" si="9"/>
        <v>5.3853096141423938E-2</v>
      </c>
      <c r="AA15" s="92">
        <v>60637773315</v>
      </c>
      <c r="AB15" s="63">
        <f>SUM('Additional 25K H_EX'!S15+'25K TPP EX'!S15+'10% Non-Homestead'!S15+'Portability Impact'!S15)</f>
        <v>2551641076</v>
      </c>
      <c r="AC15" s="85">
        <f t="shared" si="10"/>
        <v>4.2080058955080379E-2</v>
      </c>
      <c r="AD15" s="92">
        <v>58492762303</v>
      </c>
      <c r="AE15" s="63">
        <f>SUM('Additional 25K H_EX'!U15+'25K TPP EX'!U15+'10% Non-Homestead'!U15+'Portability Impact'!U15)</f>
        <v>2356068640</v>
      </c>
      <c r="AF15" s="85">
        <f t="shared" si="11"/>
        <v>4.0279661059521563E-2</v>
      </c>
      <c r="AG15" s="92">
        <v>58202570727</v>
      </c>
      <c r="AH15" s="63">
        <f>SUM('Additional 25K H_EX'!W15+'25K TPP EX'!W15+'10% Non-Homestead'!W15+'Portability Impact'!W15)</f>
        <v>2216781839</v>
      </c>
      <c r="AI15" s="85">
        <f t="shared" si="12"/>
        <v>3.8087352694399827E-2</v>
      </c>
      <c r="AJ15" s="92">
        <v>61436197437</v>
      </c>
      <c r="AK15" s="63">
        <f>SUM('Additional 25K H_EX'!Y15+'25K TPP EX'!Y15+'10% Non-Homestead'!Y15+'Portability Impact'!Y15)</f>
        <v>2235988056</v>
      </c>
      <c r="AL15" s="85">
        <f t="shared" si="4"/>
        <v>3.6395287294479821E-2</v>
      </c>
      <c r="AM15" s="92">
        <v>69976749096</v>
      </c>
      <c r="AN15" s="63">
        <f>SUM('Additional 25K H_EX'!AA15+'25K TPP EX'!AA15+'10% Non-Homestead'!AA15+'Portability Impact'!AA15)</f>
        <v>2251720030</v>
      </c>
      <c r="AO15" s="85">
        <f t="shared" si="5"/>
        <v>3.2178117147324187E-2</v>
      </c>
      <c r="AP15" s="24"/>
      <c r="AQ15" s="24"/>
      <c r="AR15" s="24"/>
    </row>
    <row r="16" spans="1:44" ht="14.25" customHeight="1" x14ac:dyDescent="0.2">
      <c r="A16" s="84" t="s">
        <v>55</v>
      </c>
      <c r="B16" s="90" t="s">
        <v>133</v>
      </c>
      <c r="C16" s="92">
        <v>3222399320</v>
      </c>
      <c r="D16" s="63">
        <f>SUM('Additional 25K H_EX'!C16+'25K TPP EX'!C16+'10% Non-Homestead'!C16+'Portability Impact'!C16)</f>
        <v>326476747</v>
      </c>
      <c r="E16" s="85">
        <f t="shared" si="6"/>
        <v>0.10131480135739353</v>
      </c>
      <c r="F16" s="92">
        <v>3035433227</v>
      </c>
      <c r="G16" s="63">
        <f>SUM('Additional 25K H_EX'!E16+'25K TPP EX'!E16+'10% Non-Homestead'!E16+'Portability Impact'!E16)</f>
        <v>303657345</v>
      </c>
      <c r="H16" s="85">
        <f t="shared" si="7"/>
        <v>0.1000375637648642</v>
      </c>
      <c r="I16" s="92">
        <v>2853296809</v>
      </c>
      <c r="J16" s="63">
        <f>SUM('Additional 25K H_EX'!G16+'25K TPP EX'!G16+'10% Non-Homestead'!G16+'Portability Impact'!G16)</f>
        <v>297693413</v>
      </c>
      <c r="K16" s="85">
        <f t="shared" si="8"/>
        <v>0.10433313914661865</v>
      </c>
      <c r="L16" s="92">
        <v>2564315570</v>
      </c>
      <c r="M16" s="63">
        <f>SUM('Additional 25K H_EX'!I16+'25K TPP EX'!I16+'10% Non-Homestead'!I16+'Portability Impact'!I16)</f>
        <v>275270109</v>
      </c>
      <c r="N16" s="85">
        <f t="shared" si="0"/>
        <v>0.10734642499557884</v>
      </c>
      <c r="O16" s="92">
        <v>2409508240</v>
      </c>
      <c r="P16" s="63">
        <f>SUM('Additional 25K H_EX'!K16+'25K TPP EX'!K16+'10% Non-Homestead'!K16+'Portability Impact'!K16)</f>
        <v>262007112</v>
      </c>
      <c r="Q16" s="85">
        <f t="shared" si="1"/>
        <v>0.10873883211953655</v>
      </c>
      <c r="R16" s="92">
        <v>2336755919</v>
      </c>
      <c r="S16" s="63">
        <f>SUM('Additional 25K H_EX'!M16+'25K TPP EX'!M16+'10% Non-Homestead'!M16+'Portability Impact'!M16)</f>
        <v>256596103</v>
      </c>
      <c r="T16" s="85">
        <f t="shared" si="2"/>
        <v>0.10980868858130835</v>
      </c>
      <c r="U16" s="92">
        <v>2308305124</v>
      </c>
      <c r="V16" s="63">
        <f>SUM('Additional 25K H_EX'!O16+'25K TPP EX'!O16+'10% Non-Homestead'!O16+'Portability Impact'!O16)</f>
        <v>252587129</v>
      </c>
      <c r="W16" s="85">
        <f t="shared" si="3"/>
        <v>0.10942536425266801</v>
      </c>
      <c r="X16" s="92">
        <v>2284703454</v>
      </c>
      <c r="Y16" s="63">
        <f>SUM('Additional 25K H_EX'!Q16+'25K TPP EX'!Q16+'10% Non-Homestead'!Q16+'Portability Impact'!Q16)</f>
        <v>251685395</v>
      </c>
      <c r="Z16" s="85">
        <f t="shared" si="9"/>
        <v>0.11016107782362551</v>
      </c>
      <c r="AA16" s="92">
        <v>2225505761</v>
      </c>
      <c r="AB16" s="63">
        <f>SUM('Additional 25K H_EX'!S16+'25K TPP EX'!S16+'10% Non-Homestead'!S16+'Portability Impact'!S16)</f>
        <v>249220976</v>
      </c>
      <c r="AC16" s="85">
        <f t="shared" si="10"/>
        <v>0.1119839725276721</v>
      </c>
      <c r="AD16" s="92">
        <v>2211416344</v>
      </c>
      <c r="AE16" s="63">
        <f>SUM('Additional 25K H_EX'!U16+'25K TPP EX'!U16+'10% Non-Homestead'!U16+'Portability Impact'!U16)</f>
        <v>255840667</v>
      </c>
      <c r="AF16" s="85">
        <f t="shared" si="11"/>
        <v>0.11569086377341163</v>
      </c>
      <c r="AG16" s="92">
        <v>2261716683</v>
      </c>
      <c r="AH16" s="63">
        <f>SUM('Additional 25K H_EX'!W16+'25K TPP EX'!W16+'10% Non-Homestead'!W16+'Portability Impact'!W16)</f>
        <v>254375130</v>
      </c>
      <c r="AI16" s="85">
        <f t="shared" si="12"/>
        <v>0.11246993574039972</v>
      </c>
      <c r="AJ16" s="92">
        <v>2446401713</v>
      </c>
      <c r="AK16" s="63">
        <f>SUM('Additional 25K H_EX'!Y16+'25K TPP EX'!Y16+'10% Non-Homestead'!Y16+'Portability Impact'!Y16)</f>
        <v>258713810</v>
      </c>
      <c r="AL16" s="85">
        <f t="shared" si="4"/>
        <v>0.1057527913854923</v>
      </c>
      <c r="AM16" s="92">
        <v>2547547990</v>
      </c>
      <c r="AN16" s="63">
        <f>SUM('Additional 25K H_EX'!AA16+'25K TPP EX'!AA16+'10% Non-Homestead'!AA16+'Portability Impact'!AA16)</f>
        <v>261824829</v>
      </c>
      <c r="AO16" s="85">
        <f t="shared" si="5"/>
        <v>0.10277522936869189</v>
      </c>
      <c r="AP16" s="24"/>
      <c r="AQ16" s="24"/>
      <c r="AR16" s="24"/>
    </row>
    <row r="17" spans="1:44" ht="14.25" customHeight="1" x14ac:dyDescent="0.2">
      <c r="A17" s="84" t="s">
        <v>93</v>
      </c>
      <c r="B17" s="90" t="s">
        <v>132</v>
      </c>
      <c r="C17" s="92">
        <v>338339529045</v>
      </c>
      <c r="D17" s="63">
        <f>SUM('Additional 25K H_EX'!C17+'25K TPP EX'!C17+'10% Non-Homestead'!C17+'Portability Impact'!C17)</f>
        <v>30289290271</v>
      </c>
      <c r="E17" s="85">
        <f t="shared" si="6"/>
        <v>8.9523356483041772E-2</v>
      </c>
      <c r="F17" s="92">
        <v>318355583659</v>
      </c>
      <c r="G17" s="63">
        <f>SUM('Additional 25K H_EX'!E17+'25K TPP EX'!E17+'10% Non-Homestead'!E17+'Portability Impact'!E17)</f>
        <v>27409820218</v>
      </c>
      <c r="H17" s="85">
        <f t="shared" si="7"/>
        <v>8.6098129340050969E-2</v>
      </c>
      <c r="I17" s="92">
        <v>303546169354</v>
      </c>
      <c r="J17" s="63">
        <f>SUM('Additional 25K H_EX'!G17+'25K TPP EX'!G17+'10% Non-Homestead'!G17+'Portability Impact'!G17)</f>
        <v>29661159632</v>
      </c>
      <c r="K17" s="85">
        <f t="shared" si="8"/>
        <v>9.7715479971709734E-2</v>
      </c>
      <c r="L17" s="92">
        <v>285384915001</v>
      </c>
      <c r="M17" s="63">
        <f>SUM('Additional 25K H_EX'!I17+'25K TPP EX'!I17+'10% Non-Homestead'!I17+'Portability Impact'!I17)</f>
        <v>30715813966</v>
      </c>
      <c r="N17" s="85">
        <f t="shared" si="0"/>
        <v>0.10762942381131943</v>
      </c>
      <c r="O17" s="92">
        <v>268625017894</v>
      </c>
      <c r="P17" s="63">
        <f>SUM('Additional 25K H_EX'!K17+'25K TPP EX'!K17+'10% Non-Homestead'!K17+'Portability Impact'!K17)</f>
        <v>31324241473</v>
      </c>
      <c r="Q17" s="85">
        <f t="shared" si="1"/>
        <v>0.1166095463430015</v>
      </c>
      <c r="R17" s="92">
        <v>247031773972</v>
      </c>
      <c r="S17" s="63">
        <f>SUM('Additional 25K H_EX'!M17+'25K TPP EX'!M17+'10% Non-Homestead'!M17+'Portability Impact'!M17)</f>
        <v>33295816245</v>
      </c>
      <c r="T17" s="85">
        <f t="shared" si="2"/>
        <v>0.13478353699056519</v>
      </c>
      <c r="U17" s="92">
        <v>225526847839</v>
      </c>
      <c r="V17" s="63">
        <f>SUM('Additional 25K H_EX'!O17+'25K TPP EX'!O17+'10% Non-Homestead'!O17+'Portability Impact'!O17)</f>
        <v>30539609505</v>
      </c>
      <c r="W17" s="85">
        <f t="shared" si="3"/>
        <v>0.13541451848252559</v>
      </c>
      <c r="X17" s="92">
        <v>205866541107</v>
      </c>
      <c r="Y17" s="63">
        <f>SUM('Additional 25K H_EX'!Q17+'25K TPP EX'!Q17+'10% Non-Homestead'!Q17+'Portability Impact'!Q17)</f>
        <v>23332571404</v>
      </c>
      <c r="Z17" s="85">
        <f t="shared" si="9"/>
        <v>0.11333833695623612</v>
      </c>
      <c r="AA17" s="92">
        <v>191396955712</v>
      </c>
      <c r="AB17" s="63">
        <f>SUM('Additional 25K H_EX'!S17+'25K TPP EX'!S17+'10% Non-Homestead'!S17+'Portability Impact'!S17)</f>
        <v>16470777978</v>
      </c>
      <c r="AC17" s="85">
        <f t="shared" si="10"/>
        <v>8.6055590156742148E-2</v>
      </c>
      <c r="AD17" s="92">
        <v>183931075682</v>
      </c>
      <c r="AE17" s="63">
        <f>SUM('Additional 25K H_EX'!U17+'25K TPP EX'!U17+'10% Non-Homestead'!U17+'Portability Impact'!U17)</f>
        <v>13730813554</v>
      </c>
      <c r="AF17" s="85">
        <f t="shared" si="11"/>
        <v>7.465195048246942E-2</v>
      </c>
      <c r="AG17" s="92">
        <v>180042813130</v>
      </c>
      <c r="AH17" s="63">
        <f>SUM('Additional 25K H_EX'!W17+'25K TPP EX'!W17+'10% Non-Homestead'!W17+'Portability Impact'!W17)</f>
        <v>12252465755</v>
      </c>
      <c r="AI17" s="85">
        <f t="shared" si="12"/>
        <v>6.8053067723137059E-2</v>
      </c>
      <c r="AJ17" s="92">
        <v>183906494377</v>
      </c>
      <c r="AK17" s="63">
        <f>SUM('Additional 25K H_EX'!Y17+'25K TPP EX'!Y17+'10% Non-Homestead'!Y17+'Portability Impact'!Y17)</f>
        <v>11457078989</v>
      </c>
      <c r="AL17" s="85">
        <f t="shared" si="4"/>
        <v>6.229839260332757E-2</v>
      </c>
      <c r="AM17" s="92">
        <v>211448218606</v>
      </c>
      <c r="AN17" s="63">
        <f>SUM('Additional 25K H_EX'!AA17+'25K TPP EX'!AA17+'10% Non-Homestead'!AA17+'Portability Impact'!AA17)</f>
        <v>11877326276</v>
      </c>
      <c r="AO17" s="85">
        <f t="shared" si="5"/>
        <v>5.6171323429929206E-2</v>
      </c>
      <c r="AP17" s="24"/>
      <c r="AQ17" s="24"/>
      <c r="AR17" s="24"/>
    </row>
    <row r="18" spans="1:44" ht="14.25" customHeight="1" x14ac:dyDescent="0.2">
      <c r="A18" s="84" t="s">
        <v>54</v>
      </c>
      <c r="B18" s="90" t="s">
        <v>132</v>
      </c>
      <c r="C18" s="92">
        <v>2024097569</v>
      </c>
      <c r="D18" s="63">
        <f>SUM('Additional 25K H_EX'!C18+'25K TPP EX'!C18+'10% Non-Homestead'!C18+'Portability Impact'!C18)</f>
        <v>186358396</v>
      </c>
      <c r="E18" s="85">
        <f t="shared" si="6"/>
        <v>9.2069868001506405E-2</v>
      </c>
      <c r="F18" s="92">
        <v>1936032458</v>
      </c>
      <c r="G18" s="63">
        <f>SUM('Additional 25K H_EX'!E18+'25K TPP EX'!E18+'10% Non-Homestead'!E18+'Portability Impact'!E18)</f>
        <v>179718678</v>
      </c>
      <c r="H18" s="85">
        <f t="shared" si="7"/>
        <v>9.2828339348017277E-2</v>
      </c>
      <c r="I18" s="92">
        <v>1861208902</v>
      </c>
      <c r="J18" s="63">
        <f>SUM('Additional 25K H_EX'!G18+'25K TPP EX'!G18+'10% Non-Homestead'!G18+'Portability Impact'!G18)</f>
        <v>188901075</v>
      </c>
      <c r="K18" s="85">
        <f t="shared" si="8"/>
        <v>0.10149375215055789</v>
      </c>
      <c r="L18" s="92">
        <v>1762454499</v>
      </c>
      <c r="M18" s="63">
        <f>SUM('Additional 25K H_EX'!I18+'25K TPP EX'!I18+'10% Non-Homestead'!I18+'Portability Impact'!I18)</f>
        <v>145573563</v>
      </c>
      <c r="N18" s="85">
        <f t="shared" si="0"/>
        <v>8.2597061701506089E-2</v>
      </c>
      <c r="O18" s="92">
        <v>1613718811</v>
      </c>
      <c r="P18" s="63">
        <f>SUM('Additional 25K H_EX'!K18+'25K TPP EX'!K18+'10% Non-Homestead'!K18+'Portability Impact'!K18)</f>
        <v>130596983</v>
      </c>
      <c r="Q18" s="85">
        <f t="shared" si="1"/>
        <v>8.0929206569185869E-2</v>
      </c>
      <c r="R18" s="92">
        <v>1432860071</v>
      </c>
      <c r="S18" s="63">
        <f>SUM('Additional 25K H_EX'!M18+'25K TPP EX'!M18+'10% Non-Homestead'!M18+'Portability Impact'!M18)</f>
        <v>116226744</v>
      </c>
      <c r="T18" s="85">
        <f t="shared" si="2"/>
        <v>8.1115208911422029E-2</v>
      </c>
      <c r="U18" s="92">
        <v>1386207980</v>
      </c>
      <c r="V18" s="63">
        <f>SUM('Additional 25K H_EX'!O18+'25K TPP EX'!O18+'10% Non-Homestead'!O18+'Portability Impact'!O18)</f>
        <v>109734752</v>
      </c>
      <c r="W18" s="85">
        <f t="shared" si="3"/>
        <v>7.9161823898892869E-2</v>
      </c>
      <c r="X18" s="92">
        <v>1393078772</v>
      </c>
      <c r="Y18" s="63">
        <f>SUM('Additional 25K H_EX'!Q18+'25K TPP EX'!Q18+'10% Non-Homestead'!Q18+'Portability Impact'!Q18)</f>
        <v>108645894</v>
      </c>
      <c r="Z18" s="85">
        <f t="shared" si="9"/>
        <v>7.7989770703361203E-2</v>
      </c>
      <c r="AA18" s="92">
        <v>1395467811</v>
      </c>
      <c r="AB18" s="63">
        <f>SUM('Additional 25K H_EX'!S18+'25K TPP EX'!S18+'10% Non-Homestead'!S18+'Portability Impact'!S18)</f>
        <v>108154657</v>
      </c>
      <c r="AC18" s="85">
        <f t="shared" si="10"/>
        <v>7.7504229153444806E-2</v>
      </c>
      <c r="AD18" s="92">
        <v>1391338687</v>
      </c>
      <c r="AE18" s="63">
        <f>SUM('Additional 25K H_EX'!U18+'25K TPP EX'!U18+'10% Non-Homestead'!U18+'Portability Impact'!U18)</f>
        <v>112243447</v>
      </c>
      <c r="AF18" s="85">
        <f t="shared" si="11"/>
        <v>8.067298641858292E-2</v>
      </c>
      <c r="AG18" s="92">
        <v>1427299825</v>
      </c>
      <c r="AH18" s="63">
        <f>SUM('Additional 25K H_EX'!W18+'25K TPP EX'!W18+'10% Non-Homestead'!W18+'Portability Impact'!W18)</f>
        <v>111419359</v>
      </c>
      <c r="AI18" s="85">
        <f t="shared" si="12"/>
        <v>7.8063036965621432E-2</v>
      </c>
      <c r="AJ18" s="92">
        <v>1501991518</v>
      </c>
      <c r="AK18" s="63">
        <f>SUM('Additional 25K H_EX'!Y18+'25K TPP EX'!Y18+'10% Non-Homestead'!Y18+'Portability Impact'!Y18)</f>
        <v>121489859</v>
      </c>
      <c r="AL18" s="85">
        <f t="shared" si="4"/>
        <v>8.0885848917290629E-2</v>
      </c>
      <c r="AM18" s="92">
        <v>1639292129</v>
      </c>
      <c r="AN18" s="63">
        <f>SUM('Additional 25K H_EX'!AA18+'25K TPP EX'!AA18+'10% Non-Homestead'!AA18+'Portability Impact'!AA18)</f>
        <v>132408474</v>
      </c>
      <c r="AO18" s="85">
        <f t="shared" si="5"/>
        <v>8.0771737787072612E-2</v>
      </c>
      <c r="AP18" s="24"/>
      <c r="AQ18" s="24"/>
      <c r="AR18" s="24"/>
    </row>
    <row r="19" spans="1:44" ht="14.25" customHeight="1" x14ac:dyDescent="0.2">
      <c r="A19" s="84" t="s">
        <v>53</v>
      </c>
      <c r="B19" s="90" t="s">
        <v>133</v>
      </c>
      <c r="C19" s="92">
        <v>596832283</v>
      </c>
      <c r="D19" s="63">
        <f>SUM('Additional 25K H_EX'!C19+'25K TPP EX'!C19+'10% Non-Homestead'!C19+'Portability Impact'!C19)</f>
        <v>54751677</v>
      </c>
      <c r="E19" s="85">
        <f t="shared" si="6"/>
        <v>9.1737123744025081E-2</v>
      </c>
      <c r="F19" s="92">
        <v>572564572</v>
      </c>
      <c r="G19" s="63">
        <f>SUM('Additional 25K H_EX'!E19+'25K TPP EX'!E19+'10% Non-Homestead'!E19+'Portability Impact'!E19)</f>
        <v>51527494</v>
      </c>
      <c r="H19" s="85">
        <f t="shared" si="7"/>
        <v>8.9994205928619703E-2</v>
      </c>
      <c r="I19" s="92">
        <v>542649813</v>
      </c>
      <c r="J19" s="63">
        <f>SUM('Additional 25K H_EX'!G19+'25K TPP EX'!G19+'10% Non-Homestead'!G19+'Portability Impact'!G19)</f>
        <v>44803196</v>
      </c>
      <c r="K19" s="85">
        <f t="shared" si="8"/>
        <v>8.2563736182472439E-2</v>
      </c>
      <c r="L19" s="92">
        <v>518200313</v>
      </c>
      <c r="M19" s="63">
        <f>SUM('Additional 25K H_EX'!I19+'25K TPP EX'!I19+'10% Non-Homestead'!I19+'Portability Impact'!I19)</f>
        <v>33937838</v>
      </c>
      <c r="N19" s="85">
        <f t="shared" si="0"/>
        <v>6.5491735818384189E-2</v>
      </c>
      <c r="O19" s="92">
        <v>503118428</v>
      </c>
      <c r="P19" s="63">
        <f>SUM('Additional 25K H_EX'!K19+'25K TPP EX'!K19+'10% Non-Homestead'!K19+'Portability Impact'!K19)</f>
        <v>32597338</v>
      </c>
      <c r="Q19" s="85">
        <f t="shared" si="1"/>
        <v>6.4790586442204423E-2</v>
      </c>
      <c r="R19" s="92">
        <v>503046546</v>
      </c>
      <c r="S19" s="63">
        <f>SUM('Additional 25K H_EX'!M19+'25K TPP EX'!M19+'10% Non-Homestead'!M19+'Portability Impact'!M19)</f>
        <v>32805517</v>
      </c>
      <c r="T19" s="85">
        <f t="shared" si="2"/>
        <v>6.5213681041753943E-2</v>
      </c>
      <c r="U19" s="92">
        <v>492913673</v>
      </c>
      <c r="V19" s="63">
        <f>SUM('Additional 25K H_EX'!O19+'25K TPP EX'!O19+'10% Non-Homestead'!O19+'Portability Impact'!O19)</f>
        <v>31988537</v>
      </c>
      <c r="W19" s="85">
        <f t="shared" si="3"/>
        <v>6.4896834379353882E-2</v>
      </c>
      <c r="X19" s="92">
        <v>486722913</v>
      </c>
      <c r="Y19" s="63">
        <f>SUM('Additional 25K H_EX'!Q19+'25K TPP EX'!Q19+'10% Non-Homestead'!Q19+'Portability Impact'!Q19)</f>
        <v>33777730</v>
      </c>
      <c r="Z19" s="85">
        <f t="shared" si="9"/>
        <v>6.9398273838815555E-2</v>
      </c>
      <c r="AA19" s="92">
        <v>480050761</v>
      </c>
      <c r="AB19" s="63">
        <f>SUM('Additional 25K H_EX'!S19+'25K TPP EX'!S19+'10% Non-Homestead'!S19+'Portability Impact'!S19)</f>
        <v>36966989</v>
      </c>
      <c r="AC19" s="85">
        <f t="shared" si="10"/>
        <v>7.7006416827657104E-2</v>
      </c>
      <c r="AD19" s="92">
        <v>478518372</v>
      </c>
      <c r="AE19" s="63">
        <f>SUM('Additional 25K H_EX'!U19+'25K TPP EX'!U19+'10% Non-Homestead'!U19+'Portability Impact'!U19)</f>
        <v>38625988</v>
      </c>
      <c r="AF19" s="85">
        <f t="shared" si="11"/>
        <v>8.0719968678652942E-2</v>
      </c>
      <c r="AG19" s="92">
        <v>478855666</v>
      </c>
      <c r="AH19" s="63">
        <f>SUM('Additional 25K H_EX'!W19+'25K TPP EX'!W19+'10% Non-Homestead'!W19+'Portability Impact'!W19)</f>
        <v>42069563</v>
      </c>
      <c r="AI19" s="85">
        <f t="shared" si="12"/>
        <v>8.7854370297875933E-2</v>
      </c>
      <c r="AJ19" s="92">
        <v>518528529</v>
      </c>
      <c r="AK19" s="63">
        <f>SUM('Additional 25K H_EX'!Y19+'25K TPP EX'!Y19+'10% Non-Homestead'!Y19+'Portability Impact'!Y19)</f>
        <v>26440617</v>
      </c>
      <c r="AL19" s="85">
        <f t="shared" si="4"/>
        <v>5.0991634059155112E-2</v>
      </c>
      <c r="AM19" s="92">
        <v>552797809</v>
      </c>
      <c r="AN19" s="63">
        <f>SUM('Additional 25K H_EX'!AA19+'25K TPP EX'!AA19+'10% Non-Homestead'!AA19+'Portability Impact'!AA19)</f>
        <v>26496866</v>
      </c>
      <c r="AO19" s="85">
        <f t="shared" si="5"/>
        <v>4.7932292003711616E-2</v>
      </c>
      <c r="AP19" s="24"/>
      <c r="AQ19" s="24"/>
      <c r="AR19" s="24"/>
    </row>
    <row r="20" spans="1:44" ht="14.25" customHeight="1" x14ac:dyDescent="0.2">
      <c r="A20" s="84" t="s">
        <v>52</v>
      </c>
      <c r="B20" s="90" t="s">
        <v>132</v>
      </c>
      <c r="C20" s="92">
        <v>79383266518</v>
      </c>
      <c r="D20" s="63">
        <f>SUM('Additional 25K H_EX'!C20+'25K TPP EX'!C20+'10% Non-Homestead'!C20+'Portability Impact'!C20)</f>
        <v>7490012227</v>
      </c>
      <c r="E20" s="85">
        <f t="shared" si="6"/>
        <v>9.4352532410613948E-2</v>
      </c>
      <c r="F20" s="92">
        <v>73648850643</v>
      </c>
      <c r="G20" s="63">
        <f>SUM('Additional 25K H_EX'!E20+'25K TPP EX'!E20+'10% Non-Homestead'!E20+'Portability Impact'!E20)</f>
        <v>6997100680</v>
      </c>
      <c r="H20" s="85">
        <f t="shared" si="7"/>
        <v>9.5006244074564442E-2</v>
      </c>
      <c r="I20" s="92">
        <v>68555459310</v>
      </c>
      <c r="J20" s="63">
        <f>SUM('Additional 25K H_EX'!G20+'25K TPP EX'!G20+'10% Non-Homestead'!G20+'Portability Impact'!G20)</f>
        <v>7493126312</v>
      </c>
      <c r="K20" s="85">
        <f t="shared" si="8"/>
        <v>0.10930021310362657</v>
      </c>
      <c r="L20" s="92">
        <v>63338666173</v>
      </c>
      <c r="M20" s="63">
        <f>SUM('Additional 25K H_EX'!I20+'25K TPP EX'!I20+'10% Non-Homestead'!I20+'Portability Impact'!I20)</f>
        <v>6536619348</v>
      </c>
      <c r="N20" s="85">
        <f t="shared" si="0"/>
        <v>0.10320108936532088</v>
      </c>
      <c r="O20" s="92">
        <v>58680083478</v>
      </c>
      <c r="P20" s="63">
        <f>SUM('Additional 25K H_EX'!K20+'25K TPP EX'!K20+'10% Non-Homestead'!K20+'Portability Impact'!K20)</f>
        <v>6186950703</v>
      </c>
      <c r="Q20" s="85">
        <f t="shared" si="1"/>
        <v>0.10543527439458357</v>
      </c>
      <c r="R20" s="92">
        <v>55100331090</v>
      </c>
      <c r="S20" s="63">
        <f>SUM('Additional 25K H_EX'!M20+'25K TPP EX'!M20+'10% Non-Homestead'!M20+'Portability Impact'!M20)</f>
        <v>5813618438</v>
      </c>
      <c r="T20" s="85">
        <f t="shared" si="2"/>
        <v>0.10550968248274459</v>
      </c>
      <c r="U20" s="92">
        <v>52265723055</v>
      </c>
      <c r="V20" s="63">
        <f>SUM('Additional 25K H_EX'!O20+'25K TPP EX'!O20+'10% Non-Homestead'!O20+'Portability Impact'!O20)</f>
        <v>5798685163</v>
      </c>
      <c r="W20" s="85">
        <f t="shared" si="3"/>
        <v>0.11094623443548188</v>
      </c>
      <c r="X20" s="92">
        <v>49518432064</v>
      </c>
      <c r="Y20" s="63">
        <f>SUM('Additional 25K H_EX'!Q20+'25K TPP EX'!Q20+'10% Non-Homestead'!Q20+'Portability Impact'!Q20)</f>
        <v>5723985304</v>
      </c>
      <c r="Z20" s="85">
        <f t="shared" si="9"/>
        <v>0.11559302395928139</v>
      </c>
      <c r="AA20" s="92">
        <v>47132785425</v>
      </c>
      <c r="AB20" s="63">
        <f>SUM('Additional 25K H_EX'!S20+'25K TPP EX'!S20+'10% Non-Homestead'!S20+'Portability Impact'!S20)</f>
        <v>4980521398</v>
      </c>
      <c r="AC20" s="85">
        <f t="shared" si="10"/>
        <v>0.10566999919674279</v>
      </c>
      <c r="AD20" s="92">
        <v>47505277935</v>
      </c>
      <c r="AE20" s="63">
        <f>SUM('Additional 25K H_EX'!U20+'25K TPP EX'!U20+'10% Non-Homestead'!U20+'Portability Impact'!U20)</f>
        <v>5016479124</v>
      </c>
      <c r="AF20" s="85">
        <f t="shared" si="11"/>
        <v>0.10559835332115924</v>
      </c>
      <c r="AG20" s="92">
        <v>49682577488</v>
      </c>
      <c r="AH20" s="63">
        <f>SUM('Additional 25K H_EX'!W20+'25K TPP EX'!W20+'10% Non-Homestead'!W20+'Portability Impact'!W20)</f>
        <v>5203143959</v>
      </c>
      <c r="AI20" s="85">
        <f t="shared" si="12"/>
        <v>0.10472773801352663</v>
      </c>
      <c r="AJ20" s="92">
        <v>53436002318</v>
      </c>
      <c r="AK20" s="63">
        <f>SUM('Additional 25K H_EX'!Y20+'25K TPP EX'!Y20+'10% Non-Homestead'!Y20+'Portability Impact'!Y20)</f>
        <v>5535210510</v>
      </c>
      <c r="AL20" s="85">
        <f t="shared" si="4"/>
        <v>0.10358578991481658</v>
      </c>
      <c r="AM20" s="92">
        <v>57430970156</v>
      </c>
      <c r="AN20" s="63">
        <f>SUM('Additional 25K H_EX'!AA20+'25K TPP EX'!AA20+'10% Non-Homestead'!AA20+'Portability Impact'!AA20)</f>
        <v>5392851465</v>
      </c>
      <c r="AO20" s="85">
        <f t="shared" si="5"/>
        <v>9.3901451609669367E-2</v>
      </c>
      <c r="AP20" s="24"/>
      <c r="AQ20" s="24"/>
      <c r="AR20" s="24"/>
    </row>
    <row r="21" spans="1:44" ht="14.25" customHeight="1" x14ac:dyDescent="0.2">
      <c r="A21" s="84" t="s">
        <v>51</v>
      </c>
      <c r="B21" s="90" t="s">
        <v>132</v>
      </c>
      <c r="C21" s="92">
        <v>20926627642</v>
      </c>
      <c r="D21" s="63">
        <f>SUM('Additional 25K H_EX'!C21+'25K TPP EX'!C21+'10% Non-Homestead'!C21+'Portability Impact'!C21)</f>
        <v>2120706633</v>
      </c>
      <c r="E21" s="85">
        <f t="shared" si="6"/>
        <v>0.10134010454430391</v>
      </c>
      <c r="F21" s="92">
        <v>19701479859</v>
      </c>
      <c r="G21" s="63">
        <f>SUM('Additional 25K H_EX'!E21+'25K TPP EX'!E21+'10% Non-Homestead'!E21+'Portability Impact'!E21)</f>
        <v>2010861180</v>
      </c>
      <c r="H21" s="85">
        <f t="shared" si="7"/>
        <v>0.10206650436370146</v>
      </c>
      <c r="I21" s="92">
        <v>18492041609</v>
      </c>
      <c r="J21" s="63">
        <f>SUM('Additional 25K H_EX'!G21+'25K TPP EX'!G21+'10% Non-Homestead'!G21+'Portability Impact'!G21)</f>
        <v>2049332071</v>
      </c>
      <c r="K21" s="85">
        <f t="shared" si="8"/>
        <v>0.11082238047758873</v>
      </c>
      <c r="L21" s="92">
        <v>17320803291</v>
      </c>
      <c r="M21" s="63">
        <f>SUM('Additional 25K H_EX'!I21+'25K TPP EX'!I21+'10% Non-Homestead'!I21+'Portability Impact'!I21)</f>
        <v>2108216289</v>
      </c>
      <c r="N21" s="85">
        <f t="shared" si="0"/>
        <v>0.12171584963934338</v>
      </c>
      <c r="O21" s="92">
        <v>16174424071</v>
      </c>
      <c r="P21" s="63">
        <f>SUM('Additional 25K H_EX'!K21+'25K TPP EX'!K21+'10% Non-Homestead'!K21+'Portability Impact'!K21)</f>
        <v>1800301128</v>
      </c>
      <c r="Q21" s="85">
        <f t="shared" si="1"/>
        <v>0.11130542392714046</v>
      </c>
      <c r="R21" s="92">
        <v>15384795911</v>
      </c>
      <c r="S21" s="63">
        <f>SUM('Additional 25K H_EX'!M21+'25K TPP EX'!M21+'10% Non-Homestead'!M21+'Portability Impact'!M21)</f>
        <v>1816313893</v>
      </c>
      <c r="T21" s="85">
        <f t="shared" si="2"/>
        <v>0.11805901771510344</v>
      </c>
      <c r="U21" s="92">
        <v>14789880474</v>
      </c>
      <c r="V21" s="63">
        <f>SUM('Additional 25K H_EX'!O21+'25K TPP EX'!O21+'10% Non-Homestead'!O21+'Portability Impact'!O21)</f>
        <v>1779915123</v>
      </c>
      <c r="W21" s="85">
        <f t="shared" si="3"/>
        <v>0.12034682268927172</v>
      </c>
      <c r="X21" s="92">
        <v>14233276967</v>
      </c>
      <c r="Y21" s="63">
        <f>SUM('Additional 25K H_EX'!Q21+'25K TPP EX'!Q21+'10% Non-Homestead'!Q21+'Portability Impact'!Q21)</f>
        <v>1644294629</v>
      </c>
      <c r="Z21" s="85">
        <f t="shared" si="9"/>
        <v>0.11552467030693733</v>
      </c>
      <c r="AA21" s="92">
        <v>13639869741</v>
      </c>
      <c r="AB21" s="63">
        <f>SUM('Additional 25K H_EX'!S21+'25K TPP EX'!S21+'10% Non-Homestead'!S21+'Portability Impact'!S21)</f>
        <v>1580745410</v>
      </c>
      <c r="AC21" s="85">
        <f t="shared" si="10"/>
        <v>0.11589153269172704</v>
      </c>
      <c r="AD21" s="92">
        <v>13457309385</v>
      </c>
      <c r="AE21" s="63">
        <f>SUM('Additional 25K H_EX'!U21+'25K TPP EX'!U21+'10% Non-Homestead'!U21+'Portability Impact'!U21)</f>
        <v>1556767296</v>
      </c>
      <c r="AF21" s="85">
        <f t="shared" si="11"/>
        <v>0.11568191318654149</v>
      </c>
      <c r="AG21" s="92">
        <v>13755059066</v>
      </c>
      <c r="AH21" s="63">
        <f>SUM('Additional 25K H_EX'!W21+'25K TPP EX'!W21+'10% Non-Homestead'!W21+'Portability Impact'!W21)</f>
        <v>1593630052</v>
      </c>
      <c r="AI21" s="85">
        <f t="shared" si="12"/>
        <v>0.11585773963989461</v>
      </c>
      <c r="AJ21" s="92">
        <v>13638819049</v>
      </c>
      <c r="AK21" s="63">
        <f>SUM('Additional 25K H_EX'!Y21+'25K TPP EX'!Y21+'10% Non-Homestead'!Y21+'Portability Impact'!Y21)</f>
        <v>3176408478</v>
      </c>
      <c r="AL21" s="85">
        <f t="shared" si="4"/>
        <v>0.23289468586599474</v>
      </c>
      <c r="AM21" s="92">
        <v>14234200039</v>
      </c>
      <c r="AN21" s="63">
        <f>SUM('Additional 25K H_EX'!AA21+'25K TPP EX'!AA21+'10% Non-Homestead'!AA21+'Portability Impact'!AA21)</f>
        <v>3239339989</v>
      </c>
      <c r="AO21" s="85">
        <f t="shared" si="5"/>
        <v>0.22757443201055186</v>
      </c>
      <c r="AP21" s="24"/>
      <c r="AQ21" s="24"/>
      <c r="AR21" s="24"/>
    </row>
    <row r="22" spans="1:44" ht="14.25" customHeight="1" x14ac:dyDescent="0.2">
      <c r="A22" s="84" t="s">
        <v>50</v>
      </c>
      <c r="B22" s="90" t="s">
        <v>132</v>
      </c>
      <c r="C22" s="92">
        <v>10736938676</v>
      </c>
      <c r="D22" s="63">
        <f>SUM('Additional 25K H_EX'!C22+'25K TPP EX'!C22+'10% Non-Homestead'!C22+'Portability Impact'!C22)</f>
        <v>1276875220</v>
      </c>
      <c r="E22" s="85">
        <f t="shared" si="6"/>
        <v>0.11892358320478871</v>
      </c>
      <c r="F22" s="92">
        <v>9824806225</v>
      </c>
      <c r="G22" s="63">
        <f>SUM('Additional 25K H_EX'!E22+'25K TPP EX'!E22+'10% Non-Homestead'!E22+'Portability Impact'!E22)</f>
        <v>1083144893</v>
      </c>
      <c r="H22" s="85">
        <f t="shared" si="7"/>
        <v>0.11024592935419446</v>
      </c>
      <c r="I22" s="92">
        <v>9220353744</v>
      </c>
      <c r="J22" s="63">
        <f>SUM('Additional 25K H_EX'!G22+'25K TPP EX'!G22+'10% Non-Homestead'!G22+'Portability Impact'!G22)</f>
        <v>1095089497</v>
      </c>
      <c r="K22" s="85">
        <f t="shared" si="8"/>
        <v>0.1187687075143524</v>
      </c>
      <c r="L22" s="92">
        <v>8491659115</v>
      </c>
      <c r="M22" s="63">
        <f>SUM('Additional 25K H_EX'!I22+'25K TPP EX'!I22+'10% Non-Homestead'!I22+'Portability Impact'!I22)</f>
        <v>994768722</v>
      </c>
      <c r="N22" s="85">
        <f t="shared" si="0"/>
        <v>0.11714656800610396</v>
      </c>
      <c r="O22" s="92">
        <v>7880853702</v>
      </c>
      <c r="P22" s="63">
        <f>SUM('Additional 25K H_EX'!K22+'25K TPP EX'!K22+'10% Non-Homestead'!K22+'Portability Impact'!K22)</f>
        <v>940206742</v>
      </c>
      <c r="Q22" s="85">
        <f t="shared" si="1"/>
        <v>0.11930265140709244</v>
      </c>
      <c r="R22" s="92">
        <v>7404137164</v>
      </c>
      <c r="S22" s="63">
        <f>SUM('Additional 25K H_EX'!M22+'25K TPP EX'!M22+'10% Non-Homestead'!M22+'Portability Impact'!M22)</f>
        <v>912254929</v>
      </c>
      <c r="T22" s="85">
        <f t="shared" si="2"/>
        <v>0.12320880999281282</v>
      </c>
      <c r="U22" s="92">
        <v>6987545919</v>
      </c>
      <c r="V22" s="63">
        <f>SUM('Additional 25K H_EX'!O22+'25K TPP EX'!O22+'10% Non-Homestead'!O22+'Portability Impact'!O22)</f>
        <v>868300449</v>
      </c>
      <c r="W22" s="85">
        <f t="shared" si="3"/>
        <v>0.12426400614255484</v>
      </c>
      <c r="X22" s="92">
        <v>6538506828</v>
      </c>
      <c r="Y22" s="63">
        <f>SUM('Additional 25K H_EX'!Q22+'25K TPP EX'!Q22+'10% Non-Homestead'!Q22+'Portability Impact'!Q22)</f>
        <v>804007297</v>
      </c>
      <c r="Z22" s="85">
        <f t="shared" si="9"/>
        <v>0.12296497016061539</v>
      </c>
      <c r="AA22" s="92">
        <v>6204450264</v>
      </c>
      <c r="AB22" s="63">
        <f>SUM('Additional 25K H_EX'!S22+'25K TPP EX'!S22+'10% Non-Homestead'!S22+'Portability Impact'!S22)</f>
        <v>699801588</v>
      </c>
      <c r="AC22" s="85">
        <f t="shared" si="10"/>
        <v>0.11279026476534908</v>
      </c>
      <c r="AD22" s="92">
        <v>6154947640</v>
      </c>
      <c r="AE22" s="63">
        <f>SUM('Additional 25K H_EX'!U22+'25K TPP EX'!U22+'10% Non-Homestead'!U22+'Portability Impact'!U22)</f>
        <v>697838488</v>
      </c>
      <c r="AF22" s="85">
        <f t="shared" si="11"/>
        <v>0.11337846051928396</v>
      </c>
      <c r="AG22" s="92">
        <v>6561358747</v>
      </c>
      <c r="AH22" s="63">
        <f>SUM('Additional 25K H_EX'!W22+'25K TPP EX'!W22+'10% Non-Homestead'!W22+'Portability Impact'!W22)</f>
        <v>716702061</v>
      </c>
      <c r="AI22" s="85">
        <f t="shared" si="12"/>
        <v>0.10923073842406379</v>
      </c>
      <c r="AJ22" s="92">
        <v>7657765461</v>
      </c>
      <c r="AK22" s="63">
        <f>SUM('Additional 25K H_EX'!Y22+'25K TPP EX'!Y22+'10% Non-Homestead'!Y22+'Portability Impact'!Y22)</f>
        <v>710341447</v>
      </c>
      <c r="AL22" s="85">
        <f t="shared" si="4"/>
        <v>9.2760930145703246E-2</v>
      </c>
      <c r="AM22" s="92">
        <v>9336098682</v>
      </c>
      <c r="AN22" s="63">
        <f>SUM('Additional 25K H_EX'!AA22+'25K TPP EX'!AA22+'10% Non-Homestead'!AA22+'Portability Impact'!AA22)</f>
        <v>706715101</v>
      </c>
      <c r="AO22" s="85">
        <f t="shared" si="5"/>
        <v>7.5697047029135073E-2</v>
      </c>
      <c r="AP22" s="24"/>
      <c r="AQ22" s="24"/>
      <c r="AR22" s="24"/>
    </row>
    <row r="23" spans="1:44" ht="14.25" customHeight="1" x14ac:dyDescent="0.2">
      <c r="A23" s="84" t="s">
        <v>49</v>
      </c>
      <c r="B23" s="90" t="s">
        <v>133</v>
      </c>
      <c r="C23" s="92">
        <v>2340591115</v>
      </c>
      <c r="D23" s="63">
        <f>SUM('Additional 25K H_EX'!C23+'25K TPP EX'!C23+'10% Non-Homestead'!C23+'Portability Impact'!C23)</f>
        <v>221574438</v>
      </c>
      <c r="E23" s="85">
        <f t="shared" si="6"/>
        <v>9.4666016879244627E-2</v>
      </c>
      <c r="F23" s="92">
        <v>2147985872</v>
      </c>
      <c r="G23" s="63">
        <f>SUM('Additional 25K H_EX'!E23+'25K TPP EX'!E23+'10% Non-Homestead'!E23+'Portability Impact'!E23)</f>
        <v>196210467</v>
      </c>
      <c r="H23" s="85">
        <f t="shared" si="7"/>
        <v>9.1346255837943424E-2</v>
      </c>
      <c r="I23" s="92">
        <v>2032458494</v>
      </c>
      <c r="J23" s="63">
        <f>SUM('Additional 25K H_EX'!G23+'25K TPP EX'!G23+'10% Non-Homestead'!G23+'Portability Impact'!G23)</f>
        <v>216431843</v>
      </c>
      <c r="K23" s="85">
        <f t="shared" si="8"/>
        <v>0.10648770621339931</v>
      </c>
      <c r="L23" s="92">
        <v>1898695365</v>
      </c>
      <c r="M23" s="63">
        <f>SUM('Additional 25K H_EX'!I23+'25K TPP EX'!I23+'10% Non-Homestead'!I23+'Portability Impact'!I23)</f>
        <v>153875762</v>
      </c>
      <c r="N23" s="85">
        <f t="shared" si="0"/>
        <v>8.1042891259177852E-2</v>
      </c>
      <c r="O23" s="92">
        <v>1827130246</v>
      </c>
      <c r="P23" s="63">
        <f>SUM('Additional 25K H_EX'!K23+'25K TPP EX'!K23+'10% Non-Homestead'!K23+'Portability Impact'!K23)</f>
        <v>138152972</v>
      </c>
      <c r="Q23" s="85">
        <f t="shared" si="1"/>
        <v>7.5611999912128872E-2</v>
      </c>
      <c r="R23" s="92">
        <v>1767067900</v>
      </c>
      <c r="S23" s="63">
        <f>SUM('Additional 25K H_EX'!M23+'25K TPP EX'!M23+'10% Non-Homestead'!M23+'Portability Impact'!M23)</f>
        <v>145121392</v>
      </c>
      <c r="T23" s="85">
        <f t="shared" si="2"/>
        <v>8.2125532357868083E-2</v>
      </c>
      <c r="U23" s="92">
        <v>1692990268</v>
      </c>
      <c r="V23" s="63">
        <f>SUM('Additional 25K H_EX'!O23+'25K TPP EX'!O23+'10% Non-Homestead'!O23+'Portability Impact'!O23)</f>
        <v>127859102</v>
      </c>
      <c r="W23" s="85">
        <f t="shared" si="3"/>
        <v>7.5522644410144946E-2</v>
      </c>
      <c r="X23" s="92">
        <v>1648404144</v>
      </c>
      <c r="Y23" s="63">
        <f>SUM('Additional 25K H_EX'!Q23+'25K TPP EX'!Q23+'10% Non-Homestead'!Q23+'Portability Impact'!Q23)</f>
        <v>110412847</v>
      </c>
      <c r="Z23" s="85">
        <f t="shared" si="9"/>
        <v>6.6981660657606301E-2</v>
      </c>
      <c r="AA23" s="92">
        <v>1629539441</v>
      </c>
      <c r="AB23" s="63">
        <f>SUM('Additional 25K H_EX'!S23+'25K TPP EX'!S23+'10% Non-Homestead'!S23+'Portability Impact'!S23)</f>
        <v>96900533</v>
      </c>
      <c r="AC23" s="85">
        <f t="shared" si="10"/>
        <v>5.946498167637785E-2</v>
      </c>
      <c r="AD23" s="92">
        <v>1636195656</v>
      </c>
      <c r="AE23" s="63">
        <f>SUM('Additional 25K H_EX'!U23+'25K TPP EX'!U23+'10% Non-Homestead'!U23+'Portability Impact'!U23)</f>
        <v>66207603</v>
      </c>
      <c r="AF23" s="85">
        <f t="shared" si="11"/>
        <v>4.0464355688278393E-2</v>
      </c>
      <c r="AG23" s="92">
        <v>1891448770</v>
      </c>
      <c r="AH23" s="63">
        <f>SUM('Additional 25K H_EX'!W23+'25K TPP EX'!W23+'10% Non-Homestead'!W23+'Portability Impact'!W23)</f>
        <v>66382490</v>
      </c>
      <c r="AI23" s="85">
        <f t="shared" si="12"/>
        <v>3.5096107836957172E-2</v>
      </c>
      <c r="AJ23" s="92">
        <v>2013686272</v>
      </c>
      <c r="AK23" s="63">
        <f>SUM('Additional 25K H_EX'!Y23+'25K TPP EX'!Y23+'10% Non-Homestead'!Y23+'Portability Impact'!Y23)</f>
        <v>68792911</v>
      </c>
      <c r="AL23" s="85">
        <f t="shared" si="4"/>
        <v>3.4162675664305267E-2</v>
      </c>
      <c r="AM23" s="92">
        <v>2746832399</v>
      </c>
      <c r="AN23" s="63">
        <f>SUM('Additional 25K H_EX'!AA23+'25K TPP EX'!AA23+'10% Non-Homestead'!AA23+'Portability Impact'!AA23)</f>
        <v>89470140</v>
      </c>
      <c r="AO23" s="85">
        <f t="shared" si="5"/>
        <v>3.2572114713869005E-2</v>
      </c>
      <c r="AP23" s="24"/>
      <c r="AQ23" s="24"/>
      <c r="AR23" s="24"/>
    </row>
    <row r="24" spans="1:44" ht="14.25" customHeight="1" x14ac:dyDescent="0.2">
      <c r="A24" s="84" t="s">
        <v>48</v>
      </c>
      <c r="B24" s="90" t="s">
        <v>133</v>
      </c>
      <c r="C24" s="92">
        <v>1626444658</v>
      </c>
      <c r="D24" s="63">
        <f>SUM('Additional 25K H_EX'!C24+'25K TPP EX'!C24+'10% Non-Homestead'!C24+'Portability Impact'!C24)</f>
        <v>199433263</v>
      </c>
      <c r="E24" s="85">
        <f t="shared" si="6"/>
        <v>0.12261915093086433</v>
      </c>
      <c r="F24" s="92">
        <v>1515293020</v>
      </c>
      <c r="G24" s="63">
        <f>SUM('Additional 25K H_EX'!E24+'25K TPP EX'!E24+'10% Non-Homestead'!E24+'Portability Impact'!E24)</f>
        <v>184510334</v>
      </c>
      <c r="H24" s="85">
        <f t="shared" si="7"/>
        <v>0.12176544837512682</v>
      </c>
      <c r="I24" s="92">
        <v>1465783219</v>
      </c>
      <c r="J24" s="63">
        <f>SUM('Additional 25K H_EX'!G24+'25K TPP EX'!G24+'10% Non-Homestead'!G24+'Portability Impact'!G24)</f>
        <v>170873545</v>
      </c>
      <c r="K24" s="85">
        <f t="shared" si="8"/>
        <v>0.11657490874849483</v>
      </c>
      <c r="L24" s="92">
        <v>1432302309</v>
      </c>
      <c r="M24" s="63">
        <f>SUM('Additional 25K H_EX'!I24+'25K TPP EX'!I24+'10% Non-Homestead'!I24+'Portability Impact'!I24)</f>
        <v>160188364</v>
      </c>
      <c r="N24" s="85">
        <f t="shared" si="0"/>
        <v>0.11183977222786143</v>
      </c>
      <c r="O24" s="92">
        <v>1381665900</v>
      </c>
      <c r="P24" s="63">
        <f>SUM('Additional 25K H_EX'!K24+'25K TPP EX'!K24+'10% Non-Homestead'!K24+'Portability Impact'!K24)</f>
        <v>153692574</v>
      </c>
      <c r="Q24" s="85">
        <f t="shared" si="1"/>
        <v>0.11123714785173464</v>
      </c>
      <c r="R24" s="92">
        <v>1351344690</v>
      </c>
      <c r="S24" s="63">
        <f>SUM('Additional 25K H_EX'!M24+'25K TPP EX'!M24+'10% Non-Homestead'!M24+'Portability Impact'!M24)</f>
        <v>153953769</v>
      </c>
      <c r="T24" s="85">
        <f t="shared" si="2"/>
        <v>0.11392635064855289</v>
      </c>
      <c r="U24" s="92">
        <v>1346292135</v>
      </c>
      <c r="V24" s="63">
        <f>SUM('Additional 25K H_EX'!O24+'25K TPP EX'!O24+'10% Non-Homestead'!O24+'Portability Impact'!O24)</f>
        <v>155148551</v>
      </c>
      <c r="W24" s="85">
        <f t="shared" si="3"/>
        <v>0.11524137069997813</v>
      </c>
      <c r="X24" s="92">
        <v>1334841413</v>
      </c>
      <c r="Y24" s="63">
        <f>SUM('Additional 25K H_EX'!Q24+'25K TPP EX'!Q24+'10% Non-Homestead'!Q24+'Portability Impact'!Q24)</f>
        <v>155232781</v>
      </c>
      <c r="Z24" s="85">
        <f t="shared" si="9"/>
        <v>0.11629305136040156</v>
      </c>
      <c r="AA24" s="92">
        <v>1339761534</v>
      </c>
      <c r="AB24" s="63">
        <f>SUM('Additional 25K H_EX'!S24+'25K TPP EX'!S24+'10% Non-Homestead'!S24+'Portability Impact'!S24)</f>
        <v>158183810</v>
      </c>
      <c r="AC24" s="85">
        <f t="shared" si="10"/>
        <v>0.11806863086128878</v>
      </c>
      <c r="AD24" s="92">
        <v>1342103010</v>
      </c>
      <c r="AE24" s="63">
        <f>SUM('Additional 25K H_EX'!U24+'25K TPP EX'!U24+'10% Non-Homestead'!U24+'Portability Impact'!U24)</f>
        <v>152941149</v>
      </c>
      <c r="AF24" s="85">
        <f t="shared" si="11"/>
        <v>0.11395634154788163</v>
      </c>
      <c r="AG24" s="92">
        <v>1354833530</v>
      </c>
      <c r="AH24" s="63">
        <f>SUM('Additional 25K H_EX'!W24+'25K TPP EX'!W24+'10% Non-Homestead'!W24+'Portability Impact'!W24)</f>
        <v>156790781</v>
      </c>
      <c r="AI24" s="85">
        <f t="shared" si="12"/>
        <v>0.11572697126856611</v>
      </c>
      <c r="AJ24" s="92">
        <v>1376184308</v>
      </c>
      <c r="AK24" s="63">
        <f>SUM('Additional 25K H_EX'!Y24+'25K TPP EX'!Y24+'10% Non-Homestead'!Y24+'Portability Impact'!Y24)</f>
        <v>155183121</v>
      </c>
      <c r="AL24" s="85">
        <f t="shared" si="4"/>
        <v>0.1127633269017045</v>
      </c>
      <c r="AM24" s="92">
        <v>1397521292</v>
      </c>
      <c r="AN24" s="63">
        <f>SUM('Additional 25K H_EX'!AA24+'25K TPP EX'!AA24+'10% Non-Homestead'!AA24+'Portability Impact'!AA24)</f>
        <v>155663620</v>
      </c>
      <c r="AO24" s="85">
        <f t="shared" si="5"/>
        <v>0.11138550867960587</v>
      </c>
      <c r="AP24" s="24"/>
      <c r="AQ24" s="24"/>
      <c r="AR24" s="24"/>
    </row>
    <row r="25" spans="1:44" ht="14.25" customHeight="1" x14ac:dyDescent="0.2">
      <c r="A25" s="84" t="s">
        <v>47</v>
      </c>
      <c r="B25" s="90" t="s">
        <v>133</v>
      </c>
      <c r="C25" s="92">
        <v>948630071</v>
      </c>
      <c r="D25" s="63">
        <f>SUM('Additional 25K H_EX'!C25+'25K TPP EX'!C25+'10% Non-Homestead'!C25+'Portability Impact'!C25)</f>
        <v>107022672</v>
      </c>
      <c r="E25" s="85">
        <f t="shared" si="6"/>
        <v>0.11281813139992691</v>
      </c>
      <c r="F25" s="92">
        <v>859967244</v>
      </c>
      <c r="G25" s="63">
        <f>SUM('Additional 25K H_EX'!E25+'25K TPP EX'!E25+'10% Non-Homestead'!E25+'Portability Impact'!E25)</f>
        <v>85317139</v>
      </c>
      <c r="H25" s="85">
        <f t="shared" si="7"/>
        <v>9.920975431943313E-2</v>
      </c>
      <c r="I25" s="92">
        <v>751498871</v>
      </c>
      <c r="J25" s="63">
        <f>SUM('Additional 25K H_EX'!G25+'25K TPP EX'!G25+'10% Non-Homestead'!G25+'Portability Impact'!G25)</f>
        <v>78069675</v>
      </c>
      <c r="K25" s="85">
        <f t="shared" si="8"/>
        <v>0.10388528581036285</v>
      </c>
      <c r="L25" s="92">
        <v>747228410</v>
      </c>
      <c r="M25" s="63">
        <f>SUM('Additional 25K H_EX'!I25+'25K TPP EX'!I25+'10% Non-Homestead'!I25+'Portability Impact'!I25)</f>
        <v>73330119</v>
      </c>
      <c r="N25" s="85">
        <f t="shared" si="0"/>
        <v>9.8136149561015754E-2</v>
      </c>
      <c r="O25" s="92">
        <v>642197250</v>
      </c>
      <c r="P25" s="63">
        <f>SUM('Additional 25K H_EX'!K25+'25K TPP EX'!K25+'10% Non-Homestead'!K25+'Portability Impact'!K25)</f>
        <v>67794167</v>
      </c>
      <c r="Q25" s="85">
        <f t="shared" si="1"/>
        <v>0.10556595656552563</v>
      </c>
      <c r="R25" s="92">
        <v>610930369</v>
      </c>
      <c r="S25" s="63">
        <f>SUM('Additional 25K H_EX'!M25+'25K TPP EX'!M25+'10% Non-Homestead'!M25+'Portability Impact'!M25)</f>
        <v>66705370</v>
      </c>
      <c r="T25" s="85">
        <f t="shared" si="2"/>
        <v>0.1091865348078645</v>
      </c>
      <c r="U25" s="92">
        <v>600297515</v>
      </c>
      <c r="V25" s="63">
        <f>SUM('Additional 25K H_EX'!O25+'25K TPP EX'!O25+'10% Non-Homestead'!O25+'Portability Impact'!O25)</f>
        <v>65123034</v>
      </c>
      <c r="W25" s="85">
        <f t="shared" si="3"/>
        <v>0.10848459700853501</v>
      </c>
      <c r="X25" s="92">
        <v>589445570</v>
      </c>
      <c r="Y25" s="63">
        <f>SUM('Additional 25K H_EX'!Q25+'25K TPP EX'!Q25+'10% Non-Homestead'!Q25+'Portability Impact'!Q25)</f>
        <v>66815447</v>
      </c>
      <c r="Z25" s="85">
        <f t="shared" si="9"/>
        <v>0.11335303953510076</v>
      </c>
      <c r="AA25" s="92">
        <v>582141455</v>
      </c>
      <c r="AB25" s="63">
        <f>SUM('Additional 25K H_EX'!S25+'25K TPP EX'!S25+'10% Non-Homestead'!S25+'Portability Impact'!S25)</f>
        <v>66661814</v>
      </c>
      <c r="AC25" s="85">
        <f t="shared" si="10"/>
        <v>0.11451136734455718</v>
      </c>
      <c r="AD25" s="92">
        <v>584617334</v>
      </c>
      <c r="AE25" s="63">
        <f>SUM('Additional 25K H_EX'!U25+'25K TPP EX'!U25+'10% Non-Homestead'!U25+'Portability Impact'!U25)</f>
        <v>70215131</v>
      </c>
      <c r="AF25" s="85">
        <f t="shared" si="11"/>
        <v>0.12010442885704788</v>
      </c>
      <c r="AG25" s="92">
        <v>588577198</v>
      </c>
      <c r="AH25" s="63">
        <f>SUM('Additional 25K H_EX'!W25+'25K TPP EX'!W25+'10% Non-Homestead'!W25+'Portability Impact'!W25)</f>
        <v>71164579</v>
      </c>
      <c r="AI25" s="85">
        <f t="shared" si="12"/>
        <v>0.12090950726908724</v>
      </c>
      <c r="AJ25" s="92">
        <v>628218106</v>
      </c>
      <c r="AK25" s="63">
        <f>SUM('Additional 25K H_EX'!Y25+'25K TPP EX'!Y25+'10% Non-Homestead'!Y25+'Portability Impact'!Y25)</f>
        <v>74886781</v>
      </c>
      <c r="AL25" s="85">
        <f t="shared" si="4"/>
        <v>0.11920506633726345</v>
      </c>
      <c r="AM25" s="92">
        <v>653589163</v>
      </c>
      <c r="AN25" s="63">
        <f>SUM('Additional 25K H_EX'!AA25+'25K TPP EX'!AA25+'10% Non-Homestead'!AA25+'Portability Impact'!AA25)</f>
        <v>69517166</v>
      </c>
      <c r="AO25" s="85">
        <f t="shared" si="5"/>
        <v>0.10636217663235643</v>
      </c>
      <c r="AP25" s="24"/>
      <c r="AQ25" s="24"/>
      <c r="AR25" s="24"/>
    </row>
    <row r="26" spans="1:44" ht="14.25" customHeight="1" x14ac:dyDescent="0.2">
      <c r="A26" s="84" t="s">
        <v>46</v>
      </c>
      <c r="B26" s="90" t="s">
        <v>132</v>
      </c>
      <c r="C26" s="92">
        <v>759915835</v>
      </c>
      <c r="D26" s="63">
        <f>SUM('Additional 25K H_EX'!C26+'25K TPP EX'!C26+'10% Non-Homestead'!C26+'Portability Impact'!C26)</f>
        <v>102364391</v>
      </c>
      <c r="E26" s="85">
        <f t="shared" si="6"/>
        <v>0.13470490584000003</v>
      </c>
      <c r="F26" s="92">
        <v>714004841</v>
      </c>
      <c r="G26" s="63">
        <f>SUM('Additional 25K H_EX'!E26+'25K TPP EX'!E26+'10% Non-Homestead'!E26+'Portability Impact'!E26)</f>
        <v>72093016</v>
      </c>
      <c r="H26" s="85">
        <f t="shared" si="7"/>
        <v>0.10096992605684588</v>
      </c>
      <c r="I26" s="92">
        <v>665533002</v>
      </c>
      <c r="J26" s="63">
        <f>SUM('Additional 25K H_EX'!G26+'25K TPP EX'!G26+'10% Non-Homestead'!G26+'Portability Impact'!G26)</f>
        <v>69631521</v>
      </c>
      <c r="K26" s="85">
        <f t="shared" si="8"/>
        <v>0.1046251963324878</v>
      </c>
      <c r="L26" s="92">
        <v>625816593</v>
      </c>
      <c r="M26" s="63">
        <f>SUM('Additional 25K H_EX'!I26+'25K TPP EX'!I26+'10% Non-Homestead'!I26+'Portability Impact'!I26)</f>
        <v>63557701</v>
      </c>
      <c r="N26" s="85">
        <f t="shared" si="0"/>
        <v>0.10155962898861648</v>
      </c>
      <c r="O26" s="92">
        <v>598117213</v>
      </c>
      <c r="P26" s="63">
        <f>SUM('Additional 25K H_EX'!K26+'25K TPP EX'!K26+'10% Non-Homestead'!K26+'Portability Impact'!K26)</f>
        <v>63947389</v>
      </c>
      <c r="Q26" s="85">
        <f t="shared" si="1"/>
        <v>0.10691447697894627</v>
      </c>
      <c r="R26" s="92">
        <v>576700819</v>
      </c>
      <c r="S26" s="63">
        <f>SUM('Additional 25K H_EX'!M26+'25K TPP EX'!M26+'10% Non-Homestead'!M26+'Portability Impact'!M26)</f>
        <v>58464192</v>
      </c>
      <c r="T26" s="85">
        <f t="shared" si="2"/>
        <v>0.10137698798724959</v>
      </c>
      <c r="U26" s="92">
        <v>561010487</v>
      </c>
      <c r="V26" s="63">
        <f>SUM('Additional 25K H_EX'!O26+'25K TPP EX'!O26+'10% Non-Homestead'!O26+'Portability Impact'!O26)</f>
        <v>56796244</v>
      </c>
      <c r="W26" s="85">
        <f t="shared" si="3"/>
        <v>0.10123918414380728</v>
      </c>
      <c r="X26" s="92">
        <v>559314302</v>
      </c>
      <c r="Y26" s="63">
        <f>SUM('Additional 25K H_EX'!Q26+'25K TPP EX'!Q26+'10% Non-Homestead'!Q26+'Portability Impact'!Q26)</f>
        <v>57523936</v>
      </c>
      <c r="Z26" s="85">
        <f t="shared" si="9"/>
        <v>0.10284724669886951</v>
      </c>
      <c r="AA26" s="92">
        <v>543021277</v>
      </c>
      <c r="AB26" s="63">
        <f>SUM('Additional 25K H_EX'!S26+'25K TPP EX'!S26+'10% Non-Homestead'!S26+'Portability Impact'!S26)</f>
        <v>58193228</v>
      </c>
      <c r="AC26" s="85">
        <f t="shared" si="10"/>
        <v>0.10716564979091971</v>
      </c>
      <c r="AD26" s="92">
        <v>538335647</v>
      </c>
      <c r="AE26" s="63">
        <f>SUM('Additional 25K H_EX'!U26+'25K TPP EX'!U26+'10% Non-Homestead'!U26+'Portability Impact'!U26)</f>
        <v>58587872</v>
      </c>
      <c r="AF26" s="85">
        <f t="shared" si="11"/>
        <v>0.10883149263195643</v>
      </c>
      <c r="AG26" s="92">
        <v>552964817</v>
      </c>
      <c r="AH26" s="63">
        <f>SUM('Additional 25K H_EX'!W26+'25K TPP EX'!W26+'10% Non-Homestead'!W26+'Portability Impact'!W26)</f>
        <v>57185591</v>
      </c>
      <c r="AI26" s="85">
        <f t="shared" si="12"/>
        <v>0.10341632820375261</v>
      </c>
      <c r="AJ26" s="92">
        <v>587867848</v>
      </c>
      <c r="AK26" s="63">
        <f>SUM('Additional 25K H_EX'!Y26+'25K TPP EX'!Y26+'10% Non-Homestead'!Y26+'Portability Impact'!Y26)</f>
        <v>62585684</v>
      </c>
      <c r="AL26" s="85">
        <f t="shared" si="4"/>
        <v>0.10646216528582798</v>
      </c>
      <c r="AM26" s="92">
        <v>634573954</v>
      </c>
      <c r="AN26" s="63">
        <f>SUM('Additional 25K H_EX'!AA26+'25K TPP EX'!AA26+'10% Non-Homestead'!AA26+'Portability Impact'!AA26)</f>
        <v>61136476</v>
      </c>
      <c r="AO26" s="85">
        <f t="shared" si="5"/>
        <v>9.6342554897864585E-2</v>
      </c>
      <c r="AP26" s="24"/>
      <c r="AQ26" s="24"/>
      <c r="AR26" s="24"/>
    </row>
    <row r="27" spans="1:44" ht="14.25" customHeight="1" x14ac:dyDescent="0.2">
      <c r="A27" s="84" t="s">
        <v>45</v>
      </c>
      <c r="B27" s="90" t="s">
        <v>133</v>
      </c>
      <c r="C27" s="92">
        <v>2040123700</v>
      </c>
      <c r="D27" s="63">
        <f>SUM('Additional 25K H_EX'!C27+'25K TPP EX'!C27+'10% Non-Homestead'!C27+'Portability Impact'!C27)</f>
        <v>304717989</v>
      </c>
      <c r="E27" s="85">
        <f t="shared" si="6"/>
        <v>0.14936250630292663</v>
      </c>
      <c r="F27" s="92">
        <v>1796633771</v>
      </c>
      <c r="G27" s="63">
        <f>SUM('Additional 25K H_EX'!E27+'25K TPP EX'!E27+'10% Non-Homestead'!E27+'Portability Impact'!E27)</f>
        <v>241412519</v>
      </c>
      <c r="H27" s="85">
        <f t="shared" si="7"/>
        <v>0.13436935389766755</v>
      </c>
      <c r="I27" s="92">
        <v>1625609525</v>
      </c>
      <c r="J27" s="63">
        <f>SUM('Additional 25K H_EX'!G27+'25K TPP EX'!G27+'10% Non-Homestead'!G27+'Portability Impact'!G27)</f>
        <v>126962821</v>
      </c>
      <c r="K27" s="85">
        <f t="shared" si="8"/>
        <v>7.8101671433058323E-2</v>
      </c>
      <c r="L27" s="92">
        <v>1739005109</v>
      </c>
      <c r="M27" s="63">
        <f>SUM('Additional 25K H_EX'!I27+'25K TPP EX'!I27+'10% Non-Homestead'!I27+'Portability Impact'!I27)</f>
        <v>214532117</v>
      </c>
      <c r="N27" s="85">
        <f t="shared" si="0"/>
        <v>0.12336485723343553</v>
      </c>
      <c r="O27" s="92">
        <v>1603341813</v>
      </c>
      <c r="P27" s="63">
        <f>SUM('Additional 25K H_EX'!K27+'25K TPP EX'!K27+'10% Non-Homestead'!K27+'Portability Impact'!K27)</f>
        <v>232606095</v>
      </c>
      <c r="Q27" s="85">
        <f t="shared" si="1"/>
        <v>0.14507579925504008</v>
      </c>
      <c r="R27" s="92">
        <v>1479206937</v>
      </c>
      <c r="S27" s="63">
        <f>SUM('Additional 25K H_EX'!M27+'25K TPP EX'!M27+'10% Non-Homestead'!M27+'Portability Impact'!M27)</f>
        <v>133868077</v>
      </c>
      <c r="T27" s="85">
        <f t="shared" si="2"/>
        <v>9.049989805449378E-2</v>
      </c>
      <c r="U27" s="92">
        <v>1408209863</v>
      </c>
      <c r="V27" s="63">
        <f>SUM('Additional 25K H_EX'!O27+'25K TPP EX'!O27+'10% Non-Homestead'!O27+'Portability Impact'!O27)</f>
        <v>89569384</v>
      </c>
      <c r="W27" s="85">
        <f t="shared" si="3"/>
        <v>6.3605138945117587E-2</v>
      </c>
      <c r="X27" s="92">
        <v>1376655276</v>
      </c>
      <c r="Y27" s="63">
        <f>SUM('Additional 25K H_EX'!Q27+'25K TPP EX'!Q27+'10% Non-Homestead'!Q27+'Portability Impact'!Q27)</f>
        <v>82085754</v>
      </c>
      <c r="Z27" s="85">
        <f t="shared" si="9"/>
        <v>5.9626949048935327E-2</v>
      </c>
      <c r="AA27" s="92">
        <v>1344379815</v>
      </c>
      <c r="AB27" s="63">
        <f>SUM('Additional 25K H_EX'!S27+'25K TPP EX'!S27+'10% Non-Homestead'!S27+'Portability Impact'!S27)</f>
        <v>77929954</v>
      </c>
      <c r="AC27" s="85">
        <f t="shared" si="10"/>
        <v>5.7967215165306542E-2</v>
      </c>
      <c r="AD27" s="92">
        <v>1352373173</v>
      </c>
      <c r="AE27" s="63">
        <f>SUM('Additional 25K H_EX'!U27+'25K TPP EX'!U27+'10% Non-Homestead'!U27+'Portability Impact'!U27)</f>
        <v>76438110</v>
      </c>
      <c r="AF27" s="85">
        <f t="shared" si="11"/>
        <v>5.6521462807810369E-2</v>
      </c>
      <c r="AG27" s="92">
        <v>1456698195</v>
      </c>
      <c r="AH27" s="63">
        <f>SUM('Additional 25K H_EX'!W27+'25K TPP EX'!W27+'10% Non-Homestead'!W27+'Portability Impact'!W27)</f>
        <v>84951804</v>
      </c>
      <c r="AI27" s="85">
        <f t="shared" si="12"/>
        <v>5.8318054001570314E-2</v>
      </c>
      <c r="AJ27" s="92">
        <v>1570245269</v>
      </c>
      <c r="AK27" s="63">
        <f>SUM('Additional 25K H_EX'!Y27+'25K TPP EX'!Y27+'10% Non-Homestead'!Y27+'Portability Impact'!Y27)</f>
        <v>91271835</v>
      </c>
      <c r="AL27" s="85">
        <f t="shared" si="4"/>
        <v>5.8125846198617014E-2</v>
      </c>
      <c r="AM27" s="92">
        <v>1969890437</v>
      </c>
      <c r="AN27" s="63">
        <f>SUM('Additional 25K H_EX'!AA27+'25K TPP EX'!AA27+'10% Non-Homestead'!AA27+'Portability Impact'!AA27)</f>
        <v>97577971</v>
      </c>
      <c r="AO27" s="85">
        <f t="shared" si="5"/>
        <v>4.9534719884525236E-2</v>
      </c>
      <c r="AP27" s="24"/>
      <c r="AQ27" s="24"/>
      <c r="AR27" s="24"/>
    </row>
    <row r="28" spans="1:44" ht="14.25" customHeight="1" x14ac:dyDescent="0.2">
      <c r="A28" s="84" t="s">
        <v>44</v>
      </c>
      <c r="B28" s="90" t="s">
        <v>133</v>
      </c>
      <c r="C28" s="92">
        <v>1023615959</v>
      </c>
      <c r="D28" s="63">
        <f>SUM('Additional 25K H_EX'!C28+'25K TPP EX'!C28+'10% Non-Homestead'!C28+'Portability Impact'!C28)</f>
        <v>50829595</v>
      </c>
      <c r="E28" s="85">
        <f t="shared" si="6"/>
        <v>4.9656899692788005E-2</v>
      </c>
      <c r="F28" s="92">
        <v>1020402977</v>
      </c>
      <c r="G28" s="63">
        <f>SUM('Additional 25K H_EX'!E28+'25K TPP EX'!E28+'10% Non-Homestead'!E28+'Portability Impact'!E28)</f>
        <v>47107715</v>
      </c>
      <c r="H28" s="85">
        <f t="shared" si="7"/>
        <v>4.6165795339501443E-2</v>
      </c>
      <c r="I28" s="92">
        <v>947678203</v>
      </c>
      <c r="J28" s="63">
        <f>SUM('Additional 25K H_EX'!G28+'25K TPP EX'!G28+'10% Non-Homestead'!G28+'Portability Impact'!G28)</f>
        <v>48305899</v>
      </c>
      <c r="K28" s="85">
        <f t="shared" si="8"/>
        <v>5.0972892324716683E-2</v>
      </c>
      <c r="L28" s="92">
        <v>823115280</v>
      </c>
      <c r="M28" s="63">
        <f>SUM('Additional 25K H_EX'!I28+'25K TPP EX'!I28+'10% Non-Homestead'!I28+'Portability Impact'!I28)</f>
        <v>41145757</v>
      </c>
      <c r="N28" s="85">
        <f t="shared" si="0"/>
        <v>4.9987842529177685E-2</v>
      </c>
      <c r="O28" s="92">
        <v>759683607</v>
      </c>
      <c r="P28" s="63">
        <f>SUM('Additional 25K H_EX'!K28+'25K TPP EX'!K28+'10% Non-Homestead'!K28+'Portability Impact'!K28)</f>
        <v>40775924</v>
      </c>
      <c r="Q28" s="85">
        <f t="shared" si="1"/>
        <v>5.3674876783276433E-2</v>
      </c>
      <c r="R28" s="92">
        <v>746747933</v>
      </c>
      <c r="S28" s="63">
        <f>SUM('Additional 25K H_EX'!M28+'25K TPP EX'!M28+'10% Non-Homestead'!M28+'Portability Impact'!M28)</f>
        <v>42593767</v>
      </c>
      <c r="T28" s="85">
        <f t="shared" si="2"/>
        <v>5.7039015600462331E-2</v>
      </c>
      <c r="U28" s="92">
        <v>732704674</v>
      </c>
      <c r="V28" s="63">
        <f>SUM('Additional 25K H_EX'!O28+'25K TPP EX'!O28+'10% Non-Homestead'!O28+'Portability Impact'!O28)</f>
        <v>42846174</v>
      </c>
      <c r="W28" s="85">
        <f t="shared" si="3"/>
        <v>5.8476730830844953E-2</v>
      </c>
      <c r="X28" s="92">
        <v>766146455</v>
      </c>
      <c r="Y28" s="63">
        <f>SUM('Additional 25K H_EX'!Q28+'25K TPP EX'!Q28+'10% Non-Homestead'!Q28+'Portability Impact'!Q28)</f>
        <v>46504654</v>
      </c>
      <c r="Z28" s="85">
        <f t="shared" si="9"/>
        <v>6.069943115510467E-2</v>
      </c>
      <c r="AA28" s="92">
        <v>774137129</v>
      </c>
      <c r="AB28" s="63">
        <f>SUM('Additional 25K H_EX'!S28+'25K TPP EX'!S28+'10% Non-Homestead'!S28+'Portability Impact'!S28)</f>
        <v>41334922</v>
      </c>
      <c r="AC28" s="85">
        <f t="shared" si="10"/>
        <v>5.3394832067278353E-2</v>
      </c>
      <c r="AD28" s="92">
        <v>745705960</v>
      </c>
      <c r="AE28" s="63">
        <f>SUM('Additional 25K H_EX'!U28+'25K TPP EX'!U28+'10% Non-Homestead'!U28+'Portability Impact'!U28)</f>
        <v>48554315</v>
      </c>
      <c r="AF28" s="85">
        <f t="shared" si="11"/>
        <v>6.511187734103667E-2</v>
      </c>
      <c r="AG28" s="92">
        <v>717029666</v>
      </c>
      <c r="AH28" s="63">
        <f>SUM('Additional 25K H_EX'!W28+'25K TPP EX'!W28+'10% Non-Homestead'!W28+'Portability Impact'!W28)</f>
        <v>49503679</v>
      </c>
      <c r="AI28" s="85">
        <f t="shared" si="12"/>
        <v>6.9039931466378129E-2</v>
      </c>
      <c r="AJ28" s="92">
        <v>713571187</v>
      </c>
      <c r="AK28" s="63">
        <f>SUM('Additional 25K H_EX'!Y28+'25K TPP EX'!Y28+'10% Non-Homestead'!Y28+'Portability Impact'!Y28)</f>
        <v>53216714</v>
      </c>
      <c r="AL28" s="85">
        <f t="shared" ref="AL28:AL73" si="13">AK28/AJ28</f>
        <v>7.4578002825105655E-2</v>
      </c>
      <c r="AM28" s="92">
        <v>729257827</v>
      </c>
      <c r="AN28" s="63">
        <f>SUM('Additional 25K H_EX'!AA28+'25K TPP EX'!AA28+'10% Non-Homestead'!AA28+'Portability Impact'!AA28)</f>
        <v>68221841</v>
      </c>
      <c r="AO28" s="85">
        <f t="shared" si="5"/>
        <v>9.3549686371758339E-2</v>
      </c>
      <c r="AP28" s="24"/>
      <c r="AQ28" s="24"/>
      <c r="AR28" s="24"/>
    </row>
    <row r="29" spans="1:44" ht="14.25" customHeight="1" x14ac:dyDescent="0.2">
      <c r="A29" s="84" t="s">
        <v>43</v>
      </c>
      <c r="B29" s="90" t="s">
        <v>132</v>
      </c>
      <c r="C29" s="92">
        <v>1830235001</v>
      </c>
      <c r="D29" s="63">
        <f>SUM('Additional 25K H_EX'!C29+'25K TPP EX'!C29+'10% Non-Homestead'!C29+'Portability Impact'!C29)</f>
        <v>147988184</v>
      </c>
      <c r="E29" s="85">
        <f t="shared" si="6"/>
        <v>8.0857476727929756E-2</v>
      </c>
      <c r="F29" s="92">
        <v>1757575531</v>
      </c>
      <c r="G29" s="63">
        <f>SUM('Additional 25K H_EX'!E29+'25K TPP EX'!E29+'10% Non-Homestead'!E29+'Portability Impact'!E29)</f>
        <v>149705974</v>
      </c>
      <c r="H29" s="85">
        <f t="shared" si="7"/>
        <v>8.5177547911595278E-2</v>
      </c>
      <c r="I29" s="92">
        <v>1656439897</v>
      </c>
      <c r="J29" s="63">
        <f>SUM('Additional 25K H_EX'!G29+'25K TPP EX'!G29+'10% Non-Homestead'!G29+'Portability Impact'!G29)</f>
        <v>107712187</v>
      </c>
      <c r="K29" s="85">
        <f t="shared" si="8"/>
        <v>6.5026317704058534E-2</v>
      </c>
      <c r="L29" s="92">
        <v>1625093366</v>
      </c>
      <c r="M29" s="63">
        <f>SUM('Additional 25K H_EX'!I29+'25K TPP EX'!I29+'10% Non-Homestead'!I29+'Portability Impact'!I29)</f>
        <v>98747546</v>
      </c>
      <c r="N29" s="85">
        <f t="shared" si="0"/>
        <v>6.0764229345823324E-2</v>
      </c>
      <c r="O29" s="92">
        <v>1560841402</v>
      </c>
      <c r="P29" s="63">
        <f>SUM('Additional 25K H_EX'!K29+'25K TPP EX'!K29+'10% Non-Homestead'!K29+'Portability Impact'!K29)</f>
        <v>88113871</v>
      </c>
      <c r="Q29" s="85">
        <f t="shared" si="1"/>
        <v>5.6452802243132705E-2</v>
      </c>
      <c r="R29" s="92">
        <v>1544806660</v>
      </c>
      <c r="S29" s="63">
        <f>SUM('Additional 25K H_EX'!M29+'25K TPP EX'!M29+'10% Non-Homestead'!M29+'Portability Impact'!M29)</f>
        <v>89049188</v>
      </c>
      <c r="T29" s="85">
        <f t="shared" si="2"/>
        <v>5.7644228436974761E-2</v>
      </c>
      <c r="U29" s="92">
        <v>1540745217</v>
      </c>
      <c r="V29" s="63">
        <f>SUM('Additional 25K H_EX'!O29+'25K TPP EX'!O29+'10% Non-Homestead'!O29+'Portability Impact'!O29)</f>
        <v>101927859</v>
      </c>
      <c r="W29" s="85">
        <f t="shared" si="3"/>
        <v>6.6154908595766879E-2</v>
      </c>
      <c r="X29" s="92">
        <v>1448493776</v>
      </c>
      <c r="Y29" s="63">
        <f>SUM('Additional 25K H_EX'!Q29+'25K TPP EX'!Q29+'10% Non-Homestead'!Q29+'Portability Impact'!Q29)</f>
        <v>70684902</v>
      </c>
      <c r="Z29" s="85">
        <f t="shared" si="9"/>
        <v>4.8798899360959352E-2</v>
      </c>
      <c r="AA29" s="92">
        <v>1500655884</v>
      </c>
      <c r="AB29" s="63">
        <f>SUM('Additional 25K H_EX'!S29+'25K TPP EX'!S29+'10% Non-Homestead'!S29+'Portability Impact'!S29)</f>
        <v>70857332</v>
      </c>
      <c r="AC29" s="85">
        <f t="shared" si="10"/>
        <v>4.7217575165286858E-2</v>
      </c>
      <c r="AD29" s="92">
        <v>1534084899</v>
      </c>
      <c r="AE29" s="63">
        <f>SUM('Additional 25K H_EX'!U29+'25K TPP EX'!U29+'10% Non-Homestead'!U29+'Portability Impact'!U29)</f>
        <v>72410615</v>
      </c>
      <c r="AF29" s="85">
        <f t="shared" si="11"/>
        <v>4.7201178401013642E-2</v>
      </c>
      <c r="AG29" s="92">
        <v>1481368532</v>
      </c>
      <c r="AH29" s="63">
        <f>SUM('Additional 25K H_EX'!W29+'25K TPP EX'!W29+'10% Non-Homestead'!W29+'Portability Impact'!W29)</f>
        <v>74885645</v>
      </c>
      <c r="AI29" s="85">
        <f t="shared" si="12"/>
        <v>5.0551664479396408E-2</v>
      </c>
      <c r="AJ29" s="92">
        <v>1536127184</v>
      </c>
      <c r="AK29" s="63">
        <f>SUM('Additional 25K H_EX'!Y29+'25K TPP EX'!Y29+'10% Non-Homestead'!Y29+'Portability Impact'!Y29)</f>
        <v>78564559</v>
      </c>
      <c r="AL29" s="85">
        <f t="shared" si="13"/>
        <v>5.1144566555629684E-2</v>
      </c>
      <c r="AM29" s="92">
        <v>1607223079</v>
      </c>
      <c r="AN29" s="63">
        <f>SUM('Additional 25K H_EX'!AA29+'25K TPP EX'!AA29+'10% Non-Homestead'!AA29+'Portability Impact'!AA29)</f>
        <v>84286773</v>
      </c>
      <c r="AO29" s="85">
        <f t="shared" si="5"/>
        <v>5.2442485490217378E-2</v>
      </c>
      <c r="AP29" s="24"/>
      <c r="AQ29" s="24"/>
      <c r="AR29" s="24"/>
    </row>
    <row r="30" spans="1:44" ht="14.25" customHeight="1" x14ac:dyDescent="0.2">
      <c r="A30" s="84" t="s">
        <v>42</v>
      </c>
      <c r="B30" s="90" t="s">
        <v>132</v>
      </c>
      <c r="C30" s="92">
        <v>2684017344</v>
      </c>
      <c r="D30" s="63">
        <f>SUM('Additional 25K H_EX'!C30+'25K TPP EX'!C30+'10% Non-Homestead'!C30+'Portability Impact'!C30)</f>
        <v>306714024</v>
      </c>
      <c r="E30" s="85">
        <f t="shared" si="6"/>
        <v>0.11427423324429904</v>
      </c>
      <c r="F30" s="92">
        <v>2415398806</v>
      </c>
      <c r="G30" s="63">
        <f>SUM('Additional 25K H_EX'!E30+'25K TPP EX'!E30+'10% Non-Homestead'!E30+'Portability Impact'!E30)</f>
        <v>195780296</v>
      </c>
      <c r="H30" s="85">
        <f t="shared" si="7"/>
        <v>8.1055060354285863E-2</v>
      </c>
      <c r="I30" s="92">
        <v>2189741851</v>
      </c>
      <c r="J30" s="63">
        <f>SUM('Additional 25K H_EX'!G30+'25K TPP EX'!G30+'10% Non-Homestead'!G30+'Portability Impact'!G30)</f>
        <v>146684883</v>
      </c>
      <c r="K30" s="85">
        <f t="shared" si="8"/>
        <v>6.6987294841632905E-2</v>
      </c>
      <c r="L30" s="92">
        <v>2093617819</v>
      </c>
      <c r="M30" s="63">
        <f>SUM('Additional 25K H_EX'!I30+'25K TPP EX'!I30+'10% Non-Homestead'!I30+'Portability Impact'!I30)</f>
        <v>137756188</v>
      </c>
      <c r="N30" s="85">
        <f t="shared" si="0"/>
        <v>6.5798154156806968E-2</v>
      </c>
      <c r="O30" s="92">
        <v>1911107830</v>
      </c>
      <c r="P30" s="63">
        <f>SUM('Additional 25K H_EX'!K30+'25K TPP EX'!K30+'10% Non-Homestead'!K30+'Portability Impact'!K30)</f>
        <v>116584818</v>
      </c>
      <c r="Q30" s="85">
        <f t="shared" si="1"/>
        <v>6.1003788572202122E-2</v>
      </c>
      <c r="R30" s="92">
        <v>1840736755</v>
      </c>
      <c r="S30" s="63">
        <f>SUM('Additional 25K H_EX'!M30+'25K TPP EX'!M30+'10% Non-Homestead'!M30+'Portability Impact'!M30)</f>
        <v>102275075</v>
      </c>
      <c r="T30" s="85">
        <f t="shared" si="2"/>
        <v>5.556203227984112E-2</v>
      </c>
      <c r="U30" s="92">
        <v>1812071084</v>
      </c>
      <c r="V30" s="63">
        <f>SUM('Additional 25K H_EX'!O30+'25K TPP EX'!O30+'10% Non-Homestead'!O30+'Portability Impact'!O30)</f>
        <v>98249961</v>
      </c>
      <c r="W30" s="85">
        <f t="shared" si="3"/>
        <v>5.4219705765140944E-2</v>
      </c>
      <c r="X30" s="92">
        <v>1777183695</v>
      </c>
      <c r="Y30" s="63">
        <f>SUM('Additional 25K H_EX'!Q30+'25K TPP EX'!Q30+'10% Non-Homestead'!Q30+'Portability Impact'!Q30)</f>
        <v>90477860</v>
      </c>
      <c r="Z30" s="85">
        <f t="shared" si="9"/>
        <v>5.0910809194656716E-2</v>
      </c>
      <c r="AA30" s="92">
        <v>1742992115</v>
      </c>
      <c r="AB30" s="63">
        <f>SUM('Additional 25K H_EX'!S30+'25K TPP EX'!S30+'10% Non-Homestead'!S30+'Portability Impact'!S30)</f>
        <v>87348597</v>
      </c>
      <c r="AC30" s="85">
        <f t="shared" si="10"/>
        <v>5.011416646597968E-2</v>
      </c>
      <c r="AD30" s="92">
        <v>1671815265</v>
      </c>
      <c r="AE30" s="63">
        <f>SUM('Additional 25K H_EX'!U30+'25K TPP EX'!U30+'10% Non-Homestead'!U30+'Portability Impact'!U30)</f>
        <v>83083298</v>
      </c>
      <c r="AF30" s="85">
        <f t="shared" si="11"/>
        <v>4.9696458537839702E-2</v>
      </c>
      <c r="AG30" s="92">
        <v>1669996950</v>
      </c>
      <c r="AH30" s="63">
        <f>SUM('Additional 25K H_EX'!W30+'25K TPP EX'!W30+'10% Non-Homestead'!W30+'Portability Impact'!W30)</f>
        <v>84410062</v>
      </c>
      <c r="AI30" s="85">
        <f t="shared" si="12"/>
        <v>5.0545039618186127E-2</v>
      </c>
      <c r="AJ30" s="92">
        <v>1790130483</v>
      </c>
      <c r="AK30" s="63">
        <f>SUM('Additional 25K H_EX'!Y30+'25K TPP EX'!Y30+'10% Non-Homestead'!Y30+'Portability Impact'!Y30)</f>
        <v>98584634</v>
      </c>
      <c r="AL30" s="85">
        <f t="shared" si="13"/>
        <v>5.5071200080782041E-2</v>
      </c>
      <c r="AM30" s="92">
        <v>2089275129</v>
      </c>
      <c r="AN30" s="63">
        <f>SUM('Additional 25K H_EX'!AA30+'25K TPP EX'!AA30+'10% Non-Homestead'!AA30+'Portability Impact'!AA30)</f>
        <v>112935428</v>
      </c>
      <c r="AO30" s="85">
        <f t="shared" si="5"/>
        <v>5.4054837695815983E-2</v>
      </c>
      <c r="AP30" s="24"/>
      <c r="AQ30" s="24"/>
      <c r="AR30" s="24"/>
    </row>
    <row r="31" spans="1:44" ht="14.25" customHeight="1" x14ac:dyDescent="0.2">
      <c r="A31" s="84" t="s">
        <v>41</v>
      </c>
      <c r="B31" s="90" t="s">
        <v>132</v>
      </c>
      <c r="C31" s="92">
        <v>10863784150</v>
      </c>
      <c r="D31" s="63">
        <f>SUM('Additional 25K H_EX'!C31+'25K TPP EX'!C31+'10% Non-Homestead'!C31+'Portability Impact'!C31)</f>
        <v>1552004108</v>
      </c>
      <c r="E31" s="85">
        <f t="shared" si="6"/>
        <v>0.14286035938959629</v>
      </c>
      <c r="F31" s="92">
        <v>9971870546</v>
      </c>
      <c r="G31" s="63">
        <f>SUM('Additional 25K H_EX'!E31+'25K TPP EX'!E31+'10% Non-Homestead'!E31+'Portability Impact'!E31)</f>
        <v>2042336092</v>
      </c>
      <c r="H31" s="85">
        <f t="shared" si="7"/>
        <v>0.20480972778163861</v>
      </c>
      <c r="I31" s="92">
        <v>9185527608</v>
      </c>
      <c r="J31" s="63">
        <f>SUM('Additional 25K H_EX'!G31+'25K TPP EX'!G31+'10% Non-Homestead'!G31+'Portability Impact'!G31)</f>
        <v>1883719391</v>
      </c>
      <c r="K31" s="85">
        <f t="shared" si="8"/>
        <v>0.20507470788715526</v>
      </c>
      <c r="L31" s="92">
        <v>8690027423</v>
      </c>
      <c r="M31" s="63">
        <f>SUM('Additional 25K H_EX'!I31+'25K TPP EX'!I31+'10% Non-Homestead'!I31+'Portability Impact'!I31)</f>
        <v>1161813918</v>
      </c>
      <c r="N31" s="85">
        <f t="shared" si="0"/>
        <v>0.13369508074566175</v>
      </c>
      <c r="O31" s="92">
        <v>8180882899</v>
      </c>
      <c r="P31" s="63">
        <f>SUM('Additional 25K H_EX'!K31+'25K TPP EX'!K31+'10% Non-Homestead'!K31+'Portability Impact'!K31)</f>
        <v>1075175085</v>
      </c>
      <c r="Q31" s="85">
        <f t="shared" si="1"/>
        <v>0.13142531170216668</v>
      </c>
      <c r="R31" s="92">
        <v>7703965474</v>
      </c>
      <c r="S31" s="63">
        <f>SUM('Additional 25K H_EX'!M31+'25K TPP EX'!M31+'10% Non-Homestead'!M31+'Portability Impact'!M31)</f>
        <v>949405040</v>
      </c>
      <c r="T31" s="85">
        <f t="shared" si="2"/>
        <v>0.12323588977704185</v>
      </c>
      <c r="U31" s="92">
        <v>7370999872</v>
      </c>
      <c r="V31" s="63">
        <f>SUM('Additional 25K H_EX'!O31+'25K TPP EX'!O31+'10% Non-Homestead'!O31+'Portability Impact'!O31)</f>
        <v>918938113</v>
      </c>
      <c r="W31" s="85">
        <f t="shared" si="3"/>
        <v>0.1246693974979898</v>
      </c>
      <c r="X31" s="92">
        <v>7148850962</v>
      </c>
      <c r="Y31" s="63">
        <f>SUM('Additional 25K H_EX'!Q31+'25K TPP EX'!Q31+'10% Non-Homestead'!Q31+'Portability Impact'!Q31)</f>
        <v>889667589</v>
      </c>
      <c r="Z31" s="85">
        <f t="shared" si="9"/>
        <v>0.12444903296055033</v>
      </c>
      <c r="AA31" s="92">
        <v>6951348033</v>
      </c>
      <c r="AB31" s="63">
        <f>SUM('Additional 25K H_EX'!S31+'25K TPP EX'!S31+'10% Non-Homestead'!S31+'Portability Impact'!S31)</f>
        <v>864096824</v>
      </c>
      <c r="AC31" s="85">
        <f t="shared" si="10"/>
        <v>0.12430636761357508</v>
      </c>
      <c r="AD31" s="92">
        <v>6986476831</v>
      </c>
      <c r="AE31" s="63">
        <f>SUM('Additional 25K H_EX'!U31+'25K TPP EX'!U31+'10% Non-Homestead'!U31+'Portability Impact'!U31)</f>
        <v>946203354</v>
      </c>
      <c r="AF31" s="85">
        <f t="shared" si="11"/>
        <v>0.1354335492535465</v>
      </c>
      <c r="AG31" s="92">
        <v>7503020415</v>
      </c>
      <c r="AH31" s="63">
        <f>SUM('Additional 25K H_EX'!W31+'25K TPP EX'!W31+'10% Non-Homestead'!W31+'Portability Impact'!W31)</f>
        <v>984542284</v>
      </c>
      <c r="AI31" s="85">
        <f t="shared" si="12"/>
        <v>0.13121945957013634</v>
      </c>
      <c r="AJ31" s="92">
        <v>8213553818</v>
      </c>
      <c r="AK31" s="63">
        <f>SUM('Additional 25K H_EX'!Y31+'25K TPP EX'!Y31+'10% Non-Homestead'!Y31+'Portability Impact'!Y31)</f>
        <v>1058633051</v>
      </c>
      <c r="AL31" s="85">
        <f t="shared" si="13"/>
        <v>0.12888855110196101</v>
      </c>
      <c r="AM31" s="92">
        <v>9280516436</v>
      </c>
      <c r="AN31" s="63">
        <f>SUM('Additional 25K H_EX'!AA31+'25K TPP EX'!AA31+'10% Non-Homestead'!AA31+'Portability Impact'!AA31)</f>
        <v>1121367067</v>
      </c>
      <c r="AO31" s="85">
        <f t="shared" si="5"/>
        <v>0.12083024417155398</v>
      </c>
      <c r="AP31" s="24"/>
      <c r="AQ31" s="24"/>
      <c r="AR31" s="24"/>
    </row>
    <row r="32" spans="1:44" ht="14.25" customHeight="1" x14ac:dyDescent="0.2">
      <c r="A32" s="84" t="s">
        <v>40</v>
      </c>
      <c r="B32" s="90" t="s">
        <v>132</v>
      </c>
      <c r="C32" s="92">
        <v>5700461360</v>
      </c>
      <c r="D32" s="63">
        <f>SUM('Additional 25K H_EX'!C32+'25K TPP EX'!C32+'10% Non-Homestead'!C32+'Portability Impact'!C32)</f>
        <v>728763188</v>
      </c>
      <c r="E32" s="85">
        <f t="shared" si="6"/>
        <v>0.12784284323260459</v>
      </c>
      <c r="F32" s="92">
        <v>5335974010</v>
      </c>
      <c r="G32" s="63">
        <f>SUM('Additional 25K H_EX'!E32+'25K TPP EX'!E32+'10% Non-Homestead'!E32+'Portability Impact'!E32)</f>
        <v>611569445</v>
      </c>
      <c r="H32" s="85">
        <f t="shared" si="7"/>
        <v>0.11461252319705358</v>
      </c>
      <c r="I32" s="92">
        <v>5052028643</v>
      </c>
      <c r="J32" s="63">
        <f>SUM('Additional 25K H_EX'!G32+'25K TPP EX'!G32+'10% Non-Homestead'!G32+'Portability Impact'!G32)</f>
        <v>577333281</v>
      </c>
      <c r="K32" s="85">
        <f t="shared" si="8"/>
        <v>0.11427751538977171</v>
      </c>
      <c r="L32" s="92">
        <v>4836320062</v>
      </c>
      <c r="M32" s="63">
        <f>SUM('Additional 25K H_EX'!I32+'25K TPP EX'!I32+'10% Non-Homestead'!I32+'Portability Impact'!I32)</f>
        <v>580651871</v>
      </c>
      <c r="N32" s="85">
        <f t="shared" si="0"/>
        <v>0.12006067910234185</v>
      </c>
      <c r="O32" s="92">
        <v>4761851513</v>
      </c>
      <c r="P32" s="63">
        <f>SUM('Additional 25K H_EX'!K32+'25K TPP EX'!K32+'10% Non-Homestead'!K32+'Portability Impact'!K32)</f>
        <v>556078536</v>
      </c>
      <c r="Q32" s="85">
        <f t="shared" si="1"/>
        <v>0.11677779840087173</v>
      </c>
      <c r="R32" s="92">
        <v>4631200563</v>
      </c>
      <c r="S32" s="63">
        <f>SUM('Additional 25K H_EX'!M32+'25K TPP EX'!M32+'10% Non-Homestead'!M32+'Portability Impact'!M32)</f>
        <v>521765012</v>
      </c>
      <c r="T32" s="85">
        <f t="shared" si="2"/>
        <v>0.11266301359706411</v>
      </c>
      <c r="U32" s="92">
        <v>4503319194</v>
      </c>
      <c r="V32" s="63">
        <f>SUM('Additional 25K H_EX'!O32+'25K TPP EX'!O32+'10% Non-Homestead'!O32+'Portability Impact'!O32)</f>
        <v>454223678</v>
      </c>
      <c r="W32" s="85">
        <f t="shared" si="3"/>
        <v>0.10086419781328962</v>
      </c>
      <c r="X32" s="92">
        <v>4464136645</v>
      </c>
      <c r="Y32" s="63">
        <f>SUM('Additional 25K H_EX'!Q32+'25K TPP EX'!Q32+'10% Non-Homestead'!Q32+'Portability Impact'!Q32)</f>
        <v>441529999</v>
      </c>
      <c r="Z32" s="85">
        <f t="shared" si="9"/>
        <v>9.8906022398425039E-2</v>
      </c>
      <c r="AA32" s="92">
        <v>4442658296</v>
      </c>
      <c r="AB32" s="63">
        <f>SUM('Additional 25K H_EX'!S32+'25K TPP EX'!S32+'10% Non-Homestead'!S32+'Portability Impact'!S32)</f>
        <v>449284293</v>
      </c>
      <c r="AC32" s="85">
        <f t="shared" si="10"/>
        <v>0.10112960823579847</v>
      </c>
      <c r="AD32" s="92">
        <v>4547821035</v>
      </c>
      <c r="AE32" s="63">
        <f>SUM('Additional 25K H_EX'!U32+'25K TPP EX'!U32+'10% Non-Homestead'!U32+'Portability Impact'!U32)</f>
        <v>458672635</v>
      </c>
      <c r="AF32" s="85">
        <f t="shared" si="11"/>
        <v>0.10085547154781564</v>
      </c>
      <c r="AG32" s="92">
        <v>4709026207</v>
      </c>
      <c r="AH32" s="63">
        <f>SUM('Additional 25K H_EX'!W32+'25K TPP EX'!W32+'10% Non-Homestead'!W32+'Portability Impact'!W32)</f>
        <v>513915746</v>
      </c>
      <c r="AI32" s="85">
        <f t="shared" si="12"/>
        <v>0.10913418685928328</v>
      </c>
      <c r="AJ32" s="92">
        <v>4921416247</v>
      </c>
      <c r="AK32" s="63">
        <f>SUM('Additional 25K H_EX'!Y32+'25K TPP EX'!Y32+'10% Non-Homestead'!Y32+'Portability Impact'!Y32)</f>
        <v>523909209</v>
      </c>
      <c r="AL32" s="85">
        <f t="shared" si="13"/>
        <v>0.10645496798190254</v>
      </c>
      <c r="AM32" s="92">
        <v>5711234281</v>
      </c>
      <c r="AN32" s="63">
        <f>SUM('Additional 25K H_EX'!AA32+'25K TPP EX'!AA32+'10% Non-Homestead'!AA32+'Portability Impact'!AA32)</f>
        <v>553355030</v>
      </c>
      <c r="AO32" s="85">
        <f t="shared" si="5"/>
        <v>9.6888868985971821E-2</v>
      </c>
      <c r="AP32" s="24"/>
      <c r="AQ32" s="24"/>
      <c r="AR32" s="24"/>
    </row>
    <row r="33" spans="1:44" ht="14.25" customHeight="1" x14ac:dyDescent="0.2">
      <c r="A33" s="84" t="s">
        <v>39</v>
      </c>
      <c r="B33" s="90" t="s">
        <v>132</v>
      </c>
      <c r="C33" s="92">
        <v>122330062817</v>
      </c>
      <c r="D33" s="63">
        <f>SUM('Additional 25K H_EX'!C33+'25K TPP EX'!C33+'10% Non-Homestead'!C33+'Portability Impact'!C33)</f>
        <v>10987638461</v>
      </c>
      <c r="E33" s="85">
        <f t="shared" si="6"/>
        <v>8.981960940735384E-2</v>
      </c>
      <c r="F33" s="92">
        <v>112433122145</v>
      </c>
      <c r="G33" s="63">
        <f>SUM('Additional 25K H_EX'!E33+'25K TPP EX'!E33+'10% Non-Homestead'!E33+'Portability Impact'!E33)</f>
        <v>10136491394</v>
      </c>
      <c r="H33" s="85">
        <f t="shared" si="7"/>
        <v>9.0155740591526201E-2</v>
      </c>
      <c r="I33" s="92">
        <v>103235799104</v>
      </c>
      <c r="J33" s="63">
        <f>SUM('Additional 25K H_EX'!G33+'25K TPP EX'!G33+'10% Non-Homestead'!G33+'Portability Impact'!G33)</f>
        <v>10436721281</v>
      </c>
      <c r="K33" s="85">
        <f t="shared" si="8"/>
        <v>0.10109595093545042</v>
      </c>
      <c r="L33" s="92">
        <v>94616475113</v>
      </c>
      <c r="M33" s="63">
        <f>SUM('Additional 25K H_EX'!I33+'25K TPP EX'!I33+'10% Non-Homestead'!I33+'Portability Impact'!I33)</f>
        <v>10005604752</v>
      </c>
      <c r="N33" s="85">
        <f t="shared" si="0"/>
        <v>0.10574907530692043</v>
      </c>
      <c r="O33" s="92">
        <v>86143845068</v>
      </c>
      <c r="P33" s="63">
        <f>SUM('Additional 25K H_EX'!K33+'25K TPP EX'!K33+'10% Non-Homestead'!K33+'Portability Impact'!K33)</f>
        <v>8942885584</v>
      </c>
      <c r="Q33" s="85">
        <f t="shared" si="1"/>
        <v>0.10381340160682041</v>
      </c>
      <c r="R33" s="92">
        <v>79211609816</v>
      </c>
      <c r="S33" s="63">
        <f>SUM('Additional 25K H_EX'!M33+'25K TPP EX'!M33+'10% Non-Homestead'!M33+'Portability Impact'!M33)</f>
        <v>8344935045</v>
      </c>
      <c r="T33" s="85">
        <f t="shared" si="2"/>
        <v>0.10534989838464817</v>
      </c>
      <c r="U33" s="92">
        <v>73436563263</v>
      </c>
      <c r="V33" s="63">
        <f>SUM('Additional 25K H_EX'!O33+'25K TPP EX'!O33+'10% Non-Homestead'!O33+'Portability Impact'!O33)</f>
        <v>7653368013</v>
      </c>
      <c r="W33" s="85">
        <f t="shared" si="3"/>
        <v>0.10421740442279172</v>
      </c>
      <c r="X33" s="92">
        <v>68300160834</v>
      </c>
      <c r="Y33" s="63">
        <f>SUM('Additional 25K H_EX'!Q33+'25K TPP EX'!Q33+'10% Non-Homestead'!Q33+'Portability Impact'!Q33)</f>
        <v>6694566234</v>
      </c>
      <c r="Z33" s="85">
        <f t="shared" si="9"/>
        <v>9.8016844356645025E-2</v>
      </c>
      <c r="AA33" s="92">
        <v>63714189457</v>
      </c>
      <c r="AB33" s="63">
        <f>SUM('Additional 25K H_EX'!S33+'25K TPP EX'!S33+'10% Non-Homestead'!S33+'Portability Impact'!S33)</f>
        <v>6157792374</v>
      </c>
      <c r="AC33" s="85">
        <f t="shared" si="10"/>
        <v>9.6647111522243034E-2</v>
      </c>
      <c r="AD33" s="92">
        <v>60634729945</v>
      </c>
      <c r="AE33" s="63">
        <f>SUM('Additional 25K H_EX'!U33+'25K TPP EX'!U33+'10% Non-Homestead'!U33+'Portability Impact'!U33)</f>
        <v>5625149227</v>
      </c>
      <c r="AF33" s="85">
        <f t="shared" si="11"/>
        <v>9.2771077435364335E-2</v>
      </c>
      <c r="AG33" s="92">
        <v>61942468863</v>
      </c>
      <c r="AH33" s="63">
        <f>SUM('Additional 25K H_EX'!W33+'25K TPP EX'!W33+'10% Non-Homestead'!W33+'Portability Impact'!W33)</f>
        <v>5669183974</v>
      </c>
      <c r="AI33" s="85">
        <f t="shared" si="12"/>
        <v>9.1523377709382278E-2</v>
      </c>
      <c r="AJ33" s="92">
        <v>64703059287</v>
      </c>
      <c r="AK33" s="63">
        <f>SUM('Additional 25K H_EX'!Y33+'25K TPP EX'!Y33+'10% Non-Homestead'!Y33+'Portability Impact'!Y33)</f>
        <v>5881438725</v>
      </c>
      <c r="AL33" s="85">
        <f t="shared" si="13"/>
        <v>9.0898927961226811E-2</v>
      </c>
      <c r="AM33" s="92">
        <v>72566507744</v>
      </c>
      <c r="AN33" s="63">
        <f>SUM('Additional 25K H_EX'!AA33+'25K TPP EX'!AA33+'10% Non-Homestead'!AA33+'Portability Impact'!AA33)</f>
        <v>6293899671</v>
      </c>
      <c r="AO33" s="85">
        <f t="shared" si="5"/>
        <v>8.6732845036495462E-2</v>
      </c>
      <c r="AP33" s="24"/>
      <c r="AQ33" s="24"/>
      <c r="AR33" s="24"/>
    </row>
    <row r="34" spans="1:44" ht="14.25" customHeight="1" x14ac:dyDescent="0.2">
      <c r="A34" s="84" t="s">
        <v>38</v>
      </c>
      <c r="B34" s="90" t="s">
        <v>133</v>
      </c>
      <c r="C34" s="92">
        <v>490979630</v>
      </c>
      <c r="D34" s="63">
        <f>SUM('Additional 25K H_EX'!C34+'25K TPP EX'!C34+'10% Non-Homestead'!C34+'Portability Impact'!C34)</f>
        <v>70669551</v>
      </c>
      <c r="E34" s="85">
        <f t="shared" si="6"/>
        <v>0.14393581053454296</v>
      </c>
      <c r="F34" s="92">
        <v>465349843</v>
      </c>
      <c r="G34" s="63">
        <f>SUM('Additional 25K H_EX'!E34+'25K TPP EX'!E34+'10% Non-Homestead'!E34+'Portability Impact'!E34)</f>
        <v>68469983</v>
      </c>
      <c r="H34" s="85">
        <f t="shared" si="7"/>
        <v>0.14713657698601609</v>
      </c>
      <c r="I34" s="92">
        <v>459757745</v>
      </c>
      <c r="J34" s="63">
        <f>SUM('Additional 25K H_EX'!G34+'25K TPP EX'!G34+'10% Non-Homestead'!G34+'Portability Impact'!G34)</f>
        <v>67745913</v>
      </c>
      <c r="K34" s="85">
        <f t="shared" si="8"/>
        <v>0.14735132520714794</v>
      </c>
      <c r="L34" s="92">
        <v>451808699</v>
      </c>
      <c r="M34" s="63">
        <f>SUM('Additional 25K H_EX'!I34+'25K TPP EX'!I34+'10% Non-Homestead'!I34+'Portability Impact'!I34)</f>
        <v>67716973</v>
      </c>
      <c r="N34" s="85">
        <f t="shared" si="0"/>
        <v>0.14987974589661454</v>
      </c>
      <c r="O34" s="92">
        <v>449334520</v>
      </c>
      <c r="P34" s="63">
        <f>SUM('Additional 25K H_EX'!K34+'25K TPP EX'!K34+'10% Non-Homestead'!K34+'Portability Impact'!K34)</f>
        <v>64899300</v>
      </c>
      <c r="Q34" s="85">
        <f t="shared" si="1"/>
        <v>0.14443426247331276</v>
      </c>
      <c r="R34" s="92">
        <v>441095269</v>
      </c>
      <c r="S34" s="63">
        <f>SUM('Additional 25K H_EX'!M34+'25K TPP EX'!M34+'10% Non-Homestead'!M34+'Portability Impact'!M34)</f>
        <v>63377372</v>
      </c>
      <c r="T34" s="85">
        <f t="shared" si="2"/>
        <v>0.14368182216889749</v>
      </c>
      <c r="U34" s="92">
        <v>425539501</v>
      </c>
      <c r="V34" s="63">
        <f>SUM('Additional 25K H_EX'!O34+'25K TPP EX'!O34+'10% Non-Homestead'!O34+'Portability Impact'!O34)</f>
        <v>62475037</v>
      </c>
      <c r="W34" s="85">
        <f t="shared" si="3"/>
        <v>0.14681371965043499</v>
      </c>
      <c r="X34" s="92">
        <v>412882170</v>
      </c>
      <c r="Y34" s="63">
        <f>SUM('Additional 25K H_EX'!Q34+'25K TPP EX'!Q34+'10% Non-Homestead'!Q34+'Portability Impact'!Q34)</f>
        <v>62870510</v>
      </c>
      <c r="Z34" s="85">
        <f t="shared" si="9"/>
        <v>0.15227228145986541</v>
      </c>
      <c r="AA34" s="92">
        <v>403934620</v>
      </c>
      <c r="AB34" s="63">
        <f>SUM('Additional 25K H_EX'!S34+'25K TPP EX'!S34+'10% Non-Homestead'!S34+'Portability Impact'!S34)</f>
        <v>60610310</v>
      </c>
      <c r="AC34" s="85">
        <f t="shared" si="10"/>
        <v>0.15004980261409631</v>
      </c>
      <c r="AD34" s="92">
        <v>398081466</v>
      </c>
      <c r="AE34" s="63">
        <f>SUM('Additional 25K H_EX'!U34+'25K TPP EX'!U34+'10% Non-Homestead'!U34+'Portability Impact'!U34)</f>
        <v>59885175</v>
      </c>
      <c r="AF34" s="85">
        <f t="shared" si="11"/>
        <v>0.15043447162144444</v>
      </c>
      <c r="AG34" s="92">
        <v>403055500</v>
      </c>
      <c r="AH34" s="63">
        <f>SUM('Additional 25K H_EX'!W34+'25K TPP EX'!W34+'10% Non-Homestead'!W34+'Portability Impact'!W34)</f>
        <v>59555107</v>
      </c>
      <c r="AI34" s="85">
        <f t="shared" si="12"/>
        <v>0.14775907288202245</v>
      </c>
      <c r="AJ34" s="92">
        <v>408011267</v>
      </c>
      <c r="AK34" s="63">
        <f>SUM('Additional 25K H_EX'!Y34+'25K TPP EX'!Y34+'10% Non-Homestead'!Y34+'Portability Impact'!Y34)</f>
        <v>58385869</v>
      </c>
      <c r="AL34" s="85">
        <f t="shared" si="13"/>
        <v>0.14309866840025279</v>
      </c>
      <c r="AM34" s="92">
        <v>408705203</v>
      </c>
      <c r="AN34" s="63">
        <f>SUM('Additional 25K H_EX'!AA34+'25K TPP EX'!AA34+'10% Non-Homestead'!AA34+'Portability Impact'!AA34)</f>
        <v>56892338</v>
      </c>
      <c r="AO34" s="85">
        <f t="shared" si="5"/>
        <v>0.13920140380498167</v>
      </c>
      <c r="AP34" s="24"/>
      <c r="AQ34" s="24"/>
      <c r="AR34" s="24"/>
    </row>
    <row r="35" spans="1:44" ht="14.25" customHeight="1" x14ac:dyDescent="0.2">
      <c r="A35" s="84" t="s">
        <v>37</v>
      </c>
      <c r="B35" s="90" t="s">
        <v>132</v>
      </c>
      <c r="C35" s="92">
        <v>20589328347</v>
      </c>
      <c r="D35" s="63">
        <f>SUM('Additional 25K H_EX'!C35+'25K TPP EX'!C35+'10% Non-Homestead'!C35+'Portability Impact'!C35)</f>
        <v>1540578256</v>
      </c>
      <c r="E35" s="85">
        <f t="shared" si="6"/>
        <v>7.4824114222476437E-2</v>
      </c>
      <c r="F35" s="92">
        <v>19561657038</v>
      </c>
      <c r="G35" s="63">
        <f>SUM('Additional 25K H_EX'!E35+'25K TPP EX'!E35+'10% Non-Homestead'!E35+'Portability Impact'!E35)</f>
        <v>1511055761</v>
      </c>
      <c r="H35" s="85">
        <f t="shared" si="7"/>
        <v>7.7245795592094255E-2</v>
      </c>
      <c r="I35" s="92">
        <v>18564987901</v>
      </c>
      <c r="J35" s="63">
        <f>SUM('Additional 25K H_EX'!G35+'25K TPP EX'!G35+'10% Non-Homestead'!G35+'Portability Impact'!G35)</f>
        <v>1587344043</v>
      </c>
      <c r="K35" s="85">
        <f t="shared" si="8"/>
        <v>8.5502024103904645E-2</v>
      </c>
      <c r="L35" s="92">
        <v>17360406324</v>
      </c>
      <c r="M35" s="63">
        <f>SUM('Additional 25K H_EX'!I35+'25K TPP EX'!I35+'10% Non-Homestead'!I35+'Portability Impact'!I35)</f>
        <v>1556888893</v>
      </c>
      <c r="N35" s="85">
        <f t="shared" si="0"/>
        <v>8.9680440880445841E-2</v>
      </c>
      <c r="O35" s="92">
        <v>16244315578</v>
      </c>
      <c r="P35" s="63">
        <f>SUM('Additional 25K H_EX'!K35+'25K TPP EX'!K35+'10% Non-Homestead'!K35+'Portability Impact'!K35)</f>
        <v>1486273063</v>
      </c>
      <c r="Q35" s="85">
        <f t="shared" si="1"/>
        <v>9.1494963629793619E-2</v>
      </c>
      <c r="R35" s="92">
        <v>15150279233</v>
      </c>
      <c r="S35" s="63">
        <f>SUM('Additional 25K H_EX'!M35+'25K TPP EX'!M35+'10% Non-Homestead'!M35+'Portability Impact'!M35)</f>
        <v>1308823171</v>
      </c>
      <c r="T35" s="85">
        <f t="shared" si="2"/>
        <v>8.638937612114439E-2</v>
      </c>
      <c r="U35" s="92">
        <v>14293855585</v>
      </c>
      <c r="V35" s="63">
        <f>SUM('Additional 25K H_EX'!O35+'25K TPP EX'!O35+'10% Non-Homestead'!O35+'Portability Impact'!O35)</f>
        <v>1106046918</v>
      </c>
      <c r="W35" s="85">
        <f t="shared" si="3"/>
        <v>7.7379186561860033E-2</v>
      </c>
      <c r="X35" s="92">
        <v>13394179688</v>
      </c>
      <c r="Y35" s="63">
        <f>SUM('Additional 25K H_EX'!Q35+'25K TPP EX'!Q35+'10% Non-Homestead'!Q35+'Portability Impact'!Q35)</f>
        <v>929166541</v>
      </c>
      <c r="Z35" s="85">
        <f t="shared" si="9"/>
        <v>6.937091801392295E-2</v>
      </c>
      <c r="AA35" s="92">
        <v>12859438194</v>
      </c>
      <c r="AB35" s="63">
        <f>SUM('Additional 25K H_EX'!S35+'25K TPP EX'!S35+'10% Non-Homestead'!S35+'Portability Impact'!S35)</f>
        <v>857583698</v>
      </c>
      <c r="AC35" s="85">
        <f t="shared" si="10"/>
        <v>6.6689048546470273E-2</v>
      </c>
      <c r="AD35" s="92">
        <v>12701251975</v>
      </c>
      <c r="AE35" s="63">
        <f>SUM('Additional 25K H_EX'!U35+'25K TPP EX'!U35+'10% Non-Homestead'!U35+'Portability Impact'!U35)</f>
        <v>821258232</v>
      </c>
      <c r="AF35" s="85">
        <f t="shared" si="11"/>
        <v>6.4659628327702709E-2</v>
      </c>
      <c r="AG35" s="92">
        <v>13205004567</v>
      </c>
      <c r="AH35" s="63">
        <f>SUM('Additional 25K H_EX'!W35+'25K TPP EX'!W35+'10% Non-Homestead'!W35+'Portability Impact'!W35)</f>
        <v>836860081</v>
      </c>
      <c r="AI35" s="85">
        <f t="shared" si="12"/>
        <v>6.3374463579615667E-2</v>
      </c>
      <c r="AJ35" s="92">
        <v>14139034830</v>
      </c>
      <c r="AK35" s="63">
        <f>SUM('Additional 25K H_EX'!Y35+'25K TPP EX'!Y35+'10% Non-Homestead'!Y35+'Portability Impact'!Y35)</f>
        <v>892607313</v>
      </c>
      <c r="AL35" s="85">
        <f t="shared" si="13"/>
        <v>6.3130710386686273E-2</v>
      </c>
      <c r="AM35" s="92">
        <v>15796158693</v>
      </c>
      <c r="AN35" s="63">
        <f>SUM('Additional 25K H_EX'!AA35+'25K TPP EX'!AA35+'10% Non-Homestead'!AA35+'Portability Impact'!AA35)</f>
        <v>963674024</v>
      </c>
      <c r="AO35" s="85">
        <f t="shared" si="5"/>
        <v>6.1006858865443533E-2</v>
      </c>
      <c r="AP35" s="24"/>
      <c r="AQ35" s="24"/>
      <c r="AR35" s="24"/>
    </row>
    <row r="36" spans="1:44" ht="14.25" customHeight="1" x14ac:dyDescent="0.2">
      <c r="A36" s="84" t="s">
        <v>36</v>
      </c>
      <c r="B36" s="90" t="s">
        <v>133</v>
      </c>
      <c r="C36" s="92">
        <v>1757515608</v>
      </c>
      <c r="D36" s="63">
        <f>SUM('Additional 25K H_EX'!C36+'25K TPP EX'!C36+'10% Non-Homestead'!C36+'Portability Impact'!C36)</f>
        <v>174345870</v>
      </c>
      <c r="E36" s="85">
        <f t="shared" si="6"/>
        <v>9.9200183034732964E-2</v>
      </c>
      <c r="F36" s="92">
        <v>1607744811</v>
      </c>
      <c r="G36" s="63">
        <f>SUM('Additional 25K H_EX'!E36+'25K TPP EX'!E36+'10% Non-Homestead'!E36+'Portability Impact'!E36)</f>
        <v>148432417</v>
      </c>
      <c r="H36" s="85">
        <f t="shared" si="7"/>
        <v>9.2323368723968471E-2</v>
      </c>
      <c r="I36" s="92">
        <v>1510183969</v>
      </c>
      <c r="J36" s="63">
        <f>SUM('Additional 25K H_EX'!G36+'25K TPP EX'!G36+'10% Non-Homestead'!G36+'Portability Impact'!G36)</f>
        <v>137547608</v>
      </c>
      <c r="K36" s="85">
        <f t="shared" si="8"/>
        <v>9.1080034501412457E-2</v>
      </c>
      <c r="L36" s="92">
        <v>1560127528</v>
      </c>
      <c r="M36" s="63">
        <f>SUM('Additional 25K H_EX'!I36+'25K TPP EX'!I36+'10% Non-Homestead'!I36+'Portability Impact'!I36)</f>
        <v>147980296</v>
      </c>
      <c r="N36" s="85">
        <f t="shared" si="0"/>
        <v>9.4851410121391047E-2</v>
      </c>
      <c r="O36" s="92">
        <v>1541141341</v>
      </c>
      <c r="P36" s="63">
        <f>SUM('Additional 25K H_EX'!K36+'25K TPP EX'!K36+'10% Non-Homestead'!K36+'Portability Impact'!K36)</f>
        <v>146620811</v>
      </c>
      <c r="Q36" s="85">
        <f t="shared" si="1"/>
        <v>9.5137809297142203E-2</v>
      </c>
      <c r="R36" s="92">
        <v>1521598885</v>
      </c>
      <c r="S36" s="63">
        <f>SUM('Additional 25K H_EX'!M36+'25K TPP EX'!M36+'10% Non-Homestead'!M36+'Portability Impact'!M36)</f>
        <v>147102823</v>
      </c>
      <c r="T36" s="85">
        <f t="shared" si="2"/>
        <v>9.6676479228624046E-2</v>
      </c>
      <c r="U36" s="92">
        <v>1503357394</v>
      </c>
      <c r="V36" s="63">
        <f>SUM('Additional 25K H_EX'!O36+'25K TPP EX'!O36+'10% Non-Homestead'!O36+'Portability Impact'!O36)</f>
        <v>138375473</v>
      </c>
      <c r="W36" s="85">
        <f t="shared" si="3"/>
        <v>9.2044296021867977E-2</v>
      </c>
      <c r="X36" s="92">
        <v>1432962891</v>
      </c>
      <c r="Y36" s="63">
        <f>SUM('Additional 25K H_EX'!Q36+'25K TPP EX'!Q36+'10% Non-Homestead'!Q36+'Portability Impact'!Q36)</f>
        <v>137128881</v>
      </c>
      <c r="Z36" s="85">
        <f t="shared" si="9"/>
        <v>9.5696044790318305E-2</v>
      </c>
      <c r="AA36" s="92">
        <v>1419199587</v>
      </c>
      <c r="AB36" s="63">
        <f>SUM('Additional 25K H_EX'!S36+'25K TPP EX'!S36+'10% Non-Homestead'!S36+'Portability Impact'!S36)</f>
        <v>135171079</v>
      </c>
      <c r="AC36" s="85">
        <f t="shared" si="10"/>
        <v>9.5244587328082414E-2</v>
      </c>
      <c r="AD36" s="92">
        <v>1400880233</v>
      </c>
      <c r="AE36" s="63">
        <f>SUM('Additional 25K H_EX'!U36+'25K TPP EX'!U36+'10% Non-Homestead'!U36+'Portability Impact'!U36)</f>
        <v>136103496</v>
      </c>
      <c r="AF36" s="85">
        <f t="shared" si="11"/>
        <v>9.7155697392155294E-2</v>
      </c>
      <c r="AG36" s="92">
        <v>1425227926</v>
      </c>
      <c r="AH36" s="63">
        <f>SUM('Additional 25K H_EX'!W36+'25K TPP EX'!W36+'10% Non-Homestead'!W36+'Portability Impact'!W36)</f>
        <v>134245915</v>
      </c>
      <c r="AI36" s="85">
        <f t="shared" si="12"/>
        <v>9.4192593725531584E-2</v>
      </c>
      <c r="AJ36" s="92">
        <v>1432377309</v>
      </c>
      <c r="AK36" s="63">
        <f>SUM('Additional 25K H_EX'!Y36+'25K TPP EX'!Y36+'10% Non-Homestead'!Y36+'Portability Impact'!Y36)</f>
        <v>134128409</v>
      </c>
      <c r="AL36" s="85">
        <f t="shared" si="13"/>
        <v>9.3640417337831475E-2</v>
      </c>
      <c r="AM36" s="92">
        <v>1448420903</v>
      </c>
      <c r="AN36" s="63">
        <f>SUM('Additional 25K H_EX'!AA36+'25K TPP EX'!AA36+'10% Non-Homestead'!AA36+'Portability Impact'!AA36)</f>
        <v>131654049</v>
      </c>
      <c r="AO36" s="85">
        <f t="shared" si="5"/>
        <v>9.0894883336270105E-2</v>
      </c>
      <c r="AP36" s="24"/>
      <c r="AQ36" s="24"/>
      <c r="AR36" s="24"/>
    </row>
    <row r="37" spans="1:44" ht="14.25" customHeight="1" x14ac:dyDescent="0.2">
      <c r="A37" s="84" t="s">
        <v>35</v>
      </c>
      <c r="B37" s="90" t="s">
        <v>133</v>
      </c>
      <c r="C37" s="92">
        <v>711097997</v>
      </c>
      <c r="D37" s="63">
        <f>SUM('Additional 25K H_EX'!C37+'25K TPP EX'!C37+'10% Non-Homestead'!C37+'Portability Impact'!C37)</f>
        <v>109623215</v>
      </c>
      <c r="E37" s="85">
        <f t="shared" si="6"/>
        <v>0.15416048907813193</v>
      </c>
      <c r="F37" s="92">
        <v>662919019</v>
      </c>
      <c r="G37" s="63">
        <f>SUM('Additional 25K H_EX'!E37+'25K TPP EX'!E37+'10% Non-Homestead'!E37+'Portability Impact'!E37)</f>
        <v>103946227</v>
      </c>
      <c r="H37" s="85">
        <f t="shared" si="7"/>
        <v>0.15680079168161565</v>
      </c>
      <c r="I37" s="92">
        <v>625364617</v>
      </c>
      <c r="J37" s="63">
        <f>SUM('Additional 25K H_EX'!G37+'25K TPP EX'!G37+'10% Non-Homestead'!G37+'Portability Impact'!G37)</f>
        <v>99152317</v>
      </c>
      <c r="K37" s="85">
        <f t="shared" si="8"/>
        <v>0.15855121045327705</v>
      </c>
      <c r="L37" s="92">
        <v>597472837</v>
      </c>
      <c r="M37" s="63">
        <f>SUM('Additional 25K H_EX'!I37+'25K TPP EX'!I37+'10% Non-Homestead'!I37+'Portability Impact'!I37)</f>
        <v>94562046</v>
      </c>
      <c r="N37" s="85">
        <f t="shared" si="0"/>
        <v>0.15827003362162889</v>
      </c>
      <c r="O37" s="92">
        <v>587901992</v>
      </c>
      <c r="P37" s="63">
        <f>SUM('Additional 25K H_EX'!K37+'25K TPP EX'!K37+'10% Non-Homestead'!K37+'Portability Impact'!K37)</f>
        <v>77987801</v>
      </c>
      <c r="Q37" s="85">
        <f t="shared" si="1"/>
        <v>0.13265442550158937</v>
      </c>
      <c r="R37" s="92">
        <v>572232304</v>
      </c>
      <c r="S37" s="63">
        <f>SUM('Additional 25K H_EX'!M37+'25K TPP EX'!M37+'10% Non-Homestead'!M37+'Portability Impact'!M37)</f>
        <v>73442769</v>
      </c>
      <c r="T37" s="85">
        <f t="shared" si="2"/>
        <v>0.1283443253493777</v>
      </c>
      <c r="U37" s="92">
        <v>567262358</v>
      </c>
      <c r="V37" s="63">
        <f>SUM('Additional 25K H_EX'!O37+'25K TPP EX'!O37+'10% Non-Homestead'!O37+'Portability Impact'!O37)</f>
        <v>67075239</v>
      </c>
      <c r="W37" s="85">
        <f t="shared" si="3"/>
        <v>0.11824376860909216</v>
      </c>
      <c r="X37" s="92">
        <v>578142024</v>
      </c>
      <c r="Y37" s="63">
        <f>SUM('Additional 25K H_EX'!Q37+'25K TPP EX'!Q37+'10% Non-Homestead'!Q37+'Portability Impact'!Q37)</f>
        <v>66017632</v>
      </c>
      <c r="Z37" s="85">
        <f t="shared" si="9"/>
        <v>0.11418929823375026</v>
      </c>
      <c r="AA37" s="92">
        <v>574319364</v>
      </c>
      <c r="AB37" s="63">
        <f>SUM('Additional 25K H_EX'!S37+'25K TPP EX'!S37+'10% Non-Homestead'!S37+'Portability Impact'!S37)</f>
        <v>66074626</v>
      </c>
      <c r="AC37" s="85">
        <f t="shared" si="10"/>
        <v>0.11504857774567392</v>
      </c>
      <c r="AD37" s="92">
        <v>544425800</v>
      </c>
      <c r="AE37" s="63">
        <f>SUM('Additional 25K H_EX'!U37+'25K TPP EX'!U37+'10% Non-Homestead'!U37+'Portability Impact'!U37)</f>
        <v>64638009</v>
      </c>
      <c r="AF37" s="85">
        <f t="shared" si="11"/>
        <v>0.11872693946539639</v>
      </c>
      <c r="AG37" s="92">
        <v>534121085</v>
      </c>
      <c r="AH37" s="63">
        <f>SUM('Additional 25K H_EX'!W37+'25K TPP EX'!W37+'10% Non-Homestead'!W37+'Portability Impact'!W37)</f>
        <v>65851811</v>
      </c>
      <c r="AI37" s="85">
        <f t="shared" si="12"/>
        <v>0.12329004199487838</v>
      </c>
      <c r="AJ37" s="92">
        <v>542142549</v>
      </c>
      <c r="AK37" s="63">
        <f>SUM('Additional 25K H_EX'!Y37+'25K TPP EX'!Y37+'10% Non-Homestead'!Y37+'Portability Impact'!Y37)</f>
        <v>62803158</v>
      </c>
      <c r="AL37" s="85">
        <f t="shared" si="13"/>
        <v>0.11584251801641933</v>
      </c>
      <c r="AM37" s="92">
        <v>572606662</v>
      </c>
      <c r="AN37" s="63">
        <f>SUM('Additional 25K H_EX'!AA37+'25K TPP EX'!AA37+'10% Non-Homestead'!AA37+'Portability Impact'!AA37)</f>
        <v>62600440</v>
      </c>
      <c r="AO37" s="85">
        <f t="shared" si="5"/>
        <v>0.10932537840434696</v>
      </c>
      <c r="AP37" s="24"/>
      <c r="AQ37" s="24"/>
      <c r="AR37" s="24"/>
    </row>
    <row r="38" spans="1:44" ht="14.25" customHeight="1" x14ac:dyDescent="0.2">
      <c r="A38" s="84" t="s">
        <v>34</v>
      </c>
      <c r="B38" s="90" t="s">
        <v>133</v>
      </c>
      <c r="C38" s="92">
        <v>293825460</v>
      </c>
      <c r="D38" s="63">
        <f>SUM('Additional 25K H_EX'!C38+'25K TPP EX'!C38+'10% Non-Homestead'!C38+'Portability Impact'!C38)</f>
        <v>29386004</v>
      </c>
      <c r="E38" s="85">
        <f t="shared" si="6"/>
        <v>0.10001176889164064</v>
      </c>
      <c r="F38" s="92">
        <v>280849796</v>
      </c>
      <c r="G38" s="63">
        <f>SUM('Additional 25K H_EX'!E38+'25K TPP EX'!E38+'10% Non-Homestead'!E38+'Portability Impact'!E38)</f>
        <v>27447590</v>
      </c>
      <c r="H38" s="85">
        <f t="shared" si="7"/>
        <v>9.7730496482183668E-2</v>
      </c>
      <c r="I38" s="92">
        <v>269079687</v>
      </c>
      <c r="J38" s="63">
        <f>SUM('Additional 25K H_EX'!G38+'25K TPP EX'!G38+'10% Non-Homestead'!G38+'Portability Impact'!G38)</f>
        <v>27761234</v>
      </c>
      <c r="K38" s="85">
        <f t="shared" si="8"/>
        <v>0.10317105058918848</v>
      </c>
      <c r="L38" s="92">
        <v>265012491</v>
      </c>
      <c r="M38" s="63">
        <f>SUM('Additional 25K H_EX'!I38+'25K TPP EX'!I38+'10% Non-Homestead'!I38+'Portability Impact'!I38)</f>
        <v>28164456</v>
      </c>
      <c r="N38" s="85">
        <f t="shared" si="0"/>
        <v>0.10627595663028577</v>
      </c>
      <c r="O38" s="92">
        <v>262638792</v>
      </c>
      <c r="P38" s="63">
        <f>SUM('Additional 25K H_EX'!K38+'25K TPP EX'!K38+'10% Non-Homestead'!K38+'Portability Impact'!K38)</f>
        <v>27270393</v>
      </c>
      <c r="Q38" s="85">
        <f t="shared" si="1"/>
        <v>0.10383231202190421</v>
      </c>
      <c r="R38" s="92">
        <v>255469382</v>
      </c>
      <c r="S38" s="63">
        <f>SUM('Additional 25K H_EX'!M38+'25K TPP EX'!M38+'10% Non-Homestead'!M38+'Portability Impact'!M38)</f>
        <v>25951824</v>
      </c>
      <c r="T38" s="85">
        <f t="shared" si="2"/>
        <v>0.10158487015872611</v>
      </c>
      <c r="U38" s="92">
        <v>252645522</v>
      </c>
      <c r="V38" s="63">
        <f>SUM('Additional 25K H_EX'!O38+'25K TPP EX'!O38+'10% Non-Homestead'!O38+'Portability Impact'!O38)</f>
        <v>25305519</v>
      </c>
      <c r="W38" s="85">
        <f t="shared" si="3"/>
        <v>0.10016215130066702</v>
      </c>
      <c r="X38" s="92">
        <v>244057687</v>
      </c>
      <c r="Y38" s="63">
        <f>SUM('Additional 25K H_EX'!Q38+'25K TPP EX'!Q38+'10% Non-Homestead'!Q38+'Portability Impact'!Q38)</f>
        <v>25087118</v>
      </c>
      <c r="Z38" s="85">
        <f t="shared" si="9"/>
        <v>0.10279175513123666</v>
      </c>
      <c r="AA38" s="92">
        <v>239812263</v>
      </c>
      <c r="AB38" s="63">
        <f>SUM('Additional 25K H_EX'!S38+'25K TPP EX'!S38+'10% Non-Homestead'!S38+'Portability Impact'!S38)</f>
        <v>25197523</v>
      </c>
      <c r="AC38" s="85">
        <f t="shared" si="10"/>
        <v>0.1050718703238291</v>
      </c>
      <c r="AD38" s="92">
        <v>239548994</v>
      </c>
      <c r="AE38" s="63">
        <f>SUM('Additional 25K H_EX'!U38+'25K TPP EX'!U38+'10% Non-Homestead'!U38+'Portability Impact'!U38)</f>
        <v>25265426</v>
      </c>
      <c r="AF38" s="85">
        <f t="shared" si="11"/>
        <v>0.10547080819717407</v>
      </c>
      <c r="AG38" s="92">
        <v>217703519</v>
      </c>
      <c r="AH38" s="63">
        <f>SUM('Additional 25K H_EX'!W38+'25K TPP EX'!W38+'10% Non-Homestead'!W38+'Portability Impact'!W38)</f>
        <v>24378777</v>
      </c>
      <c r="AI38" s="85">
        <f t="shared" si="12"/>
        <v>0.11198154771214332</v>
      </c>
      <c r="AJ38" s="92">
        <v>220494451</v>
      </c>
      <c r="AK38" s="63">
        <f>SUM('Additional 25K H_EX'!Y38+'25K TPP EX'!Y38+'10% Non-Homestead'!Y38+'Portability Impact'!Y38)</f>
        <v>24138861</v>
      </c>
      <c r="AL38" s="85">
        <f t="shared" si="13"/>
        <v>0.10947604754008072</v>
      </c>
      <c r="AM38" s="92">
        <v>228289760</v>
      </c>
      <c r="AN38" s="63">
        <f>SUM('Additional 25K H_EX'!AA38+'25K TPP EX'!AA38+'10% Non-Homestead'!AA38+'Portability Impact'!AA38)</f>
        <v>23923829</v>
      </c>
      <c r="AO38" s="85">
        <f t="shared" si="5"/>
        <v>0.10479589185252987</v>
      </c>
      <c r="AP38" s="24"/>
      <c r="AQ38" s="24"/>
      <c r="AR38" s="24"/>
    </row>
    <row r="39" spans="1:44" ht="14.25" customHeight="1" x14ac:dyDescent="0.2">
      <c r="A39" s="84" t="s">
        <v>33</v>
      </c>
      <c r="B39" s="90" t="s">
        <v>132</v>
      </c>
      <c r="C39" s="92">
        <v>26389266418</v>
      </c>
      <c r="D39" s="63">
        <f>SUM('Additional 25K H_EX'!C39+'25K TPP EX'!C39+'10% Non-Homestead'!C39+'Portability Impact'!C39)</f>
        <v>2990782518</v>
      </c>
      <c r="E39" s="85">
        <f t="shared" si="6"/>
        <v>0.1133332950839437</v>
      </c>
      <c r="F39" s="92">
        <v>24474856802</v>
      </c>
      <c r="G39" s="63">
        <f>SUM('Additional 25K H_EX'!E39+'25K TPP EX'!E39+'10% Non-Homestead'!E39+'Portability Impact'!E39)</f>
        <v>2842327680</v>
      </c>
      <c r="H39" s="85">
        <f t="shared" si="7"/>
        <v>0.11613255607557772</v>
      </c>
      <c r="I39" s="92">
        <v>22373828686</v>
      </c>
      <c r="J39" s="63">
        <f>SUM('Additional 25K H_EX'!G39+'25K TPP EX'!G39+'10% Non-Homestead'!G39+'Portability Impact'!G39)</f>
        <v>2720788800</v>
      </c>
      <c r="K39" s="85">
        <f t="shared" si="8"/>
        <v>0.12160586541464323</v>
      </c>
      <c r="L39" s="92">
        <v>20612676632</v>
      </c>
      <c r="M39" s="63">
        <f>SUM('Additional 25K H_EX'!I39+'25K TPP EX'!I39+'10% Non-Homestead'!I39+'Portability Impact'!I39)</f>
        <v>2471842107</v>
      </c>
      <c r="N39" s="85">
        <f t="shared" si="0"/>
        <v>0.11991854096049839</v>
      </c>
      <c r="O39" s="92">
        <v>18744261718</v>
      </c>
      <c r="P39" s="63">
        <f>SUM('Additional 25K H_EX'!K39+'25K TPP EX'!K39+'10% Non-Homestead'!K39+'Portability Impact'!K39)</f>
        <v>2258681372</v>
      </c>
      <c r="Q39" s="85">
        <f t="shared" si="1"/>
        <v>0.12049988449697126</v>
      </c>
      <c r="R39" s="92">
        <v>17221433669</v>
      </c>
      <c r="S39" s="63">
        <f>SUM('Additional 25K H_EX'!M39+'25K TPP EX'!M39+'10% Non-Homestead'!M39+'Portability Impact'!M39)</f>
        <v>1973787117</v>
      </c>
      <c r="T39" s="85">
        <f t="shared" si="2"/>
        <v>0.1146122416365938</v>
      </c>
      <c r="U39" s="92">
        <v>16268962927</v>
      </c>
      <c r="V39" s="63">
        <f>SUM('Additional 25K H_EX'!O39+'25K TPP EX'!O39+'10% Non-Homestead'!O39+'Portability Impact'!O39)</f>
        <v>1873367892</v>
      </c>
      <c r="W39" s="85">
        <f t="shared" si="3"/>
        <v>0.11514980397988094</v>
      </c>
      <c r="X39" s="92">
        <v>15463372126</v>
      </c>
      <c r="Y39" s="63">
        <f>SUM('Additional 25K H_EX'!Q39+'25K TPP EX'!Q39+'10% Non-Homestead'!Q39+'Portability Impact'!Q39)</f>
        <v>1778725112</v>
      </c>
      <c r="Z39" s="85">
        <f t="shared" si="9"/>
        <v>0.11502828086308967</v>
      </c>
      <c r="AA39" s="92">
        <v>14807114447</v>
      </c>
      <c r="AB39" s="63">
        <f>SUM('Additional 25K H_EX'!S39+'25K TPP EX'!S39+'10% Non-Homestead'!S39+'Portability Impact'!S39)</f>
        <v>1691159541</v>
      </c>
      <c r="AC39" s="85">
        <f t="shared" si="10"/>
        <v>0.11421263386956787</v>
      </c>
      <c r="AD39" s="92">
        <v>14709982600</v>
      </c>
      <c r="AE39" s="63">
        <f>SUM('Additional 25K H_EX'!U39+'25K TPP EX'!U39+'10% Non-Homestead'!U39+'Portability Impact'!U39)</f>
        <v>1680157232</v>
      </c>
      <c r="AF39" s="85">
        <f t="shared" si="11"/>
        <v>0.11421884564295813</v>
      </c>
      <c r="AG39" s="92">
        <v>15632400116</v>
      </c>
      <c r="AH39" s="63">
        <f>SUM('Additional 25K H_EX'!W39+'25K TPP EX'!W39+'10% Non-Homestead'!W39+'Portability Impact'!W39)</f>
        <v>1734173495</v>
      </c>
      <c r="AI39" s="85">
        <f t="shared" si="12"/>
        <v>0.11093456424679451</v>
      </c>
      <c r="AJ39" s="92">
        <v>17021802722</v>
      </c>
      <c r="AK39" s="63">
        <f>SUM('Additional 25K H_EX'!Y39+'25K TPP EX'!Y39+'10% Non-Homestead'!Y39+'Portability Impact'!Y39)</f>
        <v>1804245635</v>
      </c>
      <c r="AL39" s="85">
        <f t="shared" si="13"/>
        <v>0.10599615472385217</v>
      </c>
      <c r="AM39" s="92">
        <v>19104619298</v>
      </c>
      <c r="AN39" s="63">
        <f>SUM('Additional 25K H_EX'!AA39+'25K TPP EX'!AA39+'10% Non-Homestead'!AA39+'Portability Impact'!AA39)</f>
        <v>1843954203</v>
      </c>
      <c r="AO39" s="85">
        <f t="shared" si="5"/>
        <v>9.6518761993495336E-2</v>
      </c>
      <c r="AP39" s="24"/>
      <c r="AQ39" s="24"/>
      <c r="AR39" s="24"/>
    </row>
    <row r="40" spans="1:44" ht="14.25" customHeight="1" x14ac:dyDescent="0.2">
      <c r="A40" s="84" t="s">
        <v>32</v>
      </c>
      <c r="B40" s="90" t="s">
        <v>132</v>
      </c>
      <c r="C40" s="92">
        <v>96014098787</v>
      </c>
      <c r="D40" s="63">
        <f>SUM('Additional 25K H_EX'!C40+'25K TPP EX'!C40+'10% Non-Homestead'!C40+'Portability Impact'!C40)</f>
        <v>10928256699</v>
      </c>
      <c r="E40" s="85">
        <f t="shared" si="6"/>
        <v>0.1138192915109635</v>
      </c>
      <c r="F40" s="92">
        <v>89307891228</v>
      </c>
      <c r="G40" s="63">
        <f>SUM('Additional 25K H_EX'!E40+'25K TPP EX'!E40+'10% Non-Homestead'!E40+'Portability Impact'!E40)</f>
        <v>9523305909</v>
      </c>
      <c r="H40" s="85">
        <f t="shared" si="7"/>
        <v>0.10663454010673395</v>
      </c>
      <c r="I40" s="92">
        <v>83530395050</v>
      </c>
      <c r="J40" s="63">
        <f>SUM('Additional 25K H_EX'!G40+'25K TPP EX'!G40+'10% Non-Homestead'!G40+'Portability Impact'!G40)</f>
        <v>9575832758</v>
      </c>
      <c r="K40" s="85">
        <f t="shared" si="8"/>
        <v>0.114638901830502</v>
      </c>
      <c r="L40" s="92">
        <v>78471856444</v>
      </c>
      <c r="M40" s="63">
        <f>SUM('Additional 25K H_EX'!I40+'25K TPP EX'!I40+'10% Non-Homestead'!I40+'Portability Impact'!I40)</f>
        <v>9353768810</v>
      </c>
      <c r="N40" s="85">
        <f t="shared" si="0"/>
        <v>0.11919902540696416</v>
      </c>
      <c r="O40" s="92">
        <v>74039117639</v>
      </c>
      <c r="P40" s="63">
        <f>SUM('Additional 25K H_EX'!K40+'25K TPP EX'!K40+'10% Non-Homestead'!K40+'Portability Impact'!K40)</f>
        <v>9955639386</v>
      </c>
      <c r="Q40" s="85">
        <f t="shared" si="1"/>
        <v>0.13446458714623957</v>
      </c>
      <c r="R40" s="92">
        <v>67887408636</v>
      </c>
      <c r="S40" s="63">
        <f>SUM('Additional 25K H_EX'!M40+'25K TPP EX'!M40+'10% Non-Homestead'!M40+'Portability Impact'!M40)</f>
        <v>9739108999</v>
      </c>
      <c r="T40" s="85">
        <f t="shared" si="2"/>
        <v>0.14345972536997753</v>
      </c>
      <c r="U40" s="92">
        <v>62644532381</v>
      </c>
      <c r="V40" s="63">
        <f>SUM('Additional 25K H_EX'!O40+'25K TPP EX'!O40+'10% Non-Homestead'!O40+'Portability Impact'!O40)</f>
        <v>7723827489</v>
      </c>
      <c r="W40" s="85">
        <f t="shared" si="3"/>
        <v>0.12329611532614179</v>
      </c>
      <c r="X40" s="92">
        <v>58316438639</v>
      </c>
      <c r="Y40" s="63">
        <f>SUM('Additional 25K H_EX'!Q40+'25K TPP EX'!Q40+'10% Non-Homestead'!Q40+'Portability Impact'!Q40)</f>
        <v>6142071095</v>
      </c>
      <c r="Z40" s="85">
        <f t="shared" si="9"/>
        <v>0.10532315138483778</v>
      </c>
      <c r="AA40" s="92">
        <v>54620197697</v>
      </c>
      <c r="AB40" s="63">
        <f>SUM('Additional 25K H_EX'!S40+'25K TPP EX'!S40+'10% Non-Homestead'!S40+'Portability Impact'!S40)</f>
        <v>4923038671</v>
      </c>
      <c r="AC40" s="85">
        <f t="shared" si="10"/>
        <v>9.0132201613587287E-2</v>
      </c>
      <c r="AD40" s="92">
        <v>52900282969</v>
      </c>
      <c r="AE40" s="63">
        <f>SUM('Additional 25K H_EX'!U40+'25K TPP EX'!U40+'10% Non-Homestead'!U40+'Portability Impact'!U40)</f>
        <v>4227329022</v>
      </c>
      <c r="AF40" s="85">
        <f t="shared" si="11"/>
        <v>7.9911274283301081E-2</v>
      </c>
      <c r="AG40" s="92">
        <v>53265451683</v>
      </c>
      <c r="AH40" s="63">
        <f>SUM('Additional 25K H_EX'!W40+'25K TPP EX'!W40+'10% Non-Homestead'!W40+'Portability Impact'!W40)</f>
        <v>3725550233</v>
      </c>
      <c r="AI40" s="85">
        <f t="shared" si="12"/>
        <v>6.9943089099703107E-2</v>
      </c>
      <c r="AJ40" s="92">
        <v>55520514001</v>
      </c>
      <c r="AK40" s="63">
        <f>SUM('Additional 25K H_EX'!Y40+'25K TPP EX'!Y40+'10% Non-Homestead'!Y40+'Portability Impact'!Y40)</f>
        <v>3476927598</v>
      </c>
      <c r="AL40" s="85">
        <f t="shared" si="13"/>
        <v>6.2624196849787372E-2</v>
      </c>
      <c r="AM40" s="92">
        <v>64705044144</v>
      </c>
      <c r="AN40" s="63">
        <f>SUM('Additional 25K H_EX'!AA40+'25K TPP EX'!AA40+'10% Non-Homestead'!AA40+'Portability Impact'!AA40)</f>
        <v>3679273609</v>
      </c>
      <c r="AO40" s="85">
        <f t="shared" si="5"/>
        <v>5.6862237831286196E-2</v>
      </c>
      <c r="AP40" s="24"/>
      <c r="AQ40" s="24"/>
      <c r="AR40" s="24"/>
    </row>
    <row r="41" spans="1:44" ht="14.25" customHeight="1" x14ac:dyDescent="0.2">
      <c r="A41" s="84" t="s">
        <v>31</v>
      </c>
      <c r="B41" s="90" t="s">
        <v>132</v>
      </c>
      <c r="C41" s="92">
        <v>19534552291</v>
      </c>
      <c r="D41" s="63">
        <f>SUM('Additional 25K H_EX'!C41+'25K TPP EX'!C41+'10% Non-Homestead'!C41+'Portability Impact'!C41)</f>
        <v>1657833223</v>
      </c>
      <c r="E41" s="85">
        <f t="shared" si="6"/>
        <v>8.4866711983145909E-2</v>
      </c>
      <c r="F41" s="92">
        <v>18611543622</v>
      </c>
      <c r="G41" s="63">
        <f>SUM('Additional 25K H_EX'!E41+'25K TPP EX'!E41+'10% Non-Homestead'!E41+'Portability Impact'!E41)</f>
        <v>1689435368</v>
      </c>
      <c r="H41" s="85">
        <f t="shared" si="7"/>
        <v>9.0773522192054104E-2</v>
      </c>
      <c r="I41" s="92">
        <v>17597211513</v>
      </c>
      <c r="J41" s="63">
        <f>SUM('Additional 25K H_EX'!G41+'25K TPP EX'!G41+'10% Non-Homestead'!G41+'Portability Impact'!G41)</f>
        <v>1710944676</v>
      </c>
      <c r="K41" s="85">
        <f t="shared" si="8"/>
        <v>9.7228170198217695E-2</v>
      </c>
      <c r="L41" s="92">
        <v>16554821640</v>
      </c>
      <c r="M41" s="63">
        <f>SUM('Additional 25K H_EX'!I41+'25K TPP EX'!I41+'10% Non-Homestead'!I41+'Portability Impact'!I41)</f>
        <v>1704541748</v>
      </c>
      <c r="N41" s="85">
        <f t="shared" si="0"/>
        <v>0.10296346194884164</v>
      </c>
      <c r="O41" s="92">
        <v>15578710594</v>
      </c>
      <c r="P41" s="63">
        <f>SUM('Additional 25K H_EX'!K41+'25K TPP EX'!K41+'10% Non-Homestead'!K41+'Portability Impact'!K41)</f>
        <v>1623002198</v>
      </c>
      <c r="Q41" s="85">
        <f t="shared" si="1"/>
        <v>0.1041807785186718</v>
      </c>
      <c r="R41" s="92">
        <v>14842742779</v>
      </c>
      <c r="S41" s="63">
        <f>SUM('Additional 25K H_EX'!M41+'25K TPP EX'!M41+'10% Non-Homestead'!M41+'Portability Impact'!M41)</f>
        <v>1668976568</v>
      </c>
      <c r="T41" s="85">
        <f t="shared" si="2"/>
        <v>0.11244394603141158</v>
      </c>
      <c r="U41" s="92">
        <v>14376690250</v>
      </c>
      <c r="V41" s="63">
        <f>SUM('Additional 25K H_EX'!O41+'25K TPP EX'!O41+'10% Non-Homestead'!O41+'Portability Impact'!O41)</f>
        <v>1642606096</v>
      </c>
      <c r="W41" s="85">
        <f t="shared" si="3"/>
        <v>0.11425481577722661</v>
      </c>
      <c r="X41" s="92">
        <v>13903858328</v>
      </c>
      <c r="Y41" s="63">
        <f>SUM('Additional 25K H_EX'!Q41+'25K TPP EX'!Q41+'10% Non-Homestead'!Q41+'Portability Impact'!Q41)</f>
        <v>1676742142</v>
      </c>
      <c r="Z41" s="85">
        <f t="shared" si="9"/>
        <v>0.12059545648730664</v>
      </c>
      <c r="AA41" s="92">
        <v>13370276510</v>
      </c>
      <c r="AB41" s="63">
        <f>SUM('Additional 25K H_EX'!S41+'25K TPP EX'!S41+'10% Non-Homestead'!S41+'Portability Impact'!S41)</f>
        <v>1577723607</v>
      </c>
      <c r="AC41" s="85">
        <f t="shared" si="10"/>
        <v>0.11800231699172241</v>
      </c>
      <c r="AD41" s="92">
        <v>13387231768</v>
      </c>
      <c r="AE41" s="63">
        <f>SUM('Additional 25K H_EX'!U41+'25K TPP EX'!U41+'10% Non-Homestead'!U41+'Portability Impact'!U41)</f>
        <v>1568922483</v>
      </c>
      <c r="AF41" s="85">
        <f t="shared" si="11"/>
        <v>0.1171954374279419</v>
      </c>
      <c r="AG41" s="92">
        <v>13862796032</v>
      </c>
      <c r="AH41" s="63">
        <f>SUM('Additional 25K H_EX'!W41+'25K TPP EX'!W41+'10% Non-Homestead'!W41+'Portability Impact'!W41)</f>
        <v>1664529085</v>
      </c>
      <c r="AI41" s="85">
        <f t="shared" si="12"/>
        <v>0.12007167105089814</v>
      </c>
      <c r="AJ41" s="92">
        <v>14409226025</v>
      </c>
      <c r="AK41" s="63">
        <f>SUM('Additional 25K H_EX'!Y41+'25K TPP EX'!Y41+'10% Non-Homestead'!Y41+'Portability Impact'!Y41)</f>
        <v>1373518409</v>
      </c>
      <c r="AL41" s="85">
        <f t="shared" si="13"/>
        <v>9.5322150309596523E-2</v>
      </c>
      <c r="AM41" s="92">
        <v>14598570133</v>
      </c>
      <c r="AN41" s="63">
        <f>SUM('Additional 25K H_EX'!AA41+'25K TPP EX'!AA41+'10% Non-Homestead'!AA41+'Portability Impact'!AA41)</f>
        <v>1397500254</v>
      </c>
      <c r="AO41" s="85">
        <f t="shared" si="5"/>
        <v>9.5728570761937651E-2</v>
      </c>
      <c r="AP41" s="24"/>
      <c r="AQ41" s="24"/>
      <c r="AR41" s="24"/>
    </row>
    <row r="42" spans="1:44" ht="14.25" customHeight="1" x14ac:dyDescent="0.2">
      <c r="A42" s="84" t="s">
        <v>30</v>
      </c>
      <c r="B42" s="90" t="s">
        <v>133</v>
      </c>
      <c r="C42" s="92">
        <v>2245086817</v>
      </c>
      <c r="D42" s="63">
        <f>SUM('Additional 25K H_EX'!C42+'25K TPP EX'!C42+'10% Non-Homestead'!C42+'Portability Impact'!C42)</f>
        <v>326891146</v>
      </c>
      <c r="E42" s="85">
        <f t="shared" si="6"/>
        <v>0.14560289763618525</v>
      </c>
      <c r="F42" s="92">
        <v>2090959229</v>
      </c>
      <c r="G42" s="63">
        <f>SUM('Additional 25K H_EX'!E42+'25K TPP EX'!E42+'10% Non-Homestead'!E42+'Portability Impact'!E42)</f>
        <v>245268412</v>
      </c>
      <c r="H42" s="85">
        <f t="shared" si="7"/>
        <v>0.11729947126577857</v>
      </c>
      <c r="I42" s="92">
        <v>1949423500</v>
      </c>
      <c r="J42" s="63">
        <f>SUM('Additional 25K H_EX'!G42+'25K TPP EX'!G42+'10% Non-Homestead'!G42+'Portability Impact'!G42)</f>
        <v>222257412</v>
      </c>
      <c r="K42" s="85">
        <f t="shared" si="8"/>
        <v>0.11401186658517248</v>
      </c>
      <c r="L42" s="92">
        <v>1875063409</v>
      </c>
      <c r="M42" s="63">
        <f>SUM('Additional 25K H_EX'!I42+'25K TPP EX'!I42+'10% Non-Homestead'!I42+'Portability Impact'!I42)</f>
        <v>195455968</v>
      </c>
      <c r="N42" s="85">
        <f t="shared" si="0"/>
        <v>0.10423965774268917</v>
      </c>
      <c r="O42" s="92">
        <v>1706339335</v>
      </c>
      <c r="P42" s="63">
        <f>SUM('Additional 25K H_EX'!K42+'25K TPP EX'!K42+'10% Non-Homestead'!K42+'Portability Impact'!K42)</f>
        <v>178778943</v>
      </c>
      <c r="Q42" s="85">
        <f t="shared" si="1"/>
        <v>0.10477338201899918</v>
      </c>
      <c r="R42" s="92">
        <v>1638377447</v>
      </c>
      <c r="S42" s="63">
        <f>SUM('Additional 25K H_EX'!M42+'25K TPP EX'!M42+'10% Non-Homestead'!M42+'Portability Impact'!M42)</f>
        <v>163745570</v>
      </c>
      <c r="T42" s="85">
        <f t="shared" si="2"/>
        <v>9.9943740253402066E-2</v>
      </c>
      <c r="U42" s="92">
        <v>1602234509</v>
      </c>
      <c r="V42" s="63">
        <f>SUM('Additional 25K H_EX'!O42+'25K TPP EX'!O42+'10% Non-Homestead'!O42+'Portability Impact'!O42)</f>
        <v>160664244</v>
      </c>
      <c r="W42" s="85">
        <f t="shared" si="3"/>
        <v>0.10027511147558238</v>
      </c>
      <c r="X42" s="92">
        <v>1578019323</v>
      </c>
      <c r="Y42" s="63">
        <f>SUM('Additional 25K H_EX'!Q42+'25K TPP EX'!Q42+'10% Non-Homestead'!Q42+'Portability Impact'!Q42)</f>
        <v>165872788</v>
      </c>
      <c r="Z42" s="85">
        <f t="shared" si="9"/>
        <v>0.10511454808085388</v>
      </c>
      <c r="AA42" s="92">
        <v>1562967784</v>
      </c>
      <c r="AB42" s="63">
        <f>SUM('Additional 25K H_EX'!S42+'25K TPP EX'!S42+'10% Non-Homestead'!S42+'Portability Impact'!S42)</f>
        <v>153707395</v>
      </c>
      <c r="AC42" s="85">
        <f t="shared" si="10"/>
        <v>9.8343290612572215E-2</v>
      </c>
      <c r="AD42" s="92">
        <v>1611064122</v>
      </c>
      <c r="AE42" s="63">
        <f>SUM('Additional 25K H_EX'!U42+'25K TPP EX'!U42+'10% Non-Homestead'!U42+'Portability Impact'!U42)</f>
        <v>148915757</v>
      </c>
      <c r="AF42" s="85">
        <f t="shared" si="11"/>
        <v>9.2433165735907319E-2</v>
      </c>
      <c r="AG42" s="92">
        <v>1723903410</v>
      </c>
      <c r="AH42" s="63">
        <f>SUM('Additional 25K H_EX'!W42+'25K TPP EX'!W42+'10% Non-Homestead'!W42+'Portability Impact'!W42)</f>
        <v>168923953</v>
      </c>
      <c r="AI42" s="85">
        <f t="shared" si="12"/>
        <v>9.7989221449477845E-2</v>
      </c>
      <c r="AJ42" s="92">
        <v>1869593968</v>
      </c>
      <c r="AK42" s="63">
        <f>SUM('Additional 25K H_EX'!Y42+'25K TPP EX'!Y42+'10% Non-Homestead'!Y42+'Portability Impact'!Y42)</f>
        <v>180552375</v>
      </c>
      <c r="AL42" s="85">
        <f t="shared" si="13"/>
        <v>9.6573041040106736E-2</v>
      </c>
      <c r="AM42" s="92">
        <v>1980418542</v>
      </c>
      <c r="AN42" s="63">
        <f>SUM('Additional 25K H_EX'!AA42+'25K TPP EX'!AA42+'10% Non-Homestead'!AA42+'Portability Impact'!AA42)</f>
        <v>188875469</v>
      </c>
      <c r="AO42" s="85">
        <f t="shared" si="5"/>
        <v>9.5371490921942706E-2</v>
      </c>
      <c r="AP42" s="24"/>
      <c r="AQ42" s="24"/>
      <c r="AR42" s="24"/>
    </row>
    <row r="43" spans="1:44" ht="14.25" customHeight="1" x14ac:dyDescent="0.2">
      <c r="A43" s="84" t="s">
        <v>29</v>
      </c>
      <c r="B43" s="90" t="s">
        <v>133</v>
      </c>
      <c r="C43" s="92">
        <v>317613156</v>
      </c>
      <c r="D43" s="63">
        <f>SUM('Additional 25K H_EX'!C43+'25K TPP EX'!C43+'10% Non-Homestead'!C43+'Portability Impact'!C43)</f>
        <v>30917138</v>
      </c>
      <c r="E43" s="85">
        <f t="shared" si="6"/>
        <v>9.7342120173384755E-2</v>
      </c>
      <c r="F43" s="92">
        <v>274738016</v>
      </c>
      <c r="G43" s="63">
        <f>SUM('Additional 25K H_EX'!E43+'25K TPP EX'!E43+'10% Non-Homestead'!E43+'Portability Impact'!E43)</f>
        <v>26173457</v>
      </c>
      <c r="H43" s="85">
        <f t="shared" si="7"/>
        <v>9.5266965165825473E-2</v>
      </c>
      <c r="I43" s="92">
        <v>264095521</v>
      </c>
      <c r="J43" s="63">
        <f>SUM('Additional 25K H_EX'!G43+'25K TPP EX'!G43+'10% Non-Homestead'!G43+'Portability Impact'!G43)</f>
        <v>29258822</v>
      </c>
      <c r="K43" s="85">
        <f t="shared" si="8"/>
        <v>0.11078878539556905</v>
      </c>
      <c r="L43" s="92">
        <v>255650717</v>
      </c>
      <c r="M43" s="63">
        <f>SUM('Additional 25K H_EX'!I43+'25K TPP EX'!I43+'10% Non-Homestead'!I43+'Portability Impact'!I43)</f>
        <v>33119966</v>
      </c>
      <c r="N43" s="85">
        <f t="shared" si="0"/>
        <v>0.12955162570500439</v>
      </c>
      <c r="O43" s="92">
        <v>243507247</v>
      </c>
      <c r="P43" s="63">
        <f>SUM('Additional 25K H_EX'!K43+'25K TPP EX'!K43+'10% Non-Homestead'!K43+'Portability Impact'!K43)</f>
        <v>36411546</v>
      </c>
      <c r="Q43" s="85">
        <f t="shared" si="1"/>
        <v>0.1495296195435202</v>
      </c>
      <c r="R43" s="92">
        <v>224018914</v>
      </c>
      <c r="S43" s="63">
        <f>SUM('Additional 25K H_EX'!M43+'25K TPP EX'!M43+'10% Non-Homestead'!M43+'Portability Impact'!M43)</f>
        <v>39227111</v>
      </c>
      <c r="T43" s="85">
        <f t="shared" si="2"/>
        <v>0.17510624571637731</v>
      </c>
      <c r="U43" s="92">
        <v>217157904</v>
      </c>
      <c r="V43" s="63">
        <f>SUM('Additional 25K H_EX'!O43+'25K TPP EX'!O43+'10% Non-Homestead'!O43+'Portability Impact'!O43)</f>
        <v>29743805</v>
      </c>
      <c r="W43" s="85">
        <f t="shared" si="3"/>
        <v>0.13696855814191317</v>
      </c>
      <c r="X43" s="92">
        <v>211541598</v>
      </c>
      <c r="Y43" s="63">
        <f>SUM('Additional 25K H_EX'!Q43+'25K TPP EX'!Q43+'10% Non-Homestead'!Q43+'Portability Impact'!Q43)</f>
        <v>31348537</v>
      </c>
      <c r="Z43" s="85">
        <f t="shared" si="9"/>
        <v>0.1481908867871935</v>
      </c>
      <c r="AA43" s="92">
        <v>198394574</v>
      </c>
      <c r="AB43" s="63">
        <f>SUM('Additional 25K H_EX'!S43+'25K TPP EX'!S43+'10% Non-Homestead'!S43+'Portability Impact'!S43)</f>
        <v>31894324</v>
      </c>
      <c r="AC43" s="85">
        <f t="shared" si="10"/>
        <v>0.16076207809997869</v>
      </c>
      <c r="AD43" s="92">
        <v>203447762</v>
      </c>
      <c r="AE43" s="63">
        <f>SUM('Additional 25K H_EX'!U43+'25K TPP EX'!U43+'10% Non-Homestead'!U43+'Portability Impact'!U43)</f>
        <v>33283848</v>
      </c>
      <c r="AF43" s="85">
        <f t="shared" si="11"/>
        <v>0.16359898812747814</v>
      </c>
      <c r="AG43" s="92">
        <v>207065358</v>
      </c>
      <c r="AH43" s="63">
        <f>SUM('Additional 25K H_EX'!W43+'25K TPP EX'!W43+'10% Non-Homestead'!W43+'Portability Impact'!W43)</f>
        <v>16301377</v>
      </c>
      <c r="AI43" s="85">
        <f t="shared" si="12"/>
        <v>7.8725756724599E-2</v>
      </c>
      <c r="AJ43" s="92">
        <v>207330999</v>
      </c>
      <c r="AK43" s="63">
        <f>SUM('Additional 25K H_EX'!Y43+'25K TPP EX'!Y43+'10% Non-Homestead'!Y43+'Portability Impact'!Y43)</f>
        <v>16783887</v>
      </c>
      <c r="AL43" s="85">
        <f t="shared" si="13"/>
        <v>8.0952134900001138E-2</v>
      </c>
      <c r="AM43" s="92">
        <v>208983441</v>
      </c>
      <c r="AN43" s="63">
        <f>SUM('Additional 25K H_EX'!AA43+'25K TPP EX'!AA43+'10% Non-Homestead'!AA43+'Portability Impact'!AA43)</f>
        <v>15463555</v>
      </c>
      <c r="AO43" s="85">
        <f t="shared" si="5"/>
        <v>7.3994163968235174E-2</v>
      </c>
      <c r="AP43" s="24"/>
      <c r="AQ43" s="24"/>
      <c r="AR43" s="24"/>
    </row>
    <row r="44" spans="1:44" ht="14.25" customHeight="1" x14ac:dyDescent="0.2">
      <c r="A44" s="84" t="s">
        <v>28</v>
      </c>
      <c r="B44" s="90" t="s">
        <v>133</v>
      </c>
      <c r="C44" s="92">
        <v>801534688</v>
      </c>
      <c r="D44" s="63">
        <f>SUM('Additional 25K H_EX'!C44+'25K TPP EX'!C44+'10% Non-Homestead'!C44+'Portability Impact'!C44)</f>
        <v>79842790</v>
      </c>
      <c r="E44" s="85">
        <f t="shared" si="6"/>
        <v>9.9612395065801565E-2</v>
      </c>
      <c r="F44" s="92">
        <v>744832562</v>
      </c>
      <c r="G44" s="63">
        <f>SUM('Additional 25K H_EX'!E44+'25K TPP EX'!E44+'10% Non-Homestead'!E44+'Portability Impact'!E44)</f>
        <v>76883279</v>
      </c>
      <c r="H44" s="85">
        <f t="shared" si="7"/>
        <v>0.10322223130733643</v>
      </c>
      <c r="I44" s="92">
        <v>711164070</v>
      </c>
      <c r="J44" s="63">
        <f>SUM('Additional 25K H_EX'!G44+'25K TPP EX'!G44+'10% Non-Homestead'!G44+'Portability Impact'!G44)</f>
        <v>63848095</v>
      </c>
      <c r="K44" s="85">
        <f t="shared" si="8"/>
        <v>8.9779697391067573E-2</v>
      </c>
      <c r="L44" s="92">
        <v>685213318</v>
      </c>
      <c r="M44" s="63">
        <f>SUM('Additional 25K H_EX'!I44+'25K TPP EX'!I44+'10% Non-Homestead'!I44+'Portability Impact'!I44)</f>
        <v>63670869</v>
      </c>
      <c r="N44" s="85">
        <f t="shared" si="0"/>
        <v>9.2921236828616346E-2</v>
      </c>
      <c r="O44" s="92">
        <v>680631869</v>
      </c>
      <c r="P44" s="63">
        <f>SUM('Additional 25K H_EX'!K44+'25K TPP EX'!K44+'10% Non-Homestead'!K44+'Portability Impact'!K44)</f>
        <v>61911390</v>
      </c>
      <c r="Q44" s="85">
        <f t="shared" si="1"/>
        <v>9.0961638471265885E-2</v>
      </c>
      <c r="R44" s="92">
        <v>658621419</v>
      </c>
      <c r="S44" s="63">
        <f>SUM('Additional 25K H_EX'!M44+'25K TPP EX'!M44+'10% Non-Homestead'!M44+'Portability Impact'!M44)</f>
        <v>59707989</v>
      </c>
      <c r="T44" s="85">
        <f t="shared" si="2"/>
        <v>9.0656008562029475E-2</v>
      </c>
      <c r="U44" s="92">
        <v>651152713</v>
      </c>
      <c r="V44" s="63">
        <f>SUM('Additional 25K H_EX'!O44+'25K TPP EX'!O44+'10% Non-Homestead'!O44+'Portability Impact'!O44)</f>
        <v>60977718</v>
      </c>
      <c r="W44" s="85">
        <f t="shared" si="3"/>
        <v>9.3645801948766511E-2</v>
      </c>
      <c r="X44" s="92">
        <v>635260103</v>
      </c>
      <c r="Y44" s="63">
        <f>SUM('Additional 25K H_EX'!Q44+'25K TPP EX'!Q44+'10% Non-Homestead'!Q44+'Portability Impact'!Q44)</f>
        <v>57343616</v>
      </c>
      <c r="Z44" s="85">
        <f t="shared" si="9"/>
        <v>9.0267932346445506E-2</v>
      </c>
      <c r="AA44" s="92">
        <v>626375542</v>
      </c>
      <c r="AB44" s="63">
        <f>SUM('Additional 25K H_EX'!S44+'25K TPP EX'!S44+'10% Non-Homestead'!S44+'Portability Impact'!S44)</f>
        <v>56364219</v>
      </c>
      <c r="AC44" s="85">
        <f t="shared" si="10"/>
        <v>8.9984706012036467E-2</v>
      </c>
      <c r="AD44" s="92">
        <v>622570829</v>
      </c>
      <c r="AE44" s="63">
        <f>SUM('Additional 25K H_EX'!U44+'25K TPP EX'!U44+'10% Non-Homestead'!U44+'Portability Impact'!U44)</f>
        <v>58100705</v>
      </c>
      <c r="AF44" s="85">
        <f t="shared" si="11"/>
        <v>9.332384733368225E-2</v>
      </c>
      <c r="AG44" s="92">
        <v>616335642</v>
      </c>
      <c r="AH44" s="63">
        <f>SUM('Additional 25K H_EX'!W44+'25K TPP EX'!W44+'10% Non-Homestead'!W44+'Portability Impact'!W44)</f>
        <v>58098368</v>
      </c>
      <c r="AI44" s="85">
        <f t="shared" si="12"/>
        <v>9.4264170430695293E-2</v>
      </c>
      <c r="AJ44" s="92">
        <v>616233159</v>
      </c>
      <c r="AK44" s="63">
        <f>SUM('Additional 25K H_EX'!Y44+'25K TPP EX'!Y44+'10% Non-Homestead'!Y44+'Portability Impact'!Y44)</f>
        <v>58981652</v>
      </c>
      <c r="AL44" s="85">
        <f t="shared" si="13"/>
        <v>9.5713207149893079E-2</v>
      </c>
      <c r="AM44" s="92">
        <v>656039987</v>
      </c>
      <c r="AN44" s="63">
        <f>SUM('Additional 25K H_EX'!AA44+'25K TPP EX'!AA44+'10% Non-Homestead'!AA44+'Portability Impact'!AA44)</f>
        <v>56373926</v>
      </c>
      <c r="AO44" s="85">
        <f t="shared" si="5"/>
        <v>8.5930624835525465E-2</v>
      </c>
      <c r="AP44" s="24"/>
      <c r="AQ44" s="24"/>
      <c r="AR44" s="24"/>
    </row>
    <row r="45" spans="1:44" ht="14.25" customHeight="1" x14ac:dyDescent="0.2">
      <c r="A45" s="84" t="s">
        <v>27</v>
      </c>
      <c r="B45" s="90" t="s">
        <v>132</v>
      </c>
      <c r="C45" s="92">
        <v>44939699194</v>
      </c>
      <c r="D45" s="63">
        <f>SUM('Additional 25K H_EX'!C45+'25K TPP EX'!C45+'10% Non-Homestead'!C45+'Portability Impact'!C45)</f>
        <v>3233134722</v>
      </c>
      <c r="E45" s="85">
        <f t="shared" si="6"/>
        <v>7.1943844306631741E-2</v>
      </c>
      <c r="F45" s="92">
        <v>41642611834</v>
      </c>
      <c r="G45" s="63">
        <f>SUM('Additional 25K H_EX'!E45+'25K TPP EX'!E45+'10% Non-Homestead'!E45+'Portability Impact'!E45)</f>
        <v>3174215412</v>
      </c>
      <c r="H45" s="85">
        <f t="shared" si="7"/>
        <v>7.6225175900430528E-2</v>
      </c>
      <c r="I45" s="92">
        <v>38878437785</v>
      </c>
      <c r="J45" s="63">
        <f>SUM('Additional 25K H_EX'!G45+'25K TPP EX'!G45+'10% Non-Homestead'!G45+'Portability Impact'!G45)</f>
        <v>3255118611</v>
      </c>
      <c r="K45" s="85">
        <f t="shared" si="8"/>
        <v>8.3725550625284723E-2</v>
      </c>
      <c r="L45" s="92">
        <v>36030205085</v>
      </c>
      <c r="M45" s="63">
        <f>SUM('Additional 25K H_EX'!I45+'25K TPP EX'!I45+'10% Non-Homestead'!I45+'Portability Impact'!I45)</f>
        <v>3058847591</v>
      </c>
      <c r="N45" s="85">
        <f t="shared" si="0"/>
        <v>8.4896757700484229E-2</v>
      </c>
      <c r="O45" s="92">
        <v>33338703267</v>
      </c>
      <c r="P45" s="63">
        <f>SUM('Additional 25K H_EX'!K45+'25K TPP EX'!K45+'10% Non-Homestead'!K45+'Portability Impact'!K45)</f>
        <v>2974266445</v>
      </c>
      <c r="Q45" s="85">
        <f t="shared" si="1"/>
        <v>8.9213621213157665E-2</v>
      </c>
      <c r="R45" s="92">
        <v>30541288401</v>
      </c>
      <c r="S45" s="63">
        <f>SUM('Additional 25K H_EX'!M45+'25K TPP EX'!M45+'10% Non-Homestead'!M45+'Portability Impact'!M45)</f>
        <v>2900531378</v>
      </c>
      <c r="T45" s="85">
        <f t="shared" si="2"/>
        <v>9.4970825720143134E-2</v>
      </c>
      <c r="U45" s="92">
        <v>28219084481</v>
      </c>
      <c r="V45" s="63">
        <f>SUM('Additional 25K H_EX'!O45+'25K TPP EX'!O45+'10% Non-Homestead'!O45+'Portability Impact'!O45)</f>
        <v>2705930178</v>
      </c>
      <c r="W45" s="85">
        <f t="shared" si="3"/>
        <v>9.5890076796145224E-2</v>
      </c>
      <c r="X45" s="92">
        <v>25951635391</v>
      </c>
      <c r="Y45" s="63">
        <f>SUM('Additional 25K H_EX'!Q45+'25K TPP EX'!Q45+'10% Non-Homestead'!Q45+'Portability Impact'!Q45)</f>
        <v>2269064093</v>
      </c>
      <c r="Z45" s="85">
        <f t="shared" si="9"/>
        <v>8.743433925504783E-2</v>
      </c>
      <c r="AA45" s="92">
        <v>24130431399</v>
      </c>
      <c r="AB45" s="63">
        <f>SUM('Additional 25K H_EX'!S45+'25K TPP EX'!S45+'10% Non-Homestead'!S45+'Portability Impact'!S45)</f>
        <v>1836126564</v>
      </c>
      <c r="AC45" s="85">
        <f t="shared" si="10"/>
        <v>7.6091742150788552E-2</v>
      </c>
      <c r="AD45" s="92">
        <v>23209150451</v>
      </c>
      <c r="AE45" s="63">
        <f>SUM('Additional 25K H_EX'!U45+'25K TPP EX'!U45+'10% Non-Homestead'!U45+'Portability Impact'!U45)</f>
        <v>1770447096</v>
      </c>
      <c r="AF45" s="85">
        <f t="shared" si="11"/>
        <v>7.6282287873389948E-2</v>
      </c>
      <c r="AG45" s="92">
        <v>23634630059</v>
      </c>
      <c r="AH45" s="63">
        <f>SUM('Additional 25K H_EX'!W45+'25K TPP EX'!W45+'10% Non-Homestead'!W45+'Portability Impact'!W45)</f>
        <v>1822960824</v>
      </c>
      <c r="AI45" s="85">
        <f t="shared" si="12"/>
        <v>7.7130922694760851E-2</v>
      </c>
      <c r="AJ45" s="92">
        <v>24748698573</v>
      </c>
      <c r="AK45" s="63">
        <f>SUM('Additional 25K H_EX'!Y45+'25K TPP EX'!Y45+'10% Non-Homestead'!Y45+'Portability Impact'!Y45)</f>
        <v>1862541940</v>
      </c>
      <c r="AL45" s="85">
        <f t="shared" si="13"/>
        <v>7.5258177091864165E-2</v>
      </c>
      <c r="AM45" s="92">
        <v>28603471652</v>
      </c>
      <c r="AN45" s="63">
        <f>SUM('Additional 25K H_EX'!AA45+'25K TPP EX'!AA45+'10% Non-Homestead'!AA45+'Portability Impact'!AA45)</f>
        <v>1978580185</v>
      </c>
      <c r="AO45" s="85">
        <f t="shared" si="5"/>
        <v>6.9172728718811111E-2</v>
      </c>
      <c r="AP45" s="24"/>
      <c r="AQ45" s="24"/>
      <c r="AR45" s="24"/>
    </row>
    <row r="46" spans="1:44" ht="14.25" customHeight="1" x14ac:dyDescent="0.2">
      <c r="A46" s="84" t="s">
        <v>26</v>
      </c>
      <c r="B46" s="90" t="s">
        <v>132</v>
      </c>
      <c r="C46" s="92">
        <v>22046694592</v>
      </c>
      <c r="D46" s="63">
        <f>SUM('Additional 25K H_EX'!C46+'25K TPP EX'!C46+'10% Non-Homestead'!C46+'Portability Impact'!C46)</f>
        <v>2938253420</v>
      </c>
      <c r="E46" s="85">
        <f t="shared" si="6"/>
        <v>0.13327410182686492</v>
      </c>
      <c r="F46" s="92">
        <v>20268510313</v>
      </c>
      <c r="G46" s="63">
        <f>SUM('Additional 25K H_EX'!E46+'25K TPP EX'!E46+'10% Non-Homestead'!E46+'Portability Impact'!E46)</f>
        <v>2656037072</v>
      </c>
      <c r="H46" s="85">
        <f t="shared" si="7"/>
        <v>0.1310425399293626</v>
      </c>
      <c r="I46" s="92">
        <v>18814262789</v>
      </c>
      <c r="J46" s="63">
        <f>SUM('Additional 25K H_EX'!G46+'25K TPP EX'!G46+'10% Non-Homestead'!G46+'Portability Impact'!G46)</f>
        <v>2446578692</v>
      </c>
      <c r="K46" s="85">
        <f t="shared" si="8"/>
        <v>0.13003850958382615</v>
      </c>
      <c r="L46" s="92">
        <v>17576279732</v>
      </c>
      <c r="M46" s="63">
        <f>SUM('Additional 25K H_EX'!I46+'25K TPP EX'!I46+'10% Non-Homestead'!I46+'Portability Impact'!I46)</f>
        <v>2230215367</v>
      </c>
      <c r="N46" s="85">
        <f t="shared" si="0"/>
        <v>0.12688779428900362</v>
      </c>
      <c r="O46" s="92">
        <v>16498727716</v>
      </c>
      <c r="P46" s="63">
        <f>SUM('Additional 25K H_EX'!K46+'25K TPP EX'!K46+'10% Non-Homestead'!K46+'Portability Impact'!K46)</f>
        <v>2035832978</v>
      </c>
      <c r="Q46" s="85">
        <f t="shared" si="1"/>
        <v>0.1233933314764451</v>
      </c>
      <c r="R46" s="92">
        <v>15596418066</v>
      </c>
      <c r="S46" s="63">
        <f>SUM('Additional 25K H_EX'!M46+'25K TPP EX'!M46+'10% Non-Homestead'!M46+'Portability Impact'!M46)</f>
        <v>2000267315</v>
      </c>
      <c r="T46" s="85">
        <f t="shared" si="2"/>
        <v>0.1282517118055817</v>
      </c>
      <c r="U46" s="92">
        <v>14938125373</v>
      </c>
      <c r="V46" s="63">
        <f>SUM('Additional 25K H_EX'!O46+'25K TPP EX'!O46+'10% Non-Homestead'!O46+'Portability Impact'!O46)</f>
        <v>1828905741</v>
      </c>
      <c r="W46" s="85">
        <f t="shared" si="3"/>
        <v>0.12243207868007763</v>
      </c>
      <c r="X46" s="92">
        <v>14326291780</v>
      </c>
      <c r="Y46" s="63">
        <f>SUM('Additional 25K H_EX'!Q46+'25K TPP EX'!Q46+'10% Non-Homestead'!Q46+'Portability Impact'!Q46)</f>
        <v>1835403077</v>
      </c>
      <c r="Z46" s="85">
        <f t="shared" si="9"/>
        <v>0.12811431633427195</v>
      </c>
      <c r="AA46" s="92">
        <v>13875127821</v>
      </c>
      <c r="AB46" s="63">
        <f>SUM('Additional 25K H_EX'!S46+'25K TPP EX'!S46+'10% Non-Homestead'!S46+'Portability Impact'!S46)</f>
        <v>1719936202</v>
      </c>
      <c r="AC46" s="85">
        <f t="shared" si="10"/>
        <v>0.12395822396654806</v>
      </c>
      <c r="AD46" s="92">
        <v>13902585697</v>
      </c>
      <c r="AE46" s="63">
        <f>SUM('Additional 25K H_EX'!U46+'25K TPP EX'!U46+'10% Non-Homestead'!U46+'Portability Impact'!U46)</f>
        <v>1716692829</v>
      </c>
      <c r="AF46" s="85">
        <f t="shared" si="11"/>
        <v>0.12348011128393478</v>
      </c>
      <c r="AG46" s="92">
        <v>14898009124</v>
      </c>
      <c r="AH46" s="63">
        <f>SUM('Additional 25K H_EX'!W46+'25K TPP EX'!W46+'10% Non-Homestead'!W46+'Portability Impact'!W46)</f>
        <v>1809452781</v>
      </c>
      <c r="AI46" s="85">
        <f t="shared" si="12"/>
        <v>0.12145601240672189</v>
      </c>
      <c r="AJ46" s="92">
        <v>16212563401</v>
      </c>
      <c r="AK46" s="63">
        <f>SUM('Additional 25K H_EX'!Y46+'25K TPP EX'!Y46+'10% Non-Homestead'!Y46+'Portability Impact'!Y46)</f>
        <v>1949450129</v>
      </c>
      <c r="AL46" s="85">
        <f t="shared" si="13"/>
        <v>0.1202431768982169</v>
      </c>
      <c r="AM46" s="92">
        <v>18273739206</v>
      </c>
      <c r="AN46" s="63">
        <f>SUM('Additional 25K H_EX'!AA46+'25K TPP EX'!AA46+'10% Non-Homestead'!AA46+'Portability Impact'!AA46)</f>
        <v>2005672251</v>
      </c>
      <c r="AO46" s="85">
        <f t="shared" si="5"/>
        <v>0.10975707973010021</v>
      </c>
      <c r="AP46" s="24"/>
      <c r="AQ46" s="24"/>
      <c r="AR46" s="24"/>
    </row>
    <row r="47" spans="1:44" ht="14.25" customHeight="1" x14ac:dyDescent="0.2">
      <c r="A47" s="84" t="s">
        <v>25</v>
      </c>
      <c r="B47" s="90" t="s">
        <v>132</v>
      </c>
      <c r="C47" s="92">
        <v>25141805080</v>
      </c>
      <c r="D47" s="63">
        <f>SUM('Additional 25K H_EX'!C47+'25K TPP EX'!C47+'10% Non-Homestead'!C47+'Portability Impact'!C47)</f>
        <v>1878888104</v>
      </c>
      <c r="E47" s="85">
        <f t="shared" si="6"/>
        <v>7.4731631162578402E-2</v>
      </c>
      <c r="F47" s="92">
        <v>23842412719</v>
      </c>
      <c r="G47" s="63">
        <f>SUM('Additional 25K H_EX'!E47+'25K TPP EX'!E47+'10% Non-Homestead'!E47+'Portability Impact'!E47)</f>
        <v>1817551049</v>
      </c>
      <c r="H47" s="85">
        <f t="shared" si="7"/>
        <v>7.6231842407106523E-2</v>
      </c>
      <c r="I47" s="92">
        <v>22697822286</v>
      </c>
      <c r="J47" s="63">
        <f>SUM('Additional 25K H_EX'!G47+'25K TPP EX'!G47+'10% Non-Homestead'!G47+'Portability Impact'!G47)</f>
        <v>1883545473</v>
      </c>
      <c r="K47" s="85">
        <f t="shared" si="8"/>
        <v>8.2983532484601816E-2</v>
      </c>
      <c r="L47" s="92">
        <v>22027054776</v>
      </c>
      <c r="M47" s="63">
        <f>SUM('Additional 25K H_EX'!I47+'25K TPP EX'!I47+'10% Non-Homestead'!I47+'Portability Impact'!I47)</f>
        <v>1810286072</v>
      </c>
      <c r="N47" s="85">
        <f t="shared" si="0"/>
        <v>8.2184662925178356E-2</v>
      </c>
      <c r="O47" s="92">
        <v>20758469618</v>
      </c>
      <c r="P47" s="63">
        <f>SUM('Additional 25K H_EX'!K47+'25K TPP EX'!K47+'10% Non-Homestead'!K47+'Portability Impact'!K47)</f>
        <v>1981604906</v>
      </c>
      <c r="Q47" s="85">
        <f t="shared" si="1"/>
        <v>9.5460067262459411E-2</v>
      </c>
      <c r="R47" s="92">
        <v>19549913869</v>
      </c>
      <c r="S47" s="63">
        <f>SUM('Additional 25K H_EX'!M47+'25K TPP EX'!M47+'10% Non-Homestead'!M47+'Portability Impact'!M47)</f>
        <v>1779604718</v>
      </c>
      <c r="T47" s="85">
        <f t="shared" si="2"/>
        <v>9.1028775365700823E-2</v>
      </c>
      <c r="U47" s="92">
        <v>18587380413</v>
      </c>
      <c r="V47" s="63">
        <f>SUM('Additional 25K H_EX'!O47+'25K TPP EX'!O47+'10% Non-Homestead'!O47+'Portability Impact'!O47)</f>
        <v>1647585353</v>
      </c>
      <c r="W47" s="85">
        <f t="shared" si="3"/>
        <v>8.8639997481715069E-2</v>
      </c>
      <c r="X47" s="92">
        <v>17688315102</v>
      </c>
      <c r="Y47" s="63">
        <f>SUM('Additional 25K H_EX'!Q47+'25K TPP EX'!Q47+'10% Non-Homestead'!Q47+'Portability Impact'!Q47)</f>
        <v>1318667691</v>
      </c>
      <c r="Z47" s="85">
        <f t="shared" si="9"/>
        <v>7.4550214839337617E-2</v>
      </c>
      <c r="AA47" s="92">
        <v>17188481272</v>
      </c>
      <c r="AB47" s="63">
        <f>SUM('Additional 25K H_EX'!S47+'25K TPP EX'!S47+'10% Non-Homestead'!S47+'Portability Impact'!S47)</f>
        <v>1076805945</v>
      </c>
      <c r="AC47" s="85">
        <f t="shared" si="10"/>
        <v>6.2646951057515166E-2</v>
      </c>
      <c r="AD47" s="92">
        <v>16937570136</v>
      </c>
      <c r="AE47" s="63">
        <f>SUM('Additional 25K H_EX'!U47+'25K TPP EX'!U47+'10% Non-Homestead'!U47+'Portability Impact'!U47)</f>
        <v>1033486389</v>
      </c>
      <c r="AF47" s="85">
        <f t="shared" si="11"/>
        <v>6.1017393917878089E-2</v>
      </c>
      <c r="AG47" s="92">
        <v>17102958979</v>
      </c>
      <c r="AH47" s="63">
        <f>SUM('Additional 25K H_EX'!W47+'25K TPP EX'!W47+'10% Non-Homestead'!W47+'Portability Impact'!W47)</f>
        <v>1010767370</v>
      </c>
      <c r="AI47" s="85">
        <f t="shared" si="12"/>
        <v>5.9098976454371344E-2</v>
      </c>
      <c r="AJ47" s="92">
        <v>17487143925</v>
      </c>
      <c r="AK47" s="63">
        <f>SUM('Additional 25K H_EX'!Y47+'25K TPP EX'!Y47+'10% Non-Homestead'!Y47+'Portability Impact'!Y47)</f>
        <v>1026011117</v>
      </c>
      <c r="AL47" s="85">
        <f t="shared" si="13"/>
        <v>5.8672309291924581E-2</v>
      </c>
      <c r="AM47" s="92">
        <v>18787304638</v>
      </c>
      <c r="AN47" s="63">
        <f>SUM('Additional 25K H_EX'!AA47+'25K TPP EX'!AA47+'10% Non-Homestead'!AA47+'Portability Impact'!AA47)</f>
        <v>1049216588</v>
      </c>
      <c r="AO47" s="85">
        <f t="shared" si="5"/>
        <v>5.5847105703380674E-2</v>
      </c>
      <c r="AP47" s="24"/>
      <c r="AQ47" s="24"/>
      <c r="AR47" s="24"/>
    </row>
    <row r="48" spans="1:44" ht="14.25" customHeight="1" x14ac:dyDescent="0.2">
      <c r="A48" s="84" t="s">
        <v>24</v>
      </c>
      <c r="B48" s="90" t="s">
        <v>132</v>
      </c>
      <c r="C48" s="92">
        <v>31733227216</v>
      </c>
      <c r="D48" s="63">
        <f>SUM('Additional 25K H_EX'!C48+'25K TPP EX'!C48+'10% Non-Homestead'!C48+'Portability Impact'!C48)</f>
        <v>2230746002</v>
      </c>
      <c r="E48" s="85">
        <f t="shared" si="6"/>
        <v>7.0296852785122668E-2</v>
      </c>
      <c r="F48" s="92">
        <v>30017184425</v>
      </c>
      <c r="G48" s="63">
        <f>SUM('Additional 25K H_EX'!E48+'25K TPP EX'!E48+'10% Non-Homestead'!E48+'Portability Impact'!E48)</f>
        <v>2444382865</v>
      </c>
      <c r="H48" s="85">
        <f t="shared" si="7"/>
        <v>8.1432782981610372E-2</v>
      </c>
      <c r="I48" s="92">
        <v>28378673438</v>
      </c>
      <c r="J48" s="63">
        <f>SUM('Additional 25K H_EX'!G48+'25K TPP EX'!G48+'10% Non-Homestead'!G48+'Portability Impact'!G48)</f>
        <v>2425079104</v>
      </c>
      <c r="K48" s="85">
        <f t="shared" si="8"/>
        <v>8.5454279929545171E-2</v>
      </c>
      <c r="L48" s="92">
        <v>26439157832</v>
      </c>
      <c r="M48" s="63">
        <f>SUM('Additional 25K H_EX'!I48+'25K TPP EX'!I48+'10% Non-Homestead'!I48+'Portability Impact'!I48)</f>
        <v>2512592440</v>
      </c>
      <c r="N48" s="85">
        <f t="shared" si="0"/>
        <v>9.5032998250759115E-2</v>
      </c>
      <c r="O48" s="92">
        <v>24925686939</v>
      </c>
      <c r="P48" s="63">
        <f>SUM('Additional 25K H_EX'!K48+'25K TPP EX'!K48+'10% Non-Homestead'!K48+'Portability Impact'!K48)</f>
        <v>2681650284</v>
      </c>
      <c r="Q48" s="85">
        <f t="shared" si="1"/>
        <v>0.10758581260218564</v>
      </c>
      <c r="R48" s="92">
        <v>23013321300</v>
      </c>
      <c r="S48" s="63">
        <f>SUM('Additional 25K H_EX'!M48+'25K TPP EX'!M48+'10% Non-Homestead'!M48+'Portability Impact'!M48)</f>
        <v>2334912256</v>
      </c>
      <c r="T48" s="85">
        <f t="shared" si="2"/>
        <v>0.10145916035161774</v>
      </c>
      <c r="U48" s="92">
        <v>21406157600</v>
      </c>
      <c r="V48" s="63">
        <f>SUM('Additional 25K H_EX'!O48+'25K TPP EX'!O48+'10% Non-Homestead'!O48+'Portability Impact'!O48)</f>
        <v>2191646197</v>
      </c>
      <c r="W48" s="85">
        <f t="shared" si="3"/>
        <v>0.10238391391643309</v>
      </c>
      <c r="X48" s="92">
        <v>20224006941</v>
      </c>
      <c r="Y48" s="63">
        <f>SUM('Additional 25K H_EX'!Q48+'25K TPP EX'!Q48+'10% Non-Homestead'!Q48+'Portability Impact'!Q48)</f>
        <v>1940294989</v>
      </c>
      <c r="Z48" s="85">
        <f t="shared" si="9"/>
        <v>9.5940186069974703E-2</v>
      </c>
      <c r="AA48" s="92">
        <v>19116269813</v>
      </c>
      <c r="AB48" s="63">
        <f>SUM('Additional 25K H_EX'!S48+'25K TPP EX'!S48+'10% Non-Homestead'!S48+'Portability Impact'!S48)</f>
        <v>1434777785</v>
      </c>
      <c r="AC48" s="85">
        <f t="shared" si="10"/>
        <v>7.5055321934422631E-2</v>
      </c>
      <c r="AD48" s="92">
        <v>18716037236</v>
      </c>
      <c r="AE48" s="63">
        <f>SUM('Additional 25K H_EX'!U48+'25K TPP EX'!U48+'10% Non-Homestead'!U48+'Portability Impact'!U48)</f>
        <v>1055941407</v>
      </c>
      <c r="AF48" s="85">
        <f t="shared" si="11"/>
        <v>5.6419069575738688E-2</v>
      </c>
      <c r="AG48" s="92">
        <v>18542927567</v>
      </c>
      <c r="AH48" s="63">
        <f>SUM('Additional 25K H_EX'!W48+'25K TPP EX'!W48+'10% Non-Homestead'!W48+'Portability Impact'!W48)</f>
        <v>1119732650</v>
      </c>
      <c r="AI48" s="85">
        <f t="shared" si="12"/>
        <v>6.0385969041519473E-2</v>
      </c>
      <c r="AJ48" s="92">
        <v>19553885436</v>
      </c>
      <c r="AK48" s="63">
        <f>SUM('Additional 25K H_EX'!Y48+'25K TPP EX'!Y48+'10% Non-Homestead'!Y48+'Portability Impact'!Y48)</f>
        <v>627895053</v>
      </c>
      <c r="AL48" s="85">
        <f t="shared" si="13"/>
        <v>3.2111012159455714E-2</v>
      </c>
      <c r="AM48" s="92">
        <v>22337625453</v>
      </c>
      <c r="AN48" s="63">
        <f>SUM('Additional 25K H_EX'!AA48+'25K TPP EX'!AA48+'10% Non-Homestead'!AA48+'Portability Impact'!AA48)</f>
        <v>672840095</v>
      </c>
      <c r="AO48" s="85">
        <f t="shared" si="5"/>
        <v>3.0121379571687458E-2</v>
      </c>
      <c r="AP48" s="24"/>
      <c r="AQ48" s="24"/>
      <c r="AR48" s="24"/>
    </row>
    <row r="49" spans="1:44" ht="14.25" customHeight="1" x14ac:dyDescent="0.2">
      <c r="A49" s="84" t="s">
        <v>23</v>
      </c>
      <c r="B49" s="90" t="s">
        <v>132</v>
      </c>
      <c r="C49" s="92">
        <v>11130035405</v>
      </c>
      <c r="D49" s="63">
        <f>SUM('Additional 25K H_EX'!C49+'25K TPP EX'!C49+'10% Non-Homestead'!C49+'Portability Impact'!C49)</f>
        <v>1328352349</v>
      </c>
      <c r="E49" s="85">
        <f t="shared" si="6"/>
        <v>0.11934843876626465</v>
      </c>
      <c r="F49" s="92">
        <v>10174336950</v>
      </c>
      <c r="G49" s="63">
        <f>SUM('Additional 25K H_EX'!E49+'25K TPP EX'!E49+'10% Non-Homestead'!E49+'Portability Impact'!E49)</f>
        <v>1239136406</v>
      </c>
      <c r="H49" s="85">
        <f t="shared" si="7"/>
        <v>0.12179038418813129</v>
      </c>
      <c r="I49" s="92">
        <v>9340941959</v>
      </c>
      <c r="J49" s="63">
        <f>SUM('Additional 25K H_EX'!G49+'25K TPP EX'!G49+'10% Non-Homestead'!G49+'Portability Impact'!G49)</f>
        <v>1139160143</v>
      </c>
      <c r="K49" s="85">
        <f t="shared" si="8"/>
        <v>0.12195345480146345</v>
      </c>
      <c r="L49" s="92">
        <v>8504153310</v>
      </c>
      <c r="M49" s="63">
        <f>SUM('Additional 25K H_EX'!I49+'25K TPP EX'!I49+'10% Non-Homestead'!I49+'Portability Impact'!I49)</f>
        <v>1040661377</v>
      </c>
      <c r="N49" s="85">
        <f t="shared" si="0"/>
        <v>0.12237095676253748</v>
      </c>
      <c r="O49" s="92">
        <v>7811856786</v>
      </c>
      <c r="P49" s="63">
        <f>SUM('Additional 25K H_EX'!K49+'25K TPP EX'!K49+'10% Non-Homestead'!K49+'Portability Impact'!K49)</f>
        <v>774762363</v>
      </c>
      <c r="Q49" s="85">
        <f t="shared" si="1"/>
        <v>9.9177747906040531E-2</v>
      </c>
      <c r="R49" s="92">
        <v>7190470640</v>
      </c>
      <c r="S49" s="63">
        <f>SUM('Additional 25K H_EX'!M49+'25K TPP EX'!M49+'10% Non-Homestead'!M49+'Portability Impact'!M49)</f>
        <v>726412323</v>
      </c>
      <c r="T49" s="85">
        <f t="shared" si="2"/>
        <v>0.10102430833373099</v>
      </c>
      <c r="U49" s="92">
        <v>6827449524</v>
      </c>
      <c r="V49" s="63">
        <f>SUM('Additional 25K H_EX'!O49+'25K TPP EX'!O49+'10% Non-Homestead'!O49+'Portability Impact'!O49)</f>
        <v>631635956</v>
      </c>
      <c r="W49" s="85">
        <f t="shared" si="3"/>
        <v>9.2514189051073822E-2</v>
      </c>
      <c r="X49" s="92">
        <v>6484315484</v>
      </c>
      <c r="Y49" s="63">
        <f>SUM('Additional 25K H_EX'!Q49+'25K TPP EX'!Q49+'10% Non-Homestead'!Q49+'Portability Impact'!Q49)</f>
        <v>560169963</v>
      </c>
      <c r="Z49" s="85">
        <f t="shared" si="9"/>
        <v>8.6388449849828436E-2</v>
      </c>
      <c r="AA49" s="92">
        <v>6208526712</v>
      </c>
      <c r="AB49" s="63">
        <f>SUM('Additional 25K H_EX'!S49+'25K TPP EX'!S49+'10% Non-Homestead'!S49+'Portability Impact'!S49)</f>
        <v>517154578</v>
      </c>
      <c r="AC49" s="85">
        <f t="shared" si="10"/>
        <v>8.3297471685259944E-2</v>
      </c>
      <c r="AD49" s="92">
        <v>6218151341</v>
      </c>
      <c r="AE49" s="63">
        <f>SUM('Additional 25K H_EX'!U49+'25K TPP EX'!U49+'10% Non-Homestead'!U49+'Portability Impact'!U49)</f>
        <v>469447989</v>
      </c>
      <c r="AF49" s="85">
        <f t="shared" si="11"/>
        <v>7.5496391653359723E-2</v>
      </c>
      <c r="AG49" s="92">
        <v>6594302517</v>
      </c>
      <c r="AH49" s="63">
        <f>SUM('Additional 25K H_EX'!W49+'25K TPP EX'!W49+'10% Non-Homestead'!W49+'Portability Impact'!W49)</f>
        <v>463302225</v>
      </c>
      <c r="AI49" s="85">
        <f t="shared" si="12"/>
        <v>7.025795735115499E-2</v>
      </c>
      <c r="AJ49" s="92">
        <v>6936194040</v>
      </c>
      <c r="AK49" s="63">
        <f>SUM('Additional 25K H_EX'!Y49+'25K TPP EX'!Y49+'10% Non-Homestead'!Y49+'Portability Impact'!Y49)</f>
        <v>466349122</v>
      </c>
      <c r="AL49" s="85">
        <f t="shared" si="13"/>
        <v>6.7234151655884186E-2</v>
      </c>
      <c r="AM49" s="92">
        <v>7773280416</v>
      </c>
      <c r="AN49" s="63">
        <f>SUM('Additional 25K H_EX'!AA49+'25K TPP EX'!AA49+'10% Non-Homestead'!AA49+'Portability Impact'!AA49)</f>
        <v>471929573</v>
      </c>
      <c r="AO49" s="85">
        <f t="shared" si="5"/>
        <v>6.0711764884824139E-2</v>
      </c>
      <c r="AP49" s="24"/>
      <c r="AQ49" s="24"/>
      <c r="AR49" s="24"/>
    </row>
    <row r="50" spans="1:44" ht="14.25" customHeight="1" x14ac:dyDescent="0.2">
      <c r="A50" s="84" t="s">
        <v>22</v>
      </c>
      <c r="B50" s="90" t="s">
        <v>132</v>
      </c>
      <c r="C50" s="92">
        <v>21103613931</v>
      </c>
      <c r="D50" s="63">
        <f>SUM('Additional 25K H_EX'!C50+'25K TPP EX'!C50+'10% Non-Homestead'!C50+'Portability Impact'!C50)</f>
        <v>1660311921</v>
      </c>
      <c r="E50" s="85">
        <f t="shared" si="6"/>
        <v>7.8674293721849073E-2</v>
      </c>
      <c r="F50" s="92">
        <v>19798515592</v>
      </c>
      <c r="G50" s="63">
        <f>SUM('Additional 25K H_EX'!E50+'25K TPP EX'!E50+'10% Non-Homestead'!E50+'Portability Impact'!E50)</f>
        <v>1618365288</v>
      </c>
      <c r="H50" s="85">
        <f t="shared" si="7"/>
        <v>8.1741748793224378E-2</v>
      </c>
      <c r="I50" s="92">
        <v>18578276099</v>
      </c>
      <c r="J50" s="63">
        <f>SUM('Additional 25K H_EX'!G50+'25K TPP EX'!G50+'10% Non-Homestead'!G50+'Portability Impact'!G50)</f>
        <v>1523190520</v>
      </c>
      <c r="K50" s="85">
        <f t="shared" si="8"/>
        <v>8.198772113640769E-2</v>
      </c>
      <c r="L50" s="92">
        <v>17453553436</v>
      </c>
      <c r="M50" s="63">
        <f>SUM('Additional 25K H_EX'!I50+'25K TPP EX'!I50+'10% Non-Homestead'!I50+'Portability Impact'!I50)</f>
        <v>1403995842</v>
      </c>
      <c r="N50" s="85">
        <f t="shared" si="0"/>
        <v>8.0441833644264896E-2</v>
      </c>
      <c r="O50" s="92">
        <v>16415482985</v>
      </c>
      <c r="P50" s="63">
        <f>SUM('Additional 25K H_EX'!K50+'25K TPP EX'!K50+'10% Non-Homestead'!K50+'Portability Impact'!K50)</f>
        <v>1197906249</v>
      </c>
      <c r="Q50" s="85">
        <f t="shared" si="1"/>
        <v>7.2974170184003276E-2</v>
      </c>
      <c r="R50" s="92">
        <v>15681580854</v>
      </c>
      <c r="S50" s="63">
        <f>SUM('Additional 25K H_EX'!M50+'25K TPP EX'!M50+'10% Non-Homestead'!M50+'Portability Impact'!M50)</f>
        <v>1170739569</v>
      </c>
      <c r="T50" s="85">
        <f t="shared" si="2"/>
        <v>7.4656986428850505E-2</v>
      </c>
      <c r="U50" s="92">
        <v>15034472480</v>
      </c>
      <c r="V50" s="63">
        <f>SUM('Additional 25K H_EX'!O50+'25K TPP EX'!O50+'10% Non-Homestead'!O50+'Portability Impact'!O50)</f>
        <v>1158335496</v>
      </c>
      <c r="W50" s="85">
        <f t="shared" si="3"/>
        <v>7.7045303554275427E-2</v>
      </c>
      <c r="X50" s="92">
        <v>14375730735</v>
      </c>
      <c r="Y50" s="63">
        <f>SUM('Additional 25K H_EX'!Q50+'25K TPP EX'!Q50+'10% Non-Homestead'!Q50+'Portability Impact'!Q50)</f>
        <v>1115950673</v>
      </c>
      <c r="Z50" s="85">
        <f t="shared" si="9"/>
        <v>7.7627405073958489E-2</v>
      </c>
      <c r="AA50" s="92">
        <v>13795170133</v>
      </c>
      <c r="AB50" s="63">
        <f>SUM('Additional 25K H_EX'!S50+'25K TPP EX'!S50+'10% Non-Homestead'!S50+'Portability Impact'!S50)</f>
        <v>1085259920</v>
      </c>
      <c r="AC50" s="85">
        <f t="shared" si="10"/>
        <v>7.866955677508497E-2</v>
      </c>
      <c r="AD50" s="92">
        <v>13565741937</v>
      </c>
      <c r="AE50" s="63">
        <f>SUM('Additional 25K H_EX'!U50+'25K TPP EX'!U50+'10% Non-Homestead'!U50+'Portability Impact'!U50)</f>
        <v>1085282999</v>
      </c>
      <c r="AF50" s="85">
        <f t="shared" si="11"/>
        <v>8.0001742922732114E-2</v>
      </c>
      <c r="AG50" s="92">
        <v>13781239430</v>
      </c>
      <c r="AH50" s="63">
        <f>SUM('Additional 25K H_EX'!W50+'25K TPP EX'!W50+'10% Non-Homestead'!W50+'Portability Impact'!W50)</f>
        <v>1095161769</v>
      </c>
      <c r="AI50" s="85">
        <f t="shared" si="12"/>
        <v>7.9467581603434922E-2</v>
      </c>
      <c r="AJ50" s="92">
        <v>14499871635</v>
      </c>
      <c r="AK50" s="63">
        <f>SUM('Additional 25K H_EX'!Y50+'25K TPP EX'!Y50+'10% Non-Homestead'!Y50+'Portability Impact'!Y50)</f>
        <v>1106590311</v>
      </c>
      <c r="AL50" s="85">
        <f t="shared" si="13"/>
        <v>7.6317248790595926E-2</v>
      </c>
      <c r="AM50" s="92">
        <v>16174789111</v>
      </c>
      <c r="AN50" s="63">
        <f>SUM('Additional 25K H_EX'!AA50+'25K TPP EX'!AA50+'10% Non-Homestead'!AA50+'Portability Impact'!AA50)</f>
        <v>1093422177</v>
      </c>
      <c r="AO50" s="85">
        <f t="shared" si="5"/>
        <v>6.7600397723664635E-2</v>
      </c>
      <c r="AP50" s="24"/>
      <c r="AQ50" s="24"/>
      <c r="AR50" s="24"/>
    </row>
    <row r="51" spans="1:44" ht="14.25" customHeight="1" x14ac:dyDescent="0.2">
      <c r="A51" s="84" t="s">
        <v>21</v>
      </c>
      <c r="B51" s="90" t="s">
        <v>132</v>
      </c>
      <c r="C51" s="92">
        <v>2926494860</v>
      </c>
      <c r="D51" s="63">
        <f>SUM('Additional 25K H_EX'!C51+'25K TPP EX'!C51+'10% Non-Homestead'!C51+'Portability Impact'!C51)</f>
        <v>408820596</v>
      </c>
      <c r="E51" s="85">
        <f t="shared" si="6"/>
        <v>0.13969633146733085</v>
      </c>
      <c r="F51" s="92">
        <v>2665662313</v>
      </c>
      <c r="G51" s="63">
        <f>SUM('Additional 25K H_EX'!E51+'25K TPP EX'!E51+'10% Non-Homestead'!E51+'Portability Impact'!E51)</f>
        <v>307018833</v>
      </c>
      <c r="H51" s="85">
        <f t="shared" si="7"/>
        <v>0.1151754412037561</v>
      </c>
      <c r="I51" s="92">
        <v>2670411354</v>
      </c>
      <c r="J51" s="63">
        <f>SUM('Additional 25K H_EX'!G51+'25K TPP EX'!G51+'10% Non-Homestead'!G51+'Portability Impact'!G51)</f>
        <v>303115826</v>
      </c>
      <c r="K51" s="85">
        <f t="shared" si="8"/>
        <v>0.11350903880256645</v>
      </c>
      <c r="L51" s="92">
        <v>1983033865</v>
      </c>
      <c r="M51" s="63">
        <f>SUM('Additional 25K H_EX'!I51+'25K TPP EX'!I51+'10% Non-Homestead'!I51+'Portability Impact'!I51)</f>
        <v>302140954</v>
      </c>
      <c r="N51" s="85">
        <f t="shared" si="0"/>
        <v>0.1523629824647498</v>
      </c>
      <c r="O51" s="92">
        <v>1777669779</v>
      </c>
      <c r="P51" s="63">
        <f>SUM('Additional 25K H_EX'!K51+'25K TPP EX'!K51+'10% Non-Homestead'!K51+'Portability Impact'!K51)</f>
        <v>255484399</v>
      </c>
      <c r="Q51" s="85">
        <f t="shared" si="1"/>
        <v>0.14371870525003733</v>
      </c>
      <c r="R51" s="92">
        <v>1656133172</v>
      </c>
      <c r="S51" s="63">
        <f>SUM('Additional 25K H_EX'!M51+'25K TPP EX'!M51+'10% Non-Homestead'!M51+'Portability Impact'!M51)</f>
        <v>192419357</v>
      </c>
      <c r="T51" s="85">
        <f t="shared" si="2"/>
        <v>0.1161859204641304</v>
      </c>
      <c r="U51" s="92">
        <v>1579698555</v>
      </c>
      <c r="V51" s="63">
        <f>SUM('Additional 25K H_EX'!O51+'25K TPP EX'!O51+'10% Non-Homestead'!O51+'Portability Impact'!O51)</f>
        <v>183845851</v>
      </c>
      <c r="W51" s="85">
        <f t="shared" si="3"/>
        <v>0.11638033751319092</v>
      </c>
      <c r="X51" s="92">
        <v>1521730807</v>
      </c>
      <c r="Y51" s="63">
        <f>SUM('Additional 25K H_EX'!Q51+'25K TPP EX'!Q51+'10% Non-Homestead'!Q51+'Portability Impact'!Q51)</f>
        <v>155339705</v>
      </c>
      <c r="Z51" s="85">
        <f t="shared" si="9"/>
        <v>0.10208093592206549</v>
      </c>
      <c r="AA51" s="92">
        <v>1500997846</v>
      </c>
      <c r="AB51" s="63">
        <f>SUM('Additional 25K H_EX'!S51+'25K TPP EX'!S51+'10% Non-Homestead'!S51+'Portability Impact'!S51)</f>
        <v>127350640</v>
      </c>
      <c r="AC51" s="85">
        <f t="shared" si="10"/>
        <v>8.484398584540008E-2</v>
      </c>
      <c r="AD51" s="92">
        <v>1495223109</v>
      </c>
      <c r="AE51" s="63">
        <f>SUM('Additional 25K H_EX'!U51+'25K TPP EX'!U51+'10% Non-Homestead'!U51+'Portability Impact'!U51)</f>
        <v>126262484</v>
      </c>
      <c r="AF51" s="85">
        <f t="shared" si="11"/>
        <v>8.4443908898949469E-2</v>
      </c>
      <c r="AG51" s="92">
        <v>1569530347</v>
      </c>
      <c r="AH51" s="63">
        <f>SUM('Additional 25K H_EX'!W51+'25K TPP EX'!W51+'10% Non-Homestead'!W51+'Portability Impact'!W51)</f>
        <v>143889912</v>
      </c>
      <c r="AI51" s="85">
        <f t="shared" si="12"/>
        <v>9.1677049937282928E-2</v>
      </c>
      <c r="AJ51" s="92">
        <v>1556664948</v>
      </c>
      <c r="AK51" s="63">
        <f>SUM('Additional 25K H_EX'!Y51+'25K TPP EX'!Y51+'10% Non-Homestead'!Y51+'Portability Impact'!Y51)</f>
        <v>155907686</v>
      </c>
      <c r="AL51" s="85">
        <f t="shared" si="13"/>
        <v>0.10015494098476996</v>
      </c>
      <c r="AM51" s="92">
        <v>1875212397</v>
      </c>
      <c r="AN51" s="63">
        <f>SUM('Additional 25K H_EX'!AA51+'25K TPP EX'!AA51+'10% Non-Homestead'!AA51+'Portability Impact'!AA51)</f>
        <v>168103364</v>
      </c>
      <c r="AO51" s="85">
        <f t="shared" si="5"/>
        <v>8.9644972627599365E-2</v>
      </c>
      <c r="AP51" s="24"/>
      <c r="AQ51" s="24"/>
      <c r="AR51" s="24"/>
    </row>
    <row r="52" spans="1:44" ht="14.25" customHeight="1" x14ac:dyDescent="0.2">
      <c r="A52" s="84" t="s">
        <v>20</v>
      </c>
      <c r="B52" s="90" t="s">
        <v>132</v>
      </c>
      <c r="C52" s="92">
        <v>161121555897</v>
      </c>
      <c r="D52" s="63">
        <f>SUM('Additional 25K H_EX'!C52+'25K TPP EX'!C52+'10% Non-Homestead'!C52+'Portability Impact'!C52)</f>
        <v>12468826028</v>
      </c>
      <c r="E52" s="85">
        <f t="shared" si="6"/>
        <v>7.7387696255682467E-2</v>
      </c>
      <c r="F52" s="92">
        <v>155481115193</v>
      </c>
      <c r="G52" s="63">
        <f>SUM('Additional 25K H_EX'!E52+'25K TPP EX'!E52+'10% Non-Homestead'!E52+'Portability Impact'!E52)</f>
        <v>14503150969</v>
      </c>
      <c r="H52" s="85">
        <f t="shared" si="7"/>
        <v>9.3279180246405607E-2</v>
      </c>
      <c r="I52" s="92">
        <v>143362277614</v>
      </c>
      <c r="J52" s="63">
        <f>SUM('Additional 25K H_EX'!G52+'25K TPP EX'!G52+'10% Non-Homestead'!G52+'Portability Impact'!G52)</f>
        <v>15165136255</v>
      </c>
      <c r="K52" s="85">
        <f t="shared" si="8"/>
        <v>0.10578191493184713</v>
      </c>
      <c r="L52" s="92">
        <v>130523063811</v>
      </c>
      <c r="M52" s="63">
        <f>SUM('Additional 25K H_EX'!I52+'25K TPP EX'!I52+'10% Non-Homestead'!I52+'Portability Impact'!I52)</f>
        <v>14342444064</v>
      </c>
      <c r="N52" s="85">
        <f t="shared" si="0"/>
        <v>0.10988436560735461</v>
      </c>
      <c r="O52" s="92">
        <v>119396004935</v>
      </c>
      <c r="P52" s="63">
        <f>SUM('Additional 25K H_EX'!K52+'25K TPP EX'!K52+'10% Non-Homestead'!K52+'Portability Impact'!K52)</f>
        <v>13347540819</v>
      </c>
      <c r="Q52" s="85">
        <f t="shared" si="1"/>
        <v>0.11179218958177446</v>
      </c>
      <c r="R52" s="92">
        <v>109249340243</v>
      </c>
      <c r="S52" s="63">
        <f>SUM('Additional 25K H_EX'!M52+'25K TPP EX'!M52+'10% Non-Homestead'!M52+'Portability Impact'!M52)</f>
        <v>13082764693</v>
      </c>
      <c r="T52" s="85">
        <f t="shared" si="2"/>
        <v>0.11975142974685617</v>
      </c>
      <c r="U52" s="92">
        <v>100254907511</v>
      </c>
      <c r="V52" s="63">
        <f>SUM('Additional 25K H_EX'!O52+'25K TPP EX'!O52+'10% Non-Homestead'!O52+'Portability Impact'!O52)</f>
        <v>13496000395</v>
      </c>
      <c r="W52" s="85">
        <f t="shared" si="3"/>
        <v>0.13461685547432392</v>
      </c>
      <c r="X52" s="92">
        <v>90146239935</v>
      </c>
      <c r="Y52" s="63">
        <f>SUM('Additional 25K H_EX'!Q52+'25K TPP EX'!Q52+'10% Non-Homestead'!Q52+'Portability Impact'!Q52)</f>
        <v>6626523380</v>
      </c>
      <c r="Z52" s="85">
        <f t="shared" si="9"/>
        <v>7.3508594310512099E-2</v>
      </c>
      <c r="AA52" s="92">
        <v>84092787233</v>
      </c>
      <c r="AB52" s="63">
        <f>SUM('Additional 25K H_EX'!S52+'25K TPP EX'!S52+'10% Non-Homestead'!S52+'Portability Impact'!S52)</f>
        <v>5520955323</v>
      </c>
      <c r="AC52" s="85">
        <f t="shared" si="10"/>
        <v>6.5653137500399639E-2</v>
      </c>
      <c r="AD52" s="92">
        <v>81060443665</v>
      </c>
      <c r="AE52" s="63">
        <f>SUM('Additional 25K H_EX'!U52+'25K TPP EX'!U52+'10% Non-Homestead'!U52+'Portability Impact'!U52)</f>
        <v>5311992659</v>
      </c>
      <c r="AF52" s="85">
        <f t="shared" si="11"/>
        <v>6.5531255675739586E-2</v>
      </c>
      <c r="AG52" s="92">
        <v>81290439264</v>
      </c>
      <c r="AH52" s="63">
        <f>SUM('Additional 25K H_EX'!W52+'25K TPP EX'!W52+'10% Non-Homestead'!W52+'Portability Impact'!W52)</f>
        <v>5078664964</v>
      </c>
      <c r="AI52" s="85">
        <f t="shared" si="12"/>
        <v>6.2475550753348187E-2</v>
      </c>
      <c r="AJ52" s="92">
        <v>83586769561</v>
      </c>
      <c r="AK52" s="63">
        <f>SUM('Additional 25K H_EX'!Y52+'25K TPP EX'!Y52+'10% Non-Homestead'!Y52+'Portability Impact'!Y52)</f>
        <v>5256119518</v>
      </c>
      <c r="AL52" s="85">
        <f t="shared" si="13"/>
        <v>6.2882194701449567E-2</v>
      </c>
      <c r="AM52" s="92">
        <v>95585196775</v>
      </c>
      <c r="AN52" s="63">
        <f>SUM('Additional 25K H_EX'!AA52+'25K TPP EX'!AA52+'10% Non-Homestead'!AA52+'Portability Impact'!AA52)</f>
        <v>5791036286</v>
      </c>
      <c r="AO52" s="85">
        <f t="shared" si="5"/>
        <v>6.0585074691342028E-2</v>
      </c>
      <c r="AP52" s="24"/>
      <c r="AQ52" s="24"/>
      <c r="AR52" s="24"/>
    </row>
    <row r="53" spans="1:44" ht="14.25" customHeight="1" x14ac:dyDescent="0.2">
      <c r="A53" s="84" t="s">
        <v>19</v>
      </c>
      <c r="B53" s="90" t="s">
        <v>132</v>
      </c>
      <c r="C53" s="92">
        <v>34108072393</v>
      </c>
      <c r="D53" s="63">
        <f>SUM('Additional 25K H_EX'!C53+'25K TPP EX'!C53+'10% Non-Homestead'!C53+'Portability Impact'!C53)</f>
        <v>2559185529</v>
      </c>
      <c r="E53" s="85">
        <f t="shared" si="6"/>
        <v>7.5031666976443437E-2</v>
      </c>
      <c r="F53" s="92">
        <v>31361268240</v>
      </c>
      <c r="G53" s="63">
        <f>SUM('Additional 25K H_EX'!E53+'25K TPP EX'!E53+'10% Non-Homestead'!E53+'Portability Impact'!E53)</f>
        <v>2676149858</v>
      </c>
      <c r="H53" s="85">
        <f t="shared" si="7"/>
        <v>8.5332960310153583E-2</v>
      </c>
      <c r="I53" s="92">
        <v>28335023191</v>
      </c>
      <c r="J53" s="63">
        <f>SUM('Additional 25K H_EX'!G53+'25K TPP EX'!G53+'10% Non-Homestead'!G53+'Portability Impact'!G53)</f>
        <v>2631386352</v>
      </c>
      <c r="K53" s="85">
        <f t="shared" si="8"/>
        <v>9.2866920710190287E-2</v>
      </c>
      <c r="L53" s="92">
        <v>25399524923</v>
      </c>
      <c r="M53" s="63">
        <f>SUM('Additional 25K H_EX'!I53+'25K TPP EX'!I53+'10% Non-Homestead'!I53+'Portability Impact'!I53)</f>
        <v>2104736044</v>
      </c>
      <c r="N53" s="85">
        <f t="shared" si="0"/>
        <v>8.2865173674728898E-2</v>
      </c>
      <c r="O53" s="92">
        <v>22928899720</v>
      </c>
      <c r="P53" s="63">
        <f>SUM('Additional 25K H_EX'!K53+'25K TPP EX'!K53+'10% Non-Homestead'!K53+'Portability Impact'!K53)</f>
        <v>1758328388</v>
      </c>
      <c r="Q53" s="85">
        <f t="shared" si="1"/>
        <v>7.6686121421965903E-2</v>
      </c>
      <c r="R53" s="92">
        <v>20994778091</v>
      </c>
      <c r="S53" s="63">
        <f>SUM('Additional 25K H_EX'!M53+'25K TPP EX'!M53+'10% Non-Homestead'!M53+'Portability Impact'!M53)</f>
        <v>1606361049</v>
      </c>
      <c r="T53" s="85">
        <f t="shared" si="2"/>
        <v>7.6512409039875093E-2</v>
      </c>
      <c r="U53" s="92">
        <v>19501701045</v>
      </c>
      <c r="V53" s="63">
        <f>SUM('Additional 25K H_EX'!O53+'25K TPP EX'!O53+'10% Non-Homestead'!O53+'Portability Impact'!O53)</f>
        <v>1695115873</v>
      </c>
      <c r="W53" s="85">
        <f t="shared" si="3"/>
        <v>8.6921436703830873E-2</v>
      </c>
      <c r="X53" s="92">
        <v>18176191459</v>
      </c>
      <c r="Y53" s="63">
        <f>SUM('Additional 25K H_EX'!Q53+'25K TPP EX'!Q53+'10% Non-Homestead'!Q53+'Portability Impact'!Q53)</f>
        <v>1575629298</v>
      </c>
      <c r="Z53" s="85">
        <f t="shared" si="9"/>
        <v>8.6686438220798009E-2</v>
      </c>
      <c r="AA53" s="92">
        <v>17075793524</v>
      </c>
      <c r="AB53" s="63">
        <f>SUM('Additional 25K H_EX'!S53+'25K TPP EX'!S53+'10% Non-Homestead'!S53+'Portability Impact'!S53)</f>
        <v>1291161403</v>
      </c>
      <c r="AC53" s="85">
        <f t="shared" si="10"/>
        <v>7.5613552083847513E-2</v>
      </c>
      <c r="AD53" s="92">
        <v>16466996444</v>
      </c>
      <c r="AE53" s="63">
        <f>SUM('Additional 25K H_EX'!U53+'25K TPP EX'!U53+'10% Non-Homestead'!U53+'Portability Impact'!U53)</f>
        <v>1155615716</v>
      </c>
      <c r="AF53" s="85">
        <f t="shared" si="11"/>
        <v>7.0177686618804497E-2</v>
      </c>
      <c r="AG53" s="92">
        <v>16649673007</v>
      </c>
      <c r="AH53" s="63">
        <f>SUM('Additional 25K H_EX'!W53+'25K TPP EX'!W53+'10% Non-Homestead'!W53+'Portability Impact'!W53)</f>
        <v>1138713892</v>
      </c>
      <c r="AI53" s="85">
        <f t="shared" si="12"/>
        <v>6.8392567921379113E-2</v>
      </c>
      <c r="AJ53" s="92">
        <v>18051227486</v>
      </c>
      <c r="AK53" s="63">
        <f>SUM('Additional 25K H_EX'!Y53+'25K TPP EX'!Y53+'10% Non-Homestead'!Y53+'Portability Impact'!Y53)</f>
        <v>1199198613</v>
      </c>
      <c r="AL53" s="85">
        <f t="shared" si="13"/>
        <v>6.643307852222588E-2</v>
      </c>
      <c r="AM53" s="92">
        <v>21507132331</v>
      </c>
      <c r="AN53" s="63">
        <f>SUM('Additional 25K H_EX'!AA53+'25K TPP EX'!AA53+'10% Non-Homestead'!AA53+'Portability Impact'!AA53)</f>
        <v>1416943501</v>
      </c>
      <c r="AO53" s="85">
        <f t="shared" si="5"/>
        <v>6.588249326748423E-2</v>
      </c>
      <c r="AP53" s="24"/>
      <c r="AQ53" s="24"/>
      <c r="AR53" s="24"/>
    </row>
    <row r="54" spans="1:44" ht="14.25" customHeight="1" x14ac:dyDescent="0.2">
      <c r="A54" s="84" t="s">
        <v>18</v>
      </c>
      <c r="B54" s="90" t="s">
        <v>132</v>
      </c>
      <c r="C54" s="92">
        <v>221914043494</v>
      </c>
      <c r="D54" s="63">
        <f>SUM('Additional 25K H_EX'!C54+'25K TPP EX'!C54+'10% Non-Homestead'!C54+'Portability Impact'!C54)</f>
        <v>14102618123</v>
      </c>
      <c r="E54" s="85">
        <f t="shared" si="6"/>
        <v>6.3549912844435646E-2</v>
      </c>
      <c r="F54" s="92">
        <v>209910879347</v>
      </c>
      <c r="G54" s="63">
        <f>SUM('Additional 25K H_EX'!E54+'25K TPP EX'!E54+'10% Non-Homestead'!E54+'Portability Impact'!E54)</f>
        <v>12835214761</v>
      </c>
      <c r="H54" s="85">
        <f t="shared" si="7"/>
        <v>6.1146019686680132E-2</v>
      </c>
      <c r="I54" s="92">
        <v>198562206160</v>
      </c>
      <c r="J54" s="63">
        <f>SUM('Additional 25K H_EX'!G54+'25K TPP EX'!G54+'10% Non-Homestead'!G54+'Portability Impact'!G54)</f>
        <v>13568603553</v>
      </c>
      <c r="K54" s="85">
        <f t="shared" si="8"/>
        <v>6.8334270732601135E-2</v>
      </c>
      <c r="L54" s="92">
        <v>187334775743</v>
      </c>
      <c r="M54" s="63">
        <f>SUM('Additional 25K H_EX'!I54+'25K TPP EX'!I54+'10% Non-Homestead'!I54+'Portability Impact'!I54)</f>
        <v>14040083788</v>
      </c>
      <c r="N54" s="85">
        <f t="shared" si="0"/>
        <v>7.4946489418821247E-2</v>
      </c>
      <c r="O54" s="92">
        <v>176291451690</v>
      </c>
      <c r="P54" s="63">
        <f>SUM('Additional 25K H_EX'!K54+'25K TPP EX'!K54+'10% Non-Homestead'!K54+'Portability Impact'!K54)</f>
        <v>14750283014</v>
      </c>
      <c r="Q54" s="85">
        <f t="shared" si="1"/>
        <v>8.366987095856275E-2</v>
      </c>
      <c r="R54" s="92">
        <v>164756214401</v>
      </c>
      <c r="S54" s="63">
        <f>SUM('Additional 25K H_EX'!M54+'25K TPP EX'!M54+'10% Non-Homestead'!M54+'Portability Impact'!M54)</f>
        <v>14890415669</v>
      </c>
      <c r="T54" s="85">
        <f t="shared" si="2"/>
        <v>9.0378476606401206E-2</v>
      </c>
      <c r="U54" s="92">
        <v>152321495569</v>
      </c>
      <c r="V54" s="63">
        <f>SUM('Additional 25K H_EX'!O54+'25K TPP EX'!O54+'10% Non-Homestead'!O54+'Portability Impact'!O54)</f>
        <v>13745125011</v>
      </c>
      <c r="W54" s="85">
        <f t="shared" si="3"/>
        <v>9.0237592269264491E-2</v>
      </c>
      <c r="X54" s="92">
        <v>139218878252</v>
      </c>
      <c r="Y54" s="63">
        <f>SUM('Additional 25K H_EX'!Q54+'25K TPP EX'!Q54+'10% Non-Homestead'!Q54+'Portability Impact'!Q54)</f>
        <v>11278665004</v>
      </c>
      <c r="Z54" s="85">
        <f t="shared" si="9"/>
        <v>8.1013905194556271E-2</v>
      </c>
      <c r="AA54" s="92">
        <v>129959783963</v>
      </c>
      <c r="AB54" s="63">
        <f>SUM('Additional 25K H_EX'!S54+'25K TPP EX'!S54+'10% Non-Homestead'!S54+'Portability Impact'!S54)</f>
        <v>8775615631</v>
      </c>
      <c r="AC54" s="85">
        <f t="shared" si="10"/>
        <v>6.7525624954089244E-2</v>
      </c>
      <c r="AD54" s="92">
        <v>125081249287</v>
      </c>
      <c r="AE54" s="63">
        <f>SUM('Additional 25K H_EX'!U54+'25K TPP EX'!U54+'10% Non-Homestead'!U54+'Portability Impact'!U54)</f>
        <v>7957755439</v>
      </c>
      <c r="AF54" s="85">
        <f t="shared" si="11"/>
        <v>6.3620690426115442E-2</v>
      </c>
      <c r="AG54" s="92">
        <v>124269694034</v>
      </c>
      <c r="AH54" s="63">
        <f>SUM('Additional 25K H_EX'!W54+'25K TPP EX'!W54+'10% Non-Homestead'!W54+'Portability Impact'!W54)</f>
        <v>8051848419</v>
      </c>
      <c r="AI54" s="85">
        <f t="shared" si="12"/>
        <v>6.4793339048513518E-2</v>
      </c>
      <c r="AJ54" s="92">
        <v>126689627282</v>
      </c>
      <c r="AK54" s="63">
        <f>SUM('Additional 25K H_EX'!Y54+'25K TPP EX'!Y54+'10% Non-Homestead'!Y54+'Portability Impact'!Y54)</f>
        <v>8112378685</v>
      </c>
      <c r="AL54" s="85">
        <f t="shared" si="13"/>
        <v>6.4033487658327046E-2</v>
      </c>
      <c r="AM54" s="92">
        <v>139982154230</v>
      </c>
      <c r="AN54" s="63">
        <f>SUM('Additional 25K H_EX'!AA54+'25K TPP EX'!AA54+'10% Non-Homestead'!AA54+'Portability Impact'!AA54)</f>
        <v>8717344660</v>
      </c>
      <c r="AO54" s="85">
        <f t="shared" si="5"/>
        <v>6.2274685712271738E-2</v>
      </c>
      <c r="AP54" s="24"/>
      <c r="AQ54" s="24"/>
      <c r="AR54" s="24"/>
    </row>
    <row r="55" spans="1:44" ht="14.25" customHeight="1" x14ac:dyDescent="0.2">
      <c r="A55" s="84" t="s">
        <v>17</v>
      </c>
      <c r="B55" s="90" t="s">
        <v>132</v>
      </c>
      <c r="C55" s="92">
        <v>35037210444</v>
      </c>
      <c r="D55" s="63">
        <f>SUM('Additional 25K H_EX'!C55+'25K TPP EX'!C55+'10% Non-Homestead'!C55+'Portability Impact'!C55)</f>
        <v>4602156270</v>
      </c>
      <c r="E55" s="85">
        <f t="shared" si="6"/>
        <v>0.13135053309553937</v>
      </c>
      <c r="F55" s="92">
        <v>31741576377</v>
      </c>
      <c r="G55" s="63">
        <f>SUM('Additional 25K H_EX'!E55+'25K TPP EX'!E55+'10% Non-Homestead'!E55+'Portability Impact'!E55)</f>
        <v>3886382420</v>
      </c>
      <c r="H55" s="85">
        <f t="shared" si="7"/>
        <v>0.12243822971615484</v>
      </c>
      <c r="I55" s="92">
        <v>29384298466</v>
      </c>
      <c r="J55" s="63">
        <f>SUM('Additional 25K H_EX'!G55+'25K TPP EX'!G55+'10% Non-Homestead'!G55+'Portability Impact'!G55)</f>
        <v>3733409665</v>
      </c>
      <c r="K55" s="85">
        <f t="shared" si="8"/>
        <v>0.12705457880234425</v>
      </c>
      <c r="L55" s="92">
        <v>26992463495</v>
      </c>
      <c r="M55" s="63">
        <f>SUM('Additional 25K H_EX'!I55+'25K TPP EX'!I55+'10% Non-Homestead'!I55+'Portability Impact'!I55)</f>
        <v>3462737127</v>
      </c>
      <c r="N55" s="85">
        <f t="shared" si="0"/>
        <v>0.12828533148304255</v>
      </c>
      <c r="O55" s="92">
        <v>24661849333</v>
      </c>
      <c r="P55" s="63">
        <f>SUM('Additional 25K H_EX'!K55+'25K TPP EX'!K55+'10% Non-Homestead'!K55+'Portability Impact'!K55)</f>
        <v>2921353582</v>
      </c>
      <c r="Q55" s="85">
        <f t="shared" si="1"/>
        <v>0.11845638753825891</v>
      </c>
      <c r="R55" s="92">
        <v>22922238425</v>
      </c>
      <c r="S55" s="63">
        <f>SUM('Additional 25K H_EX'!M55+'25K TPP EX'!M55+'10% Non-Homestead'!M55+'Portability Impact'!M55)</f>
        <v>2589131620</v>
      </c>
      <c r="T55" s="85">
        <f t="shared" si="2"/>
        <v>0.11295282650826018</v>
      </c>
      <c r="U55" s="92">
        <v>21438598644</v>
      </c>
      <c r="V55" s="63">
        <f>SUM('Additional 25K H_EX'!O55+'25K TPP EX'!O55+'10% Non-Homestead'!O55+'Portability Impact'!O55)</f>
        <v>2403253541</v>
      </c>
      <c r="W55" s="85">
        <f t="shared" si="3"/>
        <v>0.11209937649878045</v>
      </c>
      <c r="X55" s="92">
        <v>20369434833</v>
      </c>
      <c r="Y55" s="63">
        <f>SUM('Additional 25K H_EX'!Q55+'25K TPP EX'!Q55+'10% Non-Homestead'!Q55+'Portability Impact'!Q55)</f>
        <v>2339637959</v>
      </c>
      <c r="Z55" s="85">
        <f t="shared" si="9"/>
        <v>0.11486022946545441</v>
      </c>
      <c r="AA55" s="92">
        <v>19408523227</v>
      </c>
      <c r="AB55" s="63">
        <f>SUM('Additional 25K H_EX'!S55+'25K TPP EX'!S55+'10% Non-Homestead'!S55+'Portability Impact'!S55)</f>
        <v>2232294530</v>
      </c>
      <c r="AC55" s="85">
        <f t="shared" si="10"/>
        <v>0.11501619695075835</v>
      </c>
      <c r="AD55" s="92">
        <v>19238066148</v>
      </c>
      <c r="AE55" s="63">
        <f>SUM('Additional 25K H_EX'!U55+'25K TPP EX'!U55+'10% Non-Homestead'!U55+'Portability Impact'!U55)</f>
        <v>2239828914</v>
      </c>
      <c r="AF55" s="85">
        <f t="shared" si="11"/>
        <v>0.11642692653039109</v>
      </c>
      <c r="AG55" s="92">
        <v>20301341780</v>
      </c>
      <c r="AH55" s="63">
        <f>SUM('Additional 25K H_EX'!W55+'25K TPP EX'!W55+'10% Non-Homestead'!W55+'Portability Impact'!W55)</f>
        <v>2360965635</v>
      </c>
      <c r="AI55" s="85">
        <f t="shared" si="12"/>
        <v>0.11629603898033582</v>
      </c>
      <c r="AJ55" s="92">
        <v>20727430773</v>
      </c>
      <c r="AK55" s="63">
        <f>SUM('Additional 25K H_EX'!Y55+'25K TPP EX'!Y55+'10% Non-Homestead'!Y55+'Portability Impact'!Y55)</f>
        <v>2421342719</v>
      </c>
      <c r="AL55" s="85">
        <f t="shared" si="13"/>
        <v>0.11681827552665588</v>
      </c>
      <c r="AM55" s="92">
        <v>23127467176</v>
      </c>
      <c r="AN55" s="63">
        <f>SUM('Additional 25K H_EX'!AA55+'25K TPP EX'!AA55+'10% Non-Homestead'!AA55+'Portability Impact'!AA55)</f>
        <v>2568883969</v>
      </c>
      <c r="AO55" s="85">
        <f t="shared" si="5"/>
        <v>0.11107502388613487</v>
      </c>
      <c r="AP55" s="24"/>
      <c r="AQ55" s="24"/>
      <c r="AR55" s="24"/>
    </row>
    <row r="56" spans="1:44" ht="14.25" customHeight="1" x14ac:dyDescent="0.2">
      <c r="A56" s="84" t="s">
        <v>16</v>
      </c>
      <c r="B56" s="90" t="s">
        <v>132</v>
      </c>
      <c r="C56" s="92">
        <v>97996408346</v>
      </c>
      <c r="D56" s="63">
        <f>SUM('Additional 25K H_EX'!C56+'25K TPP EX'!C56+'10% Non-Homestead'!C56+'Portability Impact'!C56)</f>
        <v>10037076281</v>
      </c>
      <c r="E56" s="85">
        <f t="shared" si="6"/>
        <v>0.10242289947567952</v>
      </c>
      <c r="F56" s="92">
        <v>91725856109</v>
      </c>
      <c r="G56" s="63">
        <f>SUM('Additional 25K H_EX'!E56+'25K TPP EX'!E56+'10% Non-Homestead'!E56+'Portability Impact'!E56)</f>
        <v>9056172321</v>
      </c>
      <c r="H56" s="85">
        <f t="shared" si="7"/>
        <v>9.8730856327340646E-2</v>
      </c>
      <c r="I56" s="92">
        <v>85468863997</v>
      </c>
      <c r="J56" s="63">
        <f>SUM('Additional 25K H_EX'!G56+'25K TPP EX'!G56+'10% Non-Homestead'!G56+'Portability Impact'!G56)</f>
        <v>8733832279</v>
      </c>
      <c r="K56" s="85">
        <f t="shared" si="8"/>
        <v>0.10218729804700062</v>
      </c>
      <c r="L56" s="92">
        <v>79376212411</v>
      </c>
      <c r="M56" s="63">
        <f>SUM('Additional 25K H_EX'!I56+'25K TPP EX'!I56+'10% Non-Homestead'!I56+'Portability Impact'!I56)</f>
        <v>8293062783</v>
      </c>
      <c r="N56" s="85">
        <f t="shared" si="0"/>
        <v>0.1044779352793954</v>
      </c>
      <c r="O56" s="92">
        <v>73503171055</v>
      </c>
      <c r="P56" s="63">
        <f>SUM('Additional 25K H_EX'!K56+'25K TPP EX'!K56+'10% Non-Homestead'!K56+'Portability Impact'!K56)</f>
        <v>7742405464</v>
      </c>
      <c r="Q56" s="85">
        <f t="shared" si="1"/>
        <v>0.10533430534863066</v>
      </c>
      <c r="R56" s="92">
        <v>68171229061</v>
      </c>
      <c r="S56" s="63">
        <f>SUM('Additional 25K H_EX'!M56+'25K TPP EX'!M56+'10% Non-Homestead'!M56+'Portability Impact'!M56)</f>
        <v>7132585808</v>
      </c>
      <c r="T56" s="85">
        <f t="shared" si="2"/>
        <v>0.1046275079127255</v>
      </c>
      <c r="U56" s="92">
        <v>63599221882</v>
      </c>
      <c r="V56" s="63">
        <f>SUM('Additional 25K H_EX'!O56+'25K TPP EX'!O56+'10% Non-Homestead'!O56+'Portability Impact'!O56)</f>
        <v>6658682989</v>
      </c>
      <c r="W56" s="85">
        <f t="shared" si="3"/>
        <v>0.10469755434043378</v>
      </c>
      <c r="X56" s="92">
        <v>59650849843</v>
      </c>
      <c r="Y56" s="63">
        <f>SUM('Additional 25K H_EX'!Q56+'25K TPP EX'!Q56+'10% Non-Homestead'!Q56+'Portability Impact'!Q56)</f>
        <v>5951125220</v>
      </c>
      <c r="Z56" s="85">
        <f t="shared" si="9"/>
        <v>9.9765975433095386E-2</v>
      </c>
      <c r="AA56" s="92">
        <v>56092698300</v>
      </c>
      <c r="AB56" s="63">
        <f>SUM('Additional 25K H_EX'!S56+'25K TPP EX'!S56+'10% Non-Homestead'!S56+'Portability Impact'!S56)</f>
        <v>5103848439</v>
      </c>
      <c r="AC56" s="85">
        <f t="shared" si="10"/>
        <v>9.0989533284762655E-2</v>
      </c>
      <c r="AD56" s="92">
        <v>54350309869</v>
      </c>
      <c r="AE56" s="63">
        <f>SUM('Additional 25K H_EX'!U56+'25K TPP EX'!U56+'10% Non-Homestead'!U56+'Portability Impact'!U56)</f>
        <v>4863395358</v>
      </c>
      <c r="AF56" s="85">
        <f t="shared" si="11"/>
        <v>8.9482385099959733E-2</v>
      </c>
      <c r="AG56" s="92">
        <v>55437302023</v>
      </c>
      <c r="AH56" s="63">
        <f>SUM('Additional 25K H_EX'!W56+'25K TPP EX'!W56+'10% Non-Homestead'!W56+'Portability Impact'!W56)</f>
        <v>5094341073</v>
      </c>
      <c r="AI56" s="85">
        <f t="shared" si="12"/>
        <v>9.1893740984841654E-2</v>
      </c>
      <c r="AJ56" s="92">
        <v>58203688479</v>
      </c>
      <c r="AK56" s="63">
        <f>SUM('Additional 25K H_EX'!Y56+'25K TPP EX'!Y56+'10% Non-Homestead'!Y56+'Portability Impact'!Y56)</f>
        <v>5259380083</v>
      </c>
      <c r="AL56" s="85">
        <f t="shared" si="13"/>
        <v>9.0361628625952012E-2</v>
      </c>
      <c r="AM56" s="92">
        <v>64553359536</v>
      </c>
      <c r="AN56" s="63">
        <f>SUM('Additional 25K H_EX'!AA56+'25K TPP EX'!AA56+'10% Non-Homestead'!AA56+'Portability Impact'!AA56)</f>
        <v>5542403552</v>
      </c>
      <c r="AO56" s="85">
        <f t="shared" si="5"/>
        <v>8.5857708906832683E-2</v>
      </c>
      <c r="AP56" s="24"/>
      <c r="AQ56" s="24"/>
      <c r="AR56" s="24"/>
    </row>
    <row r="57" spans="1:44" ht="14.25" customHeight="1" x14ac:dyDescent="0.2">
      <c r="A57" s="84" t="s">
        <v>15</v>
      </c>
      <c r="B57" s="90" t="s">
        <v>132</v>
      </c>
      <c r="C57" s="92">
        <v>43874946138</v>
      </c>
      <c r="D57" s="63">
        <f>SUM('Additional 25K H_EX'!C57+'25K TPP EX'!C57+'10% Non-Homestead'!C57+'Portability Impact'!C57)</f>
        <v>5141476777</v>
      </c>
      <c r="E57" s="85">
        <f t="shared" si="6"/>
        <v>0.11718479974490448</v>
      </c>
      <c r="F57" s="92">
        <v>40139110407</v>
      </c>
      <c r="G57" s="63">
        <f>SUM('Additional 25K H_EX'!E57+'25K TPP EX'!E57+'10% Non-Homestead'!E57+'Portability Impact'!E57)</f>
        <v>5077778515</v>
      </c>
      <c r="H57" s="85">
        <f t="shared" si="7"/>
        <v>0.12650451052633366</v>
      </c>
      <c r="I57" s="92">
        <v>36906556772</v>
      </c>
      <c r="J57" s="63">
        <f>SUM('Additional 25K H_EX'!G57+'25K TPP EX'!G57+'10% Non-Homestead'!G57+'Portability Impact'!G57)</f>
        <v>4415595335</v>
      </c>
      <c r="K57" s="85">
        <f t="shared" si="8"/>
        <v>0.11964257089271443</v>
      </c>
      <c r="L57" s="92">
        <v>34257761296</v>
      </c>
      <c r="M57" s="63">
        <f>SUM('Additional 25K H_EX'!I57+'25K TPP EX'!I57+'10% Non-Homestead'!I57+'Portability Impact'!I57)</f>
        <v>4063948915</v>
      </c>
      <c r="N57" s="85">
        <f t="shared" si="0"/>
        <v>0.11862856068982285</v>
      </c>
      <c r="O57" s="92">
        <v>31378799866</v>
      </c>
      <c r="P57" s="63">
        <f>SUM('Additional 25K H_EX'!K57+'25K TPP EX'!K57+'10% Non-Homestead'!K57+'Portability Impact'!K57)</f>
        <v>3532706604</v>
      </c>
      <c r="Q57" s="85">
        <f t="shared" si="1"/>
        <v>0.11258259140203154</v>
      </c>
      <c r="R57" s="92">
        <v>28526350912</v>
      </c>
      <c r="S57" s="63">
        <f>SUM('Additional 25K H_EX'!M57+'25K TPP EX'!M57+'10% Non-Homestead'!M57+'Portability Impact'!M57)</f>
        <v>3130622856</v>
      </c>
      <c r="T57" s="85">
        <f t="shared" si="2"/>
        <v>0.10974494654635482</v>
      </c>
      <c r="U57" s="92">
        <v>26860672358</v>
      </c>
      <c r="V57" s="63">
        <f>SUM('Additional 25K H_EX'!O57+'25K TPP EX'!O57+'10% Non-Homestead'!O57+'Portability Impact'!O57)</f>
        <v>2940062604</v>
      </c>
      <c r="W57" s="85">
        <f t="shared" si="3"/>
        <v>0.10945603165902702</v>
      </c>
      <c r="X57" s="92">
        <v>25378528904</v>
      </c>
      <c r="Y57" s="63">
        <f>SUM('Additional 25K H_EX'!Q57+'25K TPP EX'!Q57+'10% Non-Homestead'!Q57+'Portability Impact'!Q57)</f>
        <v>2957696125</v>
      </c>
      <c r="Z57" s="85">
        <f t="shared" si="9"/>
        <v>0.11654324552018565</v>
      </c>
      <c r="AA57" s="92">
        <v>24114416311</v>
      </c>
      <c r="AB57" s="63">
        <f>SUM('Additional 25K H_EX'!S57+'25K TPP EX'!S57+'10% Non-Homestead'!S57+'Portability Impact'!S57)</f>
        <v>2722613998</v>
      </c>
      <c r="AC57" s="85">
        <f t="shared" si="10"/>
        <v>0.11290399746304687</v>
      </c>
      <c r="AD57" s="92">
        <v>23218187817</v>
      </c>
      <c r="AE57" s="63">
        <f>SUM('Additional 25K H_EX'!U57+'25K TPP EX'!U57+'10% Non-Homestead'!U57+'Portability Impact'!U57)</f>
        <v>2489772013</v>
      </c>
      <c r="AF57" s="85">
        <f t="shared" si="11"/>
        <v>0.10723369250967241</v>
      </c>
      <c r="AG57" s="92">
        <v>24408036251</v>
      </c>
      <c r="AH57" s="63">
        <f>SUM('Additional 25K H_EX'!W57+'25K TPP EX'!W57+'10% Non-Homestead'!W57+'Portability Impact'!W57)</f>
        <v>2445876248</v>
      </c>
      <c r="AI57" s="85">
        <f t="shared" si="12"/>
        <v>0.10020782593273116</v>
      </c>
      <c r="AJ57" s="92">
        <v>26042396666</v>
      </c>
      <c r="AK57" s="63">
        <f>SUM('Additional 25K H_EX'!Y57+'25K TPP EX'!Y57+'10% Non-Homestead'!Y57+'Portability Impact'!Y57)</f>
        <v>2634157467</v>
      </c>
      <c r="AL57" s="85">
        <f t="shared" si="13"/>
        <v>0.10114881133191016</v>
      </c>
      <c r="AM57" s="92">
        <v>30383290356</v>
      </c>
      <c r="AN57" s="63">
        <f>SUM('Additional 25K H_EX'!AA57+'25K TPP EX'!AA57+'10% Non-Homestead'!AA57+'Portability Impact'!AA57)</f>
        <v>2782407350</v>
      </c>
      <c r="AO57" s="85">
        <f t="shared" si="5"/>
        <v>9.1576893660911179E-2</v>
      </c>
      <c r="AP57" s="24"/>
      <c r="AQ57" s="24"/>
      <c r="AR57" s="24"/>
    </row>
    <row r="58" spans="1:44" ht="14.25" customHeight="1" x14ac:dyDescent="0.2">
      <c r="A58" s="84" t="s">
        <v>14</v>
      </c>
      <c r="B58" s="90" t="s">
        <v>132</v>
      </c>
      <c r="C58" s="92">
        <v>4893683399</v>
      </c>
      <c r="D58" s="63">
        <f>SUM('Additional 25K H_EX'!C58+'25K TPP EX'!C58+'10% Non-Homestead'!C58+'Portability Impact'!C58)</f>
        <v>416784372</v>
      </c>
      <c r="E58" s="85">
        <f t="shared" si="6"/>
        <v>8.5167825136617512E-2</v>
      </c>
      <c r="F58" s="92">
        <v>4606391607</v>
      </c>
      <c r="G58" s="63">
        <f>SUM('Additional 25K H_EX'!E58+'25K TPP EX'!E58+'10% Non-Homestead'!E58+'Portability Impact'!E58)</f>
        <v>370453557</v>
      </c>
      <c r="H58" s="85">
        <f t="shared" si="7"/>
        <v>8.0421637716829919E-2</v>
      </c>
      <c r="I58" s="92">
        <v>3920961845</v>
      </c>
      <c r="J58" s="63">
        <f>SUM('Additional 25K H_EX'!G58+'25K TPP EX'!G58+'10% Non-Homestead'!G58+'Portability Impact'!G58)</f>
        <v>355918820</v>
      </c>
      <c r="K58" s="85">
        <f t="shared" si="8"/>
        <v>9.0773344416464216E-2</v>
      </c>
      <c r="L58" s="92">
        <v>3740316375</v>
      </c>
      <c r="M58" s="63">
        <f>SUM('Additional 25K H_EX'!I58+'25K TPP EX'!I58+'10% Non-Homestead'!I58+'Portability Impact'!I58)</f>
        <v>325770821</v>
      </c>
      <c r="N58" s="85">
        <f t="shared" si="0"/>
        <v>8.70971298517495E-2</v>
      </c>
      <c r="O58" s="92">
        <v>3510663594</v>
      </c>
      <c r="P58" s="63">
        <f>SUM('Additional 25K H_EX'!K58+'25K TPP EX'!K58+'10% Non-Homestead'!K58+'Portability Impact'!K58)</f>
        <v>305993217</v>
      </c>
      <c r="Q58" s="85">
        <f t="shared" si="1"/>
        <v>8.7161076191682521E-2</v>
      </c>
      <c r="R58" s="92">
        <v>3382856541</v>
      </c>
      <c r="S58" s="63">
        <f>SUM('Additional 25K H_EX'!M58+'25K TPP EX'!M58+'10% Non-Homestead'!M58+'Portability Impact'!M58)</f>
        <v>267919138</v>
      </c>
      <c r="T58" s="85">
        <f t="shared" si="2"/>
        <v>7.9199083600749121E-2</v>
      </c>
      <c r="U58" s="92">
        <v>3361381529</v>
      </c>
      <c r="V58" s="63">
        <f>SUM('Additional 25K H_EX'!O58+'25K TPP EX'!O58+'10% Non-Homestead'!O58+'Portability Impact'!O58)</f>
        <v>258474798</v>
      </c>
      <c r="W58" s="85">
        <f t="shared" si="3"/>
        <v>7.6895406180474676E-2</v>
      </c>
      <c r="X58" s="92">
        <v>3401359340</v>
      </c>
      <c r="Y58" s="63">
        <f>SUM('Additional 25K H_EX'!Q58+'25K TPP EX'!Q58+'10% Non-Homestead'!Q58+'Portability Impact'!Q58)</f>
        <v>264937505</v>
      </c>
      <c r="Z58" s="85">
        <f t="shared" si="9"/>
        <v>7.7891654046761197E-2</v>
      </c>
      <c r="AA58" s="92">
        <v>3366996783</v>
      </c>
      <c r="AB58" s="63">
        <f>SUM('Additional 25K H_EX'!S58+'25K TPP EX'!S58+'10% Non-Homestead'!S58+'Portability Impact'!S58)</f>
        <v>273972138</v>
      </c>
      <c r="AC58" s="85">
        <f t="shared" si="10"/>
        <v>8.1369884100658499E-2</v>
      </c>
      <c r="AD58" s="92">
        <v>3287457760</v>
      </c>
      <c r="AE58" s="63">
        <f>SUM('Additional 25K H_EX'!U58+'25K TPP EX'!U58+'10% Non-Homestead'!U58+'Portability Impact'!U58)</f>
        <v>268037023</v>
      </c>
      <c r="AF58" s="85">
        <f t="shared" si="11"/>
        <v>8.1533221889974944E-2</v>
      </c>
      <c r="AG58" s="92">
        <v>3486180822</v>
      </c>
      <c r="AH58" s="63">
        <f>SUM('Additional 25K H_EX'!W58+'25K TPP EX'!W58+'10% Non-Homestead'!W58+'Portability Impact'!W58)</f>
        <v>281969597</v>
      </c>
      <c r="AI58" s="85">
        <f t="shared" si="12"/>
        <v>8.0882091720714533E-2</v>
      </c>
      <c r="AJ58" s="92">
        <v>3718247933</v>
      </c>
      <c r="AK58" s="63">
        <f>SUM('Additional 25K H_EX'!Y58+'25K TPP EX'!Y58+'10% Non-Homestead'!Y58+'Portability Impact'!Y58)</f>
        <v>286194770</v>
      </c>
      <c r="AL58" s="85">
        <f t="shared" si="13"/>
        <v>7.6970329885745148E-2</v>
      </c>
      <c r="AM58" s="92">
        <v>3945688030</v>
      </c>
      <c r="AN58" s="63">
        <f>SUM('Additional 25K H_EX'!AA58+'25K TPP EX'!AA58+'10% Non-Homestead'!AA58+'Portability Impact'!AA58)</f>
        <v>283424495</v>
      </c>
      <c r="AO58" s="85">
        <f t="shared" si="5"/>
        <v>7.1831450648164902E-2</v>
      </c>
      <c r="AP58" s="24"/>
      <c r="AQ58" s="24"/>
      <c r="AR58" s="24"/>
    </row>
    <row r="59" spans="1:44" ht="14.25" customHeight="1" x14ac:dyDescent="0.2">
      <c r="A59" s="84" t="s">
        <v>13</v>
      </c>
      <c r="B59" s="90" t="s">
        <v>132</v>
      </c>
      <c r="C59" s="92">
        <v>34682973006</v>
      </c>
      <c r="D59" s="63">
        <f>SUM('Additional 25K H_EX'!C59+'25K TPP EX'!C59+'10% Non-Homestead'!C59+'Portability Impact'!C59)</f>
        <v>2889994748</v>
      </c>
      <c r="E59" s="85">
        <f t="shared" si="6"/>
        <v>8.3326038615549006E-2</v>
      </c>
      <c r="F59" s="92">
        <v>31678049213</v>
      </c>
      <c r="G59" s="63">
        <f>SUM('Additional 25K H_EX'!E59+'25K TPP EX'!E59+'10% Non-Homestead'!E59+'Portability Impact'!E59)</f>
        <v>2873533096</v>
      </c>
      <c r="H59" s="85">
        <f t="shared" si="7"/>
        <v>9.0710544600731371E-2</v>
      </c>
      <c r="I59" s="92">
        <v>28491696582</v>
      </c>
      <c r="J59" s="63">
        <f>SUM('Additional 25K H_EX'!G59+'25K TPP EX'!G59+'10% Non-Homestead'!G59+'Portability Impact'!G59)</f>
        <v>2663629785</v>
      </c>
      <c r="K59" s="85">
        <f t="shared" si="8"/>
        <v>9.34879317324607E-2</v>
      </c>
      <c r="L59" s="92">
        <v>25970971427</v>
      </c>
      <c r="M59" s="63">
        <f>SUM('Additional 25K H_EX'!I59+'25K TPP EX'!I59+'10% Non-Homestead'!I59+'Portability Impact'!I59)</f>
        <v>2328884803</v>
      </c>
      <c r="N59" s="85">
        <f t="shared" si="0"/>
        <v>8.9672610419910578E-2</v>
      </c>
      <c r="O59" s="92">
        <v>23868677415</v>
      </c>
      <c r="P59" s="63">
        <f>SUM('Additional 25K H_EX'!K59+'25K TPP EX'!K59+'10% Non-Homestead'!K59+'Portability Impact'!K59)</f>
        <v>2109938501</v>
      </c>
      <c r="Q59" s="85">
        <f t="shared" si="1"/>
        <v>8.8397797008812604E-2</v>
      </c>
      <c r="R59" s="92">
        <v>22065974488</v>
      </c>
      <c r="S59" s="63">
        <f>SUM('Additional 25K H_EX'!M59+'25K TPP EX'!M59+'10% Non-Homestead'!M59+'Portability Impact'!M59)</f>
        <v>2087130950</v>
      </c>
      <c r="T59" s="85">
        <f t="shared" si="2"/>
        <v>9.4585940500159255E-2</v>
      </c>
      <c r="U59" s="92">
        <v>20260072489</v>
      </c>
      <c r="V59" s="63">
        <f>SUM('Additional 25K H_EX'!O59+'25K TPP EX'!O59+'10% Non-Homestead'!O59+'Portability Impact'!O59)</f>
        <v>1958357156</v>
      </c>
      <c r="W59" s="85">
        <f t="shared" si="3"/>
        <v>9.6660915555127958E-2</v>
      </c>
      <c r="X59" s="92">
        <v>18579070295</v>
      </c>
      <c r="Y59" s="63">
        <f>SUM('Additional 25K H_EX'!Q59+'25K TPP EX'!Q59+'10% Non-Homestead'!Q59+'Portability Impact'!Q59)</f>
        <v>1550300212</v>
      </c>
      <c r="Z59" s="85">
        <f t="shared" si="9"/>
        <v>8.3443368660767528E-2</v>
      </c>
      <c r="AA59" s="92">
        <v>17495241925</v>
      </c>
      <c r="AB59" s="63">
        <f>SUM('Additional 25K H_EX'!S59+'25K TPP EX'!S59+'10% Non-Homestead'!S59+'Portability Impact'!S59)</f>
        <v>1428485845</v>
      </c>
      <c r="AC59" s="85">
        <f t="shared" si="10"/>
        <v>8.1649962379699986E-2</v>
      </c>
      <c r="AD59" s="92">
        <v>17007614723</v>
      </c>
      <c r="AE59" s="63">
        <f>SUM('Additional 25K H_EX'!U59+'25K TPP EX'!U59+'10% Non-Homestead'!U59+'Portability Impact'!U59)</f>
        <v>1320098692</v>
      </c>
      <c r="AF59" s="85">
        <f t="shared" si="11"/>
        <v>7.7618097158256044E-2</v>
      </c>
      <c r="AG59" s="92">
        <v>17442293649</v>
      </c>
      <c r="AH59" s="63">
        <f>SUM('Additional 25K H_EX'!W59+'25K TPP EX'!W59+'10% Non-Homestead'!W59+'Portability Impact'!W59)</f>
        <v>1328969082</v>
      </c>
      <c r="AI59" s="85">
        <f t="shared" si="12"/>
        <v>7.6192335064614189E-2</v>
      </c>
      <c r="AJ59" s="92">
        <v>18351954438</v>
      </c>
      <c r="AK59" s="63">
        <f>SUM('Additional 25K H_EX'!Y59+'25K TPP EX'!Y59+'10% Non-Homestead'!Y59+'Portability Impact'!Y59)</f>
        <v>1342402309</v>
      </c>
      <c r="AL59" s="85">
        <f t="shared" si="13"/>
        <v>7.3147648308258081E-2</v>
      </c>
      <c r="AM59" s="92">
        <v>20439165476</v>
      </c>
      <c r="AN59" s="63">
        <f>SUM('Additional 25K H_EX'!AA59+'25K TPP EX'!AA59+'10% Non-Homestead'!AA59+'Portability Impact'!AA59)</f>
        <v>1354887966</v>
      </c>
      <c r="AO59" s="85">
        <f t="shared" si="5"/>
        <v>6.628881045025696E-2</v>
      </c>
      <c r="AP59" s="24"/>
      <c r="AQ59" s="24"/>
      <c r="AR59" s="24"/>
    </row>
    <row r="60" spans="1:44" ht="14.25" customHeight="1" x14ac:dyDescent="0.2">
      <c r="A60" s="84" t="s">
        <v>12</v>
      </c>
      <c r="B60" s="90" t="s">
        <v>132</v>
      </c>
      <c r="C60" s="92">
        <v>25674989051</v>
      </c>
      <c r="D60" s="63">
        <f>SUM('Additional 25K H_EX'!C60+'25K TPP EX'!C60+'10% Non-Homestead'!C60+'Portability Impact'!C60)</f>
        <v>3503914728</v>
      </c>
      <c r="E60" s="85">
        <f t="shared" si="6"/>
        <v>0.13647190738971426</v>
      </c>
      <c r="F60" s="92">
        <v>23470432330</v>
      </c>
      <c r="G60" s="63">
        <f>SUM('Additional 25K H_EX'!E60+'25K TPP EX'!E60+'10% Non-Homestead'!E60+'Portability Impact'!E60)</f>
        <v>3021307699</v>
      </c>
      <c r="H60" s="85">
        <f t="shared" si="7"/>
        <v>0.12872825078463307</v>
      </c>
      <c r="I60" s="92">
        <v>22060213812</v>
      </c>
      <c r="J60" s="63">
        <f>SUM('Additional 25K H_EX'!G60+'25K TPP EX'!G60+'10% Non-Homestead'!G60+'Portability Impact'!G60)</f>
        <v>3121567223</v>
      </c>
      <c r="K60" s="85">
        <f t="shared" si="8"/>
        <v>0.14150212910910112</v>
      </c>
      <c r="L60" s="92">
        <v>20398038676</v>
      </c>
      <c r="M60" s="63">
        <f>SUM('Additional 25K H_EX'!I60+'25K TPP EX'!I60+'10% Non-Homestead'!I60+'Portability Impact'!I60)</f>
        <v>2935186427</v>
      </c>
      <c r="N60" s="85">
        <f t="shared" si="0"/>
        <v>0.1438955221931946</v>
      </c>
      <c r="O60" s="92">
        <v>18810646535</v>
      </c>
      <c r="P60" s="63">
        <f>SUM('Additional 25K H_EX'!K60+'25K TPP EX'!K60+'10% Non-Homestead'!K60+'Portability Impact'!K60)</f>
        <v>2679918196</v>
      </c>
      <c r="Q60" s="85">
        <f t="shared" si="1"/>
        <v>0.14246815977396707</v>
      </c>
      <c r="R60" s="92">
        <v>17529028758</v>
      </c>
      <c r="S60" s="63">
        <f>SUM('Additional 25K H_EX'!M60+'25K TPP EX'!M60+'10% Non-Homestead'!M60+'Portability Impact'!M60)</f>
        <v>2447412780</v>
      </c>
      <c r="T60" s="85">
        <f t="shared" si="2"/>
        <v>0.13962055820594371</v>
      </c>
      <c r="U60" s="92">
        <v>16263608260</v>
      </c>
      <c r="V60" s="63">
        <f>SUM('Additional 25K H_EX'!O60+'25K TPP EX'!O60+'10% Non-Homestead'!O60+'Portability Impact'!O60)</f>
        <v>1961650800</v>
      </c>
      <c r="W60" s="85">
        <f t="shared" si="3"/>
        <v>0.12061596471335569</v>
      </c>
      <c r="X60" s="92">
        <v>15599739461</v>
      </c>
      <c r="Y60" s="63">
        <f>SUM('Additional 25K H_EX'!Q60+'25K TPP EX'!Q60+'10% Non-Homestead'!Q60+'Portability Impact'!Q60)</f>
        <v>1680416451</v>
      </c>
      <c r="Z60" s="85">
        <f t="shared" si="9"/>
        <v>0.10772080233782823</v>
      </c>
      <c r="AA60" s="92">
        <v>15123381622</v>
      </c>
      <c r="AB60" s="63">
        <f>SUM('Additional 25K H_EX'!S60+'25K TPP EX'!S60+'10% Non-Homestead'!S60+'Portability Impact'!S60)</f>
        <v>1501751350</v>
      </c>
      <c r="AC60" s="85">
        <f t="shared" si="10"/>
        <v>9.9299970571092425E-2</v>
      </c>
      <c r="AD60" s="92">
        <v>14292317878</v>
      </c>
      <c r="AE60" s="63">
        <f>SUM('Additional 25K H_EX'!U60+'25K TPP EX'!U60+'10% Non-Homestead'!U60+'Portability Impact'!U60)</f>
        <v>1499320478</v>
      </c>
      <c r="AF60" s="85">
        <f t="shared" si="11"/>
        <v>0.10490394145990041</v>
      </c>
      <c r="AG60" s="92">
        <v>14529243377</v>
      </c>
      <c r="AH60" s="63">
        <f>SUM('Additional 25K H_EX'!W60+'25K TPP EX'!W60+'10% Non-Homestead'!W60+'Portability Impact'!W60)</f>
        <v>1532693350</v>
      </c>
      <c r="AI60" s="85">
        <f t="shared" si="12"/>
        <v>0.10549023856440284</v>
      </c>
      <c r="AJ60" s="92">
        <v>15013709614</v>
      </c>
      <c r="AK60" s="63">
        <f>SUM('Additional 25K H_EX'!Y60+'25K TPP EX'!Y60+'10% Non-Homestead'!Y60+'Portability Impact'!Y60)</f>
        <v>1475468277</v>
      </c>
      <c r="AL60" s="85">
        <f t="shared" si="13"/>
        <v>9.8274731224597137E-2</v>
      </c>
      <c r="AM60" s="92">
        <v>16850268512</v>
      </c>
      <c r="AN60" s="63">
        <f>SUM('Additional 25K H_EX'!AA60+'25K TPP EX'!AA60+'10% Non-Homestead'!AA60+'Portability Impact'!AA60)</f>
        <v>1556284679</v>
      </c>
      <c r="AO60" s="85">
        <f t="shared" si="5"/>
        <v>9.2359636755443064E-2</v>
      </c>
      <c r="AP60" s="24"/>
      <c r="AQ60" s="24"/>
      <c r="AR60" s="24"/>
    </row>
    <row r="61" spans="1:44" ht="14.25" customHeight="1" x14ac:dyDescent="0.2">
      <c r="A61" s="84" t="s">
        <v>11</v>
      </c>
      <c r="B61" s="90" t="s">
        <v>132</v>
      </c>
      <c r="C61" s="92">
        <v>12252049586</v>
      </c>
      <c r="D61" s="63">
        <f>SUM('Additional 25K H_EX'!C61+'25K TPP EX'!C61+'10% Non-Homestead'!C61+'Portability Impact'!C61)</f>
        <v>1431805027</v>
      </c>
      <c r="E61" s="85">
        <f t="shared" si="6"/>
        <v>0.11686249038985892</v>
      </c>
      <c r="F61" s="92">
        <v>11199709606</v>
      </c>
      <c r="G61" s="63">
        <f>SUM('Additional 25K H_EX'!E61+'25K TPP EX'!E61+'10% Non-Homestead'!E61+'Portability Impact'!E61)</f>
        <v>1269667144</v>
      </c>
      <c r="H61" s="85">
        <f t="shared" si="7"/>
        <v>0.11336607721684172</v>
      </c>
      <c r="I61" s="92">
        <v>10335758503</v>
      </c>
      <c r="J61" s="63">
        <f>SUM('Additional 25K H_EX'!G61+'25K TPP EX'!G61+'10% Non-Homestead'!G61+'Portability Impact'!G61)</f>
        <v>1206921939</v>
      </c>
      <c r="K61" s="85">
        <f t="shared" si="8"/>
        <v>0.1167714917729246</v>
      </c>
      <c r="L61" s="92">
        <v>9599013262</v>
      </c>
      <c r="M61" s="63">
        <f>SUM('Additional 25K H_EX'!I61+'25K TPP EX'!I61+'10% Non-Homestead'!I61+'Portability Impact'!I61)</f>
        <v>1105729861</v>
      </c>
      <c r="N61" s="85">
        <f t="shared" si="0"/>
        <v>0.11519203389136853</v>
      </c>
      <c r="O61" s="92">
        <v>8792096321</v>
      </c>
      <c r="P61" s="63">
        <f>SUM('Additional 25K H_EX'!K61+'25K TPP EX'!K61+'10% Non-Homestead'!K61+'Portability Impact'!K61)</f>
        <v>1039548082</v>
      </c>
      <c r="Q61" s="85">
        <f t="shared" si="1"/>
        <v>0.11823665756675461</v>
      </c>
      <c r="R61" s="92">
        <v>8377449251</v>
      </c>
      <c r="S61" s="63">
        <f>SUM('Additional 25K H_EX'!M61+'25K TPP EX'!M61+'10% Non-Homestead'!M61+'Portability Impact'!M61)</f>
        <v>1013173023</v>
      </c>
      <c r="T61" s="85">
        <f t="shared" si="2"/>
        <v>0.12094051454612625</v>
      </c>
      <c r="U61" s="92">
        <v>8059860390</v>
      </c>
      <c r="V61" s="63">
        <f>SUM('Additional 25K H_EX'!O61+'25K TPP EX'!O61+'10% Non-Homestead'!O61+'Portability Impact'!O61)</f>
        <v>992157359</v>
      </c>
      <c r="W61" s="85">
        <f t="shared" si="3"/>
        <v>0.12309857875838467</v>
      </c>
      <c r="X61" s="92">
        <v>7687642991</v>
      </c>
      <c r="Y61" s="63">
        <f>SUM('Additional 25K H_EX'!Q61+'25K TPP EX'!Q61+'10% Non-Homestead'!Q61+'Portability Impact'!Q61)</f>
        <v>932819057</v>
      </c>
      <c r="Z61" s="85">
        <f t="shared" si="9"/>
        <v>0.12134005937737491</v>
      </c>
      <c r="AA61" s="92">
        <v>7317239925</v>
      </c>
      <c r="AB61" s="63">
        <f>SUM('Additional 25K H_EX'!S61+'25K TPP EX'!S61+'10% Non-Homestead'!S61+'Portability Impact'!S61)</f>
        <v>892166984</v>
      </c>
      <c r="AC61" s="85">
        <f t="shared" si="10"/>
        <v>0.12192670913411384</v>
      </c>
      <c r="AD61" s="92">
        <v>7223612729</v>
      </c>
      <c r="AE61" s="63">
        <f>SUM('Additional 25K H_EX'!U61+'25K TPP EX'!U61+'10% Non-Homestead'!U61+'Portability Impact'!U61)</f>
        <v>889428073</v>
      </c>
      <c r="AF61" s="85">
        <f t="shared" si="11"/>
        <v>0.12312787331874696</v>
      </c>
      <c r="AG61" s="92">
        <v>7368960551</v>
      </c>
      <c r="AH61" s="63">
        <f>SUM('Additional 25K H_EX'!W61+'25K TPP EX'!W61+'10% Non-Homestead'!W61+'Portability Impact'!W61)</f>
        <v>903757183</v>
      </c>
      <c r="AI61" s="85">
        <f t="shared" si="12"/>
        <v>0.1226437808623302</v>
      </c>
      <c r="AJ61" s="92">
        <v>7567223011</v>
      </c>
      <c r="AK61" s="63">
        <f>SUM('Additional 25K H_EX'!Y61+'25K TPP EX'!Y61+'10% Non-Homestead'!Y61+'Portability Impact'!Y61)</f>
        <v>910400210</v>
      </c>
      <c r="AL61" s="85">
        <f t="shared" si="13"/>
        <v>0.12030836261553386</v>
      </c>
      <c r="AM61" s="92">
        <v>7976745407</v>
      </c>
      <c r="AN61" s="63">
        <f>SUM('Additional 25K H_EX'!AA61+'25K TPP EX'!AA61+'10% Non-Homestead'!AA61+'Portability Impact'!AA61)</f>
        <v>889108007</v>
      </c>
      <c r="AO61" s="85">
        <f t="shared" si="5"/>
        <v>0.11146250276707621</v>
      </c>
      <c r="AP61" s="24"/>
      <c r="AQ61" s="24"/>
      <c r="AR61" s="24"/>
    </row>
    <row r="62" spans="1:44" ht="14.25" customHeight="1" x14ac:dyDescent="0.2">
      <c r="A62" s="84" t="s">
        <v>10</v>
      </c>
      <c r="B62" s="90" t="s">
        <v>132</v>
      </c>
      <c r="C62" s="92">
        <v>70095387468</v>
      </c>
      <c r="D62" s="63">
        <f>SUM('Additional 25K H_EX'!C62+'25K TPP EX'!C62+'10% Non-Homestead'!C62+'Portability Impact'!C62)</f>
        <v>5762094920</v>
      </c>
      <c r="E62" s="85">
        <f t="shared" si="6"/>
        <v>8.2203624634081887E-2</v>
      </c>
      <c r="F62" s="92">
        <v>65215252984</v>
      </c>
      <c r="G62" s="63">
        <f>SUM('Additional 25K H_EX'!E62+'25K TPP EX'!E62+'10% Non-Homestead'!E62+'Portability Impact'!E62)</f>
        <v>5245551177</v>
      </c>
      <c r="H62" s="85">
        <f t="shared" si="7"/>
        <v>8.0434421963937644E-2</v>
      </c>
      <c r="I62" s="92">
        <v>62065075982</v>
      </c>
      <c r="J62" s="63">
        <f>SUM('Additional 25K H_EX'!G62+'25K TPP EX'!G62+'10% Non-Homestead'!G62+'Portability Impact'!G62)</f>
        <v>5012677143</v>
      </c>
      <c r="K62" s="85">
        <f t="shared" si="8"/>
        <v>8.076485952347448E-2</v>
      </c>
      <c r="L62" s="92">
        <v>58468090920</v>
      </c>
      <c r="M62" s="63">
        <f>SUM('Additional 25K H_EX'!I62+'25K TPP EX'!I62+'10% Non-Homestead'!I62+'Portability Impact'!I62)</f>
        <v>5266367761</v>
      </c>
      <c r="N62" s="85">
        <f t="shared" si="0"/>
        <v>9.0072510973648878E-2</v>
      </c>
      <c r="O62" s="92">
        <v>54532340040</v>
      </c>
      <c r="P62" s="63">
        <f>SUM('Additional 25K H_EX'!K62+'25K TPP EX'!K62+'10% Non-Homestead'!K62+'Portability Impact'!K62)</f>
        <v>5307955933</v>
      </c>
      <c r="Q62" s="85">
        <f t="shared" si="1"/>
        <v>9.7335928168616331E-2</v>
      </c>
      <c r="R62" s="92">
        <v>50408519249</v>
      </c>
      <c r="S62" s="63">
        <f>SUM('Additional 25K H_EX'!M62+'25K TPP EX'!M62+'10% Non-Homestead'!M62+'Portability Impact'!M62)</f>
        <v>5477346950</v>
      </c>
      <c r="T62" s="85">
        <f t="shared" si="2"/>
        <v>0.10865915189739796</v>
      </c>
      <c r="U62" s="92">
        <v>46522889939</v>
      </c>
      <c r="V62" s="63">
        <f>SUM('Additional 25K H_EX'!O62+'25K TPP EX'!O62+'10% Non-Homestead'!O62+'Portability Impact'!O62)</f>
        <v>4401813194</v>
      </c>
      <c r="W62" s="85">
        <f t="shared" si="3"/>
        <v>9.461607393202745E-2</v>
      </c>
      <c r="X62" s="92">
        <v>43389559693</v>
      </c>
      <c r="Y62" s="63">
        <f>SUM('Additional 25K H_EX'!Q62+'25K TPP EX'!Q62+'10% Non-Homestead'!Q62+'Portability Impact'!Q62)</f>
        <v>3702846131</v>
      </c>
      <c r="Z62" s="85">
        <f t="shared" si="9"/>
        <v>8.5339564568049239E-2</v>
      </c>
      <c r="AA62" s="92">
        <v>40698595333</v>
      </c>
      <c r="AB62" s="63">
        <f>SUM('Additional 25K H_EX'!S62+'25K TPP EX'!S62+'10% Non-Homestead'!S62+'Portability Impact'!S62)</f>
        <v>3070705512</v>
      </c>
      <c r="AC62" s="85">
        <f t="shared" si="10"/>
        <v>7.5449913857595793E-2</v>
      </c>
      <c r="AD62" s="92">
        <v>39071437942</v>
      </c>
      <c r="AE62" s="63">
        <f>SUM('Additional 25K H_EX'!U62+'25K TPP EX'!U62+'10% Non-Homestead'!U62+'Portability Impact'!U62)</f>
        <v>2814674979</v>
      </c>
      <c r="AF62" s="85">
        <f t="shared" si="11"/>
        <v>7.2039196079199161E-2</v>
      </c>
      <c r="AG62" s="92">
        <v>39486669958</v>
      </c>
      <c r="AH62" s="63">
        <f>SUM('Additional 25K H_EX'!W62+'25K TPP EX'!W62+'10% Non-Homestead'!W62+'Portability Impact'!W62)</f>
        <v>2665740752</v>
      </c>
      <c r="AI62" s="85">
        <f t="shared" si="12"/>
        <v>6.7509890168895359E-2</v>
      </c>
      <c r="AJ62" s="92">
        <v>42128065358</v>
      </c>
      <c r="AK62" s="63">
        <f>SUM('Additional 25K H_EX'!Y62+'25K TPP EX'!Y62+'10% Non-Homestead'!Y62+'Portability Impact'!Y62)</f>
        <v>2784851983</v>
      </c>
      <c r="AL62" s="85">
        <f t="shared" si="13"/>
        <v>6.6104435590255861E-2</v>
      </c>
      <c r="AM62" s="92">
        <v>46476195820</v>
      </c>
      <c r="AN62" s="63">
        <f>SUM('Additional 25K H_EX'!AA62+'25K TPP EX'!AA62+'10% Non-Homestead'!AA62+'Portability Impact'!AA62)</f>
        <v>2978182851</v>
      </c>
      <c r="AO62" s="85">
        <f t="shared" si="5"/>
        <v>6.4079746598330781E-2</v>
      </c>
      <c r="AP62" s="24"/>
      <c r="AQ62" s="24"/>
      <c r="AR62" s="24"/>
    </row>
    <row r="63" spans="1:44" ht="14.25" customHeight="1" x14ac:dyDescent="0.2">
      <c r="A63" s="84" t="s">
        <v>9</v>
      </c>
      <c r="B63" s="90" t="s">
        <v>132</v>
      </c>
      <c r="C63" s="92">
        <v>39999782608</v>
      </c>
      <c r="D63" s="63">
        <f>SUM('Additional 25K H_EX'!C63+'25K TPP EX'!C63+'10% Non-Homestead'!C63+'Portability Impact'!C63)</f>
        <v>3997633426</v>
      </c>
      <c r="E63" s="85">
        <f t="shared" si="6"/>
        <v>9.9941378811405565E-2</v>
      </c>
      <c r="F63" s="92">
        <v>37994757904</v>
      </c>
      <c r="G63" s="63">
        <f>SUM('Additional 25K H_EX'!E63+'25K TPP EX'!E63+'10% Non-Homestead'!E63+'Portability Impact'!E63)</f>
        <v>3830830152</v>
      </c>
      <c r="H63" s="85">
        <f t="shared" si="7"/>
        <v>0.10082522861914851</v>
      </c>
      <c r="I63" s="92">
        <v>35660398805</v>
      </c>
      <c r="J63" s="63">
        <f>SUM('Additional 25K H_EX'!G63+'25K TPP EX'!G63+'10% Non-Homestead'!G63+'Portability Impact'!G63)</f>
        <v>3856499610</v>
      </c>
      <c r="K63" s="85">
        <f t="shared" si="8"/>
        <v>0.10814516211914249</v>
      </c>
      <c r="L63" s="92">
        <v>32992717663</v>
      </c>
      <c r="M63" s="63">
        <f>SUM('Additional 25K H_EX'!I63+'25K TPP EX'!I63+'10% Non-Homestead'!I63+'Portability Impact'!I63)</f>
        <v>3620735028</v>
      </c>
      <c r="N63" s="85">
        <f t="shared" si="0"/>
        <v>0.10974346111719399</v>
      </c>
      <c r="O63" s="92">
        <v>30572694169</v>
      </c>
      <c r="P63" s="63">
        <f>SUM('Additional 25K H_EX'!K63+'25K TPP EX'!K63+'10% Non-Homestead'!K63+'Portability Impact'!K63)</f>
        <v>3481373963</v>
      </c>
      <c r="Q63" s="85">
        <f t="shared" si="1"/>
        <v>0.11387200433679909</v>
      </c>
      <c r="R63" s="92">
        <v>28539863025</v>
      </c>
      <c r="S63" s="63">
        <f>SUM('Additional 25K H_EX'!M63+'25K TPP EX'!M63+'10% Non-Homestead'!M63+'Portability Impact'!M63)</f>
        <v>3358420753</v>
      </c>
      <c r="T63" s="85">
        <f t="shared" si="2"/>
        <v>0.11767473270835714</v>
      </c>
      <c r="U63" s="92">
        <v>27067363033</v>
      </c>
      <c r="V63" s="63">
        <f>SUM('Additional 25K H_EX'!O63+'25K TPP EX'!O63+'10% Non-Homestead'!O63+'Portability Impact'!O63)</f>
        <v>3344759123</v>
      </c>
      <c r="W63" s="85">
        <f t="shared" si="3"/>
        <v>0.12357166521622867</v>
      </c>
      <c r="X63" s="92">
        <v>25604515399</v>
      </c>
      <c r="Y63" s="63">
        <f>SUM('Additional 25K H_EX'!Q63+'25K TPP EX'!Q63+'10% Non-Homestead'!Q63+'Portability Impact'!Q63)</f>
        <v>2712867985</v>
      </c>
      <c r="Z63" s="85">
        <f t="shared" si="9"/>
        <v>0.10595271742990897</v>
      </c>
      <c r="AA63" s="92">
        <v>24292150212</v>
      </c>
      <c r="AB63" s="63">
        <f>SUM('Additional 25K H_EX'!S63+'25K TPP EX'!S63+'10% Non-Homestead'!S63+'Portability Impact'!S63)</f>
        <v>2519188264</v>
      </c>
      <c r="AC63" s="85">
        <f t="shared" si="10"/>
        <v>0.10370379904680296</v>
      </c>
      <c r="AD63" s="92">
        <v>23594964485</v>
      </c>
      <c r="AE63" s="63">
        <f>SUM('Additional 25K H_EX'!U63+'25K TPP EX'!U63+'10% Non-Homestead'!U63+'Portability Impact'!U63)</f>
        <v>2513386348</v>
      </c>
      <c r="AF63" s="85">
        <f t="shared" si="11"/>
        <v>0.10652215007985422</v>
      </c>
      <c r="AG63" s="92">
        <v>23908105912</v>
      </c>
      <c r="AH63" s="63">
        <f>SUM('Additional 25K H_EX'!W63+'25K TPP EX'!W63+'10% Non-Homestead'!W63+'Portability Impact'!W63)</f>
        <v>2434876345</v>
      </c>
      <c r="AI63" s="85">
        <f t="shared" si="12"/>
        <v>0.10184313027398303</v>
      </c>
      <c r="AJ63" s="92">
        <v>25343264959</v>
      </c>
      <c r="AK63" s="63">
        <f>SUM('Additional 25K H_EX'!Y63+'25K TPP EX'!Y63+'10% Non-Homestead'!Y63+'Portability Impact'!Y63)</f>
        <v>2522161570</v>
      </c>
      <c r="AL63" s="85">
        <f t="shared" si="13"/>
        <v>9.9519993737204729E-2</v>
      </c>
      <c r="AM63" s="92">
        <v>28061917002</v>
      </c>
      <c r="AN63" s="63">
        <f>SUM('Additional 25K H_EX'!AA63+'25K TPP EX'!AA63+'10% Non-Homestead'!AA63+'Portability Impact'!AA63)</f>
        <v>2620363364</v>
      </c>
      <c r="AO63" s="85">
        <f t="shared" si="5"/>
        <v>9.3377917261078219E-2</v>
      </c>
      <c r="AP63" s="24"/>
      <c r="AQ63" s="24"/>
      <c r="AR63" s="24"/>
    </row>
    <row r="64" spans="1:44" ht="14.25" customHeight="1" x14ac:dyDescent="0.2">
      <c r="A64" s="84" t="s">
        <v>8</v>
      </c>
      <c r="B64" s="90" t="s">
        <v>132</v>
      </c>
      <c r="C64" s="92">
        <v>15282707094</v>
      </c>
      <c r="D64" s="63">
        <f>SUM('Additional 25K H_EX'!C64+'25K TPP EX'!C64+'10% Non-Homestead'!C64+'Portability Impact'!C64)</f>
        <v>1519347748</v>
      </c>
      <c r="E64" s="85">
        <f t="shared" si="6"/>
        <v>9.9416139997638042E-2</v>
      </c>
      <c r="F64" s="92">
        <v>14037632856</v>
      </c>
      <c r="G64" s="63">
        <f>SUM('Additional 25K H_EX'!E64+'25K TPP EX'!E64+'10% Non-Homestead'!E64+'Portability Impact'!E64)</f>
        <v>1449273166</v>
      </c>
      <c r="H64" s="85">
        <f t="shared" si="7"/>
        <v>0.10324199107262932</v>
      </c>
      <c r="I64" s="92">
        <v>12872649051</v>
      </c>
      <c r="J64" s="63">
        <f>SUM('Additional 25K H_EX'!G64+'25K TPP EX'!G64+'10% Non-Homestead'!G64+'Portability Impact'!G64)</f>
        <v>1505509796</v>
      </c>
      <c r="K64" s="85">
        <f t="shared" si="8"/>
        <v>0.11695415528189559</v>
      </c>
      <c r="L64" s="92">
        <v>11626353239</v>
      </c>
      <c r="M64" s="63">
        <f>SUM('Additional 25K H_EX'!I64+'25K TPP EX'!I64+'10% Non-Homestead'!I64+'Portability Impact'!I64)</f>
        <v>1152613841</v>
      </c>
      <c r="N64" s="85">
        <f t="shared" si="0"/>
        <v>9.9138037293896808E-2</v>
      </c>
      <c r="O64" s="92">
        <v>10846636976</v>
      </c>
      <c r="P64" s="63">
        <f>SUM('Additional 25K H_EX'!K64+'25K TPP EX'!K64+'10% Non-Homestead'!K64+'Portability Impact'!K64)</f>
        <v>1103833500</v>
      </c>
      <c r="Q64" s="85">
        <f t="shared" si="1"/>
        <v>0.10176734986543906</v>
      </c>
      <c r="R64" s="92">
        <v>10472329067</v>
      </c>
      <c r="S64" s="63">
        <f>SUM('Additional 25K H_EX'!M64+'25K TPP EX'!M64+'10% Non-Homestead'!M64+'Portability Impact'!M64)</f>
        <v>1038871338</v>
      </c>
      <c r="T64" s="85">
        <f t="shared" si="2"/>
        <v>9.920155596271811E-2</v>
      </c>
      <c r="U64" s="92">
        <v>9823187927</v>
      </c>
      <c r="V64" s="63">
        <f>SUM('Additional 25K H_EX'!O64+'25K TPP EX'!O64+'10% Non-Homestead'!O64+'Portability Impact'!O64)</f>
        <v>994990486</v>
      </c>
      <c r="W64" s="85">
        <f t="shared" si="3"/>
        <v>0.10128997769300235</v>
      </c>
      <c r="X64" s="92">
        <v>8904604049</v>
      </c>
      <c r="Y64" s="63">
        <f>SUM('Additional 25K H_EX'!Q64+'25K TPP EX'!Q64+'10% Non-Homestead'!Q64+'Portability Impact'!Q64)</f>
        <v>945740352</v>
      </c>
      <c r="Z64" s="85">
        <f t="shared" si="9"/>
        <v>0.10620801854813612</v>
      </c>
      <c r="AA64" s="92">
        <v>7718883374</v>
      </c>
      <c r="AB64" s="63">
        <f>SUM('Additional 25K H_EX'!S64+'25K TPP EX'!S64+'10% Non-Homestead'!S64+'Portability Impact'!S64)</f>
        <v>815344894</v>
      </c>
      <c r="AC64" s="85">
        <f t="shared" si="10"/>
        <v>0.10562990195529802</v>
      </c>
      <c r="AD64" s="92">
        <v>6994729733</v>
      </c>
      <c r="AE64" s="63">
        <f>SUM('Additional 25K H_EX'!U64+'25K TPP EX'!U64+'10% Non-Homestead'!U64+'Portability Impact'!U64)</f>
        <v>765518242</v>
      </c>
      <c r="AF64" s="85">
        <f t="shared" si="11"/>
        <v>0.10944214733392903</v>
      </c>
      <c r="AG64" s="92">
        <v>6613464309</v>
      </c>
      <c r="AH64" s="63">
        <f>SUM('Additional 25K H_EX'!W64+'25K TPP EX'!W64+'10% Non-Homestead'!W64+'Portability Impact'!W64)</f>
        <v>720376578</v>
      </c>
      <c r="AI64" s="85">
        <f t="shared" si="12"/>
        <v>0.1089257527283648</v>
      </c>
      <c r="AJ64" s="92">
        <v>6204583099</v>
      </c>
      <c r="AK64" s="63">
        <f>SUM('Additional 25K H_EX'!Y64+'25K TPP EX'!Y64+'10% Non-Homestead'!Y64+'Portability Impact'!Y64)</f>
        <v>678837772</v>
      </c>
      <c r="AL64" s="85">
        <f t="shared" si="13"/>
        <v>0.10940908698755426</v>
      </c>
      <c r="AM64" s="92">
        <v>6140196823</v>
      </c>
      <c r="AN64" s="63">
        <f>SUM('Additional 25K H_EX'!AA64+'25K TPP EX'!AA64+'10% Non-Homestead'!AA64+'Portability Impact'!AA64)</f>
        <v>639692462</v>
      </c>
      <c r="AO64" s="85">
        <f t="shared" si="5"/>
        <v>0.10418110045004335</v>
      </c>
      <c r="AP64" s="24"/>
      <c r="AQ64" s="24"/>
      <c r="AR64" s="24"/>
    </row>
    <row r="65" spans="1:44" ht="14.25" customHeight="1" x14ac:dyDescent="0.2">
      <c r="A65" s="84" t="s">
        <v>7</v>
      </c>
      <c r="B65" s="90" t="s">
        <v>133</v>
      </c>
      <c r="C65" s="92">
        <v>2105713749</v>
      </c>
      <c r="D65" s="63">
        <f>SUM('Additional 25K H_EX'!C65+'25K TPP EX'!C65+'10% Non-Homestead'!C65+'Portability Impact'!C65)</f>
        <v>203901506</v>
      </c>
      <c r="E65" s="85">
        <f t="shared" si="6"/>
        <v>9.6832490217073658E-2</v>
      </c>
      <c r="F65" s="92">
        <v>1990036815</v>
      </c>
      <c r="G65" s="63">
        <f>SUM('Additional 25K H_EX'!E65+'25K TPP EX'!E65+'10% Non-Homestead'!E65+'Portability Impact'!E65)</f>
        <v>178154957</v>
      </c>
      <c r="H65" s="85">
        <f t="shared" si="7"/>
        <v>8.9523447836315537E-2</v>
      </c>
      <c r="I65" s="92">
        <v>1960233919</v>
      </c>
      <c r="J65" s="63">
        <f>SUM('Additional 25K H_EX'!G65+'25K TPP EX'!G65+'10% Non-Homestead'!G65+'Portability Impact'!G65)</f>
        <v>166675037</v>
      </c>
      <c r="K65" s="85">
        <f t="shared" si="8"/>
        <v>8.5028136379268524E-2</v>
      </c>
      <c r="L65" s="92">
        <v>1919070452</v>
      </c>
      <c r="M65" s="63">
        <f>SUM('Additional 25K H_EX'!I65+'25K TPP EX'!I65+'10% Non-Homestead'!I65+'Portability Impact'!I65)</f>
        <v>166100320</v>
      </c>
      <c r="N65" s="85">
        <f t="shared" si="0"/>
        <v>8.6552486818237975E-2</v>
      </c>
      <c r="O65" s="92">
        <v>1692966356</v>
      </c>
      <c r="P65" s="63">
        <f>SUM('Additional 25K H_EX'!K65+'25K TPP EX'!K65+'10% Non-Homestead'!K65+'Portability Impact'!K65)</f>
        <v>159774937</v>
      </c>
      <c r="Q65" s="85">
        <f t="shared" si="1"/>
        <v>9.4375730760239626E-2</v>
      </c>
      <c r="R65" s="92">
        <v>1645838756</v>
      </c>
      <c r="S65" s="63">
        <f>SUM('Additional 25K H_EX'!M65+'25K TPP EX'!M65+'10% Non-Homestead'!M65+'Portability Impact'!M65)</f>
        <v>150004947</v>
      </c>
      <c r="T65" s="85">
        <f t="shared" si="2"/>
        <v>9.114194598538182E-2</v>
      </c>
      <c r="U65" s="92">
        <v>1582261775</v>
      </c>
      <c r="V65" s="63">
        <f>SUM('Additional 25K H_EX'!O65+'25K TPP EX'!O65+'10% Non-Homestead'!O65+'Portability Impact'!O65)</f>
        <v>145117479</v>
      </c>
      <c r="W65" s="85">
        <f t="shared" si="3"/>
        <v>9.1715215075583806E-2</v>
      </c>
      <c r="X65" s="92">
        <v>1475804901</v>
      </c>
      <c r="Y65" s="63">
        <f>SUM('Additional 25K H_EX'!Q65+'25K TPP EX'!Q65+'10% Non-Homestead'!Q65+'Portability Impact'!Q65)</f>
        <v>142299571</v>
      </c>
      <c r="Z65" s="85">
        <f t="shared" si="9"/>
        <v>9.642166854411334E-2</v>
      </c>
      <c r="AA65" s="92">
        <v>1475672908</v>
      </c>
      <c r="AB65" s="63">
        <f>SUM('Additional 25K H_EX'!S65+'25K TPP EX'!S65+'10% Non-Homestead'!S65+'Portability Impact'!S65)</f>
        <v>141506723</v>
      </c>
      <c r="AC65" s="85">
        <f t="shared" si="10"/>
        <v>9.5893014117732919E-2</v>
      </c>
      <c r="AD65" s="92">
        <v>1473682708</v>
      </c>
      <c r="AE65" s="63">
        <f>SUM('Additional 25K H_EX'!U65+'25K TPP EX'!U65+'10% Non-Homestead'!U65+'Portability Impact'!U65)</f>
        <v>140221154</v>
      </c>
      <c r="AF65" s="85">
        <f t="shared" si="11"/>
        <v>9.5150165798104758E-2</v>
      </c>
      <c r="AG65" s="92">
        <v>1476400450</v>
      </c>
      <c r="AH65" s="63">
        <f>SUM('Additional 25K H_EX'!W65+'25K TPP EX'!W65+'10% Non-Homestead'!W65+'Portability Impact'!W65)</f>
        <v>139849724</v>
      </c>
      <c r="AI65" s="85">
        <f t="shared" si="12"/>
        <v>9.4723436314314319E-2</v>
      </c>
      <c r="AJ65" s="92">
        <v>1476154996</v>
      </c>
      <c r="AK65" s="63">
        <f>SUM('Additional 25K H_EX'!Y65+'25K TPP EX'!Y65+'10% Non-Homestead'!Y65+'Portability Impact'!Y65)</f>
        <v>136466745</v>
      </c>
      <c r="AL65" s="85">
        <f t="shared" si="13"/>
        <v>9.2447436325988633E-2</v>
      </c>
      <c r="AM65" s="92">
        <v>1550306502</v>
      </c>
      <c r="AN65" s="63">
        <f>SUM('Additional 25K H_EX'!AA65+'25K TPP EX'!AA65+'10% Non-Homestead'!AA65+'Portability Impact'!AA65)</f>
        <v>146891253</v>
      </c>
      <c r="AO65" s="85">
        <f t="shared" si="5"/>
        <v>9.4749814188678408E-2</v>
      </c>
      <c r="AP65" s="24"/>
      <c r="AQ65" s="24"/>
      <c r="AR65" s="24"/>
    </row>
    <row r="66" spans="1:44" ht="14.25" customHeight="1" x14ac:dyDescent="0.2">
      <c r="A66" s="84" t="s">
        <v>6</v>
      </c>
      <c r="B66" s="90" t="s">
        <v>133</v>
      </c>
      <c r="C66" s="92">
        <v>1629157030</v>
      </c>
      <c r="D66" s="63">
        <f>SUM('Additional 25K H_EX'!C66+'25K TPP EX'!C66+'10% Non-Homestead'!C66+'Portability Impact'!C66)</f>
        <v>157990638</v>
      </c>
      <c r="E66" s="85">
        <f t="shared" si="6"/>
        <v>9.6976924317725227E-2</v>
      </c>
      <c r="F66" s="92">
        <v>1562290123</v>
      </c>
      <c r="G66" s="63">
        <f>SUM('Additional 25K H_EX'!E66+'25K TPP EX'!E66+'10% Non-Homestead'!E66+'Portability Impact'!E66)</f>
        <v>97493695</v>
      </c>
      <c r="H66" s="85">
        <f t="shared" si="7"/>
        <v>6.240434703177087E-2</v>
      </c>
      <c r="I66" s="92">
        <v>1412167112</v>
      </c>
      <c r="J66" s="63">
        <f>SUM('Additional 25K H_EX'!G66+'25K TPP EX'!G66+'10% Non-Homestead'!G66+'Portability Impact'!G66)</f>
        <v>102712668</v>
      </c>
      <c r="K66" s="85">
        <f t="shared" si="8"/>
        <v>7.273407454910337E-2</v>
      </c>
      <c r="L66" s="92">
        <v>1343335285</v>
      </c>
      <c r="M66" s="63">
        <f>SUM('Additional 25K H_EX'!I66+'25K TPP EX'!I66+'10% Non-Homestead'!I66+'Portability Impact'!I66)</f>
        <v>95644794</v>
      </c>
      <c r="N66" s="85">
        <f t="shared" si="0"/>
        <v>7.1199495068723667E-2</v>
      </c>
      <c r="O66" s="92">
        <v>1338398983</v>
      </c>
      <c r="P66" s="63">
        <f>SUM('Additional 25K H_EX'!K66+'25K TPP EX'!K66+'10% Non-Homestead'!K66+'Portability Impact'!K66)</f>
        <v>89170738</v>
      </c>
      <c r="Q66" s="85">
        <f t="shared" si="1"/>
        <v>6.6624929585739234E-2</v>
      </c>
      <c r="R66" s="92">
        <v>1293833190</v>
      </c>
      <c r="S66" s="63">
        <f>SUM('Additional 25K H_EX'!M66+'25K TPP EX'!M66+'10% Non-Homestead'!M66+'Portability Impact'!M66)</f>
        <v>87415123</v>
      </c>
      <c r="T66" s="85">
        <f t="shared" si="2"/>
        <v>6.7562900438502438E-2</v>
      </c>
      <c r="U66" s="92">
        <v>1326730675</v>
      </c>
      <c r="V66" s="63">
        <f>SUM('Additional 25K H_EX'!O66+'25K TPP EX'!O66+'10% Non-Homestead'!O66+'Portability Impact'!O66)</f>
        <v>80857968</v>
      </c>
      <c r="W66" s="85">
        <f t="shared" si="3"/>
        <v>6.0945276628958621E-2</v>
      </c>
      <c r="X66" s="92">
        <v>1265995431</v>
      </c>
      <c r="Y66" s="63">
        <f>SUM('Additional 25K H_EX'!Q66+'25K TPP EX'!Q66+'10% Non-Homestead'!Q66+'Portability Impact'!Q66)</f>
        <v>77100115</v>
      </c>
      <c r="Z66" s="85">
        <f t="shared" si="9"/>
        <v>6.0900784562152185E-2</v>
      </c>
      <c r="AA66" s="92">
        <v>1231720347</v>
      </c>
      <c r="AB66" s="63">
        <f>SUM('Additional 25K H_EX'!S66+'25K TPP EX'!S66+'10% Non-Homestead'!S66+'Portability Impact'!S66)</f>
        <v>76789780</v>
      </c>
      <c r="AC66" s="85">
        <f t="shared" si="10"/>
        <v>6.2343518305133593E-2</v>
      </c>
      <c r="AD66" s="92">
        <v>1238982668</v>
      </c>
      <c r="AE66" s="63">
        <f>SUM('Additional 25K H_EX'!U66+'25K TPP EX'!U66+'10% Non-Homestead'!U66+'Portability Impact'!U66)</f>
        <v>78150014</v>
      </c>
      <c r="AF66" s="85">
        <f t="shared" si="11"/>
        <v>6.307595418275859E-2</v>
      </c>
      <c r="AG66" s="92">
        <v>1188855124</v>
      </c>
      <c r="AH66" s="63">
        <f>SUM('Additional 25K H_EX'!W66+'25K TPP EX'!W66+'10% Non-Homestead'!W66+'Portability Impact'!W66)</f>
        <v>70003593</v>
      </c>
      <c r="AI66" s="85">
        <f t="shared" si="12"/>
        <v>5.8883199127297531E-2</v>
      </c>
      <c r="AJ66" s="92">
        <v>1261092580</v>
      </c>
      <c r="AK66" s="63">
        <f>SUM('Additional 25K H_EX'!Y66+'25K TPP EX'!Y66+'10% Non-Homestead'!Y66+'Portability Impact'!Y66)</f>
        <v>72315675</v>
      </c>
      <c r="AL66" s="85">
        <f t="shared" si="13"/>
        <v>5.73436686147182E-2</v>
      </c>
      <c r="AM66" s="92">
        <v>1352885305</v>
      </c>
      <c r="AN66" s="63">
        <f>SUM('Additional 25K H_EX'!AA66+'25K TPP EX'!AA66+'10% Non-Homestead'!AA66+'Portability Impact'!AA66)</f>
        <v>67532200</v>
      </c>
      <c r="AO66" s="85">
        <f t="shared" si="5"/>
        <v>4.991716574229476E-2</v>
      </c>
      <c r="AP66" s="24"/>
      <c r="AQ66" s="24"/>
      <c r="AR66" s="24"/>
    </row>
    <row r="67" spans="1:44" ht="14.25" customHeight="1" x14ac:dyDescent="0.2">
      <c r="A67" s="84" t="s">
        <v>5</v>
      </c>
      <c r="B67" s="90" t="s">
        <v>133</v>
      </c>
      <c r="C67" s="92">
        <v>293720858</v>
      </c>
      <c r="D67" s="63">
        <f>SUM('Additional 25K H_EX'!C67+'25K TPP EX'!C67+'10% Non-Homestead'!C67+'Portability Impact'!C67)</f>
        <v>41295016</v>
      </c>
      <c r="E67" s="85">
        <f t="shared" si="6"/>
        <v>0.14059272562794978</v>
      </c>
      <c r="F67" s="92">
        <v>262261099</v>
      </c>
      <c r="G67" s="63">
        <f>SUM('Additional 25K H_EX'!E67+'25K TPP EX'!E67+'10% Non-Homestead'!E67+'Portability Impact'!E67)</f>
        <v>39942261</v>
      </c>
      <c r="H67" s="85">
        <f t="shared" si="7"/>
        <v>0.15229960200845494</v>
      </c>
      <c r="I67" s="92">
        <v>252072699</v>
      </c>
      <c r="J67" s="63">
        <f>SUM('Additional 25K H_EX'!G67+'25K TPP EX'!G67+'10% Non-Homestead'!G67+'Portability Impact'!G67)</f>
        <v>38353733</v>
      </c>
      <c r="K67" s="85">
        <f t="shared" si="8"/>
        <v>0.15215345871311514</v>
      </c>
      <c r="L67" s="92">
        <v>232946266</v>
      </c>
      <c r="M67" s="63">
        <f>SUM('Additional 25K H_EX'!I67+'25K TPP EX'!I67+'10% Non-Homestead'!I67+'Portability Impact'!I67)</f>
        <v>36563543</v>
      </c>
      <c r="N67" s="85">
        <f t="shared" si="0"/>
        <v>0.15696127535266008</v>
      </c>
      <c r="O67" s="92">
        <v>228957389</v>
      </c>
      <c r="P67" s="63">
        <f>SUM('Additional 25K H_EX'!K67+'25K TPP EX'!K67+'10% Non-Homestead'!K67+'Portability Impact'!K67)</f>
        <v>35348248</v>
      </c>
      <c r="Q67" s="85">
        <f t="shared" si="1"/>
        <v>0.15438788918054966</v>
      </c>
      <c r="R67" s="92">
        <v>226425150</v>
      </c>
      <c r="S67" s="63">
        <f>SUM('Additional 25K H_EX'!M67+'25K TPP EX'!M67+'10% Non-Homestead'!M67+'Portability Impact'!M67)</f>
        <v>35230726</v>
      </c>
      <c r="T67" s="85">
        <f t="shared" si="2"/>
        <v>0.15559546278317582</v>
      </c>
      <c r="U67" s="92">
        <v>222640920</v>
      </c>
      <c r="V67" s="63">
        <f>SUM('Additional 25K H_EX'!O67+'25K TPP EX'!O67+'10% Non-Homestead'!O67+'Portability Impact'!O67)</f>
        <v>34297824</v>
      </c>
      <c r="W67" s="85">
        <f t="shared" si="3"/>
        <v>0.15404995631530807</v>
      </c>
      <c r="X67" s="92">
        <v>225876588</v>
      </c>
      <c r="Y67" s="63">
        <f>SUM('Additional 25K H_EX'!Q67+'25K TPP EX'!Q67+'10% Non-Homestead'!Q67+'Portability Impact'!Q67)</f>
        <v>33574107</v>
      </c>
      <c r="Z67" s="85">
        <f t="shared" si="9"/>
        <v>0.14863916308139027</v>
      </c>
      <c r="AA67" s="92">
        <v>219967322</v>
      </c>
      <c r="AB67" s="63">
        <f>SUM('Additional 25K H_EX'!S67+'25K TPP EX'!S67+'10% Non-Homestead'!S67+'Portability Impact'!S67)</f>
        <v>34095128</v>
      </c>
      <c r="AC67" s="85">
        <f t="shared" si="10"/>
        <v>0.1550008778122052</v>
      </c>
      <c r="AD67" s="92">
        <v>216507093</v>
      </c>
      <c r="AE67" s="63">
        <f>SUM('Additional 25K H_EX'!U67+'25K TPP EX'!U67+'10% Non-Homestead'!U67+'Portability Impact'!U67)</f>
        <v>34310859</v>
      </c>
      <c r="AF67" s="85">
        <f t="shared" si="11"/>
        <v>0.15847452628261005</v>
      </c>
      <c r="AG67" s="92">
        <v>220035043</v>
      </c>
      <c r="AH67" s="63">
        <f>SUM('Additional 25K H_EX'!W67+'25K TPP EX'!W67+'10% Non-Homestead'!W67+'Portability Impact'!W67)</f>
        <v>34185069</v>
      </c>
      <c r="AI67" s="85">
        <f t="shared" si="12"/>
        <v>0.15536193023581249</v>
      </c>
      <c r="AJ67" s="92">
        <v>227518526</v>
      </c>
      <c r="AK67" s="63">
        <f>SUM('Additional 25K H_EX'!Y67+'25K TPP EX'!Y67+'10% Non-Homestead'!Y67+'Portability Impact'!Y67)</f>
        <v>34792973</v>
      </c>
      <c r="AL67" s="85">
        <f t="shared" si="13"/>
        <v>0.15292369202497383</v>
      </c>
      <c r="AM67" s="92">
        <v>223873948</v>
      </c>
      <c r="AN67" s="63">
        <f>SUM('Additional 25K H_EX'!AA67+'25K TPP EX'!AA67+'10% Non-Homestead'!AA67+'Portability Impact'!AA67)</f>
        <v>32261627</v>
      </c>
      <c r="AO67" s="85">
        <f t="shared" si="5"/>
        <v>0.14410621373416793</v>
      </c>
      <c r="AP67" s="24"/>
      <c r="AQ67" s="24"/>
      <c r="AR67" s="24"/>
    </row>
    <row r="68" spans="1:44" ht="14.25" customHeight="1" x14ac:dyDescent="0.2">
      <c r="A68" s="84" t="s">
        <v>4</v>
      </c>
      <c r="B68" s="90" t="s">
        <v>132</v>
      </c>
      <c r="C68" s="92">
        <v>42745031724</v>
      </c>
      <c r="D68" s="63">
        <f>SUM('Additional 25K H_EX'!C68+'25K TPP EX'!C68+'10% Non-Homestead'!C68+'Portability Impact'!C68)</f>
        <v>4829398948</v>
      </c>
      <c r="E68" s="85">
        <f t="shared" si="6"/>
        <v>0.11298152681656436</v>
      </c>
      <c r="F68" s="92">
        <v>39785654883</v>
      </c>
      <c r="G68" s="63">
        <f>SUM('Additional 25K H_EX'!E68+'25K TPP EX'!E68+'10% Non-Homestead'!E68+'Portability Impact'!E68)</f>
        <v>4798278293</v>
      </c>
      <c r="H68" s="85">
        <f t="shared" si="7"/>
        <v>0.12060322513505375</v>
      </c>
      <c r="I68" s="92">
        <v>36597470741</v>
      </c>
      <c r="J68" s="63">
        <f>SUM('Additional 25K H_EX'!G68+'25K TPP EX'!G68+'10% Non-Homestead'!G68+'Portability Impact'!G68)</f>
        <v>4543988389</v>
      </c>
      <c r="K68" s="85">
        <f t="shared" si="8"/>
        <v>0.1241612684427776</v>
      </c>
      <c r="L68" s="92">
        <v>33742311553</v>
      </c>
      <c r="M68" s="63">
        <f>SUM('Additional 25K H_EX'!I68+'25K TPP EX'!I68+'10% Non-Homestead'!I68+'Portability Impact'!I68)</f>
        <v>4289443948</v>
      </c>
      <c r="N68" s="85">
        <f t="shared" si="0"/>
        <v>0.1271235949932609</v>
      </c>
      <c r="O68" s="92">
        <v>31084395502</v>
      </c>
      <c r="P68" s="63">
        <f>SUM('Additional 25K H_EX'!K68+'25K TPP EX'!K68+'10% Non-Homestead'!K68+'Portability Impact'!K68)</f>
        <v>3916798337</v>
      </c>
      <c r="Q68" s="85">
        <f t="shared" si="1"/>
        <v>0.12600529216493817</v>
      </c>
      <c r="R68" s="92">
        <v>28944117042</v>
      </c>
      <c r="S68" s="63">
        <f>SUM('Additional 25K H_EX'!M68+'25K TPP EX'!M68+'10% Non-Homestead'!M68+'Portability Impact'!M68)</f>
        <v>3599523067</v>
      </c>
      <c r="T68" s="85">
        <f t="shared" si="2"/>
        <v>0.12436112878402311</v>
      </c>
      <c r="U68" s="92">
        <v>27086366250</v>
      </c>
      <c r="V68" s="63">
        <f>SUM('Additional 25K H_EX'!O68+'25K TPP EX'!O68+'10% Non-Homestead'!O68+'Portability Impact'!O68)</f>
        <v>3386334274</v>
      </c>
      <c r="W68" s="85">
        <f t="shared" si="3"/>
        <v>0.12501988058291133</v>
      </c>
      <c r="X68" s="92">
        <v>25620612184</v>
      </c>
      <c r="Y68" s="63">
        <f>SUM('Additional 25K H_EX'!Q68+'25K TPP EX'!Q68+'10% Non-Homestead'!Q68+'Portability Impact'!Q68)</f>
        <v>3194033515</v>
      </c>
      <c r="Z68" s="85">
        <f t="shared" si="9"/>
        <v>0.12466655722593017</v>
      </c>
      <c r="AA68" s="92">
        <v>24187235399</v>
      </c>
      <c r="AB68" s="63">
        <f>SUM('Additional 25K H_EX'!S68+'25K TPP EX'!S68+'10% Non-Homestead'!S68+'Portability Impact'!S68)</f>
        <v>2809718865</v>
      </c>
      <c r="AC68" s="85">
        <f t="shared" si="10"/>
        <v>0.11616535824165193</v>
      </c>
      <c r="AD68" s="92">
        <v>23621987999</v>
      </c>
      <c r="AE68" s="63">
        <f>SUM('Additional 25K H_EX'!U68+'25K TPP EX'!U68+'10% Non-Homestead'!U68+'Portability Impact'!U68)</f>
        <v>2721395545</v>
      </c>
      <c r="AF68" s="85">
        <f t="shared" si="11"/>
        <v>0.11520603367994285</v>
      </c>
      <c r="AG68" s="92">
        <v>23979840651</v>
      </c>
      <c r="AH68" s="63">
        <f>SUM('Additional 25K H_EX'!W68+'25K TPP EX'!W68+'10% Non-Homestead'!W68+'Portability Impact'!W68)</f>
        <v>2706390080</v>
      </c>
      <c r="AI68" s="85">
        <f t="shared" si="12"/>
        <v>0.1128610535569651</v>
      </c>
      <c r="AJ68" s="92">
        <v>26128617246</v>
      </c>
      <c r="AK68" s="63">
        <f>SUM('Additional 25K H_EX'!Y68+'25K TPP EX'!Y68+'10% Non-Homestead'!Y68+'Portability Impact'!Y68)</f>
        <v>3017869035</v>
      </c>
      <c r="AL68" s="85">
        <f t="shared" si="13"/>
        <v>0.1155005259783505</v>
      </c>
      <c r="AM68" s="92">
        <v>30080905468</v>
      </c>
      <c r="AN68" s="63">
        <f>SUM('Additional 25K H_EX'!AA68+'25K TPP EX'!AA68+'10% Non-Homestead'!AA68+'Portability Impact'!AA68)</f>
        <v>3179242174</v>
      </c>
      <c r="AO68" s="85">
        <f t="shared" si="5"/>
        <v>0.10568970995178555</v>
      </c>
      <c r="AP68" s="24"/>
      <c r="AQ68" s="24"/>
      <c r="AR68" s="24"/>
    </row>
    <row r="69" spans="1:44" ht="14.25" customHeight="1" x14ac:dyDescent="0.2">
      <c r="A69" s="84" t="s">
        <v>3</v>
      </c>
      <c r="B69" s="90" t="s">
        <v>133</v>
      </c>
      <c r="C69" s="92">
        <v>1518340392</v>
      </c>
      <c r="D69" s="63">
        <f>SUM('Additional 25K H_EX'!C69+'25K TPP EX'!C69+'10% Non-Homestead'!C69+'Portability Impact'!C69)</f>
        <v>327212650</v>
      </c>
      <c r="E69" s="85">
        <f t="shared" si="6"/>
        <v>0.21550678077462357</v>
      </c>
      <c r="F69" s="92">
        <v>1390953265</v>
      </c>
      <c r="G69" s="63">
        <f>SUM('Additional 25K H_EX'!E69+'25K TPP EX'!E69+'10% Non-Homestead'!E69+'Portability Impact'!E69)</f>
        <v>332123089</v>
      </c>
      <c r="H69" s="85">
        <f t="shared" si="7"/>
        <v>0.23877372256644439</v>
      </c>
      <c r="I69" s="92">
        <v>1295657717</v>
      </c>
      <c r="J69" s="63">
        <f>SUM('Additional 25K H_EX'!G69+'25K TPP EX'!G69+'10% Non-Homestead'!G69+'Portability Impact'!G69)</f>
        <v>349811953</v>
      </c>
      <c r="K69" s="85">
        <f t="shared" si="8"/>
        <v>0.26998793617342381</v>
      </c>
      <c r="L69" s="92">
        <v>1202519717</v>
      </c>
      <c r="M69" s="63">
        <f>SUM('Additional 25K H_EX'!I69+'25K TPP EX'!I69+'10% Non-Homestead'!I69+'Portability Impact'!I69)</f>
        <v>351782121</v>
      </c>
      <c r="N69" s="85">
        <f>M69/L69</f>
        <v>0.29253750772387543</v>
      </c>
      <c r="O69" s="92">
        <v>1128726913</v>
      </c>
      <c r="P69" s="63">
        <f>SUM('Additional 25K H_EX'!K69+'25K TPP EX'!K69+'10% Non-Homestead'!K69+'Portability Impact'!K69)</f>
        <v>370664185</v>
      </c>
      <c r="Q69" s="85">
        <f t="shared" si="1"/>
        <v>0.32839137680772212</v>
      </c>
      <c r="R69" s="92">
        <v>1074202936</v>
      </c>
      <c r="S69" s="63">
        <f>SUM('Additional 25K H_EX'!M69+'25K TPP EX'!M69+'10% Non-Homestead'!M69+'Portability Impact'!M69)</f>
        <v>369418246</v>
      </c>
      <c r="T69" s="85">
        <f t="shared" si="2"/>
        <v>0.34389986623533114</v>
      </c>
      <c r="U69" s="92">
        <v>1050560880</v>
      </c>
      <c r="V69" s="63">
        <f>SUM('Additional 25K H_EX'!O69+'25K TPP EX'!O69+'10% Non-Homestead'!O69+'Portability Impact'!O69)</f>
        <v>385860857</v>
      </c>
      <c r="W69" s="85">
        <f t="shared" si="3"/>
        <v>0.36729033447352427</v>
      </c>
      <c r="X69" s="92">
        <v>1026953948</v>
      </c>
      <c r="Y69" s="63">
        <f>SUM('Additional 25K H_EX'!Q69+'25K TPP EX'!Q69+'10% Non-Homestead'!Q69+'Portability Impact'!Q69)</f>
        <v>400229365</v>
      </c>
      <c r="Z69" s="85">
        <f t="shared" si="9"/>
        <v>0.38972474450236982</v>
      </c>
      <c r="AA69" s="92">
        <v>1025105348</v>
      </c>
      <c r="AB69" s="63">
        <f>SUM('Additional 25K H_EX'!S69+'25K TPP EX'!S69+'10% Non-Homestead'!S69+'Portability Impact'!S69)</f>
        <v>419392046</v>
      </c>
      <c r="AC69" s="85">
        <f t="shared" si="10"/>
        <v>0.40912092285757934</v>
      </c>
      <c r="AD69" s="92">
        <v>1070304093</v>
      </c>
      <c r="AE69" s="63">
        <f>SUM('Additional 25K H_EX'!U69+'25K TPP EX'!U69+'10% Non-Homestead'!U69+'Portability Impact'!U69)</f>
        <v>439402061</v>
      </c>
      <c r="AF69" s="85">
        <f t="shared" si="11"/>
        <v>0.41053945684574711</v>
      </c>
      <c r="AG69" s="92">
        <v>1097476423</v>
      </c>
      <c r="AH69" s="63">
        <f>SUM('Additional 25K H_EX'!W69+'25K TPP EX'!W69+'10% Non-Homestead'!W69+'Portability Impact'!W69)</f>
        <v>174923315</v>
      </c>
      <c r="AI69" s="85">
        <f t="shared" si="12"/>
        <v>0.15938685454566709</v>
      </c>
      <c r="AJ69" s="92">
        <v>1192454342</v>
      </c>
      <c r="AK69" s="63">
        <f>SUM('Additional 25K H_EX'!Y69+'25K TPP EX'!Y69+'10% Non-Homestead'!Y69+'Portability Impact'!Y69)</f>
        <v>170217251</v>
      </c>
      <c r="AL69" s="85">
        <f t="shared" si="13"/>
        <v>0.14274529850300968</v>
      </c>
      <c r="AM69" s="92">
        <v>1333882040</v>
      </c>
      <c r="AN69" s="63">
        <f>SUM('Additional 25K H_EX'!AA69+'25K TPP EX'!AA69+'10% Non-Homestead'!AA69+'Portability Impact'!AA69)</f>
        <v>168972285</v>
      </c>
      <c r="AO69" s="85">
        <f>AN69/AM69</f>
        <v>0.12667708233030861</v>
      </c>
      <c r="AP69" s="24"/>
      <c r="AQ69" s="24"/>
      <c r="AR69" s="24"/>
    </row>
    <row r="70" spans="1:44" ht="14.25" customHeight="1" x14ac:dyDescent="0.2">
      <c r="A70" s="84" t="s">
        <v>2</v>
      </c>
      <c r="B70" s="90" t="s">
        <v>133</v>
      </c>
      <c r="C70" s="92">
        <v>25446184553</v>
      </c>
      <c r="D70" s="63">
        <f>SUM('Additional 25K H_EX'!C70+'25K TPP EX'!C70+'10% Non-Homestead'!C70+'Portability Impact'!C70)</f>
        <v>1935352940</v>
      </c>
      <c r="E70" s="85">
        <f>D70/C70</f>
        <v>7.6056704531439465E-2</v>
      </c>
      <c r="F70" s="92">
        <v>22468535936</v>
      </c>
      <c r="G70" s="63">
        <f>SUM('Additional 25K H_EX'!E70+'25K TPP EX'!E70+'10% Non-Homestead'!E70+'Portability Impact'!E70)</f>
        <v>1359120866</v>
      </c>
      <c r="H70" s="85">
        <f>G70/F70</f>
        <v>6.0489961155963057E-2</v>
      </c>
      <c r="I70" s="92">
        <v>20640794077</v>
      </c>
      <c r="J70" s="63">
        <f>SUM('Additional 25K H_EX'!G70+'25K TPP EX'!G70+'10% Non-Homestead'!G70+'Portability Impact'!G70)</f>
        <v>1500985809</v>
      </c>
      <c r="K70" s="85">
        <f>J70/I70</f>
        <v>7.2719382955937037E-2</v>
      </c>
      <c r="L70" s="92">
        <v>18828618563</v>
      </c>
      <c r="M70" s="63">
        <f>SUM('Additional 25K H_EX'!I70+'25K TPP EX'!I70+'10% Non-Homestead'!I70+'Portability Impact'!I70)</f>
        <v>1470047496</v>
      </c>
      <c r="N70" s="85">
        <f>M70/L70</f>
        <v>7.8075164732944402E-2</v>
      </c>
      <c r="O70" s="92">
        <v>17112755532</v>
      </c>
      <c r="P70" s="63">
        <f>SUM('Additional 25K H_EX'!K70+'25K TPP EX'!K70+'10% Non-Homestead'!K70+'Portability Impact'!K70)</f>
        <v>1550265880</v>
      </c>
      <c r="Q70" s="85">
        <f>P70/O70</f>
        <v>9.0591247978800374E-2</v>
      </c>
      <c r="R70" s="92">
        <v>15524398446</v>
      </c>
      <c r="S70" s="63">
        <f>SUM('Additional 25K H_EX'!M70+'25K TPP EX'!M70+'10% Non-Homestead'!M70+'Portability Impact'!M70)</f>
        <v>1540881295</v>
      </c>
      <c r="T70" s="85">
        <f>S70/R70</f>
        <v>9.9255459099416618E-2</v>
      </c>
      <c r="U70" s="92">
        <v>13970938809</v>
      </c>
      <c r="V70" s="63">
        <f>SUM('Additional 25K H_EX'!O70+'25K TPP EX'!O70+'10% Non-Homestead'!O70+'Portability Impact'!O70)</f>
        <v>1240547319</v>
      </c>
      <c r="W70" s="85">
        <f>V70/U70</f>
        <v>8.8794843063863857E-2</v>
      </c>
      <c r="X70" s="92">
        <v>12523317748</v>
      </c>
      <c r="Y70" s="63">
        <f>SUM('Additional 25K H_EX'!Q70+'25K TPP EX'!Q70+'10% Non-Homestead'!Q70+'Portability Impact'!Q70)</f>
        <v>880113104</v>
      </c>
      <c r="Z70" s="85">
        <f>Y70/X70</f>
        <v>7.0277950436940392E-2</v>
      </c>
      <c r="AA70" s="92">
        <v>11459888871</v>
      </c>
      <c r="AB70" s="63">
        <f>SUM('Additional 25K H_EX'!S70+'25K TPP EX'!S70+'10% Non-Homestead'!S70+'Portability Impact'!S70)</f>
        <v>490581672</v>
      </c>
      <c r="AC70" s="85">
        <f>AB70/AA70</f>
        <v>4.2808588942031461E-2</v>
      </c>
      <c r="AD70" s="92">
        <v>10935328743</v>
      </c>
      <c r="AE70" s="63">
        <f>SUM('Additional 25K H_EX'!U70+'25K TPP EX'!U70+'10% Non-Homestead'!U70+'Portability Impact'!U70)</f>
        <v>340502184</v>
      </c>
      <c r="AF70" s="85">
        <f>AE70/AD70</f>
        <v>3.1137809571382541E-2</v>
      </c>
      <c r="AG70" s="92">
        <v>10935816055</v>
      </c>
      <c r="AH70" s="63">
        <f>SUM('Additional 25K H_EX'!W70+'25K TPP EX'!W70+'10% Non-Homestead'!W70+'Portability Impact'!W70)</f>
        <v>311476597</v>
      </c>
      <c r="AI70" s="85">
        <f>AH70/AG70</f>
        <v>2.8482245443181974E-2</v>
      </c>
      <c r="AJ70" s="92">
        <v>11448430637</v>
      </c>
      <c r="AK70" s="63">
        <f>SUM('Additional 25K H_EX'!Y70+'25K TPP EX'!Y70+'10% Non-Homestead'!Y70+'Portability Impact'!Y70)</f>
        <v>314771863</v>
      </c>
      <c r="AL70" s="85">
        <f t="shared" si="13"/>
        <v>2.7494760896108663E-2</v>
      </c>
      <c r="AM70" s="92">
        <v>13778717950</v>
      </c>
      <c r="AN70" s="63">
        <f>SUM('Additional 25K H_EX'!AA70+'25K TPP EX'!AA70+'10% Non-Homestead'!AA70+'Portability Impact'!AA70)</f>
        <v>312454324</v>
      </c>
      <c r="AO70" s="85">
        <f>AN70/AM70</f>
        <v>2.2676589007324881E-2</v>
      </c>
      <c r="AP70" s="24"/>
      <c r="AQ70" s="24"/>
      <c r="AR70" s="24"/>
    </row>
    <row r="71" spans="1:44" ht="14.25" customHeight="1" x14ac:dyDescent="0.2">
      <c r="A71" s="84" t="s">
        <v>1</v>
      </c>
      <c r="B71" s="90" t="s">
        <v>133</v>
      </c>
      <c r="C71" s="92">
        <v>997414597</v>
      </c>
      <c r="D71" s="63">
        <f>SUM('Additional 25K H_EX'!C71+'25K TPP EX'!C71+'10% Non-Homestead'!C71+'Portability Impact'!C71)</f>
        <v>106318655</v>
      </c>
      <c r="E71" s="85">
        <f>D71/C71</f>
        <v>0.10659424407842309</v>
      </c>
      <c r="F71" s="92">
        <v>936556912</v>
      </c>
      <c r="G71" s="63">
        <f>SUM('Additional 25K H_EX'!E71+'25K TPP EX'!E71+'10% Non-Homestead'!E71+'Portability Impact'!E71)</f>
        <v>91848292</v>
      </c>
      <c r="H71" s="85">
        <f>G71/F71</f>
        <v>9.8070166183344548E-2</v>
      </c>
      <c r="I71" s="92">
        <v>860691689</v>
      </c>
      <c r="J71" s="63">
        <f>SUM('Additional 25K H_EX'!G71+'25K TPP EX'!G71+'10% Non-Homestead'!G71+'Portability Impact'!G71)</f>
        <v>85291270</v>
      </c>
      <c r="K71" s="85">
        <f>J71/I71</f>
        <v>9.9096193317605039E-2</v>
      </c>
      <c r="L71" s="92">
        <v>851873553</v>
      </c>
      <c r="M71" s="63">
        <f>SUM('Additional 25K H_EX'!I71+'25K TPP EX'!I71+'10% Non-Homestead'!I71+'Portability Impact'!I71)</f>
        <v>82880658</v>
      </c>
      <c r="N71" s="85">
        <f>M71/L71</f>
        <v>9.7292206933908651E-2</v>
      </c>
      <c r="O71" s="92">
        <v>836870735</v>
      </c>
      <c r="P71" s="63">
        <f>SUM('Additional 25K H_EX'!K71+'25K TPP EX'!K71+'10% Non-Homestead'!K71+'Portability Impact'!K71)</f>
        <v>78849434</v>
      </c>
      <c r="Q71" s="85">
        <f>P71/O71</f>
        <v>9.421937068930962E-2</v>
      </c>
      <c r="R71" s="92">
        <v>829513556</v>
      </c>
      <c r="S71" s="63">
        <f>SUM('Additional 25K H_EX'!M71+'25K TPP EX'!M71+'10% Non-Homestead'!M71+'Portability Impact'!M71)</f>
        <v>76498887</v>
      </c>
      <c r="T71" s="85">
        <f>S71/R71</f>
        <v>9.2221382576175764E-2</v>
      </c>
      <c r="U71" s="92">
        <v>831313165</v>
      </c>
      <c r="V71" s="63">
        <f>SUM('Additional 25K H_EX'!O71+'25K TPP EX'!O71+'10% Non-Homestead'!O71+'Portability Impact'!O71)</f>
        <v>74866186</v>
      </c>
      <c r="W71" s="85">
        <f>V71/U71</f>
        <v>9.005774135671242E-2</v>
      </c>
      <c r="X71" s="92">
        <v>820800444</v>
      </c>
      <c r="Y71" s="63">
        <f>SUM('Additional 25K H_EX'!Q71+'25K TPP EX'!Q71+'10% Non-Homestead'!Q71+'Portability Impact'!Q71)</f>
        <v>73580660</v>
      </c>
      <c r="Z71" s="85">
        <f>Y71/X71</f>
        <v>8.9645005114056694E-2</v>
      </c>
      <c r="AA71" s="92">
        <v>840623582</v>
      </c>
      <c r="AB71" s="63">
        <f>SUM('Additional 25K H_EX'!S71+'25K TPP EX'!S71+'10% Non-Homestead'!S71+'Portability Impact'!S71)</f>
        <v>76784011</v>
      </c>
      <c r="AC71" s="85">
        <f>AB71/AA71</f>
        <v>9.1341728502686709E-2</v>
      </c>
      <c r="AD71" s="92">
        <v>862044528</v>
      </c>
      <c r="AE71" s="63">
        <f>SUM('Additional 25K H_EX'!U71+'25K TPP EX'!U71+'10% Non-Homestead'!U71+'Portability Impact'!U71)</f>
        <v>77410628</v>
      </c>
      <c r="AF71" s="85">
        <f>AE71/AD71</f>
        <v>8.9798874055378258E-2</v>
      </c>
      <c r="AG71" s="92">
        <v>840210861</v>
      </c>
      <c r="AH71" s="63">
        <f>SUM('Additional 25K H_EX'!W71+'25K TPP EX'!W71+'10% Non-Homestead'!W71+'Portability Impact'!W71)</f>
        <v>79257626</v>
      </c>
      <c r="AI71" s="85">
        <f>AH71/AG71</f>
        <v>9.4330637318433802E-2</v>
      </c>
      <c r="AJ71" s="92">
        <v>932940830</v>
      </c>
      <c r="AK71" s="63">
        <f>SUM('Additional 25K H_EX'!Y71+'25K TPP EX'!Y71+'10% Non-Homestead'!Y71+'Portability Impact'!Y71)</f>
        <v>82398133</v>
      </c>
      <c r="AL71" s="85">
        <f t="shared" si="13"/>
        <v>8.8320856318401239E-2</v>
      </c>
      <c r="AM71" s="92">
        <v>984696500</v>
      </c>
      <c r="AN71" s="63">
        <f>SUM('Additional 25K H_EX'!AA71+'25K TPP EX'!AA71+'10% Non-Homestead'!AA71+'Portability Impact'!AA71)</f>
        <v>75821372</v>
      </c>
      <c r="AO71" s="85">
        <f>AN71/AM71</f>
        <v>7.6999737482564432E-2</v>
      </c>
      <c r="AP71" s="24"/>
      <c r="AQ71" s="24"/>
      <c r="AR71" s="24"/>
    </row>
    <row r="72" spans="1:44" ht="14.25" customHeight="1" x14ac:dyDescent="0.2">
      <c r="A72" s="84"/>
      <c r="B72" s="90"/>
      <c r="C72" s="92"/>
      <c r="D72" s="63"/>
      <c r="E72" s="85"/>
      <c r="F72" s="92"/>
      <c r="G72" s="63"/>
      <c r="H72" s="85"/>
      <c r="I72" s="92"/>
      <c r="J72" s="63"/>
      <c r="K72" s="85"/>
      <c r="L72" s="92"/>
      <c r="M72" s="63"/>
      <c r="N72" s="85"/>
      <c r="O72" s="92"/>
      <c r="P72" s="63"/>
      <c r="Q72" s="85"/>
      <c r="R72" s="92"/>
      <c r="S72" s="63"/>
      <c r="T72" s="85"/>
      <c r="U72" s="92"/>
      <c r="V72" s="63"/>
      <c r="W72" s="85"/>
      <c r="X72" s="92"/>
      <c r="Y72" s="63"/>
      <c r="Z72" s="85"/>
      <c r="AA72" s="92"/>
      <c r="AB72" s="63"/>
      <c r="AC72" s="85"/>
      <c r="AD72" s="92"/>
      <c r="AE72" s="63"/>
      <c r="AF72" s="85"/>
      <c r="AG72" s="92"/>
      <c r="AH72" s="63"/>
      <c r="AI72" s="85"/>
      <c r="AJ72" s="92"/>
      <c r="AK72" s="63"/>
      <c r="AL72" s="85"/>
      <c r="AM72" s="92"/>
      <c r="AN72" s="63"/>
      <c r="AO72" s="85"/>
      <c r="AR72" s="24"/>
    </row>
    <row r="73" spans="1:44" ht="15.75" thickBot="1" x14ac:dyDescent="0.3">
      <c r="A73" s="86" t="s">
        <v>0</v>
      </c>
      <c r="B73" s="91"/>
      <c r="C73" s="93">
        <f>SUM(C5:C71)</f>
        <v>2264115402885</v>
      </c>
      <c r="D73" s="87">
        <f>SUM(D5:D71)</f>
        <v>200285917241</v>
      </c>
      <c r="E73" s="88">
        <f>D73/C73</f>
        <v>8.8461002025687394E-2</v>
      </c>
      <c r="F73" s="93">
        <f>SUM(F5:F71)</f>
        <v>2120877139351</v>
      </c>
      <c r="G73" s="87">
        <f>SUM(G5:G71)</f>
        <v>189911443957</v>
      </c>
      <c r="H73" s="88">
        <f>G73/F73</f>
        <v>8.9543821484687203E-2</v>
      </c>
      <c r="I73" s="93">
        <f>SUM(I5:I71)</f>
        <v>1987278938783</v>
      </c>
      <c r="J73" s="87">
        <f>SUM(J5:J71)</f>
        <v>191966421525</v>
      </c>
      <c r="K73" s="88">
        <f>J73/I73</f>
        <v>9.6597622899661645E-2</v>
      </c>
      <c r="L73" s="93">
        <f>SUM(L5:L71)</f>
        <v>1854829137409</v>
      </c>
      <c r="M73" s="87">
        <f>SUM(M5:M71)</f>
        <v>184905847954</v>
      </c>
      <c r="N73" s="88">
        <f>M73/L73</f>
        <v>9.9688884665837141E-2</v>
      </c>
      <c r="O73" s="93">
        <f>SUM(O5:O71)</f>
        <v>1729759530907</v>
      </c>
      <c r="P73" s="87">
        <f>SUM(P5:P71)</f>
        <v>181030253983</v>
      </c>
      <c r="Q73" s="88">
        <f>P73/O73</f>
        <v>0.10465631248065835</v>
      </c>
      <c r="R73" s="93">
        <f>SUM(R5:R71)</f>
        <v>1601817154769</v>
      </c>
      <c r="S73" s="87">
        <f>SUM(S5:S71)</f>
        <v>176120810676</v>
      </c>
      <c r="T73" s="88">
        <f>S73/R73</f>
        <v>0.10995063334890966</v>
      </c>
      <c r="U73" s="93">
        <f>SUM(U5:U71)</f>
        <v>1487885231904</v>
      </c>
      <c r="V73" s="87">
        <f>SUM(V5:V71)</f>
        <v>161874247936</v>
      </c>
      <c r="W73" s="88">
        <f>V73/U73</f>
        <v>0.10879484819461149</v>
      </c>
      <c r="X73" s="93">
        <f>SUM(X5:X71)</f>
        <v>1384296817456</v>
      </c>
      <c r="Y73" s="87">
        <f>SUM(Y5:Y71)</f>
        <v>134219486721</v>
      </c>
      <c r="Z73" s="88">
        <f>Y73/X73</f>
        <v>9.6958603840224589E-2</v>
      </c>
      <c r="AA73" s="93">
        <f>SUM(AA5:AA71)</f>
        <v>1303247963809</v>
      </c>
      <c r="AB73" s="87">
        <f>SUM(AB5:AB71)</f>
        <v>111756447044</v>
      </c>
      <c r="AC73" s="88">
        <f>AB73/AA73</f>
        <v>8.575225141144259E-2</v>
      </c>
      <c r="AD73" s="93">
        <f>SUM(AD5:AD71)</f>
        <v>1264228016026</v>
      </c>
      <c r="AE73" s="87">
        <f>SUM(AE5:AE71)</f>
        <v>104038479741</v>
      </c>
      <c r="AF73" s="88">
        <f>AE73/AD73</f>
        <v>8.2294078617270852E-2</v>
      </c>
      <c r="AG73" s="93">
        <f>SUM(AG5:AG71)</f>
        <v>1275430021160</v>
      </c>
      <c r="AH73" s="87">
        <f>SUM(AH5:AH71)</f>
        <v>102234039946</v>
      </c>
      <c r="AI73" s="88">
        <f>AH73/AG73</f>
        <v>8.015652623028148E-2</v>
      </c>
      <c r="AJ73" s="93">
        <f>SUM(AJ5:AJ71)</f>
        <v>1331000184069</v>
      </c>
      <c r="AK73" s="87">
        <f>SUM(AK5:AK71)</f>
        <v>104767650017</v>
      </c>
      <c r="AL73" s="88">
        <f t="shared" si="13"/>
        <v>7.8713475227865759E-2</v>
      </c>
      <c r="AM73" s="93">
        <f>SUM(AM5:AM71)</f>
        <v>1499312226307</v>
      </c>
      <c r="AN73" s="87">
        <f>SUM(AN5:AN71)</f>
        <v>109763958199</v>
      </c>
      <c r="AO73" s="88">
        <f>AN73/AM73</f>
        <v>7.3209539863062972E-2</v>
      </c>
    </row>
    <row r="74" spans="1:44" s="5" customFormat="1" x14ac:dyDescent="0.2"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44" x14ac:dyDescent="0.2">
      <c r="A75" s="23" t="s">
        <v>134</v>
      </c>
    </row>
  </sheetData>
  <mergeCells count="13">
    <mergeCell ref="AM3:AO3"/>
    <mergeCell ref="AD3:AF3"/>
    <mergeCell ref="AA3:AC3"/>
    <mergeCell ref="X3:Z3"/>
    <mergeCell ref="L3:N3"/>
    <mergeCell ref="O3:Q3"/>
    <mergeCell ref="U3:W3"/>
    <mergeCell ref="C3:E3"/>
    <mergeCell ref="R3:T3"/>
    <mergeCell ref="AG3:AI3"/>
    <mergeCell ref="F3:H3"/>
    <mergeCell ref="AJ3:AL3"/>
    <mergeCell ref="I3:K3"/>
  </mergeCells>
  <phoneticPr fontId="2" type="noConversion"/>
  <conditionalFormatting sqref="A4:B73 R4:AO73">
    <cfRule type="expression" dxfId="132" priority="34" stopIfTrue="1">
      <formula>MOD(ROW(),3)=1</formula>
    </cfRule>
  </conditionalFormatting>
  <conditionalFormatting sqref="O4:Q73">
    <cfRule type="expression" dxfId="131" priority="32" stopIfTrue="1">
      <formula>MOD(ROW(),3)=1</formula>
    </cfRule>
  </conditionalFormatting>
  <conditionalFormatting sqref="L4:N4 L72:N72 L5:L71">
    <cfRule type="expression" dxfId="130" priority="31" stopIfTrue="1">
      <formula>MOD(ROW(),3)=1</formula>
    </cfRule>
  </conditionalFormatting>
  <conditionalFormatting sqref="M5:M71">
    <cfRule type="expression" dxfId="129" priority="30" stopIfTrue="1">
      <formula>MOD(ROW(),3)=1</formula>
    </cfRule>
  </conditionalFormatting>
  <conditionalFormatting sqref="N5:N71">
    <cfRule type="expression" dxfId="128" priority="29" stopIfTrue="1">
      <formula>MOD(ROW(),3)=1</formula>
    </cfRule>
  </conditionalFormatting>
  <conditionalFormatting sqref="L73:N73">
    <cfRule type="expression" dxfId="127" priority="28" stopIfTrue="1">
      <formula>MOD(ROW(),3)=1</formula>
    </cfRule>
  </conditionalFormatting>
  <conditionalFormatting sqref="I4:K4 I72:K72">
    <cfRule type="expression" dxfId="126" priority="27" stopIfTrue="1">
      <formula>MOD(ROW(),3)=1</formula>
    </cfRule>
  </conditionalFormatting>
  <conditionalFormatting sqref="K5:K71">
    <cfRule type="expression" dxfId="125" priority="25" stopIfTrue="1">
      <formula>MOD(ROW(),3)=1</formula>
    </cfRule>
  </conditionalFormatting>
  <conditionalFormatting sqref="J5:J71">
    <cfRule type="expression" dxfId="124" priority="21" stopIfTrue="1">
      <formula>MOD(ROW(),3)=1</formula>
    </cfRule>
  </conditionalFormatting>
  <conditionalFormatting sqref="I73:K73">
    <cfRule type="expression" dxfId="123" priority="20" stopIfTrue="1">
      <formula>MOD(ROW(),3)=1</formula>
    </cfRule>
  </conditionalFormatting>
  <conditionalFormatting sqref="F4:G4 F72:G72 F5:F71">
    <cfRule type="expression" dxfId="122" priority="19" stopIfTrue="1">
      <formula>MOD(ROW(),3)=1</formula>
    </cfRule>
  </conditionalFormatting>
  <conditionalFormatting sqref="F73:G73">
    <cfRule type="expression" dxfId="121" priority="15" stopIfTrue="1">
      <formula>MOD(ROW(),3)=1</formula>
    </cfRule>
  </conditionalFormatting>
  <conditionalFormatting sqref="H4 H72">
    <cfRule type="expression" dxfId="120" priority="14" stopIfTrue="1">
      <formula>MOD(ROW(),3)=1</formula>
    </cfRule>
  </conditionalFormatting>
  <conditionalFormatting sqref="H5:H71">
    <cfRule type="expression" dxfId="119" priority="13" stopIfTrue="1">
      <formula>MOD(ROW(),3)=1</formula>
    </cfRule>
  </conditionalFormatting>
  <conditionalFormatting sqref="H73">
    <cfRule type="expression" dxfId="118" priority="12" stopIfTrue="1">
      <formula>MOD(ROW(),3)=1</formula>
    </cfRule>
  </conditionalFormatting>
  <conditionalFormatting sqref="I5:I71">
    <cfRule type="expression" dxfId="117" priority="8" stopIfTrue="1">
      <formula>MOD(ROW(),3)=1</formula>
    </cfRule>
  </conditionalFormatting>
  <conditionalFormatting sqref="G5:G71">
    <cfRule type="expression" dxfId="116" priority="7" stopIfTrue="1">
      <formula>MOD(ROW(),3)=1</formula>
    </cfRule>
  </conditionalFormatting>
  <conditionalFormatting sqref="C4:D4 C72:D72 C5:C71">
    <cfRule type="expression" dxfId="115" priority="6" stopIfTrue="1">
      <formula>MOD(ROW(),3)=1</formula>
    </cfRule>
  </conditionalFormatting>
  <conditionalFormatting sqref="C73:D73">
    <cfRule type="expression" dxfId="114" priority="5" stopIfTrue="1">
      <formula>MOD(ROW(),3)=1</formula>
    </cfRule>
  </conditionalFormatting>
  <conditionalFormatting sqref="E4 E72">
    <cfRule type="expression" dxfId="113" priority="4" stopIfTrue="1">
      <formula>MOD(ROW(),3)=1</formula>
    </cfRule>
  </conditionalFormatting>
  <conditionalFormatting sqref="E5:E71">
    <cfRule type="expression" dxfId="112" priority="3" stopIfTrue="1">
      <formula>MOD(ROW(),3)=1</formula>
    </cfRule>
  </conditionalFormatting>
  <conditionalFormatting sqref="E73">
    <cfRule type="expression" dxfId="111" priority="2" stopIfTrue="1">
      <formula>MOD(ROW(),3)=1</formula>
    </cfRule>
  </conditionalFormatting>
  <conditionalFormatting sqref="D5:D71">
    <cfRule type="expression" dxfId="110" priority="1" stopIfTrue="1">
      <formula>MOD(ROW(),3)=1</formula>
    </cfRule>
  </conditionalFormatting>
  <pageMargins left="0.75" right="0.75" top="1" bottom="1" header="0.5" footer="0.5"/>
  <pageSetup scale="79" fitToHeight="2" orientation="landscape" r:id="rId1"/>
  <headerFooter alignWithMargins="0"/>
  <ignoredErrors>
    <ignoredError sqref="AF73 AL73 AI73 AC73 Z73 W73 T73 N73 Q73 K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40"/>
  <sheetViews>
    <sheetView zoomScaleNormal="100" workbookViewId="0"/>
  </sheetViews>
  <sheetFormatPr defaultRowHeight="14.25" x14ac:dyDescent="0.2"/>
  <cols>
    <col min="1" max="1" width="4" style="30" customWidth="1"/>
    <col min="2" max="2" width="17" style="30" customWidth="1"/>
    <col min="3" max="3" width="11.28515625" style="38" customWidth="1"/>
    <col min="4" max="4" width="17.42578125" style="30" customWidth="1"/>
    <col min="5" max="5" width="30" style="30" customWidth="1"/>
    <col min="6" max="6" width="24.28515625" style="30" customWidth="1"/>
    <col min="7" max="7" width="16.7109375" style="30" customWidth="1"/>
    <col min="8" max="8" width="14.7109375" style="30" customWidth="1"/>
    <col min="9" max="16384" width="9.140625" style="30"/>
  </cols>
  <sheetData>
    <row r="1" spans="2:8" ht="20.25" x14ac:dyDescent="0.2">
      <c r="B1" s="119" t="s">
        <v>97</v>
      </c>
      <c r="C1" s="119"/>
      <c r="D1" s="119"/>
      <c r="E1" s="119"/>
      <c r="F1" s="119"/>
      <c r="G1" s="119"/>
      <c r="H1" s="119"/>
    </row>
    <row r="2" spans="2:8" x14ac:dyDescent="0.2">
      <c r="B2" s="120" t="s">
        <v>135</v>
      </c>
      <c r="C2" s="120"/>
      <c r="D2" s="120"/>
      <c r="E2" s="120"/>
      <c r="F2" s="120"/>
      <c r="G2" s="120"/>
      <c r="H2" s="120"/>
    </row>
    <row r="3" spans="2:8" ht="15" x14ac:dyDescent="0.2">
      <c r="B3" s="31"/>
      <c r="C3" s="32"/>
      <c r="D3" s="31"/>
      <c r="E3" s="31"/>
      <c r="F3" s="31"/>
      <c r="G3" s="31"/>
      <c r="H3" s="31"/>
    </row>
    <row r="4" spans="2:8" s="33" customFormat="1" ht="37.5" customHeight="1" x14ac:dyDescent="0.2">
      <c r="B4" s="7" t="s">
        <v>68</v>
      </c>
      <c r="C4" s="8" t="s">
        <v>67</v>
      </c>
      <c r="D4" s="7" t="s">
        <v>69</v>
      </c>
      <c r="E4" s="7" t="s">
        <v>76</v>
      </c>
      <c r="F4" s="7" t="s">
        <v>73</v>
      </c>
      <c r="G4" s="7" t="s">
        <v>74</v>
      </c>
      <c r="H4" s="7" t="s">
        <v>75</v>
      </c>
    </row>
    <row r="5" spans="2:8" ht="20.25" customHeight="1" x14ac:dyDescent="0.2">
      <c r="B5" s="6" t="s">
        <v>0</v>
      </c>
      <c r="C5" s="15" t="s">
        <v>126</v>
      </c>
      <c r="D5" s="9">
        <f>SUM(E5:H5)</f>
        <v>200285917241</v>
      </c>
      <c r="E5" s="9">
        <f>'Amendment 1 Summary'!D73</f>
        <v>104297499940</v>
      </c>
      <c r="F5" s="9">
        <f>'Amendment 1 Summary'!E73</f>
        <v>7780543600</v>
      </c>
      <c r="G5" s="9">
        <f>'Amendment 1 Summary'!F73</f>
        <v>82697686688</v>
      </c>
      <c r="H5" s="9">
        <f>'Amendment 1 Summary'!G73</f>
        <v>5510187013</v>
      </c>
    </row>
    <row r="6" spans="2:8" ht="20.25" customHeight="1" x14ac:dyDescent="0.2">
      <c r="B6" s="6"/>
      <c r="C6" s="16" t="s">
        <v>82</v>
      </c>
      <c r="D6" s="12">
        <f>D5/1000000000</f>
        <v>200.28591724099999</v>
      </c>
      <c r="E6" s="12">
        <f>E5/1000000000</f>
        <v>104.29749993999999</v>
      </c>
      <c r="F6" s="12">
        <f>F5/1000000000</f>
        <v>7.7805435999999997</v>
      </c>
      <c r="G6" s="12">
        <f>G5/1000000000</f>
        <v>82.697686688000005</v>
      </c>
      <c r="H6" s="12">
        <f>H5/1000000000</f>
        <v>5.5101870130000004</v>
      </c>
    </row>
    <row r="7" spans="2:8" x14ac:dyDescent="0.2">
      <c r="B7" s="17"/>
      <c r="C7" s="18" t="s">
        <v>85</v>
      </c>
      <c r="D7" s="17"/>
      <c r="E7" s="10">
        <f>E5/D5</f>
        <v>0.52074305261563114</v>
      </c>
      <c r="F7" s="10">
        <f>F5/D5</f>
        <v>3.884718260364671E-2</v>
      </c>
      <c r="G7" s="10">
        <f>G5/D5</f>
        <v>0.4128981599264992</v>
      </c>
      <c r="H7" s="10">
        <f>H5/D5</f>
        <v>2.7511604854222993E-2</v>
      </c>
    </row>
    <row r="8" spans="2:8" x14ac:dyDescent="0.2">
      <c r="B8" s="97" t="s">
        <v>134</v>
      </c>
      <c r="C8" s="98"/>
      <c r="D8" s="98"/>
      <c r="E8" s="99"/>
      <c r="F8" s="99"/>
      <c r="G8" s="99"/>
      <c r="H8" s="99"/>
    </row>
    <row r="9" spans="2:8" x14ac:dyDescent="0.2">
      <c r="B9" s="34"/>
      <c r="C9" s="35"/>
      <c r="D9" s="35"/>
    </row>
    <row r="10" spans="2:8" x14ac:dyDescent="0.2">
      <c r="B10" s="36"/>
      <c r="C10" s="37"/>
      <c r="D10" s="36"/>
      <c r="E10" s="36"/>
      <c r="F10" s="36"/>
      <c r="G10" s="36"/>
      <c r="H10" s="36"/>
    </row>
    <row r="11" spans="2:8" x14ac:dyDescent="0.2">
      <c r="B11" s="36"/>
      <c r="C11" s="37"/>
      <c r="D11" s="36"/>
      <c r="E11" s="36"/>
      <c r="F11" s="36"/>
      <c r="G11" s="36"/>
      <c r="H11" s="36"/>
    </row>
    <row r="12" spans="2:8" x14ac:dyDescent="0.2">
      <c r="B12" s="36"/>
      <c r="C12" s="37"/>
      <c r="D12" s="36"/>
      <c r="E12" s="36"/>
      <c r="F12" s="36"/>
      <c r="G12" s="36"/>
      <c r="H12" s="36"/>
    </row>
    <row r="13" spans="2:8" x14ac:dyDescent="0.2">
      <c r="B13" s="36"/>
      <c r="C13" s="37"/>
      <c r="D13" s="36"/>
      <c r="E13" s="36"/>
      <c r="F13" s="36"/>
      <c r="G13" s="36"/>
      <c r="H13" s="36"/>
    </row>
    <row r="14" spans="2:8" x14ac:dyDescent="0.2">
      <c r="B14" s="36"/>
      <c r="C14" s="37"/>
      <c r="D14" s="36"/>
      <c r="E14" s="36"/>
      <c r="F14" s="36"/>
      <c r="G14" s="36"/>
      <c r="H14" s="36"/>
    </row>
    <row r="15" spans="2:8" x14ac:dyDescent="0.2">
      <c r="B15" s="36"/>
      <c r="C15" s="37"/>
      <c r="D15" s="36"/>
      <c r="E15" s="36"/>
      <c r="F15" s="36"/>
      <c r="G15" s="36"/>
      <c r="H15" s="36"/>
    </row>
    <row r="16" spans="2:8" x14ac:dyDescent="0.2">
      <c r="B16" s="36"/>
      <c r="C16" s="37"/>
      <c r="D16" s="36"/>
      <c r="E16" s="36"/>
      <c r="F16" s="36"/>
      <c r="G16" s="36"/>
      <c r="H16" s="36"/>
    </row>
    <row r="17" spans="2:8" x14ac:dyDescent="0.2">
      <c r="B17" s="36"/>
      <c r="C17" s="37"/>
      <c r="D17" s="36"/>
      <c r="E17" s="36"/>
      <c r="F17" s="36"/>
      <c r="G17" s="36"/>
      <c r="H17" s="36"/>
    </row>
    <row r="18" spans="2:8" x14ac:dyDescent="0.2">
      <c r="B18" s="36"/>
      <c r="C18" s="37"/>
      <c r="D18" s="36"/>
      <c r="E18" s="36"/>
      <c r="F18" s="36"/>
      <c r="G18" s="36"/>
      <c r="H18" s="36"/>
    </row>
    <row r="19" spans="2:8" x14ac:dyDescent="0.2">
      <c r="B19" s="36"/>
      <c r="C19" s="37"/>
      <c r="D19" s="36"/>
      <c r="E19" s="36"/>
      <c r="F19" s="36"/>
      <c r="G19" s="36"/>
      <c r="H19" s="36"/>
    </row>
    <row r="20" spans="2:8" x14ac:dyDescent="0.2">
      <c r="B20" s="36"/>
      <c r="C20" s="37"/>
      <c r="D20" s="36"/>
      <c r="E20" s="36"/>
      <c r="F20" s="36"/>
      <c r="G20" s="36"/>
      <c r="H20" s="36"/>
    </row>
    <row r="21" spans="2:8" x14ac:dyDescent="0.2">
      <c r="B21" s="36"/>
      <c r="C21" s="37"/>
      <c r="D21" s="36"/>
      <c r="E21" s="36"/>
      <c r="F21" s="36"/>
      <c r="G21" s="36"/>
      <c r="H21" s="36"/>
    </row>
    <row r="22" spans="2:8" x14ac:dyDescent="0.2">
      <c r="B22" s="36"/>
      <c r="C22" s="37"/>
      <c r="D22" s="36"/>
      <c r="E22" s="36"/>
      <c r="F22" s="36"/>
      <c r="G22" s="36"/>
      <c r="H22" s="36"/>
    </row>
    <row r="23" spans="2:8" x14ac:dyDescent="0.2">
      <c r="B23" s="36"/>
      <c r="C23" s="37"/>
      <c r="D23" s="36"/>
      <c r="E23" s="36"/>
      <c r="F23" s="36"/>
      <c r="G23" s="36"/>
      <c r="H23" s="36"/>
    </row>
    <row r="24" spans="2:8" x14ac:dyDescent="0.2">
      <c r="B24" s="36"/>
      <c r="C24" s="37"/>
      <c r="D24" s="36"/>
      <c r="E24" s="36"/>
      <c r="F24" s="36"/>
      <c r="G24" s="36"/>
      <c r="H24" s="36"/>
    </row>
    <row r="25" spans="2:8" x14ac:dyDescent="0.2">
      <c r="B25" s="36"/>
      <c r="C25" s="37"/>
      <c r="D25" s="36"/>
      <c r="E25" s="36"/>
      <c r="F25" s="36"/>
      <c r="G25" s="36"/>
      <c r="H25" s="36"/>
    </row>
    <row r="26" spans="2:8" x14ac:dyDescent="0.2">
      <c r="B26" s="36"/>
      <c r="C26" s="37"/>
      <c r="D26" s="36"/>
      <c r="E26" s="36"/>
      <c r="F26" s="36"/>
      <c r="G26" s="36"/>
      <c r="H26" s="36"/>
    </row>
    <row r="27" spans="2:8" x14ac:dyDescent="0.2">
      <c r="B27" s="36"/>
      <c r="C27" s="37"/>
      <c r="D27" s="36"/>
      <c r="E27" s="36"/>
      <c r="F27" s="36"/>
      <c r="G27" s="36"/>
      <c r="H27" s="36"/>
    </row>
    <row r="28" spans="2:8" x14ac:dyDescent="0.2">
      <c r="B28" s="36"/>
      <c r="C28" s="37"/>
      <c r="D28" s="36"/>
      <c r="E28" s="36"/>
      <c r="F28" s="36"/>
      <c r="G28" s="36"/>
      <c r="H28" s="36"/>
    </row>
    <row r="29" spans="2:8" x14ac:dyDescent="0.2">
      <c r="B29" s="36"/>
      <c r="C29" s="37"/>
      <c r="D29" s="36"/>
      <c r="E29" s="36"/>
      <c r="F29" s="36"/>
      <c r="G29" s="36"/>
      <c r="H29" s="36"/>
    </row>
    <row r="30" spans="2:8" x14ac:dyDescent="0.2">
      <c r="B30" s="36"/>
      <c r="C30" s="37"/>
      <c r="D30" s="36"/>
      <c r="E30" s="36"/>
      <c r="F30" s="36"/>
      <c r="G30" s="36"/>
      <c r="H30" s="36"/>
    </row>
    <row r="31" spans="2:8" x14ac:dyDescent="0.2">
      <c r="B31" s="36"/>
      <c r="C31" s="37"/>
      <c r="D31" s="36"/>
      <c r="E31" s="36"/>
      <c r="F31" s="36"/>
      <c r="G31" s="36"/>
      <c r="H31" s="36"/>
    </row>
    <row r="32" spans="2:8" x14ac:dyDescent="0.2">
      <c r="B32" s="36"/>
      <c r="C32" s="37"/>
      <c r="D32" s="36"/>
      <c r="E32" s="36"/>
      <c r="F32" s="36"/>
      <c r="G32" s="36"/>
      <c r="H32" s="36"/>
    </row>
    <row r="33" spans="2:8" x14ac:dyDescent="0.2">
      <c r="B33" s="36"/>
      <c r="C33" s="37"/>
      <c r="D33" s="36"/>
      <c r="E33" s="36"/>
      <c r="F33" s="36"/>
      <c r="G33" s="36"/>
      <c r="H33" s="36"/>
    </row>
    <row r="34" spans="2:8" x14ac:dyDescent="0.2">
      <c r="B34" s="36"/>
      <c r="C34" s="37"/>
      <c r="D34" s="36"/>
      <c r="E34" s="36"/>
      <c r="F34" s="36"/>
      <c r="G34" s="36"/>
      <c r="H34" s="36"/>
    </row>
    <row r="35" spans="2:8" x14ac:dyDescent="0.2">
      <c r="B35" s="36"/>
      <c r="C35" s="37"/>
      <c r="D35" s="36"/>
      <c r="E35" s="36"/>
      <c r="F35" s="36"/>
      <c r="G35" s="36"/>
      <c r="H35" s="36"/>
    </row>
    <row r="36" spans="2:8" x14ac:dyDescent="0.2">
      <c r="B36" s="36"/>
      <c r="C36" s="37"/>
      <c r="D36" s="36"/>
      <c r="E36" s="36"/>
      <c r="F36" s="36"/>
      <c r="G36" s="36"/>
      <c r="H36" s="36"/>
    </row>
    <row r="37" spans="2:8" x14ac:dyDescent="0.2">
      <c r="B37" s="36"/>
      <c r="C37" s="37"/>
      <c r="D37" s="36"/>
      <c r="E37" s="36"/>
      <c r="F37" s="36"/>
      <c r="G37" s="36"/>
      <c r="H37" s="36"/>
    </row>
    <row r="38" spans="2:8" x14ac:dyDescent="0.2">
      <c r="B38" s="36"/>
      <c r="C38" s="37"/>
      <c r="D38" s="36"/>
      <c r="E38" s="36"/>
      <c r="F38" s="36"/>
      <c r="G38" s="36"/>
      <c r="H38" s="36"/>
    </row>
    <row r="39" spans="2:8" x14ac:dyDescent="0.2">
      <c r="B39" s="36"/>
      <c r="C39" s="37"/>
      <c r="D39" s="36"/>
      <c r="E39" s="36"/>
      <c r="F39" s="36"/>
      <c r="G39" s="36"/>
      <c r="H39" s="36"/>
    </row>
    <row r="40" spans="2:8" x14ac:dyDescent="0.2">
      <c r="B40" s="36"/>
      <c r="C40" s="37"/>
      <c r="D40" s="36"/>
      <c r="E40" s="36"/>
      <c r="F40" s="36"/>
      <c r="G40" s="36"/>
      <c r="H40" s="36"/>
    </row>
  </sheetData>
  <mergeCells count="2">
    <mergeCell ref="B1:H1"/>
    <mergeCell ref="B2:H2"/>
  </mergeCells>
  <phoneticPr fontId="2" type="noConversion"/>
  <conditionalFormatting sqref="B8:B9">
    <cfRule type="expression" dxfId="109" priority="1" stopIfTrue="1">
      <formula>MOD(ROW(),5)=1</formula>
    </cfRule>
  </conditionalFormatting>
  <pageMargins left="0.75" right="0.75" top="1" bottom="1" header="0.5" footer="0.5"/>
  <pageSetup scale="88" orientation="landscape" r:id="rId1"/>
  <headerFooter alignWithMargins="0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2:O44"/>
  <sheetViews>
    <sheetView zoomScale="96" zoomScaleNormal="96" workbookViewId="0"/>
  </sheetViews>
  <sheetFormatPr defaultRowHeight="14.25" x14ac:dyDescent="0.2"/>
  <cols>
    <col min="1" max="1" width="9.140625" style="28"/>
    <col min="2" max="15" width="17.28515625" style="28" bestFit="1" customWidth="1"/>
    <col min="16" max="16384" width="9.140625" style="28"/>
  </cols>
  <sheetData>
    <row r="2" spans="2:15" ht="15.75" x14ac:dyDescent="0.2">
      <c r="B2" s="7" t="s">
        <v>83</v>
      </c>
      <c r="C2" s="27" t="s">
        <v>105</v>
      </c>
      <c r="D2" s="27" t="s">
        <v>106</v>
      </c>
      <c r="E2" s="27" t="s">
        <v>107</v>
      </c>
      <c r="F2" s="27" t="s">
        <v>108</v>
      </c>
      <c r="G2" s="27" t="s">
        <v>109</v>
      </c>
      <c r="H2" s="27" t="s">
        <v>110</v>
      </c>
      <c r="I2" s="27" t="s">
        <v>111</v>
      </c>
      <c r="J2" s="27" t="s">
        <v>114</v>
      </c>
      <c r="K2" s="27" t="s">
        <v>118</v>
      </c>
      <c r="L2" s="94" t="s">
        <v>121</v>
      </c>
      <c r="M2" s="100" t="s">
        <v>125</v>
      </c>
      <c r="N2" s="100" t="s">
        <v>127</v>
      </c>
      <c r="O2" s="100" t="s">
        <v>136</v>
      </c>
    </row>
    <row r="3" spans="2:15" ht="23.25" customHeight="1" x14ac:dyDescent="0.2">
      <c r="B3" s="7" t="s">
        <v>69</v>
      </c>
      <c r="C3" s="9">
        <f t="shared" ref="C3:K3" si="0">SUM(C4:C7)</f>
        <v>109763958199</v>
      </c>
      <c r="D3" s="9">
        <f t="shared" si="0"/>
        <v>104767650017</v>
      </c>
      <c r="E3" s="9">
        <f t="shared" si="0"/>
        <v>102234039946</v>
      </c>
      <c r="F3" s="9">
        <f t="shared" si="0"/>
        <v>104038479741</v>
      </c>
      <c r="G3" s="9">
        <f t="shared" si="0"/>
        <v>111756447044</v>
      </c>
      <c r="H3" s="9">
        <f t="shared" si="0"/>
        <v>134219486721</v>
      </c>
      <c r="I3" s="9">
        <f t="shared" si="0"/>
        <v>161874247936</v>
      </c>
      <c r="J3" s="9">
        <f t="shared" si="0"/>
        <v>176120810676</v>
      </c>
      <c r="K3" s="9">
        <f t="shared" si="0"/>
        <v>181030253983</v>
      </c>
      <c r="L3" s="9">
        <f>SUM(L4:L7)</f>
        <v>184905847954</v>
      </c>
      <c r="M3" s="9">
        <f>SUM(M4:M7)</f>
        <v>191966421525</v>
      </c>
      <c r="N3" s="9">
        <f>SUM(N4:N7)</f>
        <v>189911443957</v>
      </c>
      <c r="O3" s="9">
        <f>SUM(O4:O7)</f>
        <v>200285917241</v>
      </c>
    </row>
    <row r="4" spans="2:15" ht="30" x14ac:dyDescent="0.2">
      <c r="B4" s="11" t="s">
        <v>76</v>
      </c>
      <c r="C4" s="9">
        <f>'Additional 25K H_EX'!AA73</f>
        <v>91832647069</v>
      </c>
      <c r="D4" s="9">
        <f>'Additional 25K H_EX'!Y73</f>
        <v>87962853837</v>
      </c>
      <c r="E4" s="9">
        <f>'Additional 25K H_EX'!W73</f>
        <v>84198498206</v>
      </c>
      <c r="F4" s="9">
        <f>'Additional 25K H_EX'!U73</f>
        <v>81251969966</v>
      </c>
      <c r="G4" s="9">
        <f>'Additional 25K H_EX'!S73</f>
        <v>80691798384</v>
      </c>
      <c r="H4" s="9">
        <f>'Additional 25K H_EX'!Q73</f>
        <v>81390121038</v>
      </c>
      <c r="I4" s="9">
        <f>'Additional 25K H_EX'!O73</f>
        <v>82828511565</v>
      </c>
      <c r="J4" s="9">
        <f>'Additional 25K H_EX'!M73</f>
        <v>85550292030</v>
      </c>
      <c r="K4" s="9">
        <f>'Additional 25K H_EX'!K73</f>
        <v>89053943966</v>
      </c>
      <c r="L4" s="9">
        <f>'Additional 25K H_EX'!I73</f>
        <v>92819831879</v>
      </c>
      <c r="M4" s="9">
        <f>'Additional 25K H_EX'!G73</f>
        <v>96658642921</v>
      </c>
      <c r="N4" s="9">
        <f>'Additional 25K H_EX'!E73</f>
        <v>100699133910</v>
      </c>
      <c r="O4" s="9">
        <f>'Additional 25K H_EX'!C73</f>
        <v>104297499940</v>
      </c>
    </row>
    <row r="5" spans="2:15" ht="30" x14ac:dyDescent="0.2">
      <c r="B5" s="11" t="s">
        <v>73</v>
      </c>
      <c r="C5" s="9">
        <f>'25K TPP EX'!AA73</f>
        <v>8448822519</v>
      </c>
      <c r="D5" s="9">
        <f>'25K TPP EX'!Y73</f>
        <v>8098463300</v>
      </c>
      <c r="E5" s="9">
        <f>'25K TPP EX'!W73</f>
        <v>7765836667</v>
      </c>
      <c r="F5" s="9">
        <f>'25K TPP EX'!U73</f>
        <v>7705343193</v>
      </c>
      <c r="G5" s="9">
        <f>'25K TPP EX'!S73</f>
        <v>7716750591</v>
      </c>
      <c r="H5" s="9">
        <f>'25K TPP EX'!Q73</f>
        <v>7772183186</v>
      </c>
      <c r="I5" s="9">
        <f>'25K TPP EX'!O73</f>
        <v>7828525706</v>
      </c>
      <c r="J5" s="9">
        <f>'25K TPP EX'!M73</f>
        <v>7813927621</v>
      </c>
      <c r="K5" s="9">
        <f>'25K TPP EX'!K73</f>
        <v>7775073167</v>
      </c>
      <c r="L5" s="9">
        <f>'25K TPP EX'!I73</f>
        <v>7768664613</v>
      </c>
      <c r="M5" s="9">
        <f>'25K TPP EX'!G73</f>
        <v>7812219947</v>
      </c>
      <c r="N5" s="9">
        <f>'25K TPP EX'!E73</f>
        <v>7860095811</v>
      </c>
      <c r="O5" s="9">
        <f>'25K TPP EX'!C73</f>
        <v>7780543600</v>
      </c>
    </row>
    <row r="6" spans="2:15" ht="23.25" customHeight="1" x14ac:dyDescent="0.2">
      <c r="B6" s="11" t="s">
        <v>74</v>
      </c>
      <c r="C6" s="9">
        <f>'10% Non-Homestead'!AA73</f>
        <v>7205266094</v>
      </c>
      <c r="D6" s="9">
        <f>'10% Non-Homestead'!Y73</f>
        <v>7671415627</v>
      </c>
      <c r="E6" s="9">
        <f>'10% Non-Homestead'!W73</f>
        <v>9707982064</v>
      </c>
      <c r="F6" s="9">
        <f>'10% Non-Homestead'!U73</f>
        <v>14615646273</v>
      </c>
      <c r="G6" s="9">
        <f>'10% Non-Homestead'!S73</f>
        <v>22840323397</v>
      </c>
      <c r="H6" s="9">
        <f>'10% Non-Homestead'!Q73</f>
        <v>44158789416</v>
      </c>
      <c r="I6" s="9">
        <f>'10% Non-Homestead'!O73</f>
        <v>69462507954</v>
      </c>
      <c r="J6" s="9">
        <f>'10% Non-Homestead'!M73</f>
        <v>79900415651</v>
      </c>
      <c r="K6" s="9">
        <f>'10% Non-Homestead'!K73</f>
        <v>80593934236</v>
      </c>
      <c r="L6" s="9">
        <f>'10% Non-Homestead'!I73</f>
        <v>80107473356</v>
      </c>
      <c r="M6" s="9">
        <f>'10% Non-Homestead'!G73</f>
        <v>82653094157</v>
      </c>
      <c r="N6" s="9">
        <f>'10% Non-Homestead'!E73</f>
        <v>76168336911</v>
      </c>
      <c r="O6" s="9">
        <f>'10% Non-Homestead'!C73</f>
        <v>82697686688</v>
      </c>
    </row>
    <row r="7" spans="2:15" ht="27.75" customHeight="1" x14ac:dyDescent="0.2">
      <c r="B7" s="11" t="s">
        <v>75</v>
      </c>
      <c r="C7" s="9">
        <f>'Portability Impact'!AA73</f>
        <v>2277222517</v>
      </c>
      <c r="D7" s="9">
        <f>'Portability Impact'!Y73</f>
        <v>1034917253</v>
      </c>
      <c r="E7" s="9">
        <f>'Portability Impact'!W73</f>
        <v>561723009</v>
      </c>
      <c r="F7" s="9">
        <f>'Portability Impact'!U73</f>
        <v>465520309</v>
      </c>
      <c r="G7" s="9">
        <f>'Portability Impact'!S73</f>
        <v>507574672</v>
      </c>
      <c r="H7" s="9">
        <f>'Portability Impact'!Q73</f>
        <v>898393081</v>
      </c>
      <c r="I7" s="9">
        <f>'Portability Impact'!O73</f>
        <v>1754702711</v>
      </c>
      <c r="J7" s="9">
        <f>'Portability Impact'!M73</f>
        <v>2856175374</v>
      </c>
      <c r="K7" s="9">
        <f>'Portability Impact'!K73</f>
        <v>3607302614</v>
      </c>
      <c r="L7" s="9">
        <f>'Portability Impact'!I73</f>
        <v>4209878106</v>
      </c>
      <c r="M7" s="9">
        <f>'Portability Impact'!G73</f>
        <v>4842464500</v>
      </c>
      <c r="N7" s="9">
        <f>'Portability Impact'!E73</f>
        <v>5183877325</v>
      </c>
      <c r="O7" s="9">
        <f>'Portability Impact'!C73</f>
        <v>5510187013</v>
      </c>
    </row>
    <row r="8" spans="2:15" x14ac:dyDescent="0.2">
      <c r="B8" s="121" t="s">
        <v>134</v>
      </c>
      <c r="C8" s="122"/>
      <c r="D8" s="122"/>
    </row>
    <row r="11" spans="2:15" x14ac:dyDescent="0.2"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2:15" x14ac:dyDescent="0.2"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2:15" x14ac:dyDescent="0.2"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2:15" x14ac:dyDescent="0.2"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2:15" x14ac:dyDescent="0.2"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2:15" x14ac:dyDescent="0.2"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2:11" x14ac:dyDescent="0.2"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2:11" x14ac:dyDescent="0.2"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2:11" x14ac:dyDescent="0.2"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2:11" x14ac:dyDescent="0.2"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spans="2:11" x14ac:dyDescent="0.2"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2:11" x14ac:dyDescent="0.2"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2:11" x14ac:dyDescent="0.2"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2:11" x14ac:dyDescent="0.2"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spans="2:11" x14ac:dyDescent="0.2"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2:11" x14ac:dyDescent="0.2"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2:11" x14ac:dyDescent="0.2"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2:11" x14ac:dyDescent="0.2"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2:11" x14ac:dyDescent="0.2"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spans="2:11" x14ac:dyDescent="0.2"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2:11" x14ac:dyDescent="0.2"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2:11" x14ac:dyDescent="0.2"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2:11" x14ac:dyDescent="0.2"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2:11" x14ac:dyDescent="0.2"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2:11" x14ac:dyDescent="0.2"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2:11" x14ac:dyDescent="0.2"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2:11" x14ac:dyDescent="0.2"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2:11" x14ac:dyDescent="0.2"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2:11" x14ac:dyDescent="0.2"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2:11" x14ac:dyDescent="0.2"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2:11" x14ac:dyDescent="0.2"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2:11" x14ac:dyDescent="0.2"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2:11" x14ac:dyDescent="0.2"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2:11" x14ac:dyDescent="0.2">
      <c r="B44" s="29"/>
      <c r="C44" s="29"/>
      <c r="D44" s="29"/>
      <c r="E44" s="29"/>
      <c r="F44" s="29"/>
      <c r="G44" s="29"/>
      <c r="H44" s="29"/>
      <c r="I44" s="29"/>
      <c r="J44" s="29"/>
      <c r="K44" s="29"/>
    </row>
  </sheetData>
  <mergeCells count="1">
    <mergeCell ref="B8:D8"/>
  </mergeCells>
  <phoneticPr fontId="2" type="noConversion"/>
  <conditionalFormatting sqref="B8">
    <cfRule type="expression" dxfId="99" priority="1" stopIfTrue="1">
      <formula>MOD(ROW(),5)=1</formula>
    </cfRule>
  </conditionalFormatting>
  <pageMargins left="0.75" right="0.75" top="1" bottom="1" header="0.5" footer="0.5"/>
  <pageSetup scale="81" orientation="portrait" r:id="rId1"/>
  <headerFooter alignWithMargins="0"/>
  <ignoredErrors>
    <ignoredError sqref="M5:M7" calculatedColumn="1"/>
  </ignoredErrors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C75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21.42578125" defaultRowHeight="14.25" x14ac:dyDescent="0.2"/>
  <cols>
    <col min="1" max="1" width="33.5703125" style="23" customWidth="1"/>
    <col min="2" max="2" width="9.28515625" style="47" bestFit="1" customWidth="1"/>
    <col min="3" max="3" width="18.140625" style="47" customWidth="1"/>
    <col min="4" max="4" width="16.42578125" style="47" bestFit="1" customWidth="1"/>
    <col min="5" max="5" width="18.140625" style="47" customWidth="1"/>
    <col min="6" max="6" width="16.42578125" style="47" bestFit="1" customWidth="1"/>
    <col min="7" max="7" width="18.42578125" style="47" bestFit="1" customWidth="1"/>
    <col min="8" max="8" width="20.5703125" style="47" bestFit="1" customWidth="1"/>
    <col min="9" max="9" width="15.42578125" style="23" bestFit="1" customWidth="1"/>
    <col min="10" max="10" width="21.140625" style="23" bestFit="1" customWidth="1"/>
    <col min="11" max="11" width="15.42578125" style="23" bestFit="1" customWidth="1"/>
    <col min="12" max="12" width="21.140625" style="23" bestFit="1" customWidth="1"/>
    <col min="13" max="13" width="15.42578125" style="23" bestFit="1" customWidth="1"/>
    <col min="14" max="14" width="21.140625" style="23" bestFit="1" customWidth="1"/>
    <col min="15" max="15" width="15.42578125" style="23" bestFit="1" customWidth="1"/>
    <col min="16" max="16" width="21.140625" style="23" bestFit="1" customWidth="1"/>
    <col min="17" max="17" width="15.42578125" style="23" bestFit="1" customWidth="1"/>
    <col min="18" max="18" width="21.140625" style="23" bestFit="1" customWidth="1"/>
    <col min="19" max="19" width="15.42578125" style="23" bestFit="1" customWidth="1"/>
    <col min="20" max="20" width="21.140625" style="23" bestFit="1" customWidth="1"/>
    <col min="21" max="21" width="15.42578125" style="23" bestFit="1" customWidth="1"/>
    <col min="22" max="22" width="21.140625" style="23" bestFit="1" customWidth="1"/>
    <col min="23" max="23" width="15.42578125" style="23" bestFit="1" customWidth="1"/>
    <col min="24" max="24" width="21.140625" style="23" bestFit="1" customWidth="1"/>
    <col min="25" max="25" width="15.42578125" style="23" bestFit="1" customWidth="1"/>
    <col min="26" max="26" width="21.140625" style="23" bestFit="1" customWidth="1"/>
    <col min="27" max="27" width="15.42578125" style="23" bestFit="1" customWidth="1"/>
    <col min="28" max="16384" width="21.42578125" style="2"/>
  </cols>
  <sheetData>
    <row r="1" spans="1:29" ht="23.25" x14ac:dyDescent="0.2">
      <c r="A1" s="14" t="s">
        <v>79</v>
      </c>
      <c r="B1" s="40"/>
      <c r="C1" s="40"/>
      <c r="D1" s="40"/>
      <c r="E1" s="40"/>
      <c r="F1" s="40"/>
      <c r="G1" s="40"/>
      <c r="H1" s="40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9" ht="15" x14ac:dyDescent="0.2">
      <c r="A2" s="21" t="s">
        <v>139</v>
      </c>
      <c r="B2" s="40"/>
      <c r="C2" s="40"/>
      <c r="D2" s="40"/>
      <c r="E2" s="40"/>
      <c r="F2" s="40"/>
      <c r="G2" s="40"/>
      <c r="H2" s="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9" ht="15.75" thickBot="1" x14ac:dyDescent="0.25">
      <c r="A3" s="22"/>
      <c r="B3" s="40"/>
      <c r="C3" s="40"/>
      <c r="D3" s="40"/>
      <c r="E3" s="40"/>
      <c r="F3" s="40"/>
      <c r="G3" s="40"/>
      <c r="H3" s="40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9" s="62" customFormat="1" ht="28.5" customHeight="1" x14ac:dyDescent="0.2">
      <c r="A4" s="72" t="s">
        <v>68</v>
      </c>
      <c r="B4" s="73" t="s">
        <v>67</v>
      </c>
      <c r="C4" s="73" t="s">
        <v>137</v>
      </c>
      <c r="D4" s="73" t="s">
        <v>138</v>
      </c>
      <c r="E4" s="73" t="s">
        <v>128</v>
      </c>
      <c r="F4" s="73" t="s">
        <v>129</v>
      </c>
      <c r="G4" s="73" t="s">
        <v>122</v>
      </c>
      <c r="H4" s="73" t="s">
        <v>123</v>
      </c>
      <c r="I4" s="73" t="s">
        <v>119</v>
      </c>
      <c r="J4" s="73" t="s">
        <v>120</v>
      </c>
      <c r="K4" s="73" t="s">
        <v>116</v>
      </c>
      <c r="L4" s="73" t="s">
        <v>117</v>
      </c>
      <c r="M4" s="73" t="s">
        <v>113</v>
      </c>
      <c r="N4" s="73" t="s">
        <v>112</v>
      </c>
      <c r="O4" s="73" t="s">
        <v>103</v>
      </c>
      <c r="P4" s="73" t="s">
        <v>104</v>
      </c>
      <c r="Q4" s="73" t="s">
        <v>101</v>
      </c>
      <c r="R4" s="73" t="s">
        <v>102</v>
      </c>
      <c r="S4" s="73" t="s">
        <v>94</v>
      </c>
      <c r="T4" s="73" t="s">
        <v>95</v>
      </c>
      <c r="U4" s="73" t="s">
        <v>91</v>
      </c>
      <c r="V4" s="73" t="s">
        <v>92</v>
      </c>
      <c r="W4" s="73" t="s">
        <v>89</v>
      </c>
      <c r="X4" s="73" t="s">
        <v>90</v>
      </c>
      <c r="Y4" s="73" t="s">
        <v>70</v>
      </c>
      <c r="Z4" s="73" t="s">
        <v>71</v>
      </c>
      <c r="AA4" s="74" t="s">
        <v>72</v>
      </c>
    </row>
    <row r="5" spans="1:29" ht="14.25" customHeight="1" x14ac:dyDescent="0.2">
      <c r="A5" s="51" t="s">
        <v>66</v>
      </c>
      <c r="B5" s="45" t="s">
        <v>132</v>
      </c>
      <c r="C5" s="103">
        <v>1136734402</v>
      </c>
      <c r="D5" s="102">
        <f>C5/E5-1</f>
        <v>2.4802818741093136E-2</v>
      </c>
      <c r="E5" s="103">
        <v>1109222556</v>
      </c>
      <c r="F5" s="102">
        <f>E5/G5-1</f>
        <v>3.2537481039552674E-2</v>
      </c>
      <c r="G5" s="103">
        <v>1074268563</v>
      </c>
      <c r="H5" s="102">
        <f>G5/I5-1</f>
        <v>2.9505718201934483E-2</v>
      </c>
      <c r="I5" s="65">
        <v>1043479938</v>
      </c>
      <c r="J5" s="66">
        <f>I5/K5-1</f>
        <v>3.1964039728046512E-2</v>
      </c>
      <c r="K5" s="65">
        <v>1011159205</v>
      </c>
      <c r="L5" s="66">
        <f>K5/M5-1</f>
        <v>3.5347734915331497E-2</v>
      </c>
      <c r="M5" s="65">
        <v>976637289</v>
      </c>
      <c r="N5" s="66">
        <f>M5/O5-1</f>
        <v>2.2490571952016536E-2</v>
      </c>
      <c r="O5" s="65">
        <v>955155300</v>
      </c>
      <c r="P5" s="66">
        <f>O5/Q5-1</f>
        <v>8.6050539940465409E-3</v>
      </c>
      <c r="Q5" s="65">
        <v>947006260</v>
      </c>
      <c r="R5" s="66">
        <f>Q5/S5-1</f>
        <v>-1.1128183612771902E-3</v>
      </c>
      <c r="S5" s="67">
        <v>948061280</v>
      </c>
      <c r="T5" s="66">
        <f>S5/U5-1</f>
        <v>-2.2976459459276732E-2</v>
      </c>
      <c r="U5" s="67">
        <v>970356640</v>
      </c>
      <c r="V5" s="66">
        <f>U5/W5-1</f>
        <v>-1.8754657053484225E-2</v>
      </c>
      <c r="W5" s="67">
        <v>988903180</v>
      </c>
      <c r="X5" s="66">
        <f>W5/Y5-1</f>
        <v>-2.1338643218006714E-2</v>
      </c>
      <c r="Y5" s="67">
        <v>1010465135</v>
      </c>
      <c r="Z5" s="66">
        <f>Y5/AA5-1</f>
        <v>8.4135780802105931E-3</v>
      </c>
      <c r="AA5" s="76">
        <v>1002034440</v>
      </c>
      <c r="AC5" s="24"/>
    </row>
    <row r="6" spans="1:29" ht="14.25" customHeight="1" x14ac:dyDescent="0.2">
      <c r="A6" s="51" t="s">
        <v>65</v>
      </c>
      <c r="B6" s="45" t="s">
        <v>133</v>
      </c>
      <c r="C6" s="103">
        <v>118697611</v>
      </c>
      <c r="D6" s="102">
        <f>C6/E6-1</f>
        <v>4.5710447732450143E-2</v>
      </c>
      <c r="E6" s="103">
        <v>113509061</v>
      </c>
      <c r="F6" s="102">
        <f>E6/G6-1</f>
        <v>5.0282192461071018E-2</v>
      </c>
      <c r="G6" s="103">
        <v>108074822</v>
      </c>
      <c r="H6" s="102">
        <f>G6/I6-1</f>
        <v>4.7076379665763612E-2</v>
      </c>
      <c r="I6" s="65">
        <v>103215796</v>
      </c>
      <c r="J6" s="66">
        <f t="shared" ref="J6:J69" si="0">I6/K6-1</f>
        <v>4.7853772131292382E-2</v>
      </c>
      <c r="K6" s="65">
        <v>98502099</v>
      </c>
      <c r="L6" s="66">
        <f>K6/M6-1</f>
        <v>4.5162260264516085E-2</v>
      </c>
      <c r="M6" s="65">
        <v>94245748</v>
      </c>
      <c r="N6" s="66">
        <f>M6/O6-1</f>
        <v>2.3031569150046005E-2</v>
      </c>
      <c r="O6" s="65">
        <v>92123988</v>
      </c>
      <c r="P6" s="66">
        <f>O6/Q6-1</f>
        <v>6.7977875494427131E-3</v>
      </c>
      <c r="Q6" s="65">
        <v>91501977</v>
      </c>
      <c r="R6" s="66">
        <f>Q6/S6-1</f>
        <v>1.9779312488335421E-2</v>
      </c>
      <c r="S6" s="67">
        <v>89727234</v>
      </c>
      <c r="T6" s="66">
        <f>S6/U6-1</f>
        <v>2.2947146274649999E-3</v>
      </c>
      <c r="U6" s="67">
        <v>89521807</v>
      </c>
      <c r="V6" s="66">
        <f>U6/W6-1</f>
        <v>-2.8821262761163369E-2</v>
      </c>
      <c r="W6" s="67">
        <v>92178508</v>
      </c>
      <c r="X6" s="66">
        <f>W6/Y6-1</f>
        <v>9.8357379947644485E-3</v>
      </c>
      <c r="Y6" s="67">
        <v>91280695</v>
      </c>
      <c r="Z6" s="66">
        <f>Y6/AA6-1</f>
        <v>1.826007072235325E-2</v>
      </c>
      <c r="AA6" s="76">
        <v>89643793</v>
      </c>
      <c r="AC6" s="24"/>
    </row>
    <row r="7" spans="1:29" ht="14.25" customHeight="1" x14ac:dyDescent="0.2">
      <c r="A7" s="51" t="s">
        <v>64</v>
      </c>
      <c r="B7" s="45" t="s">
        <v>132</v>
      </c>
      <c r="C7" s="103">
        <v>798569920</v>
      </c>
      <c r="D7" s="102">
        <f t="shared" ref="D7:D70" si="1">C7/E7-1</f>
        <v>5.0158651270813648E-2</v>
      </c>
      <c r="E7" s="103">
        <v>760427883</v>
      </c>
      <c r="F7" s="102">
        <f t="shared" ref="F7:H70" si="2">E7/G7-1</f>
        <v>1.9699827335774911E-2</v>
      </c>
      <c r="G7" s="103">
        <v>745736993</v>
      </c>
      <c r="H7" s="102">
        <f t="shared" si="2"/>
        <v>-4.9503795492179092E-2</v>
      </c>
      <c r="I7" s="65">
        <v>784576508</v>
      </c>
      <c r="J7" s="66">
        <f t="shared" si="0"/>
        <v>2.9816239881662154E-2</v>
      </c>
      <c r="K7" s="65">
        <v>761860687</v>
      </c>
      <c r="L7" s="66">
        <f t="shared" ref="L7:L70" si="3">K7/M7-1</f>
        <v>2.5127150885500438E-2</v>
      </c>
      <c r="M7" s="65">
        <v>743186527</v>
      </c>
      <c r="N7" s="66">
        <f t="shared" ref="N7:N70" si="4">M7/O7-1</f>
        <v>1.664617710838634E-2</v>
      </c>
      <c r="O7" s="65">
        <v>731017874</v>
      </c>
      <c r="P7" s="66">
        <f t="shared" ref="P7:P70" si="5">O7/Q7-1</f>
        <v>9.1450324537387662E-3</v>
      </c>
      <c r="Q7" s="65">
        <v>724393274</v>
      </c>
      <c r="R7" s="66">
        <f t="shared" ref="R7:T70" si="6">Q7/S7-1</f>
        <v>-4.5340240828322109E-3</v>
      </c>
      <c r="S7" s="67">
        <v>727692650</v>
      </c>
      <c r="T7" s="66">
        <f t="shared" si="6"/>
        <v>-1.5481198382026773E-2</v>
      </c>
      <c r="U7" s="67">
        <v>739135351</v>
      </c>
      <c r="V7" s="66">
        <f t="shared" ref="V7:V70" si="7">U7/W7-1</f>
        <v>-2.1640206103336057E-3</v>
      </c>
      <c r="W7" s="67">
        <v>740738324</v>
      </c>
      <c r="X7" s="66">
        <f t="shared" ref="X7:X70" si="8">W7/Y7-1</f>
        <v>-1.3719498525094243E-2</v>
      </c>
      <c r="Y7" s="67">
        <v>751042247</v>
      </c>
      <c r="Z7" s="66">
        <f t="shared" ref="Z7:Z70" si="9">Y7/AA7-1</f>
        <v>-2.2661233881321463E-3</v>
      </c>
      <c r="AA7" s="76">
        <v>752748067</v>
      </c>
      <c r="AC7" s="24"/>
    </row>
    <row r="8" spans="1:29" ht="14.25" customHeight="1" x14ac:dyDescent="0.2">
      <c r="A8" s="51" t="s">
        <v>63</v>
      </c>
      <c r="B8" s="45" t="s">
        <v>133</v>
      </c>
      <c r="C8" s="103">
        <v>102353370</v>
      </c>
      <c r="D8" s="102">
        <f t="shared" si="1"/>
        <v>5.4408336620588971E-2</v>
      </c>
      <c r="E8" s="103">
        <v>97071852</v>
      </c>
      <c r="F8" s="102">
        <f t="shared" si="2"/>
        <v>4.8161287856505197E-2</v>
      </c>
      <c r="G8" s="103">
        <v>92611560</v>
      </c>
      <c r="H8" s="102">
        <f t="shared" si="2"/>
        <v>5.0209844517809854E-2</v>
      </c>
      <c r="I8" s="65">
        <v>88183862</v>
      </c>
      <c r="J8" s="66">
        <f t="shared" si="0"/>
        <v>4.9783710932179259E-2</v>
      </c>
      <c r="K8" s="65">
        <v>84001934</v>
      </c>
      <c r="L8" s="66">
        <f t="shared" si="3"/>
        <v>4.2200932780617206E-2</v>
      </c>
      <c r="M8" s="65">
        <v>80600517</v>
      </c>
      <c r="N8" s="66">
        <f t="shared" si="4"/>
        <v>2.3476820392322351E-2</v>
      </c>
      <c r="O8" s="65">
        <v>78751678</v>
      </c>
      <c r="P8" s="66">
        <f t="shared" si="5"/>
        <v>1.217872477015125E-2</v>
      </c>
      <c r="Q8" s="65">
        <v>77804123</v>
      </c>
      <c r="R8" s="66">
        <f t="shared" si="6"/>
        <v>-1.5895059015380575E-3</v>
      </c>
      <c r="S8" s="67">
        <v>77927990</v>
      </c>
      <c r="T8" s="66">
        <f t="shared" si="6"/>
        <v>-3.8364151679934677E-2</v>
      </c>
      <c r="U8" s="67">
        <v>81036902</v>
      </c>
      <c r="V8" s="66">
        <f t="shared" si="7"/>
        <v>-1.5340019102939473E-2</v>
      </c>
      <c r="W8" s="67">
        <v>82299376</v>
      </c>
      <c r="X8" s="66">
        <f t="shared" si="8"/>
        <v>-2.1262106235180878E-2</v>
      </c>
      <c r="Y8" s="67">
        <v>84087248</v>
      </c>
      <c r="Z8" s="66">
        <f t="shared" si="9"/>
        <v>1.8746617393691212E-2</v>
      </c>
      <c r="AA8" s="76">
        <v>82539904</v>
      </c>
      <c r="AC8" s="24"/>
    </row>
    <row r="9" spans="1:29" ht="14.25" customHeight="1" x14ac:dyDescent="0.2">
      <c r="A9" s="51" t="s">
        <v>62</v>
      </c>
      <c r="B9" s="45" t="s">
        <v>132</v>
      </c>
      <c r="C9" s="103">
        <v>3505410815</v>
      </c>
      <c r="D9" s="102">
        <f t="shared" si="1"/>
        <v>3.5741002938212363E-2</v>
      </c>
      <c r="E9" s="103">
        <v>3384447275</v>
      </c>
      <c r="F9" s="102">
        <f t="shared" si="2"/>
        <v>4.3404102606144246E-2</v>
      </c>
      <c r="G9" s="103">
        <v>3243659160</v>
      </c>
      <c r="H9" s="102">
        <f t="shared" si="2"/>
        <v>4.9876821603279664E-2</v>
      </c>
      <c r="I9" s="65">
        <v>3089561645</v>
      </c>
      <c r="J9" s="66">
        <f t="shared" si="0"/>
        <v>5.2339425123364647E-2</v>
      </c>
      <c r="K9" s="65">
        <v>2935898410</v>
      </c>
      <c r="L9" s="66">
        <f t="shared" si="3"/>
        <v>4.9596903662074476E-2</v>
      </c>
      <c r="M9" s="65">
        <v>2797167560</v>
      </c>
      <c r="N9" s="66">
        <f t="shared" si="4"/>
        <v>3.2369221353574451E-2</v>
      </c>
      <c r="O9" s="65">
        <v>2709464310</v>
      </c>
      <c r="P9" s="66">
        <f t="shared" si="5"/>
        <v>2.6887743091019045E-2</v>
      </c>
      <c r="Q9" s="65">
        <v>2638520450</v>
      </c>
      <c r="R9" s="66">
        <f t="shared" si="6"/>
        <v>2.0894481736844162E-2</v>
      </c>
      <c r="S9" s="67">
        <v>2584518280</v>
      </c>
      <c r="T9" s="66">
        <f t="shared" si="6"/>
        <v>6.4568902904598158E-3</v>
      </c>
      <c r="U9" s="67">
        <v>2567937390</v>
      </c>
      <c r="V9" s="66">
        <f t="shared" si="7"/>
        <v>-5.2133103268469205E-2</v>
      </c>
      <c r="W9" s="67">
        <v>2709175095</v>
      </c>
      <c r="X9" s="66">
        <f t="shared" si="8"/>
        <v>-0.11322136256806514</v>
      </c>
      <c r="Y9" s="67">
        <v>3055074830</v>
      </c>
      <c r="Z9" s="66">
        <f t="shared" si="9"/>
        <v>-2.7929830337357853E-2</v>
      </c>
      <c r="AA9" s="76">
        <v>3142854215</v>
      </c>
      <c r="AC9" s="24"/>
    </row>
    <row r="10" spans="1:29" ht="14.25" customHeight="1" x14ac:dyDescent="0.2">
      <c r="A10" s="51" t="s">
        <v>61</v>
      </c>
      <c r="B10" s="45" t="s">
        <v>132</v>
      </c>
      <c r="C10" s="103">
        <v>9083807510</v>
      </c>
      <c r="D10" s="102">
        <f t="shared" si="1"/>
        <v>2.130997742951557E-2</v>
      </c>
      <c r="E10" s="103">
        <v>8894270800</v>
      </c>
      <c r="F10" s="102">
        <f t="shared" si="2"/>
        <v>2.959627461226666E-2</v>
      </c>
      <c r="G10" s="103">
        <v>8638600410</v>
      </c>
      <c r="H10" s="102">
        <f t="shared" si="2"/>
        <v>3.185117767860679E-2</v>
      </c>
      <c r="I10" s="65">
        <v>8371944130</v>
      </c>
      <c r="J10" s="66">
        <f t="shared" si="0"/>
        <v>3.2534219691354727E-2</v>
      </c>
      <c r="K10" s="65">
        <v>8108151740</v>
      </c>
      <c r="L10" s="66">
        <f t="shared" si="3"/>
        <v>2.9428777677938722E-2</v>
      </c>
      <c r="M10" s="65">
        <v>7876360090</v>
      </c>
      <c r="N10" s="66">
        <f t="shared" si="4"/>
        <v>2.1468209019371409E-2</v>
      </c>
      <c r="O10" s="65">
        <v>7710822540</v>
      </c>
      <c r="P10" s="66">
        <f t="shared" si="5"/>
        <v>8.706472694240075E-3</v>
      </c>
      <c r="Q10" s="65">
        <v>7644267930</v>
      </c>
      <c r="R10" s="66">
        <f t="shared" si="6"/>
        <v>1.770780092373414E-3</v>
      </c>
      <c r="S10" s="67">
        <v>7630755540</v>
      </c>
      <c r="T10" s="66">
        <f t="shared" si="6"/>
        <v>-6.2426823710896029E-3</v>
      </c>
      <c r="U10" s="67">
        <v>7678691170</v>
      </c>
      <c r="V10" s="66">
        <f t="shared" si="7"/>
        <v>-2.601030503769497E-2</v>
      </c>
      <c r="W10" s="67">
        <v>7883749910</v>
      </c>
      <c r="X10" s="66">
        <f t="shared" si="8"/>
        <v>-3.6692450061671766E-2</v>
      </c>
      <c r="Y10" s="67">
        <v>8184042480</v>
      </c>
      <c r="Z10" s="66">
        <f t="shared" si="9"/>
        <v>-7.9141959373295379E-2</v>
      </c>
      <c r="AA10" s="76">
        <v>8887409480</v>
      </c>
      <c r="AC10" s="24"/>
    </row>
    <row r="11" spans="1:29" ht="14.25" customHeight="1" x14ac:dyDescent="0.2">
      <c r="A11" s="51" t="s">
        <v>60</v>
      </c>
      <c r="B11" s="45" t="s">
        <v>133</v>
      </c>
      <c r="C11" s="103">
        <v>36464601</v>
      </c>
      <c r="D11" s="102">
        <f t="shared" si="1"/>
        <v>5.6968485559330651E-2</v>
      </c>
      <c r="E11" s="103">
        <v>34499232</v>
      </c>
      <c r="F11" s="102">
        <f t="shared" si="2"/>
        <v>0.11109832872276315</v>
      </c>
      <c r="G11" s="103">
        <v>31049666</v>
      </c>
      <c r="H11" s="102">
        <f t="shared" si="2"/>
        <v>-0.10175048871229586</v>
      </c>
      <c r="I11" s="65">
        <v>34566861</v>
      </c>
      <c r="J11" s="66">
        <f t="shared" si="0"/>
        <v>3.3564133783988703E-2</v>
      </c>
      <c r="K11" s="65">
        <v>33444331</v>
      </c>
      <c r="L11" s="66">
        <f t="shared" si="3"/>
        <v>2.1524309695224675E-2</v>
      </c>
      <c r="M11" s="65">
        <v>32739633</v>
      </c>
      <c r="N11" s="66">
        <f t="shared" si="4"/>
        <v>1.1466994541353692E-2</v>
      </c>
      <c r="O11" s="65">
        <v>32368464</v>
      </c>
      <c r="P11" s="66">
        <f t="shared" si="5"/>
        <v>1.1783413060252323E-2</v>
      </c>
      <c r="Q11" s="65">
        <v>31991495</v>
      </c>
      <c r="R11" s="66">
        <f t="shared" si="6"/>
        <v>-1.2817406878609994E-2</v>
      </c>
      <c r="S11" s="67">
        <v>32406867</v>
      </c>
      <c r="T11" s="66">
        <f t="shared" si="6"/>
        <v>-1.4046855161041871E-2</v>
      </c>
      <c r="U11" s="67">
        <v>32868567</v>
      </c>
      <c r="V11" s="66">
        <f t="shared" si="7"/>
        <v>1.5596748428498675E-2</v>
      </c>
      <c r="W11" s="67">
        <v>32363797</v>
      </c>
      <c r="X11" s="66">
        <f t="shared" si="8"/>
        <v>1.6084048297134945E-2</v>
      </c>
      <c r="Y11" s="67">
        <v>31851496</v>
      </c>
      <c r="Z11" s="66">
        <f t="shared" si="9"/>
        <v>7.5258046434652393E-2</v>
      </c>
      <c r="AA11" s="76">
        <v>29622188</v>
      </c>
      <c r="AC11" s="24"/>
    </row>
    <row r="12" spans="1:29" ht="14.25" customHeight="1" x14ac:dyDescent="0.2">
      <c r="A12" s="51" t="s">
        <v>59</v>
      </c>
      <c r="B12" s="45" t="s">
        <v>132</v>
      </c>
      <c r="C12" s="103">
        <v>1292277461</v>
      </c>
      <c r="D12" s="102">
        <f t="shared" si="1"/>
        <v>5.7064612477468746E-2</v>
      </c>
      <c r="E12" s="103">
        <v>1222515110</v>
      </c>
      <c r="F12" s="102">
        <f t="shared" si="2"/>
        <v>6.1025602183604422E-2</v>
      </c>
      <c r="G12" s="103">
        <v>1152201330</v>
      </c>
      <c r="H12" s="102">
        <f t="shared" si="2"/>
        <v>5.7984948674663084E-2</v>
      </c>
      <c r="I12" s="65">
        <v>1089052667</v>
      </c>
      <c r="J12" s="66">
        <f t="shared" si="0"/>
        <v>6.0398931841024295E-2</v>
      </c>
      <c r="K12" s="65">
        <v>1027021656</v>
      </c>
      <c r="L12" s="66">
        <f t="shared" si="3"/>
        <v>6.2094262305347092E-2</v>
      </c>
      <c r="M12" s="65">
        <v>966977878</v>
      </c>
      <c r="N12" s="66">
        <f t="shared" si="4"/>
        <v>6.1089389018301743E-2</v>
      </c>
      <c r="O12" s="65">
        <v>911306708</v>
      </c>
      <c r="P12" s="66">
        <f t="shared" si="5"/>
        <v>3.7391138835864091E-2</v>
      </c>
      <c r="Q12" s="65">
        <v>878460085</v>
      </c>
      <c r="R12" s="66">
        <f t="shared" si="6"/>
        <v>2.2146283070110684E-2</v>
      </c>
      <c r="S12" s="67">
        <v>859426972</v>
      </c>
      <c r="T12" s="66">
        <f t="shared" si="6"/>
        <v>-3.0003423137411334E-3</v>
      </c>
      <c r="U12" s="67">
        <v>862013307</v>
      </c>
      <c r="V12" s="66">
        <f t="shared" si="7"/>
        <v>-2.8045168127487474E-2</v>
      </c>
      <c r="W12" s="67">
        <v>886886179</v>
      </c>
      <c r="X12" s="66">
        <f t="shared" si="8"/>
        <v>-8.1087524094980212E-2</v>
      </c>
      <c r="Y12" s="67">
        <v>965147609</v>
      </c>
      <c r="Z12" s="66">
        <f t="shared" si="9"/>
        <v>-8.0612617865059022E-2</v>
      </c>
      <c r="AA12" s="76">
        <v>1049772520</v>
      </c>
      <c r="AC12" s="24"/>
    </row>
    <row r="13" spans="1:29" ht="14.25" customHeight="1" x14ac:dyDescent="0.2">
      <c r="A13" s="51" t="s">
        <v>58</v>
      </c>
      <c r="B13" s="45" t="s">
        <v>132</v>
      </c>
      <c r="C13" s="103">
        <v>895834284</v>
      </c>
      <c r="D13" s="102">
        <f t="shared" si="1"/>
        <v>5.4446300281041804E-2</v>
      </c>
      <c r="E13" s="103">
        <v>849577910</v>
      </c>
      <c r="F13" s="102">
        <f t="shared" si="2"/>
        <v>6.8380328381896893E-2</v>
      </c>
      <c r="G13" s="103">
        <v>795201753</v>
      </c>
      <c r="H13" s="102">
        <f t="shared" si="2"/>
        <v>6.3025755779300807E-2</v>
      </c>
      <c r="I13" s="65">
        <v>748055020</v>
      </c>
      <c r="J13" s="66">
        <f t="shared" si="0"/>
        <v>5.5449099975047433E-2</v>
      </c>
      <c r="K13" s="65">
        <v>708755183</v>
      </c>
      <c r="L13" s="66">
        <f t="shared" si="3"/>
        <v>5.0260329143297255E-2</v>
      </c>
      <c r="M13" s="65">
        <v>674837622</v>
      </c>
      <c r="N13" s="66">
        <f t="shared" si="4"/>
        <v>2.8618891256106282E-2</v>
      </c>
      <c r="O13" s="65">
        <v>656061859</v>
      </c>
      <c r="P13" s="66">
        <f t="shared" si="5"/>
        <v>1.192738470334076E-3</v>
      </c>
      <c r="Q13" s="65">
        <v>655280281</v>
      </c>
      <c r="R13" s="66">
        <f t="shared" si="6"/>
        <v>-1.3331460037127818E-2</v>
      </c>
      <c r="S13" s="67">
        <v>664134159</v>
      </c>
      <c r="T13" s="66">
        <f t="shared" si="6"/>
        <v>-4.8242902711389091E-2</v>
      </c>
      <c r="U13" s="67">
        <v>697797958</v>
      </c>
      <c r="V13" s="66">
        <f t="shared" si="7"/>
        <v>-7.2144086610627323E-2</v>
      </c>
      <c r="W13" s="67">
        <v>752054223</v>
      </c>
      <c r="X13" s="66">
        <f t="shared" si="8"/>
        <v>-4.436498660904975E-2</v>
      </c>
      <c r="Y13" s="67">
        <v>786968050</v>
      </c>
      <c r="Z13" s="66">
        <f t="shared" si="9"/>
        <v>-2.1325560029701207E-2</v>
      </c>
      <c r="AA13" s="76">
        <v>804116280</v>
      </c>
      <c r="AC13" s="24"/>
    </row>
    <row r="14" spans="1:29" ht="14.25" customHeight="1" x14ac:dyDescent="0.2">
      <c r="A14" s="51" t="s">
        <v>57</v>
      </c>
      <c r="B14" s="45" t="s">
        <v>132</v>
      </c>
      <c r="C14" s="103">
        <v>1189837997</v>
      </c>
      <c r="D14" s="102">
        <f t="shared" si="1"/>
        <v>2.3274733633378508E-2</v>
      </c>
      <c r="E14" s="103">
        <v>1162774725</v>
      </c>
      <c r="F14" s="102">
        <f t="shared" si="2"/>
        <v>2.0854410660699374E-2</v>
      </c>
      <c r="G14" s="103">
        <v>1139021111</v>
      </c>
      <c r="H14" s="102">
        <f t="shared" si="2"/>
        <v>2.4932782527567809E-2</v>
      </c>
      <c r="I14" s="65">
        <v>1111312986</v>
      </c>
      <c r="J14" s="66">
        <f t="shared" si="0"/>
        <v>2.9711286783608459E-2</v>
      </c>
      <c r="K14" s="65">
        <v>1079247164</v>
      </c>
      <c r="L14" s="66">
        <f t="shared" si="3"/>
        <v>3.5407787072175623E-2</v>
      </c>
      <c r="M14" s="65">
        <v>1042340204</v>
      </c>
      <c r="N14" s="66">
        <f t="shared" si="4"/>
        <v>1.9124778990666114E-2</v>
      </c>
      <c r="O14" s="65">
        <v>1022779767</v>
      </c>
      <c r="P14" s="66">
        <f t="shared" si="5"/>
        <v>8.9297892556212677E-3</v>
      </c>
      <c r="Q14" s="65">
        <v>1013727395</v>
      </c>
      <c r="R14" s="66">
        <f t="shared" si="6"/>
        <v>1.3690479616643714E-3</v>
      </c>
      <c r="S14" s="67">
        <v>1012341451</v>
      </c>
      <c r="T14" s="66">
        <f t="shared" si="6"/>
        <v>-9.133402592297668E-3</v>
      </c>
      <c r="U14" s="67">
        <v>1021672800</v>
      </c>
      <c r="V14" s="66">
        <f t="shared" si="7"/>
        <v>-1.389307602442913E-2</v>
      </c>
      <c r="W14" s="67">
        <v>1036066957</v>
      </c>
      <c r="X14" s="66">
        <f t="shared" si="8"/>
        <v>-2.3865090857118298E-2</v>
      </c>
      <c r="Y14" s="67">
        <v>1061397300</v>
      </c>
      <c r="Z14" s="66">
        <f t="shared" si="9"/>
        <v>2.2089803437010946E-3</v>
      </c>
      <c r="AA14" s="76">
        <v>1059057862</v>
      </c>
      <c r="AC14" s="24"/>
    </row>
    <row r="15" spans="1:29" ht="14.25" customHeight="1" x14ac:dyDescent="0.2">
      <c r="A15" s="51" t="s">
        <v>56</v>
      </c>
      <c r="B15" s="45" t="s">
        <v>132</v>
      </c>
      <c r="C15" s="103">
        <v>2363885539</v>
      </c>
      <c r="D15" s="102">
        <f t="shared" si="1"/>
        <v>3.3391585167663607E-2</v>
      </c>
      <c r="E15" s="103">
        <v>2287502214</v>
      </c>
      <c r="F15" s="102">
        <f t="shared" si="2"/>
        <v>3.8761920033522745E-2</v>
      </c>
      <c r="G15" s="103">
        <v>2202142926</v>
      </c>
      <c r="H15" s="102">
        <f t="shared" si="2"/>
        <v>3.4622595075795681E-2</v>
      </c>
      <c r="I15" s="65">
        <v>2128450448</v>
      </c>
      <c r="J15" s="66">
        <f t="shared" si="0"/>
        <v>3.9335683861938975E-2</v>
      </c>
      <c r="K15" s="65">
        <v>2047895094</v>
      </c>
      <c r="L15" s="66">
        <f t="shared" si="3"/>
        <v>2.8655860199166439E-2</v>
      </c>
      <c r="M15" s="65">
        <v>1990845698</v>
      </c>
      <c r="N15" s="66">
        <f t="shared" si="4"/>
        <v>3.5356804248722229E-2</v>
      </c>
      <c r="O15" s="65">
        <v>1922859530</v>
      </c>
      <c r="P15" s="66">
        <f t="shared" si="5"/>
        <v>2.4466358153496515E-2</v>
      </c>
      <c r="Q15" s="65">
        <v>1876937700</v>
      </c>
      <c r="R15" s="66">
        <f t="shared" si="6"/>
        <v>1.489736727084634E-2</v>
      </c>
      <c r="S15" s="67">
        <v>1849386707</v>
      </c>
      <c r="T15" s="66">
        <f t="shared" si="6"/>
        <v>-1.6225019585039968E-3</v>
      </c>
      <c r="U15" s="67">
        <v>1852392217</v>
      </c>
      <c r="V15" s="66">
        <f t="shared" si="7"/>
        <v>-1.1256759913785497E-2</v>
      </c>
      <c r="W15" s="67">
        <v>1873481549</v>
      </c>
      <c r="X15" s="66">
        <f t="shared" si="8"/>
        <v>-2.2239239051286996E-2</v>
      </c>
      <c r="Y15" s="67">
        <v>1916094022</v>
      </c>
      <c r="Z15" s="66">
        <f t="shared" si="9"/>
        <v>-1.2647129511640376E-2</v>
      </c>
      <c r="AA15" s="76">
        <v>1940637516</v>
      </c>
      <c r="AC15" s="24"/>
    </row>
    <row r="16" spans="1:29" ht="14.25" customHeight="1" x14ac:dyDescent="0.2">
      <c r="A16" s="51" t="s">
        <v>55</v>
      </c>
      <c r="B16" s="45" t="s">
        <v>133</v>
      </c>
      <c r="C16" s="103">
        <v>267598414</v>
      </c>
      <c r="D16" s="102">
        <f t="shared" si="1"/>
        <v>3.4198919416497109E-2</v>
      </c>
      <c r="E16" s="103">
        <v>258749462</v>
      </c>
      <c r="F16" s="102">
        <f t="shared" si="2"/>
        <v>4.3667443162236808E-2</v>
      </c>
      <c r="G16" s="103">
        <v>247923286</v>
      </c>
      <c r="H16" s="102">
        <f t="shared" si="2"/>
        <v>5.4423519593285175E-2</v>
      </c>
      <c r="I16" s="65">
        <v>235126855</v>
      </c>
      <c r="J16" s="66">
        <f t="shared" si="0"/>
        <v>4.3547801615079207E-2</v>
      </c>
      <c r="K16" s="65">
        <v>225314887</v>
      </c>
      <c r="L16" s="66">
        <f t="shared" si="3"/>
        <v>2.1771264446326599E-2</v>
      </c>
      <c r="M16" s="65">
        <v>220514018</v>
      </c>
      <c r="N16" s="66">
        <f t="shared" si="4"/>
        <v>9.929693668180084E-3</v>
      </c>
      <c r="O16" s="65">
        <v>218345910</v>
      </c>
      <c r="P16" s="66">
        <f t="shared" si="5"/>
        <v>1.5131502791085882E-3</v>
      </c>
      <c r="Q16" s="65">
        <v>218016019</v>
      </c>
      <c r="R16" s="66">
        <f t="shared" si="6"/>
        <v>-1.2416661508281801E-2</v>
      </c>
      <c r="S16" s="67">
        <v>220757085</v>
      </c>
      <c r="T16" s="66">
        <f t="shared" si="6"/>
        <v>6.0352473183411526E-4</v>
      </c>
      <c r="U16" s="67">
        <v>220623933</v>
      </c>
      <c r="V16" s="66">
        <f t="shared" si="7"/>
        <v>-1.3821156047589045E-2</v>
      </c>
      <c r="W16" s="67">
        <v>223715946</v>
      </c>
      <c r="X16" s="66">
        <f t="shared" si="8"/>
        <v>-1.0152908263231897E-2</v>
      </c>
      <c r="Y16" s="67">
        <v>226010611</v>
      </c>
      <c r="Z16" s="66">
        <f t="shared" si="9"/>
        <v>1.3390156383914054E-2</v>
      </c>
      <c r="AA16" s="76">
        <v>223024281</v>
      </c>
      <c r="AC16" s="24"/>
    </row>
    <row r="17" spans="1:29" ht="14.25" customHeight="1" x14ac:dyDescent="0.2">
      <c r="A17" s="51" t="s">
        <v>93</v>
      </c>
      <c r="B17" s="45" t="s">
        <v>132</v>
      </c>
      <c r="C17" s="103">
        <v>10055932448</v>
      </c>
      <c r="D17" s="102">
        <f t="shared" si="1"/>
        <v>1.1318532806958048E-2</v>
      </c>
      <c r="E17" s="103">
        <v>9943387886</v>
      </c>
      <c r="F17" s="102">
        <f t="shared" si="2"/>
        <v>2.2745954937466228E-2</v>
      </c>
      <c r="G17" s="103">
        <v>9722246114</v>
      </c>
      <c r="H17" s="102">
        <f t="shared" si="2"/>
        <v>2.1171941296893371E-2</v>
      </c>
      <c r="I17" s="65">
        <v>9520674943</v>
      </c>
      <c r="J17" s="66">
        <f t="shared" si="0"/>
        <v>2.4083281596950501E-2</v>
      </c>
      <c r="K17" s="65">
        <v>9296778020</v>
      </c>
      <c r="L17" s="66">
        <f t="shared" si="3"/>
        <v>2.2422182452147332E-2</v>
      </c>
      <c r="M17" s="65">
        <v>9092895459</v>
      </c>
      <c r="N17" s="66">
        <f t="shared" si="4"/>
        <v>3.6948303257786419E-2</v>
      </c>
      <c r="O17" s="65">
        <v>8768899501</v>
      </c>
      <c r="P17" s="66">
        <f t="shared" si="5"/>
        <v>1.5267517764900873E-3</v>
      </c>
      <c r="Q17" s="65">
        <v>8755531977</v>
      </c>
      <c r="R17" s="66">
        <f t="shared" si="6"/>
        <v>5.6552703106005353E-5</v>
      </c>
      <c r="S17" s="67">
        <v>8755036856</v>
      </c>
      <c r="T17" s="66">
        <f t="shared" si="6"/>
        <v>-1.457044058595347E-2</v>
      </c>
      <c r="U17" s="67">
        <v>8884487757</v>
      </c>
      <c r="V17" s="66">
        <f t="shared" si="7"/>
        <v>-3.3608169769119733E-2</v>
      </c>
      <c r="W17" s="67">
        <v>9193463230</v>
      </c>
      <c r="X17" s="66">
        <f t="shared" si="8"/>
        <v>-4.950381981031271E-2</v>
      </c>
      <c r="Y17" s="67">
        <v>9672277934</v>
      </c>
      <c r="Z17" s="66">
        <f t="shared" si="9"/>
        <v>-3.7692212444972562E-2</v>
      </c>
      <c r="AA17" s="76">
        <v>10051127154</v>
      </c>
      <c r="AC17" s="24"/>
    </row>
    <row r="18" spans="1:29" ht="14.25" customHeight="1" x14ac:dyDescent="0.2">
      <c r="A18" s="51" t="s">
        <v>54</v>
      </c>
      <c r="B18" s="45" t="s">
        <v>132</v>
      </c>
      <c r="C18" s="103">
        <v>101570479</v>
      </c>
      <c r="D18" s="102">
        <f t="shared" si="1"/>
        <v>5.3276445819650853E-2</v>
      </c>
      <c r="E18" s="103">
        <v>96432878</v>
      </c>
      <c r="F18" s="102">
        <f t="shared" si="2"/>
        <v>6.3157275604906804E-2</v>
      </c>
      <c r="G18" s="103">
        <v>90704245</v>
      </c>
      <c r="H18" s="102">
        <f t="shared" si="2"/>
        <v>7.5126680029063753E-2</v>
      </c>
      <c r="I18" s="65">
        <v>84366100</v>
      </c>
      <c r="J18" s="66">
        <f t="shared" si="0"/>
        <v>6.2360015760978493E-2</v>
      </c>
      <c r="K18" s="65">
        <v>79413851</v>
      </c>
      <c r="L18" s="66">
        <f t="shared" si="3"/>
        <v>6.6132047711049191E-2</v>
      </c>
      <c r="M18" s="65">
        <v>74487819</v>
      </c>
      <c r="N18" s="66">
        <f t="shared" si="4"/>
        <v>4.4418414932763106E-2</v>
      </c>
      <c r="O18" s="65">
        <v>71319902</v>
      </c>
      <c r="P18" s="66">
        <f t="shared" si="5"/>
        <v>2.231462756354663E-2</v>
      </c>
      <c r="Q18" s="65">
        <v>69763163</v>
      </c>
      <c r="R18" s="66">
        <f t="shared" si="6"/>
        <v>-6.0828908845100838E-4</v>
      </c>
      <c r="S18" s="67">
        <v>69805625</v>
      </c>
      <c r="T18" s="66">
        <f t="shared" si="6"/>
        <v>1.1299523022965108E-3</v>
      </c>
      <c r="U18" s="67">
        <v>69726837</v>
      </c>
      <c r="V18" s="66">
        <f t="shared" si="7"/>
        <v>-5.1444770379704408E-2</v>
      </c>
      <c r="W18" s="67">
        <v>73508463</v>
      </c>
      <c r="X18" s="66">
        <f t="shared" si="8"/>
        <v>-8.2958178537965721E-2</v>
      </c>
      <c r="Y18" s="67">
        <v>80158245</v>
      </c>
      <c r="Z18" s="66">
        <f t="shared" si="9"/>
        <v>-0.11831242491302385</v>
      </c>
      <c r="AA18" s="76">
        <v>90914568</v>
      </c>
      <c r="AC18" s="24"/>
    </row>
    <row r="19" spans="1:29" ht="14.25" customHeight="1" x14ac:dyDescent="0.2">
      <c r="A19" s="51" t="s">
        <v>53</v>
      </c>
      <c r="B19" s="45" t="s">
        <v>133</v>
      </c>
      <c r="C19" s="103">
        <v>32720081</v>
      </c>
      <c r="D19" s="102">
        <f t="shared" si="1"/>
        <v>0.11392268844166797</v>
      </c>
      <c r="E19" s="103">
        <v>29373745</v>
      </c>
      <c r="F19" s="102">
        <f t="shared" si="2"/>
        <v>8.9861521009309442E-2</v>
      </c>
      <c r="G19" s="103">
        <v>26951814</v>
      </c>
      <c r="H19" s="102">
        <f t="shared" si="2"/>
        <v>3.998919564468717E-2</v>
      </c>
      <c r="I19" s="65">
        <v>25915475</v>
      </c>
      <c r="J19" s="66">
        <f t="shared" si="0"/>
        <v>4.2481247347081696E-2</v>
      </c>
      <c r="K19" s="65">
        <v>24859416</v>
      </c>
      <c r="L19" s="66">
        <f t="shared" si="3"/>
        <v>6.6774328879444234E-3</v>
      </c>
      <c r="M19" s="65">
        <v>24694520</v>
      </c>
      <c r="N19" s="66">
        <f t="shared" si="4"/>
        <v>2.9550615664057256E-2</v>
      </c>
      <c r="O19" s="65">
        <v>23985727</v>
      </c>
      <c r="P19" s="66">
        <f t="shared" si="5"/>
        <v>1.2714213069118907E-2</v>
      </c>
      <c r="Q19" s="65">
        <v>23684596</v>
      </c>
      <c r="R19" s="66">
        <f t="shared" si="6"/>
        <v>1.6156716906180035E-2</v>
      </c>
      <c r="S19" s="67">
        <v>23308015</v>
      </c>
      <c r="T19" s="66">
        <f t="shared" si="6"/>
        <v>3.1270373583071498E-2</v>
      </c>
      <c r="U19" s="67">
        <v>22601265</v>
      </c>
      <c r="V19" s="66">
        <f t="shared" si="7"/>
        <v>2.9294448583403465E-2</v>
      </c>
      <c r="W19" s="67">
        <v>21958017</v>
      </c>
      <c r="X19" s="66">
        <f t="shared" si="8"/>
        <v>5.4791064536417577E-2</v>
      </c>
      <c r="Y19" s="67">
        <v>20817409</v>
      </c>
      <c r="Z19" s="66">
        <f t="shared" si="9"/>
        <v>7.3341310102859048E-3</v>
      </c>
      <c r="AA19" s="76">
        <v>20665843</v>
      </c>
      <c r="AC19" s="24"/>
    </row>
    <row r="20" spans="1:29" ht="14.25" customHeight="1" x14ac:dyDescent="0.2">
      <c r="A20" s="51" t="s">
        <v>52</v>
      </c>
      <c r="B20" s="45" t="s">
        <v>132</v>
      </c>
      <c r="C20" s="103">
        <v>4368933014</v>
      </c>
      <c r="D20" s="102">
        <f t="shared" si="1"/>
        <v>3.4998891459866233E-2</v>
      </c>
      <c r="E20" s="103">
        <v>4221195839</v>
      </c>
      <c r="F20" s="102">
        <f t="shared" si="2"/>
        <v>3.7650313454908879E-2</v>
      </c>
      <c r="G20" s="103">
        <v>4068033117</v>
      </c>
      <c r="H20" s="102">
        <f t="shared" si="2"/>
        <v>3.4018114541362721E-2</v>
      </c>
      <c r="I20" s="65">
        <v>3934199082</v>
      </c>
      <c r="J20" s="66">
        <f t="shared" si="0"/>
        <v>3.5014242447268584E-2</v>
      </c>
      <c r="K20" s="65">
        <v>3801106227</v>
      </c>
      <c r="L20" s="66">
        <f t="shared" si="3"/>
        <v>3.7268251522416751E-2</v>
      </c>
      <c r="M20" s="65">
        <v>3664535400</v>
      </c>
      <c r="N20" s="66">
        <f t="shared" si="4"/>
        <v>1.881755698632559E-2</v>
      </c>
      <c r="O20" s="65">
        <v>3596851443</v>
      </c>
      <c r="P20" s="66">
        <f t="shared" si="5"/>
        <v>6.7459976615289463E-3</v>
      </c>
      <c r="Q20" s="65">
        <v>3572749682</v>
      </c>
      <c r="R20" s="66">
        <f t="shared" si="6"/>
        <v>-7.0032603887336675E-3</v>
      </c>
      <c r="S20" s="67">
        <v>3597947042</v>
      </c>
      <c r="T20" s="66">
        <f t="shared" si="6"/>
        <v>-4.4580199387225239E-2</v>
      </c>
      <c r="U20" s="67">
        <v>3765828424</v>
      </c>
      <c r="V20" s="66">
        <f t="shared" si="7"/>
        <v>-5.6063457062586974E-2</v>
      </c>
      <c r="W20" s="67">
        <v>3989493205</v>
      </c>
      <c r="X20" s="66">
        <f t="shared" si="8"/>
        <v>-2.9413816562185224E-2</v>
      </c>
      <c r="Y20" s="67">
        <v>4110395628</v>
      </c>
      <c r="Z20" s="66">
        <f t="shared" si="9"/>
        <v>-9.3933634353956519E-3</v>
      </c>
      <c r="AA20" s="76">
        <v>4149372189</v>
      </c>
      <c r="AC20" s="24"/>
    </row>
    <row r="21" spans="1:29" ht="14.25" customHeight="1" x14ac:dyDescent="0.2">
      <c r="A21" s="51" t="s">
        <v>51</v>
      </c>
      <c r="B21" s="45" t="s">
        <v>132</v>
      </c>
      <c r="C21" s="103">
        <v>1457757582</v>
      </c>
      <c r="D21" s="102">
        <f t="shared" si="1"/>
        <v>3.0437221134804959E-2</v>
      </c>
      <c r="E21" s="103">
        <v>1414698103</v>
      </c>
      <c r="F21" s="102">
        <f t="shared" si="2"/>
        <v>4.0246965681674185E-2</v>
      </c>
      <c r="G21" s="103">
        <v>1359963691</v>
      </c>
      <c r="H21" s="102">
        <f t="shared" si="2"/>
        <v>3.7128722369996758E-2</v>
      </c>
      <c r="I21" s="65">
        <v>1311277628</v>
      </c>
      <c r="J21" s="66">
        <f t="shared" si="0"/>
        <v>3.8170403671885067E-2</v>
      </c>
      <c r="K21" s="65">
        <v>1263065893</v>
      </c>
      <c r="L21" s="66">
        <f t="shared" si="3"/>
        <v>2.7074789260249199E-2</v>
      </c>
      <c r="M21" s="65">
        <v>1229770126</v>
      </c>
      <c r="N21" s="66">
        <f t="shared" si="4"/>
        <v>1.8969111863225807E-2</v>
      </c>
      <c r="O21" s="65">
        <v>1206876746</v>
      </c>
      <c r="P21" s="66">
        <f t="shared" si="5"/>
        <v>4.6915490116367753E-2</v>
      </c>
      <c r="Q21" s="65">
        <v>1152792902</v>
      </c>
      <c r="R21" s="66">
        <f t="shared" si="6"/>
        <v>1.3730939088601568E-2</v>
      </c>
      <c r="S21" s="67">
        <v>1137178375</v>
      </c>
      <c r="T21" s="66">
        <f t="shared" si="6"/>
        <v>-7.0607539271561048E-4</v>
      </c>
      <c r="U21" s="67">
        <v>1137981876</v>
      </c>
      <c r="V21" s="66">
        <f t="shared" si="7"/>
        <v>-1.5298410063550261E-2</v>
      </c>
      <c r="W21" s="67">
        <v>1155661662</v>
      </c>
      <c r="X21" s="66">
        <f t="shared" si="8"/>
        <v>-9.8431250056579822E-3</v>
      </c>
      <c r="Y21" s="67">
        <v>1167150066</v>
      </c>
      <c r="Z21" s="66">
        <f t="shared" si="9"/>
        <v>5.9663241761862551E-3</v>
      </c>
      <c r="AA21" s="76">
        <v>1160227771</v>
      </c>
      <c r="AC21" s="24"/>
    </row>
    <row r="22" spans="1:29" ht="14.25" customHeight="1" x14ac:dyDescent="0.2">
      <c r="A22" s="51" t="s">
        <v>50</v>
      </c>
      <c r="B22" s="45" t="s">
        <v>132</v>
      </c>
      <c r="C22" s="103">
        <v>865938458</v>
      </c>
      <c r="D22" s="102">
        <f t="shared" si="1"/>
        <v>8.05035821975566E-2</v>
      </c>
      <c r="E22" s="103">
        <v>801421182</v>
      </c>
      <c r="F22" s="102">
        <f t="shared" si="2"/>
        <v>4.6705230574702439E-2</v>
      </c>
      <c r="G22" s="103">
        <v>765660817</v>
      </c>
      <c r="H22" s="102">
        <f t="shared" si="2"/>
        <v>4.0037847361501955E-2</v>
      </c>
      <c r="I22" s="65">
        <v>736185533</v>
      </c>
      <c r="J22" s="66">
        <f t="shared" si="0"/>
        <v>3.9423694058404513E-2</v>
      </c>
      <c r="K22" s="65">
        <v>708263182</v>
      </c>
      <c r="L22" s="66">
        <f t="shared" si="3"/>
        <v>3.9197410900861263E-2</v>
      </c>
      <c r="M22" s="65">
        <v>681548255</v>
      </c>
      <c r="N22" s="66">
        <f t="shared" si="4"/>
        <v>4.2126860266193278E-2</v>
      </c>
      <c r="O22" s="65">
        <v>653997398</v>
      </c>
      <c r="P22" s="66">
        <f t="shared" si="5"/>
        <v>2.4786983349647684E-2</v>
      </c>
      <c r="Q22" s="65">
        <v>638178869</v>
      </c>
      <c r="R22" s="66">
        <f t="shared" si="6"/>
        <v>1.5234318064430097E-2</v>
      </c>
      <c r="S22" s="67">
        <v>628602538</v>
      </c>
      <c r="T22" s="66">
        <f t="shared" si="6"/>
        <v>-2.8155335765023271E-4</v>
      </c>
      <c r="U22" s="67">
        <v>628779573</v>
      </c>
      <c r="V22" s="66">
        <f t="shared" si="7"/>
        <v>-2.3104707964848203E-2</v>
      </c>
      <c r="W22" s="67">
        <v>643650940</v>
      </c>
      <c r="X22" s="66">
        <f t="shared" si="8"/>
        <v>-2.4291291304287976E-2</v>
      </c>
      <c r="Y22" s="67">
        <v>659675305</v>
      </c>
      <c r="Z22" s="66">
        <f t="shared" si="9"/>
        <v>7.9270088021510254E-4</v>
      </c>
      <c r="AA22" s="76">
        <v>659152794</v>
      </c>
      <c r="AC22" s="24"/>
    </row>
    <row r="23" spans="1:29" ht="14.25" customHeight="1" x14ac:dyDescent="0.2">
      <c r="A23" s="51" t="s">
        <v>49</v>
      </c>
      <c r="B23" s="45" t="s">
        <v>133</v>
      </c>
      <c r="C23" s="103">
        <v>51418212</v>
      </c>
      <c r="D23" s="102">
        <f t="shared" si="1"/>
        <v>2.1174984299037636E-2</v>
      </c>
      <c r="E23" s="103">
        <v>50352009</v>
      </c>
      <c r="F23" s="102">
        <f t="shared" si="2"/>
        <v>3.3401402385709433E-2</v>
      </c>
      <c r="G23" s="103">
        <v>48724541</v>
      </c>
      <c r="H23" s="102">
        <f t="shared" si="2"/>
        <v>4.6129473423810019E-2</v>
      </c>
      <c r="I23" s="65">
        <v>46576014</v>
      </c>
      <c r="J23" s="66">
        <f t="shared" si="0"/>
        <v>4.16441494531683E-2</v>
      </c>
      <c r="K23" s="65">
        <v>44713940</v>
      </c>
      <c r="L23" s="66">
        <f t="shared" si="3"/>
        <v>2.0584197932703718E-2</v>
      </c>
      <c r="M23" s="65">
        <v>43812103</v>
      </c>
      <c r="N23" s="66">
        <f t="shared" si="4"/>
        <v>1.636934940497814E-2</v>
      </c>
      <c r="O23" s="65">
        <v>43106478</v>
      </c>
      <c r="P23" s="66">
        <f t="shared" si="5"/>
        <v>-8.7530280803590488E-3</v>
      </c>
      <c r="Q23" s="65">
        <v>43487122</v>
      </c>
      <c r="R23" s="66">
        <f t="shared" si="6"/>
        <v>-8.1627518091108575E-3</v>
      </c>
      <c r="S23" s="67">
        <v>43845018</v>
      </c>
      <c r="T23" s="66">
        <f t="shared" si="6"/>
        <v>-2.7510970301667714E-2</v>
      </c>
      <c r="U23" s="67">
        <v>45085360</v>
      </c>
      <c r="V23" s="66">
        <f t="shared" si="7"/>
        <v>8.3379274946295823E-3</v>
      </c>
      <c r="W23" s="67">
        <v>44712550</v>
      </c>
      <c r="X23" s="66">
        <f t="shared" si="8"/>
        <v>-1.0576097107513061E-2</v>
      </c>
      <c r="Y23" s="67">
        <v>45190489</v>
      </c>
      <c r="Z23" s="66">
        <f t="shared" si="9"/>
        <v>-3.3811960761088833E-2</v>
      </c>
      <c r="AA23" s="76">
        <v>46771940</v>
      </c>
      <c r="AC23" s="24"/>
    </row>
    <row r="24" spans="1:29" ht="14.25" customHeight="1" x14ac:dyDescent="0.2">
      <c r="A24" s="51" t="s">
        <v>48</v>
      </c>
      <c r="B24" s="45" t="s">
        <v>133</v>
      </c>
      <c r="C24" s="103">
        <v>139129739</v>
      </c>
      <c r="D24" s="102">
        <f t="shared" si="1"/>
        <v>1.6058798168812283E-2</v>
      </c>
      <c r="E24" s="103">
        <v>136930795</v>
      </c>
      <c r="F24" s="102">
        <f t="shared" si="2"/>
        <v>1.9240078719742426E-2</v>
      </c>
      <c r="G24" s="103">
        <v>134345968</v>
      </c>
      <c r="H24" s="102">
        <f t="shared" si="2"/>
        <v>1.9438858061267439E-2</v>
      </c>
      <c r="I24" s="65">
        <v>131784233</v>
      </c>
      <c r="J24" s="66">
        <f t="shared" si="0"/>
        <v>2.8636827415630117E-2</v>
      </c>
      <c r="K24" s="65">
        <v>128115414</v>
      </c>
      <c r="L24" s="66">
        <f t="shared" si="3"/>
        <v>-6.8692349726385826E-3</v>
      </c>
      <c r="M24" s="65">
        <v>129001556</v>
      </c>
      <c r="N24" s="66">
        <f t="shared" si="4"/>
        <v>7.150812654499461E-5</v>
      </c>
      <c r="O24" s="65">
        <v>128992332</v>
      </c>
      <c r="P24" s="66">
        <f t="shared" si="5"/>
        <v>-7.9579270403968838E-3</v>
      </c>
      <c r="Q24" s="65">
        <v>130027078</v>
      </c>
      <c r="R24" s="66">
        <f t="shared" si="6"/>
        <v>-8.329941129792795E-3</v>
      </c>
      <c r="S24" s="67">
        <v>131119294</v>
      </c>
      <c r="T24" s="66">
        <f t="shared" si="6"/>
        <v>-6.3128553105695762E-4</v>
      </c>
      <c r="U24" s="67">
        <v>131202120</v>
      </c>
      <c r="V24" s="66">
        <f t="shared" si="7"/>
        <v>-1.5859424151148604E-2</v>
      </c>
      <c r="W24" s="67">
        <v>133316442</v>
      </c>
      <c r="X24" s="66">
        <f t="shared" si="8"/>
        <v>3.3860667726994809E-3</v>
      </c>
      <c r="Y24" s="67">
        <v>132866547</v>
      </c>
      <c r="Z24" s="66">
        <f t="shared" si="9"/>
        <v>4.1502683410825858E-2</v>
      </c>
      <c r="AA24" s="76">
        <v>127571968</v>
      </c>
      <c r="AC24" s="24"/>
    </row>
    <row r="25" spans="1:29" ht="14.25" customHeight="1" x14ac:dyDescent="0.2">
      <c r="A25" s="51" t="s">
        <v>47</v>
      </c>
      <c r="B25" s="45" t="s">
        <v>133</v>
      </c>
      <c r="C25" s="103">
        <v>73828295</v>
      </c>
      <c r="D25" s="102">
        <f t="shared" si="1"/>
        <v>5.4780489010556543E-2</v>
      </c>
      <c r="E25" s="103">
        <v>69993990</v>
      </c>
      <c r="F25" s="102">
        <f t="shared" si="2"/>
        <v>6.1954559856989277E-2</v>
      </c>
      <c r="G25" s="103">
        <v>65910532</v>
      </c>
      <c r="H25" s="102">
        <f t="shared" si="2"/>
        <v>5.2216009534522989E-2</v>
      </c>
      <c r="I25" s="65">
        <v>62639735</v>
      </c>
      <c r="J25" s="66">
        <f t="shared" si="0"/>
        <v>6.6523274525665421E-2</v>
      </c>
      <c r="K25" s="65">
        <v>58732647</v>
      </c>
      <c r="L25" s="66">
        <f t="shared" si="3"/>
        <v>2.8277476671426216E-2</v>
      </c>
      <c r="M25" s="65">
        <v>57117508</v>
      </c>
      <c r="N25" s="66">
        <f t="shared" si="4"/>
        <v>1.8880417410992889E-2</v>
      </c>
      <c r="O25" s="65">
        <v>56059089</v>
      </c>
      <c r="P25" s="66">
        <f t="shared" si="5"/>
        <v>-5.8995130371233273E-3</v>
      </c>
      <c r="Q25" s="65">
        <v>56391773</v>
      </c>
      <c r="R25" s="66">
        <f t="shared" si="6"/>
        <v>-1.9870846364015038E-2</v>
      </c>
      <c r="S25" s="67">
        <v>57535043</v>
      </c>
      <c r="T25" s="66">
        <f t="shared" si="6"/>
        <v>-1.1804627694773306E-2</v>
      </c>
      <c r="U25" s="67">
        <v>58222336</v>
      </c>
      <c r="V25" s="66">
        <f t="shared" si="7"/>
        <v>-3.2352628331950517E-2</v>
      </c>
      <c r="W25" s="67">
        <v>60168960</v>
      </c>
      <c r="X25" s="66">
        <f t="shared" si="8"/>
        <v>3.2098769178425801E-3</v>
      </c>
      <c r="Y25" s="67">
        <v>59976443</v>
      </c>
      <c r="Z25" s="66">
        <f t="shared" si="9"/>
        <v>4.55579656028684E-2</v>
      </c>
      <c r="AA25" s="76">
        <v>57363097</v>
      </c>
      <c r="AC25" s="24"/>
    </row>
    <row r="26" spans="1:29" ht="14.25" customHeight="1" x14ac:dyDescent="0.2">
      <c r="A26" s="51" t="s">
        <v>46</v>
      </c>
      <c r="B26" s="45" t="s">
        <v>132</v>
      </c>
      <c r="C26" s="103">
        <v>37826437</v>
      </c>
      <c r="D26" s="102">
        <f t="shared" si="1"/>
        <v>5.9261682470418631E-2</v>
      </c>
      <c r="E26" s="103">
        <v>35710191</v>
      </c>
      <c r="F26" s="102">
        <f t="shared" si="2"/>
        <v>8.688723673714005E-2</v>
      </c>
      <c r="G26" s="103">
        <v>32855470</v>
      </c>
      <c r="H26" s="102">
        <f t="shared" si="2"/>
        <v>6.0752533670703102E-2</v>
      </c>
      <c r="I26" s="65">
        <v>30973737</v>
      </c>
      <c r="J26" s="66">
        <f t="shared" si="0"/>
        <v>3.4007498103574729E-2</v>
      </c>
      <c r="K26" s="65">
        <v>29955041</v>
      </c>
      <c r="L26" s="66">
        <f t="shared" si="3"/>
        <v>2.9959771280820613E-2</v>
      </c>
      <c r="M26" s="65">
        <v>29083700</v>
      </c>
      <c r="N26" s="66">
        <f t="shared" si="4"/>
        <v>5.2946849697355081E-3</v>
      </c>
      <c r="O26" s="65">
        <v>28930522</v>
      </c>
      <c r="P26" s="66">
        <f t="shared" si="5"/>
        <v>-5.4089923018738606E-3</v>
      </c>
      <c r="Q26" s="65">
        <v>29087858</v>
      </c>
      <c r="R26" s="66">
        <f t="shared" si="6"/>
        <v>6.5441219092554626E-4</v>
      </c>
      <c r="S26" s="67">
        <v>29068835</v>
      </c>
      <c r="T26" s="66">
        <f t="shared" si="6"/>
        <v>-2.0301732197525291E-2</v>
      </c>
      <c r="U26" s="67">
        <v>29671212</v>
      </c>
      <c r="V26" s="66">
        <f t="shared" si="7"/>
        <v>-4.3378606189600211E-2</v>
      </c>
      <c r="W26" s="67">
        <v>31016672</v>
      </c>
      <c r="X26" s="66">
        <f t="shared" si="8"/>
        <v>-6.6280430949086644E-2</v>
      </c>
      <c r="Y26" s="67">
        <v>33218402</v>
      </c>
      <c r="Z26" s="66">
        <f t="shared" si="9"/>
        <v>-1.2238660328989681E-2</v>
      </c>
      <c r="AA26" s="76">
        <v>33629988</v>
      </c>
      <c r="AC26" s="24"/>
    </row>
    <row r="27" spans="1:29" ht="14.25" customHeight="1" x14ac:dyDescent="0.2">
      <c r="A27" s="51" t="s">
        <v>45</v>
      </c>
      <c r="B27" s="45" t="s">
        <v>133</v>
      </c>
      <c r="C27" s="103">
        <v>56311215</v>
      </c>
      <c r="D27" s="102">
        <f t="shared" si="1"/>
        <v>6.696825475082413E-2</v>
      </c>
      <c r="E27" s="103">
        <v>52776842</v>
      </c>
      <c r="F27" s="102">
        <f t="shared" si="2"/>
        <v>-1.1503913539962718E-2</v>
      </c>
      <c r="G27" s="103">
        <v>53391048</v>
      </c>
      <c r="H27" s="102">
        <f t="shared" si="2"/>
        <v>-2.9728858608445874E-2</v>
      </c>
      <c r="I27" s="65">
        <v>55026936</v>
      </c>
      <c r="J27" s="66">
        <f t="shared" si="0"/>
        <v>5.8232510224397238E-2</v>
      </c>
      <c r="K27" s="65">
        <v>51998909</v>
      </c>
      <c r="L27" s="66">
        <f t="shared" si="3"/>
        <v>6.6688070622139772E-2</v>
      </c>
      <c r="M27" s="65">
        <v>48747999</v>
      </c>
      <c r="N27" s="66">
        <f t="shared" si="4"/>
        <v>2.9218593403901094E-2</v>
      </c>
      <c r="O27" s="65">
        <v>47364087</v>
      </c>
      <c r="P27" s="66">
        <f t="shared" si="5"/>
        <v>2.7270934313663453E-3</v>
      </c>
      <c r="Q27" s="65">
        <v>47235272</v>
      </c>
      <c r="R27" s="66">
        <f t="shared" si="6"/>
        <v>1.6253836048380377E-2</v>
      </c>
      <c r="S27" s="67">
        <v>46479797</v>
      </c>
      <c r="T27" s="66">
        <f t="shared" si="6"/>
        <v>2.1283258125790683E-2</v>
      </c>
      <c r="U27" s="67">
        <v>45511171</v>
      </c>
      <c r="V27" s="66">
        <f t="shared" si="7"/>
        <v>-5.9825924565934718E-2</v>
      </c>
      <c r="W27" s="67">
        <v>48407175</v>
      </c>
      <c r="X27" s="66">
        <f t="shared" si="8"/>
        <v>-1.9426832980716902E-2</v>
      </c>
      <c r="Y27" s="67">
        <v>49366204</v>
      </c>
      <c r="Z27" s="66">
        <f t="shared" si="9"/>
        <v>3.0946946657470775E-3</v>
      </c>
      <c r="AA27" s="76">
        <v>49213902</v>
      </c>
      <c r="AC27" s="24"/>
    </row>
    <row r="28" spans="1:29" ht="14.25" customHeight="1" x14ac:dyDescent="0.2">
      <c r="A28" s="51" t="s">
        <v>44</v>
      </c>
      <c r="B28" s="45" t="s">
        <v>133</v>
      </c>
      <c r="C28" s="103">
        <v>30805544</v>
      </c>
      <c r="D28" s="102">
        <f t="shared" si="1"/>
        <v>6.4317757761686467E-2</v>
      </c>
      <c r="E28" s="103">
        <v>28943935</v>
      </c>
      <c r="F28" s="102">
        <f t="shared" si="2"/>
        <v>6.2847811337920723E-2</v>
      </c>
      <c r="G28" s="103">
        <v>27232436</v>
      </c>
      <c r="H28" s="102">
        <f t="shared" si="2"/>
        <v>5.790466905618552E-2</v>
      </c>
      <c r="I28" s="65">
        <v>25741862</v>
      </c>
      <c r="J28" s="66">
        <f t="shared" si="0"/>
        <v>5.0509829738712542E-2</v>
      </c>
      <c r="K28" s="65">
        <v>24504161</v>
      </c>
      <c r="L28" s="66">
        <f t="shared" si="3"/>
        <v>3.6128748383807974E-2</v>
      </c>
      <c r="M28" s="65">
        <v>23649726</v>
      </c>
      <c r="N28" s="66">
        <f t="shared" si="4"/>
        <v>-7.054320509952583E-3</v>
      </c>
      <c r="O28" s="65">
        <v>23817744</v>
      </c>
      <c r="P28" s="66">
        <f t="shared" si="5"/>
        <v>-3.5741274057419226E-3</v>
      </c>
      <c r="Q28" s="65">
        <v>23903177</v>
      </c>
      <c r="R28" s="66">
        <f t="shared" si="6"/>
        <v>6.8928875336817796E-3</v>
      </c>
      <c r="S28" s="67">
        <v>23739543</v>
      </c>
      <c r="T28" s="66">
        <f t="shared" si="6"/>
        <v>7.8998109620767032E-3</v>
      </c>
      <c r="U28" s="67">
        <v>23553475</v>
      </c>
      <c r="V28" s="66">
        <f t="shared" si="7"/>
        <v>-2.0426765578291928E-2</v>
      </c>
      <c r="W28" s="67">
        <v>24044629</v>
      </c>
      <c r="X28" s="66">
        <f t="shared" si="8"/>
        <v>-7.6669806690574216E-2</v>
      </c>
      <c r="Y28" s="67">
        <v>26041203</v>
      </c>
      <c r="Z28" s="66">
        <f t="shared" si="9"/>
        <v>1.1690821676440422E-2</v>
      </c>
      <c r="AA28" s="76">
        <v>25740278</v>
      </c>
      <c r="AC28" s="24"/>
    </row>
    <row r="29" spans="1:29" ht="14.25" customHeight="1" x14ac:dyDescent="0.2">
      <c r="A29" s="51" t="s">
        <v>43</v>
      </c>
      <c r="B29" s="45" t="s">
        <v>132</v>
      </c>
      <c r="C29" s="103">
        <v>63167930</v>
      </c>
      <c r="D29" s="102">
        <f t="shared" si="1"/>
        <v>4.6330280031474658E-2</v>
      </c>
      <c r="E29" s="103">
        <v>60370928</v>
      </c>
      <c r="F29" s="102">
        <f t="shared" si="2"/>
        <v>3.9764642376321602E-2</v>
      </c>
      <c r="G29" s="103">
        <v>58062109</v>
      </c>
      <c r="H29" s="102">
        <f t="shared" si="2"/>
        <v>4.8013388236699095E-2</v>
      </c>
      <c r="I29" s="65">
        <v>55402068</v>
      </c>
      <c r="J29" s="66">
        <f t="shared" si="0"/>
        <v>3.4044050946680615E-2</v>
      </c>
      <c r="K29" s="65">
        <v>53578054</v>
      </c>
      <c r="L29" s="66">
        <f t="shared" si="3"/>
        <v>5.541465010896407E-2</v>
      </c>
      <c r="M29" s="65">
        <v>50764933</v>
      </c>
      <c r="N29" s="66">
        <f t="shared" si="4"/>
        <v>1.6920852143339049E-2</v>
      </c>
      <c r="O29" s="65">
        <v>49920240</v>
      </c>
      <c r="P29" s="66">
        <f t="shared" si="5"/>
        <v>1.0271591552397208E-2</v>
      </c>
      <c r="Q29" s="65">
        <v>49412693</v>
      </c>
      <c r="R29" s="66">
        <f t="shared" si="6"/>
        <v>-2.2282153472764632E-3</v>
      </c>
      <c r="S29" s="67">
        <v>49523041</v>
      </c>
      <c r="T29" s="66">
        <f t="shared" si="6"/>
        <v>-1.756385596553367E-2</v>
      </c>
      <c r="U29" s="67">
        <v>50408407</v>
      </c>
      <c r="V29" s="66">
        <f t="shared" si="7"/>
        <v>1.0017681415213087E-3</v>
      </c>
      <c r="W29" s="67">
        <v>50357960</v>
      </c>
      <c r="X29" s="66">
        <f t="shared" si="8"/>
        <v>-0.10483718051182878</v>
      </c>
      <c r="Y29" s="67">
        <v>56255643</v>
      </c>
      <c r="Z29" s="66">
        <f t="shared" si="9"/>
        <v>-1.1776093419793354E-2</v>
      </c>
      <c r="AA29" s="76">
        <v>56926009</v>
      </c>
      <c r="AC29" s="24"/>
    </row>
    <row r="30" spans="1:29" ht="14.25" customHeight="1" x14ac:dyDescent="0.2">
      <c r="A30" s="51" t="s">
        <v>42</v>
      </c>
      <c r="B30" s="45" t="s">
        <v>132</v>
      </c>
      <c r="C30" s="103">
        <v>106328325</v>
      </c>
      <c r="D30" s="102">
        <f t="shared" si="1"/>
        <v>9.3623774679550076E-2</v>
      </c>
      <c r="E30" s="103">
        <v>97225689</v>
      </c>
      <c r="F30" s="102">
        <f t="shared" si="2"/>
        <v>9.7646257801291103E-2</v>
      </c>
      <c r="G30" s="103">
        <v>88576523</v>
      </c>
      <c r="H30" s="102">
        <f t="shared" si="2"/>
        <v>8.4711824363052468E-2</v>
      </c>
      <c r="I30" s="65">
        <v>81659037</v>
      </c>
      <c r="J30" s="66">
        <f t="shared" si="0"/>
        <v>7.6795690403425931E-2</v>
      </c>
      <c r="K30" s="65">
        <v>75835219</v>
      </c>
      <c r="L30" s="66">
        <f t="shared" si="3"/>
        <v>6.4775527264900212E-2</v>
      </c>
      <c r="M30" s="65">
        <v>71221790</v>
      </c>
      <c r="N30" s="66">
        <f t="shared" si="4"/>
        <v>6.339524819696174E-2</v>
      </c>
      <c r="O30" s="65">
        <v>66975840</v>
      </c>
      <c r="P30" s="66">
        <f t="shared" si="5"/>
        <v>2.8132799166389999E-2</v>
      </c>
      <c r="Q30" s="65">
        <v>65143180</v>
      </c>
      <c r="R30" s="66">
        <f t="shared" si="6"/>
        <v>1.5430390376047765E-2</v>
      </c>
      <c r="S30" s="67">
        <v>64153270</v>
      </c>
      <c r="T30" s="66">
        <f t="shared" si="6"/>
        <v>1.6400918264336539E-4</v>
      </c>
      <c r="U30" s="67">
        <v>64142750</v>
      </c>
      <c r="V30" s="66">
        <f t="shared" si="7"/>
        <v>-3.9845884956493993E-2</v>
      </c>
      <c r="W30" s="67">
        <v>66804640</v>
      </c>
      <c r="X30" s="66">
        <f t="shared" si="8"/>
        <v>-0.15640620160011554</v>
      </c>
      <c r="Y30" s="67">
        <v>79190530</v>
      </c>
      <c r="Z30" s="66">
        <f t="shared" si="9"/>
        <v>-9.3592293239644797E-2</v>
      </c>
      <c r="AA30" s="76">
        <v>87367450</v>
      </c>
      <c r="AC30" s="24"/>
    </row>
    <row r="31" spans="1:29" ht="14.25" customHeight="1" x14ac:dyDescent="0.2">
      <c r="A31" s="51" t="s">
        <v>41</v>
      </c>
      <c r="B31" s="45" t="s">
        <v>132</v>
      </c>
      <c r="C31" s="103">
        <v>1112931399</v>
      </c>
      <c r="D31" s="102">
        <f t="shared" si="1"/>
        <v>4.7464375867757758E-2</v>
      </c>
      <c r="E31" s="103">
        <v>1062500477</v>
      </c>
      <c r="F31" s="102">
        <f t="shared" si="2"/>
        <v>6.6680069784357476E-2</v>
      </c>
      <c r="G31" s="103">
        <v>996081681</v>
      </c>
      <c r="H31" s="102">
        <f t="shared" si="2"/>
        <v>5.9648320073336869E-2</v>
      </c>
      <c r="I31" s="65">
        <v>940011570</v>
      </c>
      <c r="J31" s="66">
        <f t="shared" si="0"/>
        <v>5.6736069415751267E-2</v>
      </c>
      <c r="K31" s="65">
        <v>889542429</v>
      </c>
      <c r="L31" s="66">
        <f t="shared" si="3"/>
        <v>5.2347131637947131E-2</v>
      </c>
      <c r="M31" s="65">
        <v>845293727</v>
      </c>
      <c r="N31" s="66">
        <f t="shared" si="4"/>
        <v>3.6549688932354885E-2</v>
      </c>
      <c r="O31" s="65">
        <v>815487898</v>
      </c>
      <c r="P31" s="66">
        <f t="shared" si="5"/>
        <v>2.5573348372079474E-2</v>
      </c>
      <c r="Q31" s="65">
        <v>795153169</v>
      </c>
      <c r="R31" s="66">
        <f t="shared" si="6"/>
        <v>1.562351509638793E-2</v>
      </c>
      <c r="S31" s="67">
        <v>782921188</v>
      </c>
      <c r="T31" s="66">
        <f t="shared" si="6"/>
        <v>-3.0329012550191603E-2</v>
      </c>
      <c r="U31" s="67">
        <v>807409109</v>
      </c>
      <c r="V31" s="66">
        <f t="shared" si="7"/>
        <v>-9.4061479543832704E-2</v>
      </c>
      <c r="W31" s="67">
        <v>891240510</v>
      </c>
      <c r="X31" s="66">
        <f t="shared" si="8"/>
        <v>-7.4487922136602491E-2</v>
      </c>
      <c r="Y31" s="67">
        <v>962970156</v>
      </c>
      <c r="Z31" s="66">
        <f t="shared" si="9"/>
        <v>-4.1358397469265396E-2</v>
      </c>
      <c r="AA31" s="76">
        <v>1004515299</v>
      </c>
      <c r="AC31" s="24"/>
    </row>
    <row r="32" spans="1:29" ht="14.25" customHeight="1" x14ac:dyDescent="0.2">
      <c r="A32" s="51" t="s">
        <v>40</v>
      </c>
      <c r="B32" s="45" t="s">
        <v>132</v>
      </c>
      <c r="C32" s="103">
        <v>444621462</v>
      </c>
      <c r="D32" s="102">
        <f t="shared" si="1"/>
        <v>4.860753268854956E-2</v>
      </c>
      <c r="E32" s="103">
        <v>424011318</v>
      </c>
      <c r="F32" s="102">
        <f t="shared" si="2"/>
        <v>5.4095767598015154E-2</v>
      </c>
      <c r="G32" s="103">
        <v>402251229</v>
      </c>
      <c r="H32" s="102">
        <f t="shared" si="2"/>
        <v>5.3283615845174825E-2</v>
      </c>
      <c r="I32" s="65">
        <v>381902104</v>
      </c>
      <c r="J32" s="66">
        <f t="shared" si="0"/>
        <v>5.0345629740810249E-2</v>
      </c>
      <c r="K32" s="65">
        <v>363596604</v>
      </c>
      <c r="L32" s="66">
        <f t="shared" si="3"/>
        <v>4.8835917988018895E-2</v>
      </c>
      <c r="M32" s="65">
        <v>346666812</v>
      </c>
      <c r="N32" s="66">
        <f t="shared" si="4"/>
        <v>2.9167062264960242E-2</v>
      </c>
      <c r="O32" s="65">
        <v>336842117</v>
      </c>
      <c r="P32" s="66">
        <f t="shared" si="5"/>
        <v>1.3625726547573214E-2</v>
      </c>
      <c r="Q32" s="65">
        <v>332314096</v>
      </c>
      <c r="R32" s="66">
        <f t="shared" si="6"/>
        <v>-1.1161528063003634E-2</v>
      </c>
      <c r="S32" s="67">
        <v>336065096</v>
      </c>
      <c r="T32" s="66">
        <f t="shared" si="6"/>
        <v>-3.6604517181289875E-2</v>
      </c>
      <c r="U32" s="67">
        <v>348833996</v>
      </c>
      <c r="V32" s="66">
        <f t="shared" si="7"/>
        <v>-8.8444573431832874E-2</v>
      </c>
      <c r="W32" s="67">
        <v>382679962</v>
      </c>
      <c r="X32" s="66">
        <f t="shared" si="8"/>
        <v>-4.9329690540958926E-2</v>
      </c>
      <c r="Y32" s="67">
        <v>402536987</v>
      </c>
      <c r="Z32" s="66">
        <f t="shared" si="9"/>
        <v>-1.9994002963080848E-2</v>
      </c>
      <c r="AA32" s="76">
        <v>410749514</v>
      </c>
      <c r="AC32" s="24"/>
    </row>
    <row r="33" spans="1:29" ht="14.25" customHeight="1" x14ac:dyDescent="0.2">
      <c r="A33" s="51" t="s">
        <v>39</v>
      </c>
      <c r="B33" s="45" t="s">
        <v>132</v>
      </c>
      <c r="C33" s="103">
        <v>6422436714</v>
      </c>
      <c r="D33" s="102">
        <f t="shared" si="1"/>
        <v>3.9576871206814745E-2</v>
      </c>
      <c r="E33" s="103">
        <v>6177933438</v>
      </c>
      <c r="F33" s="102">
        <f t="shared" si="2"/>
        <v>4.6493962951818846E-2</v>
      </c>
      <c r="G33" s="103">
        <v>5903458268</v>
      </c>
      <c r="H33" s="102">
        <f t="shared" si="2"/>
        <v>4.7323981496169454E-2</v>
      </c>
      <c r="I33" s="65">
        <v>5636706857</v>
      </c>
      <c r="J33" s="66">
        <f t="shared" si="0"/>
        <v>5.4801586989732254E-2</v>
      </c>
      <c r="K33" s="65">
        <v>5343855116</v>
      </c>
      <c r="L33" s="66">
        <f t="shared" si="3"/>
        <v>5.3770486517214833E-2</v>
      </c>
      <c r="M33" s="65">
        <v>5071175540</v>
      </c>
      <c r="N33" s="66">
        <f t="shared" si="4"/>
        <v>3.7237499802993623E-2</v>
      </c>
      <c r="O33" s="65">
        <v>4889117045</v>
      </c>
      <c r="P33" s="66">
        <f t="shared" si="5"/>
        <v>2.0109831066668082E-2</v>
      </c>
      <c r="Q33" s="65">
        <v>4792735935</v>
      </c>
      <c r="R33" s="66">
        <f t="shared" si="6"/>
        <v>1.4884478673142576E-2</v>
      </c>
      <c r="S33" s="67">
        <v>4722444806</v>
      </c>
      <c r="T33" s="66">
        <f t="shared" si="6"/>
        <v>1.7129228154648679E-3</v>
      </c>
      <c r="U33" s="67">
        <v>4714369455</v>
      </c>
      <c r="V33" s="66">
        <f t="shared" si="7"/>
        <v>-5.7286907949196331E-2</v>
      </c>
      <c r="W33" s="67">
        <v>5000852852</v>
      </c>
      <c r="X33" s="66">
        <f t="shared" si="8"/>
        <v>-5.0531379416976607E-2</v>
      </c>
      <c r="Y33" s="67">
        <v>5267001714</v>
      </c>
      <c r="Z33" s="66">
        <f t="shared" si="9"/>
        <v>-6.0272836374274275E-2</v>
      </c>
      <c r="AA33" s="76">
        <v>5604820120</v>
      </c>
      <c r="AC33" s="24"/>
    </row>
    <row r="34" spans="1:29" ht="14.25" customHeight="1" x14ac:dyDescent="0.2">
      <c r="A34" s="51" t="s">
        <v>38</v>
      </c>
      <c r="B34" s="45" t="s">
        <v>133</v>
      </c>
      <c r="C34" s="103">
        <v>56809423</v>
      </c>
      <c r="D34" s="102">
        <f t="shared" si="1"/>
        <v>4.1589585626482517E-2</v>
      </c>
      <c r="E34" s="103">
        <v>54541082</v>
      </c>
      <c r="F34" s="102">
        <f t="shared" si="2"/>
        <v>2.7876672247633572E-2</v>
      </c>
      <c r="G34" s="103">
        <v>53061893</v>
      </c>
      <c r="H34" s="102">
        <f t="shared" si="2"/>
        <v>1.5233158268303626E-2</v>
      </c>
      <c r="I34" s="65">
        <v>52265721</v>
      </c>
      <c r="J34" s="66">
        <f t="shared" si="0"/>
        <v>3.5213223450855979E-2</v>
      </c>
      <c r="K34" s="65">
        <v>50487880</v>
      </c>
      <c r="L34" s="66">
        <f t="shared" si="3"/>
        <v>3.3993391790034355E-2</v>
      </c>
      <c r="M34" s="65">
        <v>48828049</v>
      </c>
      <c r="N34" s="66">
        <f t="shared" si="4"/>
        <v>1.9702044647985639E-2</v>
      </c>
      <c r="O34" s="65">
        <v>47884624</v>
      </c>
      <c r="P34" s="66">
        <f t="shared" si="5"/>
        <v>2.2889247930990564E-3</v>
      </c>
      <c r="Q34" s="65">
        <v>47775270</v>
      </c>
      <c r="R34" s="66">
        <f t="shared" si="6"/>
        <v>9.9143326908530671E-3</v>
      </c>
      <c r="S34" s="67">
        <v>47306260</v>
      </c>
      <c r="T34" s="66">
        <f t="shared" si="6"/>
        <v>1.19099733205561E-2</v>
      </c>
      <c r="U34" s="67">
        <v>46749475</v>
      </c>
      <c r="V34" s="66">
        <f t="shared" si="7"/>
        <v>9.6235372820256959E-3</v>
      </c>
      <c r="W34" s="67">
        <v>46303868</v>
      </c>
      <c r="X34" s="66">
        <f t="shared" si="8"/>
        <v>2.4975481225633755E-2</v>
      </c>
      <c r="Y34" s="67">
        <v>45175586</v>
      </c>
      <c r="Z34" s="66">
        <f t="shared" si="9"/>
        <v>3.9458602220010963E-2</v>
      </c>
      <c r="AA34" s="76">
        <v>43460688</v>
      </c>
      <c r="AC34" s="24"/>
    </row>
    <row r="35" spans="1:29" ht="14.25" customHeight="1" x14ac:dyDescent="0.2">
      <c r="A35" s="51" t="s">
        <v>37</v>
      </c>
      <c r="B35" s="45" t="s">
        <v>132</v>
      </c>
      <c r="C35" s="103">
        <v>1033568996</v>
      </c>
      <c r="D35" s="102">
        <f t="shared" si="1"/>
        <v>4.6844274250170903E-2</v>
      </c>
      <c r="E35" s="103">
        <v>987318765</v>
      </c>
      <c r="F35" s="102">
        <f t="shared" si="2"/>
        <v>6.1530725113211782E-2</v>
      </c>
      <c r="G35" s="103">
        <v>930089673</v>
      </c>
      <c r="H35" s="102">
        <f t="shared" si="2"/>
        <v>5.5064177109547252E-2</v>
      </c>
      <c r="I35" s="65">
        <v>881547960</v>
      </c>
      <c r="J35" s="66">
        <f t="shared" si="0"/>
        <v>5.7542406477954389E-2</v>
      </c>
      <c r="K35" s="65">
        <v>833581665</v>
      </c>
      <c r="L35" s="66">
        <f t="shared" si="3"/>
        <v>7.0722514294671912E-2</v>
      </c>
      <c r="M35" s="65">
        <v>778522590</v>
      </c>
      <c r="N35" s="66">
        <f t="shared" si="4"/>
        <v>4.8901632995044908E-2</v>
      </c>
      <c r="O35" s="65">
        <v>742226502</v>
      </c>
      <c r="P35" s="66">
        <f t="shared" si="5"/>
        <v>3.108097338075555E-2</v>
      </c>
      <c r="Q35" s="65">
        <v>719852777</v>
      </c>
      <c r="R35" s="66">
        <f t="shared" si="6"/>
        <v>1.6070076074948814E-2</v>
      </c>
      <c r="S35" s="67">
        <v>708467648</v>
      </c>
      <c r="T35" s="66">
        <f t="shared" si="6"/>
        <v>-8.151506447412471E-4</v>
      </c>
      <c r="U35" s="67">
        <v>709045627</v>
      </c>
      <c r="V35" s="66">
        <f t="shared" si="7"/>
        <v>-5.3211213308640426E-2</v>
      </c>
      <c r="W35" s="67">
        <v>748895252</v>
      </c>
      <c r="X35" s="66">
        <f t="shared" si="8"/>
        <v>-6.8746466974666576E-2</v>
      </c>
      <c r="Y35" s="67">
        <v>804179770</v>
      </c>
      <c r="Z35" s="66">
        <f t="shared" si="9"/>
        <v>-3.325663987691152E-2</v>
      </c>
      <c r="AA35" s="76">
        <v>831844110</v>
      </c>
      <c r="AC35" s="24"/>
    </row>
    <row r="36" spans="1:29" ht="14.25" customHeight="1" x14ac:dyDescent="0.2">
      <c r="A36" s="51" t="s">
        <v>36</v>
      </c>
      <c r="B36" s="45" t="s">
        <v>133</v>
      </c>
      <c r="C36" s="103">
        <v>124512971</v>
      </c>
      <c r="D36" s="102">
        <f t="shared" si="1"/>
        <v>4.776123859101622E-2</v>
      </c>
      <c r="E36" s="103">
        <v>118837161</v>
      </c>
      <c r="F36" s="102">
        <f t="shared" si="2"/>
        <v>7.9774400990290539E-2</v>
      </c>
      <c r="G36" s="103">
        <v>110057398</v>
      </c>
      <c r="H36" s="102">
        <f t="shared" si="2"/>
        <v>-6.533512073746417E-2</v>
      </c>
      <c r="I36" s="65">
        <v>117750651</v>
      </c>
      <c r="J36" s="66">
        <f t="shared" si="0"/>
        <v>2.7389700247907989E-2</v>
      </c>
      <c r="K36" s="65">
        <v>114611477</v>
      </c>
      <c r="L36" s="66">
        <f t="shared" si="3"/>
        <v>1.3875603622404142E-2</v>
      </c>
      <c r="M36" s="65">
        <v>113042938</v>
      </c>
      <c r="N36" s="66">
        <f t="shared" si="4"/>
        <v>1.7104840251298992E-2</v>
      </c>
      <c r="O36" s="65">
        <v>111141874</v>
      </c>
      <c r="P36" s="66">
        <f t="shared" si="5"/>
        <v>7.0868669542067941E-3</v>
      </c>
      <c r="Q36" s="65">
        <v>110359769</v>
      </c>
      <c r="R36" s="66">
        <f t="shared" si="6"/>
        <v>4.2150915663454747E-3</v>
      </c>
      <c r="S36" s="67">
        <v>109896545</v>
      </c>
      <c r="T36" s="66">
        <f t="shared" si="6"/>
        <v>-1.2347180926811641E-3</v>
      </c>
      <c r="U36" s="67">
        <v>110032404</v>
      </c>
      <c r="V36" s="66">
        <f t="shared" si="7"/>
        <v>3.5117218014373286E-3</v>
      </c>
      <c r="W36" s="67">
        <v>109647353</v>
      </c>
      <c r="X36" s="66">
        <f t="shared" si="8"/>
        <v>1.8600874688372571E-3</v>
      </c>
      <c r="Y36" s="67">
        <v>109443778</v>
      </c>
      <c r="Z36" s="66">
        <f t="shared" si="9"/>
        <v>4.1823673755649438E-2</v>
      </c>
      <c r="AA36" s="76">
        <v>105050193</v>
      </c>
      <c r="AC36" s="24"/>
    </row>
    <row r="37" spans="1:29" ht="14.25" customHeight="1" x14ac:dyDescent="0.2">
      <c r="A37" s="51" t="s">
        <v>35</v>
      </c>
      <c r="B37" s="45" t="s">
        <v>133</v>
      </c>
      <c r="C37" s="103">
        <v>60816497</v>
      </c>
      <c r="D37" s="102">
        <f t="shared" si="1"/>
        <v>4.899445020305393E-2</v>
      </c>
      <c r="E37" s="103">
        <v>57975995</v>
      </c>
      <c r="F37" s="102">
        <f t="shared" si="2"/>
        <v>4.9614037426666036E-2</v>
      </c>
      <c r="G37" s="103">
        <v>55235537</v>
      </c>
      <c r="H37" s="102">
        <f t="shared" si="2"/>
        <v>4.8656823874051014E-2</v>
      </c>
      <c r="I37" s="65">
        <v>52672653</v>
      </c>
      <c r="J37" s="66">
        <f t="shared" si="0"/>
        <v>3.8131321353398029E-2</v>
      </c>
      <c r="K37" s="65">
        <v>50737948</v>
      </c>
      <c r="L37" s="66">
        <f t="shared" si="3"/>
        <v>5.2030972760548355E-3</v>
      </c>
      <c r="M37" s="65">
        <v>50475320</v>
      </c>
      <c r="N37" s="66">
        <f t="shared" si="4"/>
        <v>-8.5523236999669461E-3</v>
      </c>
      <c r="O37" s="65">
        <v>50910725</v>
      </c>
      <c r="P37" s="66">
        <f t="shared" si="5"/>
        <v>-1.1132439044107545E-2</v>
      </c>
      <c r="Q37" s="65">
        <v>51483866</v>
      </c>
      <c r="R37" s="66">
        <f t="shared" si="6"/>
        <v>5.5646833451303834E-3</v>
      </c>
      <c r="S37" s="67">
        <v>51198960</v>
      </c>
      <c r="T37" s="66">
        <f t="shared" si="6"/>
        <v>8.891629241347454E-3</v>
      </c>
      <c r="U37" s="67">
        <v>50747730</v>
      </c>
      <c r="V37" s="66">
        <f t="shared" si="7"/>
        <v>2.3323193813761911E-2</v>
      </c>
      <c r="W37" s="67">
        <v>49591107</v>
      </c>
      <c r="X37" s="66">
        <f t="shared" si="8"/>
        <v>1.5635293855500665E-2</v>
      </c>
      <c r="Y37" s="67">
        <v>48827672</v>
      </c>
      <c r="Z37" s="66">
        <f t="shared" si="9"/>
        <v>5.2350341394373556E-2</v>
      </c>
      <c r="AA37" s="76">
        <v>46398685</v>
      </c>
      <c r="AC37" s="24"/>
    </row>
    <row r="38" spans="1:29" ht="14.25" customHeight="1" x14ac:dyDescent="0.2">
      <c r="A38" s="51" t="s">
        <v>34</v>
      </c>
      <c r="B38" s="45" t="s">
        <v>133</v>
      </c>
      <c r="C38" s="103">
        <v>23865038</v>
      </c>
      <c r="D38" s="102">
        <f t="shared" si="1"/>
        <v>4.3534995075082294E-2</v>
      </c>
      <c r="E38" s="103">
        <v>22869418</v>
      </c>
      <c r="F38" s="102">
        <f t="shared" si="2"/>
        <v>-5.7172063429291597E-3</v>
      </c>
      <c r="G38" s="103">
        <v>23000919</v>
      </c>
      <c r="H38" s="102">
        <f t="shared" si="2"/>
        <v>2.1470541722362402E-2</v>
      </c>
      <c r="I38" s="65">
        <v>22517457</v>
      </c>
      <c r="J38" s="66">
        <f t="shared" si="0"/>
        <v>3.9441712447427779E-2</v>
      </c>
      <c r="K38" s="65">
        <v>21663030</v>
      </c>
      <c r="L38" s="66">
        <f t="shared" si="3"/>
        <v>1.2298217043577475E-2</v>
      </c>
      <c r="M38" s="65">
        <v>21399850</v>
      </c>
      <c r="N38" s="66">
        <f t="shared" si="4"/>
        <v>9.6707317993780517E-3</v>
      </c>
      <c r="O38" s="65">
        <v>21194880</v>
      </c>
      <c r="P38" s="66">
        <f t="shared" si="5"/>
        <v>1.6704118718326777E-2</v>
      </c>
      <c r="Q38" s="65">
        <v>20846655</v>
      </c>
      <c r="R38" s="66">
        <f t="shared" si="6"/>
        <v>6.3037062006026101E-3</v>
      </c>
      <c r="S38" s="67">
        <v>20716067</v>
      </c>
      <c r="T38" s="66">
        <f t="shared" si="6"/>
        <v>1.5357253294006501E-2</v>
      </c>
      <c r="U38" s="67">
        <v>20402737</v>
      </c>
      <c r="V38" s="66">
        <f t="shared" si="7"/>
        <v>2.891882652219091E-2</v>
      </c>
      <c r="W38" s="67">
        <v>19829297</v>
      </c>
      <c r="X38" s="66">
        <f t="shared" si="8"/>
        <v>2.6210543121648611E-2</v>
      </c>
      <c r="Y38" s="67">
        <v>19322835</v>
      </c>
      <c r="Z38" s="66">
        <f t="shared" si="9"/>
        <v>4.7738412680372821E-2</v>
      </c>
      <c r="AA38" s="76">
        <v>18442423</v>
      </c>
      <c r="AC38" s="24"/>
    </row>
    <row r="39" spans="1:29" ht="14.25" customHeight="1" x14ac:dyDescent="0.2">
      <c r="A39" s="51" t="s">
        <v>33</v>
      </c>
      <c r="B39" s="45" t="s">
        <v>132</v>
      </c>
      <c r="C39" s="103">
        <v>2143608891</v>
      </c>
      <c r="D39" s="102">
        <f t="shared" si="1"/>
        <v>4.4229468526554072E-2</v>
      </c>
      <c r="E39" s="103">
        <v>2052814018</v>
      </c>
      <c r="F39" s="102">
        <f t="shared" si="2"/>
        <v>5.246045064896232E-2</v>
      </c>
      <c r="G39" s="103">
        <v>1950490412</v>
      </c>
      <c r="H39" s="102">
        <f t="shared" si="2"/>
        <v>5.6217941153865469E-2</v>
      </c>
      <c r="I39" s="65">
        <v>1846674191</v>
      </c>
      <c r="J39" s="66">
        <f t="shared" si="0"/>
        <v>5.8855445611067037E-2</v>
      </c>
      <c r="K39" s="65">
        <v>1744028610</v>
      </c>
      <c r="L39" s="66">
        <f t="shared" si="3"/>
        <v>5.406217927197754E-2</v>
      </c>
      <c r="M39" s="65">
        <v>1654578491</v>
      </c>
      <c r="N39" s="66">
        <f t="shared" si="4"/>
        <v>3.9689469434923019E-2</v>
      </c>
      <c r="O39" s="65">
        <v>1591416033</v>
      </c>
      <c r="P39" s="66">
        <f t="shared" si="5"/>
        <v>3.3371959263352791E-2</v>
      </c>
      <c r="Q39" s="65">
        <v>1540022466</v>
      </c>
      <c r="R39" s="66">
        <f t="shared" si="6"/>
        <v>1.8182832527159576E-2</v>
      </c>
      <c r="S39" s="67">
        <v>1512520558</v>
      </c>
      <c r="T39" s="66">
        <f t="shared" si="6"/>
        <v>-8.2704270166497063E-3</v>
      </c>
      <c r="U39" s="67">
        <v>1525134068</v>
      </c>
      <c r="V39" s="66">
        <f t="shared" si="7"/>
        <v>-3.2239264527661571E-2</v>
      </c>
      <c r="W39" s="67">
        <v>1575941255</v>
      </c>
      <c r="X39" s="66">
        <f t="shared" si="8"/>
        <v>-3.0125037980774594E-2</v>
      </c>
      <c r="Y39" s="67">
        <v>1624891163</v>
      </c>
      <c r="Z39" s="66">
        <f t="shared" si="9"/>
        <v>-5.2181334264578272E-3</v>
      </c>
      <c r="AA39" s="76">
        <v>1633414538</v>
      </c>
      <c r="AC39" s="24"/>
    </row>
    <row r="40" spans="1:29" ht="14.25" customHeight="1" x14ac:dyDescent="0.2">
      <c r="A40" s="51" t="s">
        <v>32</v>
      </c>
      <c r="B40" s="45" t="s">
        <v>132</v>
      </c>
      <c r="C40" s="103">
        <v>4312833968</v>
      </c>
      <c r="D40" s="102">
        <f t="shared" si="1"/>
        <v>5.8674923336514917E-2</v>
      </c>
      <c r="E40" s="103">
        <v>4073803840</v>
      </c>
      <c r="F40" s="102">
        <f t="shared" si="2"/>
        <v>5.3215076983350595E-2</v>
      </c>
      <c r="G40" s="103">
        <v>3867969543</v>
      </c>
      <c r="H40" s="102">
        <f t="shared" si="2"/>
        <v>5.8579395779656096E-2</v>
      </c>
      <c r="I40" s="65">
        <v>3653924834</v>
      </c>
      <c r="J40" s="66">
        <f t="shared" si="0"/>
        <v>6.0437165368617318E-2</v>
      </c>
      <c r="K40" s="65">
        <v>3445677833</v>
      </c>
      <c r="L40" s="66">
        <f t="shared" si="3"/>
        <v>6.5972981155332677E-2</v>
      </c>
      <c r="M40" s="65">
        <v>3232425112</v>
      </c>
      <c r="N40" s="66">
        <f t="shared" si="4"/>
        <v>6.4330403585474594E-2</v>
      </c>
      <c r="O40" s="65">
        <v>3037050432</v>
      </c>
      <c r="P40" s="66">
        <f t="shared" si="5"/>
        <v>4.8658171078306278E-2</v>
      </c>
      <c r="Q40" s="65">
        <v>2896130041</v>
      </c>
      <c r="R40" s="66">
        <f t="shared" si="6"/>
        <v>3.7958313057588455E-2</v>
      </c>
      <c r="S40" s="67">
        <v>2790218070</v>
      </c>
      <c r="T40" s="66">
        <f t="shared" si="6"/>
        <v>2.7666026307541447E-2</v>
      </c>
      <c r="U40" s="67">
        <v>2715101987</v>
      </c>
      <c r="V40" s="66">
        <f t="shared" si="7"/>
        <v>7.3078190303610402E-3</v>
      </c>
      <c r="W40" s="67">
        <v>2695404459</v>
      </c>
      <c r="X40" s="66">
        <f t="shared" si="8"/>
        <v>-2.2930769530920214E-2</v>
      </c>
      <c r="Y40" s="67">
        <v>2758662718</v>
      </c>
      <c r="Z40" s="66">
        <f t="shared" si="9"/>
        <v>-0.11720347748256343</v>
      </c>
      <c r="AA40" s="76">
        <v>3124913440</v>
      </c>
      <c r="AC40" s="24"/>
    </row>
    <row r="41" spans="1:29" ht="14.25" customHeight="1" x14ac:dyDescent="0.2">
      <c r="A41" s="51" t="s">
        <v>31</v>
      </c>
      <c r="B41" s="45" t="s">
        <v>132</v>
      </c>
      <c r="C41" s="103">
        <v>1249865551</v>
      </c>
      <c r="D41" s="102">
        <f t="shared" si="1"/>
        <v>1.154168337447925E-2</v>
      </c>
      <c r="E41" s="103">
        <v>1235604594</v>
      </c>
      <c r="F41" s="102">
        <f t="shared" si="2"/>
        <v>1.9996819662401188E-2</v>
      </c>
      <c r="G41" s="103">
        <v>1211380830</v>
      </c>
      <c r="H41" s="102">
        <f t="shared" si="2"/>
        <v>1.9048729758370131E-2</v>
      </c>
      <c r="I41" s="65">
        <v>1188736902</v>
      </c>
      <c r="J41" s="66">
        <f t="shared" si="0"/>
        <v>1.9366606229573202E-2</v>
      </c>
      <c r="K41" s="65">
        <v>1166152486</v>
      </c>
      <c r="L41" s="66">
        <f t="shared" si="3"/>
        <v>1.5024749643480328E-2</v>
      </c>
      <c r="M41" s="65">
        <v>1148890691</v>
      </c>
      <c r="N41" s="66">
        <f t="shared" si="4"/>
        <v>1.1062638223718446E-2</v>
      </c>
      <c r="O41" s="65">
        <v>1136319994</v>
      </c>
      <c r="P41" s="66">
        <f t="shared" si="5"/>
        <v>2.6104957403969564E-3</v>
      </c>
      <c r="Q41" s="65">
        <v>1133361359</v>
      </c>
      <c r="R41" s="66">
        <f t="shared" si="6"/>
        <v>-2.8526477886523516E-3</v>
      </c>
      <c r="S41" s="67">
        <v>1136603689</v>
      </c>
      <c r="T41" s="66">
        <f t="shared" si="6"/>
        <v>-1.491058343959617E-2</v>
      </c>
      <c r="U41" s="67">
        <v>1153807634</v>
      </c>
      <c r="V41" s="66">
        <f t="shared" si="7"/>
        <v>-3.2302926947585409E-2</v>
      </c>
      <c r="W41" s="67">
        <v>1192323162</v>
      </c>
      <c r="X41" s="66">
        <f t="shared" si="8"/>
        <v>-1.043607718600037E-2</v>
      </c>
      <c r="Y41" s="67">
        <v>1204897566</v>
      </c>
      <c r="Z41" s="66">
        <f t="shared" si="9"/>
        <v>1.1060923961599523E-2</v>
      </c>
      <c r="AA41" s="76">
        <v>1191716085</v>
      </c>
      <c r="AC41" s="24"/>
    </row>
    <row r="42" spans="1:29" ht="14.25" customHeight="1" x14ac:dyDescent="0.2">
      <c r="A42" s="51" t="s">
        <v>30</v>
      </c>
      <c r="B42" s="45" t="s">
        <v>133</v>
      </c>
      <c r="C42" s="103">
        <v>175046950</v>
      </c>
      <c r="D42" s="102">
        <f t="shared" si="1"/>
        <v>7.5202661266625004E-2</v>
      </c>
      <c r="E42" s="103">
        <v>162803680</v>
      </c>
      <c r="F42" s="102">
        <f t="shared" si="2"/>
        <v>6.6120657586693499E-2</v>
      </c>
      <c r="G42" s="103">
        <v>152706618</v>
      </c>
      <c r="H42" s="102">
        <f t="shared" si="2"/>
        <v>7.5198004586580325E-2</v>
      </c>
      <c r="I42" s="65">
        <v>142026508</v>
      </c>
      <c r="J42" s="66">
        <f t="shared" si="0"/>
        <v>6.1672917270458205E-2</v>
      </c>
      <c r="K42" s="65">
        <v>133776143</v>
      </c>
      <c r="L42" s="66">
        <f t="shared" si="3"/>
        <v>6.0764790170028338E-2</v>
      </c>
      <c r="M42" s="65">
        <v>126112918</v>
      </c>
      <c r="N42" s="66">
        <f t="shared" si="4"/>
        <v>2.0213190743118004E-2</v>
      </c>
      <c r="O42" s="65">
        <v>123614279</v>
      </c>
      <c r="P42" s="66">
        <f t="shared" si="5"/>
        <v>2.0369589819102751E-2</v>
      </c>
      <c r="Q42" s="65">
        <v>121146573</v>
      </c>
      <c r="R42" s="66">
        <f t="shared" si="6"/>
        <v>-1.169742819264763E-2</v>
      </c>
      <c r="S42" s="67">
        <v>122580449</v>
      </c>
      <c r="T42" s="66">
        <f t="shared" si="6"/>
        <v>-4.4560779971641651E-2</v>
      </c>
      <c r="U42" s="67">
        <v>128297485</v>
      </c>
      <c r="V42" s="66">
        <f t="shared" si="7"/>
        <v>-0.11922424006664045</v>
      </c>
      <c r="W42" s="67">
        <v>145664187</v>
      </c>
      <c r="X42" s="66">
        <f t="shared" si="8"/>
        <v>-6.640321056796572E-2</v>
      </c>
      <c r="Y42" s="67">
        <v>156024730</v>
      </c>
      <c r="Z42" s="66">
        <f t="shared" si="9"/>
        <v>1.5419783790607822E-2</v>
      </c>
      <c r="AA42" s="76">
        <v>153655397</v>
      </c>
      <c r="AC42" s="24"/>
    </row>
    <row r="43" spans="1:29" ht="14.25" customHeight="1" x14ac:dyDescent="0.2">
      <c r="A43" s="51" t="s">
        <v>29</v>
      </c>
      <c r="B43" s="45" t="s">
        <v>133</v>
      </c>
      <c r="C43" s="103">
        <v>17675448</v>
      </c>
      <c r="D43" s="102">
        <f t="shared" si="1"/>
        <v>5.1351337365304728E-2</v>
      </c>
      <c r="E43" s="103">
        <v>16812123</v>
      </c>
      <c r="F43" s="102">
        <f t="shared" si="2"/>
        <v>3.911916320244635E-2</v>
      </c>
      <c r="G43" s="103">
        <v>16179206</v>
      </c>
      <c r="H43" s="102">
        <f t="shared" si="2"/>
        <v>1.0147611785841892E-2</v>
      </c>
      <c r="I43" s="65">
        <v>16016675</v>
      </c>
      <c r="J43" s="66">
        <f t="shared" si="0"/>
        <v>5.9634196823388219E-2</v>
      </c>
      <c r="K43" s="65">
        <v>15115287</v>
      </c>
      <c r="L43" s="66">
        <f t="shared" si="3"/>
        <v>4.7248473568199945E-2</v>
      </c>
      <c r="M43" s="65">
        <v>14433334</v>
      </c>
      <c r="N43" s="66">
        <f t="shared" si="4"/>
        <v>7.752596143957069E-3</v>
      </c>
      <c r="O43" s="65">
        <v>14322299</v>
      </c>
      <c r="P43" s="66">
        <f t="shared" si="5"/>
        <v>7.8021765454947545E-3</v>
      </c>
      <c r="Q43" s="65">
        <v>14211419</v>
      </c>
      <c r="R43" s="66">
        <f t="shared" si="6"/>
        <v>3.5010222345482012E-2</v>
      </c>
      <c r="S43" s="67">
        <v>13730704</v>
      </c>
      <c r="T43" s="66">
        <f t="shared" si="6"/>
        <v>1.1927455670195375E-2</v>
      </c>
      <c r="U43" s="67">
        <v>13568862</v>
      </c>
      <c r="V43" s="66">
        <f t="shared" si="7"/>
        <v>8.8091217673023081E-3</v>
      </c>
      <c r="W43" s="67">
        <v>13450376</v>
      </c>
      <c r="X43" s="66">
        <f t="shared" si="8"/>
        <v>-9.7537729394148176E-4</v>
      </c>
      <c r="Y43" s="67">
        <v>13463508</v>
      </c>
      <c r="Z43" s="66">
        <f t="shared" si="9"/>
        <v>6.2505277602274312E-2</v>
      </c>
      <c r="AA43" s="76">
        <v>12671474</v>
      </c>
      <c r="AC43" s="24"/>
    </row>
    <row r="44" spans="1:29" ht="14.25" customHeight="1" x14ac:dyDescent="0.2">
      <c r="A44" s="51" t="s">
        <v>28</v>
      </c>
      <c r="B44" s="45" t="s">
        <v>133</v>
      </c>
      <c r="C44" s="103">
        <v>50390530</v>
      </c>
      <c r="D44" s="102">
        <f t="shared" si="1"/>
        <v>2.8831121914143942E-2</v>
      </c>
      <c r="E44" s="103">
        <v>48978427</v>
      </c>
      <c r="F44" s="102">
        <f t="shared" si="2"/>
        <v>6.3678629823257671E-2</v>
      </c>
      <c r="G44" s="103">
        <v>46046264</v>
      </c>
      <c r="H44" s="102">
        <f t="shared" si="2"/>
        <v>1.1914663158469896E-2</v>
      </c>
      <c r="I44" s="65">
        <v>45504098</v>
      </c>
      <c r="J44" s="66">
        <f t="shared" si="0"/>
        <v>3.9069253163503959E-2</v>
      </c>
      <c r="K44" s="65">
        <v>43793133</v>
      </c>
      <c r="L44" s="66">
        <f t="shared" si="3"/>
        <v>1.8560145534598504E-2</v>
      </c>
      <c r="M44" s="65">
        <v>42995137</v>
      </c>
      <c r="N44" s="66">
        <f t="shared" si="4"/>
        <v>1.6412689990791263E-2</v>
      </c>
      <c r="O44" s="65">
        <v>42300866</v>
      </c>
      <c r="P44" s="66">
        <f t="shared" si="5"/>
        <v>5.2909064577186804E-3</v>
      </c>
      <c r="Q44" s="65">
        <v>42078234</v>
      </c>
      <c r="R44" s="66">
        <f t="shared" si="6"/>
        <v>2.015664819694285E-3</v>
      </c>
      <c r="S44" s="67">
        <v>41993589</v>
      </c>
      <c r="T44" s="66">
        <f t="shared" si="6"/>
        <v>-1.1140473210437318E-2</v>
      </c>
      <c r="U44" s="67">
        <v>42466688</v>
      </c>
      <c r="V44" s="66">
        <f t="shared" si="7"/>
        <v>3.6183416563895232E-3</v>
      </c>
      <c r="W44" s="67">
        <v>42313583</v>
      </c>
      <c r="X44" s="66">
        <f t="shared" si="8"/>
        <v>-9.0057611915018709E-3</v>
      </c>
      <c r="Y44" s="67">
        <v>42698112</v>
      </c>
      <c r="Z44" s="66">
        <f t="shared" si="9"/>
        <v>3.098388438156241E-2</v>
      </c>
      <c r="AA44" s="76">
        <v>41414917</v>
      </c>
      <c r="AC44" s="24"/>
    </row>
    <row r="45" spans="1:29" ht="14.25" customHeight="1" x14ac:dyDescent="0.2">
      <c r="A45" s="51" t="s">
        <v>27</v>
      </c>
      <c r="B45" s="45" t="s">
        <v>132</v>
      </c>
      <c r="C45" s="103">
        <v>2157420500</v>
      </c>
      <c r="D45" s="102">
        <f t="shared" si="1"/>
        <v>4.490762115878133E-2</v>
      </c>
      <c r="E45" s="103">
        <v>2064699746</v>
      </c>
      <c r="F45" s="102">
        <f t="shared" si="2"/>
        <v>5.173684162780412E-2</v>
      </c>
      <c r="G45" s="103">
        <v>1963133423</v>
      </c>
      <c r="H45" s="102">
        <f t="shared" si="2"/>
        <v>5.5017229966331183E-2</v>
      </c>
      <c r="I45" s="65">
        <v>1860759585</v>
      </c>
      <c r="J45" s="66">
        <f t="shared" si="0"/>
        <v>4.9936186722305598E-2</v>
      </c>
      <c r="K45" s="65">
        <v>1772259694</v>
      </c>
      <c r="L45" s="66">
        <f t="shared" si="3"/>
        <v>5.5769279645706993E-2</v>
      </c>
      <c r="M45" s="65">
        <v>1678642984</v>
      </c>
      <c r="N45" s="66">
        <f t="shared" si="4"/>
        <v>4.4346221660614527E-2</v>
      </c>
      <c r="O45" s="65">
        <v>1607362529</v>
      </c>
      <c r="P45" s="66">
        <f t="shared" si="5"/>
        <v>2.4771566930837485E-2</v>
      </c>
      <c r="Q45" s="65">
        <v>1568508125</v>
      </c>
      <c r="R45" s="66">
        <f t="shared" si="6"/>
        <v>1.492015816211234E-2</v>
      </c>
      <c r="S45" s="67">
        <v>1545449770</v>
      </c>
      <c r="T45" s="66">
        <f t="shared" si="6"/>
        <v>-7.31145715225201E-3</v>
      </c>
      <c r="U45" s="67">
        <v>1556832484</v>
      </c>
      <c r="V45" s="66">
        <f t="shared" si="7"/>
        <v>-4.144034571904831E-2</v>
      </c>
      <c r="W45" s="67">
        <v>1624137295</v>
      </c>
      <c r="X45" s="66">
        <f t="shared" si="8"/>
        <v>-2.5160871262382867E-2</v>
      </c>
      <c r="Y45" s="67">
        <v>1666056734</v>
      </c>
      <c r="Z45" s="66">
        <f t="shared" si="9"/>
        <v>-2.7670825226929208E-2</v>
      </c>
      <c r="AA45" s="76">
        <v>1713469859</v>
      </c>
      <c r="AC45" s="24"/>
    </row>
    <row r="46" spans="1:29" ht="14.25" customHeight="1" x14ac:dyDescent="0.2">
      <c r="A46" s="51" t="s">
        <v>26</v>
      </c>
      <c r="B46" s="45" t="s">
        <v>132</v>
      </c>
      <c r="C46" s="103">
        <v>1950346983</v>
      </c>
      <c r="D46" s="102">
        <f t="shared" si="1"/>
        <v>5.0170979418210804E-2</v>
      </c>
      <c r="E46" s="103">
        <v>1857170900</v>
      </c>
      <c r="F46" s="102">
        <f t="shared" si="2"/>
        <v>6.7699745711409243E-2</v>
      </c>
      <c r="G46" s="103">
        <v>1739413077</v>
      </c>
      <c r="H46" s="102">
        <f t="shared" si="2"/>
        <v>5.7596825138872765E-2</v>
      </c>
      <c r="I46" s="65">
        <v>1644684473</v>
      </c>
      <c r="J46" s="66">
        <f t="shared" si="0"/>
        <v>5.1513031154737821E-2</v>
      </c>
      <c r="K46" s="65">
        <v>1564112307</v>
      </c>
      <c r="L46" s="66">
        <f t="shared" si="3"/>
        <v>4.4639408931817615E-2</v>
      </c>
      <c r="M46" s="65">
        <v>1497274843</v>
      </c>
      <c r="N46" s="66">
        <f t="shared" si="4"/>
        <v>3.0279745826012006E-2</v>
      </c>
      <c r="O46" s="65">
        <v>1453270191</v>
      </c>
      <c r="P46" s="66">
        <f t="shared" si="5"/>
        <v>1.3396846965494813E-2</v>
      </c>
      <c r="Q46" s="65">
        <v>1434058331</v>
      </c>
      <c r="R46" s="66">
        <f t="shared" si="6"/>
        <v>9.0367094309098395E-3</v>
      </c>
      <c r="S46" s="67">
        <v>1421215222</v>
      </c>
      <c r="T46" s="66">
        <f t="shared" si="6"/>
        <v>-2.0887913235593136E-2</v>
      </c>
      <c r="U46" s="67">
        <v>1451534754</v>
      </c>
      <c r="V46" s="66">
        <f t="shared" si="7"/>
        <v>-5.9805347420490151E-2</v>
      </c>
      <c r="W46" s="67">
        <v>1543866209</v>
      </c>
      <c r="X46" s="66">
        <f t="shared" si="8"/>
        <v>-5.4227613012074127E-2</v>
      </c>
      <c r="Y46" s="67">
        <v>1632386640</v>
      </c>
      <c r="Z46" s="66">
        <f t="shared" si="9"/>
        <v>-2.5169585601585776E-2</v>
      </c>
      <c r="AA46" s="76">
        <v>1674533966</v>
      </c>
      <c r="AC46" s="24"/>
    </row>
    <row r="47" spans="1:29" ht="14.25" customHeight="1" x14ac:dyDescent="0.2">
      <c r="A47" s="51" t="s">
        <v>25</v>
      </c>
      <c r="B47" s="45" t="s">
        <v>132</v>
      </c>
      <c r="C47" s="103">
        <v>1061076392</v>
      </c>
      <c r="D47" s="102">
        <f t="shared" si="1"/>
        <v>3.4616827090527602E-2</v>
      </c>
      <c r="E47" s="103">
        <v>1025574265</v>
      </c>
      <c r="F47" s="102">
        <f t="shared" si="2"/>
        <v>2.9971523455058158E-2</v>
      </c>
      <c r="G47" s="103">
        <v>995730699</v>
      </c>
      <c r="H47" s="102">
        <f t="shared" si="2"/>
        <v>2.9379945635900073E-2</v>
      </c>
      <c r="I47" s="65">
        <v>967311150</v>
      </c>
      <c r="J47" s="66">
        <f t="shared" si="0"/>
        <v>3.2070655658095415E-2</v>
      </c>
      <c r="K47" s="65">
        <v>937252837</v>
      </c>
      <c r="L47" s="66">
        <f t="shared" si="3"/>
        <v>3.1923004404328825E-2</v>
      </c>
      <c r="M47" s="65">
        <v>908258497</v>
      </c>
      <c r="N47" s="66">
        <f t="shared" si="4"/>
        <v>3.2055824447125181E-2</v>
      </c>
      <c r="O47" s="65">
        <v>880047838</v>
      </c>
      <c r="P47" s="66">
        <f t="shared" si="5"/>
        <v>1.296075098540439E-2</v>
      </c>
      <c r="Q47" s="65">
        <v>868787697</v>
      </c>
      <c r="R47" s="66">
        <f t="shared" si="6"/>
        <v>1.2776444366406015E-2</v>
      </c>
      <c r="S47" s="67">
        <v>857827709</v>
      </c>
      <c r="T47" s="66">
        <f t="shared" si="6"/>
        <v>2.4833683938754181E-3</v>
      </c>
      <c r="U47" s="67">
        <v>855702684</v>
      </c>
      <c r="V47" s="66">
        <f t="shared" si="7"/>
        <v>-2.9736886003380092E-2</v>
      </c>
      <c r="W47" s="67">
        <v>881928491</v>
      </c>
      <c r="X47" s="66">
        <f t="shared" si="8"/>
        <v>-3.3820314852592182E-2</v>
      </c>
      <c r="Y47" s="67">
        <v>912799663</v>
      </c>
      <c r="Z47" s="66">
        <f t="shared" si="9"/>
        <v>-2.0087285177594949E-2</v>
      </c>
      <c r="AA47" s="76">
        <v>931511194</v>
      </c>
      <c r="AC47" s="24"/>
    </row>
    <row r="48" spans="1:29" ht="14.25" customHeight="1" x14ac:dyDescent="0.2">
      <c r="A48" s="51" t="s">
        <v>24</v>
      </c>
      <c r="B48" s="45" t="s">
        <v>132</v>
      </c>
      <c r="C48" s="103">
        <v>396143413</v>
      </c>
      <c r="D48" s="102">
        <f t="shared" si="1"/>
        <v>1.0555071838178387E-2</v>
      </c>
      <c r="E48" s="103">
        <v>392005764</v>
      </c>
      <c r="F48" s="102">
        <f t="shared" si="2"/>
        <v>7.5484911372287744E-3</v>
      </c>
      <c r="G48" s="103">
        <v>389068881</v>
      </c>
      <c r="H48" s="102">
        <f t="shared" si="2"/>
        <v>-4.4153603345457038E-3</v>
      </c>
      <c r="I48" s="65">
        <v>390794379</v>
      </c>
      <c r="J48" s="66">
        <f t="shared" si="0"/>
        <v>-6.8666602871078064E-3</v>
      </c>
      <c r="K48" s="65">
        <v>393496385</v>
      </c>
      <c r="L48" s="66">
        <f t="shared" si="3"/>
        <v>-1.0273050140012785E-2</v>
      </c>
      <c r="M48" s="65">
        <v>397580752</v>
      </c>
      <c r="N48" s="66">
        <f t="shared" si="4"/>
        <v>2.7330261911238107E-3</v>
      </c>
      <c r="O48" s="65">
        <v>396497115</v>
      </c>
      <c r="P48" s="66">
        <f t="shared" si="5"/>
        <v>-3.1587301312344662E-3</v>
      </c>
      <c r="Q48" s="65">
        <v>397753511</v>
      </c>
      <c r="R48" s="66">
        <f t="shared" si="6"/>
        <v>-7.735018318696385E-3</v>
      </c>
      <c r="S48" s="67">
        <v>400854125</v>
      </c>
      <c r="T48" s="66">
        <f t="shared" si="6"/>
        <v>-2.0604725268110413E-2</v>
      </c>
      <c r="U48" s="67">
        <v>409287379</v>
      </c>
      <c r="V48" s="66">
        <f t="shared" si="7"/>
        <v>-2.0892607180148626E-2</v>
      </c>
      <c r="W48" s="67">
        <v>418020926</v>
      </c>
      <c r="X48" s="66">
        <f t="shared" si="8"/>
        <v>-1.7632145550562695E-2</v>
      </c>
      <c r="Y48" s="67">
        <v>425523824</v>
      </c>
      <c r="Z48" s="66">
        <f t="shared" si="9"/>
        <v>-1.5240276401463748E-2</v>
      </c>
      <c r="AA48" s="76">
        <v>432109289</v>
      </c>
      <c r="AC48" s="24"/>
    </row>
    <row r="49" spans="1:29" ht="14.25" customHeight="1" x14ac:dyDescent="0.2">
      <c r="A49" s="51" t="s">
        <v>23</v>
      </c>
      <c r="B49" s="45" t="s">
        <v>132</v>
      </c>
      <c r="C49" s="103">
        <v>577328799</v>
      </c>
      <c r="D49" s="102">
        <f t="shared" si="1"/>
        <v>5.1178914909008277E-2</v>
      </c>
      <c r="E49" s="103">
        <v>549220300</v>
      </c>
      <c r="F49" s="102">
        <f t="shared" si="2"/>
        <v>6.0267842599496468E-2</v>
      </c>
      <c r="G49" s="103">
        <v>518001469</v>
      </c>
      <c r="H49" s="102">
        <f t="shared" si="2"/>
        <v>6.2764493609203775E-2</v>
      </c>
      <c r="I49" s="65">
        <v>487409461</v>
      </c>
      <c r="J49" s="66">
        <f t="shared" si="0"/>
        <v>6.0382175594874576E-2</v>
      </c>
      <c r="K49" s="65">
        <v>459654521</v>
      </c>
      <c r="L49" s="66">
        <f t="shared" si="3"/>
        <v>5.189315368738745E-2</v>
      </c>
      <c r="M49" s="65">
        <v>436978337</v>
      </c>
      <c r="N49" s="66">
        <f t="shared" si="4"/>
        <v>4.1905101997993022E-2</v>
      </c>
      <c r="O49" s="65">
        <v>419403203</v>
      </c>
      <c r="P49" s="66">
        <f t="shared" si="5"/>
        <v>3.2538984148390071E-2</v>
      </c>
      <c r="Q49" s="65">
        <v>406186313</v>
      </c>
      <c r="R49" s="66">
        <f t="shared" si="6"/>
        <v>-7.9070276052478627E-3</v>
      </c>
      <c r="S49" s="67">
        <v>409423637</v>
      </c>
      <c r="T49" s="66">
        <f t="shared" si="6"/>
        <v>-9.6004716332483975E-3</v>
      </c>
      <c r="U49" s="67">
        <v>413392399</v>
      </c>
      <c r="V49" s="66">
        <f t="shared" si="7"/>
        <v>-1.3916414149448997E-2</v>
      </c>
      <c r="W49" s="67">
        <v>419226529</v>
      </c>
      <c r="X49" s="66">
        <f t="shared" si="8"/>
        <v>2.1611892672603883E-3</v>
      </c>
      <c r="Y49" s="67">
        <v>418322455</v>
      </c>
      <c r="Z49" s="66">
        <f t="shared" si="9"/>
        <v>1.3070572803503655E-2</v>
      </c>
      <c r="AA49" s="76">
        <v>412925285</v>
      </c>
      <c r="AC49" s="24"/>
    </row>
    <row r="50" spans="1:29" ht="14.25" customHeight="1" x14ac:dyDescent="0.2">
      <c r="A50" s="51" t="s">
        <v>22</v>
      </c>
      <c r="B50" s="45" t="s">
        <v>132</v>
      </c>
      <c r="C50" s="103">
        <v>1063870661</v>
      </c>
      <c r="D50" s="102">
        <f t="shared" si="1"/>
        <v>1.2309179845295448E-2</v>
      </c>
      <c r="E50" s="103">
        <v>1050934519</v>
      </c>
      <c r="F50" s="102">
        <f t="shared" si="2"/>
        <v>2.3666719596747932E-2</v>
      </c>
      <c r="G50" s="103">
        <v>1026637380</v>
      </c>
      <c r="H50" s="102">
        <f t="shared" si="2"/>
        <v>2.6805611831442366E-2</v>
      </c>
      <c r="I50" s="65">
        <v>999836160</v>
      </c>
      <c r="J50" s="66">
        <f t="shared" si="0"/>
        <v>2.7895334357098456E-2</v>
      </c>
      <c r="K50" s="65">
        <v>972702304</v>
      </c>
      <c r="L50" s="66">
        <f t="shared" si="3"/>
        <v>1.9908606591055422E-2</v>
      </c>
      <c r="M50" s="65">
        <v>953715164</v>
      </c>
      <c r="N50" s="66">
        <f t="shared" si="4"/>
        <v>7.1530905012879842E-3</v>
      </c>
      <c r="O50" s="65">
        <v>946941605</v>
      </c>
      <c r="P50" s="66">
        <f t="shared" si="5"/>
        <v>6.4670847754746408E-3</v>
      </c>
      <c r="Q50" s="65">
        <v>940857003</v>
      </c>
      <c r="R50" s="66">
        <f t="shared" si="6"/>
        <v>3.1971003730493219E-3</v>
      </c>
      <c r="S50" s="67">
        <v>937858575</v>
      </c>
      <c r="T50" s="66">
        <f t="shared" si="6"/>
        <v>-4.2226910551367292E-3</v>
      </c>
      <c r="U50" s="67">
        <v>941835656</v>
      </c>
      <c r="V50" s="66">
        <f t="shared" si="7"/>
        <v>-6.6691761189411336E-3</v>
      </c>
      <c r="W50" s="67">
        <v>948159096</v>
      </c>
      <c r="X50" s="66">
        <f t="shared" si="8"/>
        <v>-1.1631792296374677E-2</v>
      </c>
      <c r="Y50" s="67">
        <v>959317680</v>
      </c>
      <c r="Z50" s="66">
        <f t="shared" si="9"/>
        <v>5.3818156281613128E-3</v>
      </c>
      <c r="AA50" s="76">
        <v>954182446</v>
      </c>
      <c r="AC50" s="24"/>
    </row>
    <row r="51" spans="1:29" ht="14.25" customHeight="1" x14ac:dyDescent="0.2">
      <c r="A51" s="51" t="s">
        <v>21</v>
      </c>
      <c r="B51" s="45" t="s">
        <v>132</v>
      </c>
      <c r="C51" s="103">
        <v>124639230</v>
      </c>
      <c r="D51" s="102">
        <f t="shared" si="1"/>
        <v>5.7934808354018985E-2</v>
      </c>
      <c r="E51" s="103">
        <v>117813715</v>
      </c>
      <c r="F51" s="102">
        <f t="shared" si="2"/>
        <v>8.1077344896467896E-2</v>
      </c>
      <c r="G51" s="103">
        <v>108978063</v>
      </c>
      <c r="H51" s="102">
        <f t="shared" si="2"/>
        <v>7.0687267391193576E-2</v>
      </c>
      <c r="I51" s="65">
        <v>101783281</v>
      </c>
      <c r="J51" s="66">
        <f t="shared" si="0"/>
        <v>7.0234903521033898E-2</v>
      </c>
      <c r="K51" s="65">
        <v>95103683</v>
      </c>
      <c r="L51" s="66">
        <f t="shared" si="3"/>
        <v>5.6428187109580419E-2</v>
      </c>
      <c r="M51" s="65">
        <v>90023803</v>
      </c>
      <c r="N51" s="66">
        <f t="shared" si="4"/>
        <v>3.0206667641136997E-2</v>
      </c>
      <c r="O51" s="65">
        <v>87384217</v>
      </c>
      <c r="P51" s="66">
        <f t="shared" si="5"/>
        <v>3.2282943393034724E-2</v>
      </c>
      <c r="Q51" s="65">
        <v>84651420</v>
      </c>
      <c r="R51" s="66">
        <f t="shared" si="6"/>
        <v>-2.8373366494728325E-3</v>
      </c>
      <c r="S51" s="67">
        <v>84892288</v>
      </c>
      <c r="T51" s="66">
        <f t="shared" si="6"/>
        <v>-2.1957324593914418E-2</v>
      </c>
      <c r="U51" s="67">
        <v>86798143</v>
      </c>
      <c r="V51" s="66">
        <f t="shared" si="7"/>
        <v>-0.12376712886415731</v>
      </c>
      <c r="W51" s="67">
        <v>99058305</v>
      </c>
      <c r="X51" s="66">
        <f t="shared" si="8"/>
        <v>-8.7670548937743398E-2</v>
      </c>
      <c r="Y51" s="67">
        <v>108577340</v>
      </c>
      <c r="Z51" s="66">
        <f t="shared" si="9"/>
        <v>-0.13371154742527269</v>
      </c>
      <c r="AA51" s="76">
        <v>125336243</v>
      </c>
      <c r="AC51" s="24"/>
    </row>
    <row r="52" spans="1:29" ht="14.25" customHeight="1" x14ac:dyDescent="0.2">
      <c r="A52" s="51" t="s">
        <v>20</v>
      </c>
      <c r="B52" s="45" t="s">
        <v>132</v>
      </c>
      <c r="C52" s="103">
        <v>5389531403</v>
      </c>
      <c r="D52" s="102">
        <f t="shared" si="1"/>
        <v>2.8292049677831832E-2</v>
      </c>
      <c r="E52" s="103">
        <v>5241245816</v>
      </c>
      <c r="F52" s="102">
        <f t="shared" si="2"/>
        <v>3.8381618723718036E-2</v>
      </c>
      <c r="G52" s="103">
        <v>5047514056</v>
      </c>
      <c r="H52" s="102">
        <f t="shared" si="2"/>
        <v>4.3079515994572715E-2</v>
      </c>
      <c r="I52" s="65">
        <v>4839050119</v>
      </c>
      <c r="J52" s="66">
        <f t="shared" si="0"/>
        <v>4.1333714796240706E-2</v>
      </c>
      <c r="K52" s="65">
        <v>4646973444</v>
      </c>
      <c r="L52" s="66">
        <f t="shared" si="3"/>
        <v>4.8108824764712343E-2</v>
      </c>
      <c r="M52" s="65">
        <v>4433674571</v>
      </c>
      <c r="N52" s="66">
        <f t="shared" si="4"/>
        <v>3.354731051041937E-2</v>
      </c>
      <c r="O52" s="65">
        <v>4289764509</v>
      </c>
      <c r="P52" s="66">
        <f t="shared" si="5"/>
        <v>1.6171685133650193E-2</v>
      </c>
      <c r="Q52" s="65">
        <v>4221495808</v>
      </c>
      <c r="R52" s="66">
        <f t="shared" si="6"/>
        <v>4.8426403389594253E-3</v>
      </c>
      <c r="S52" s="67">
        <v>4201151144</v>
      </c>
      <c r="T52" s="66">
        <f t="shared" si="6"/>
        <v>-2.031083487781582E-3</v>
      </c>
      <c r="U52" s="67">
        <v>4209701399</v>
      </c>
      <c r="V52" s="66">
        <f t="shared" si="7"/>
        <v>-2.1188318750183788E-2</v>
      </c>
      <c r="W52" s="67">
        <v>4300828729</v>
      </c>
      <c r="X52" s="66">
        <f t="shared" si="8"/>
        <v>-4.7576118040071003E-2</v>
      </c>
      <c r="Y52" s="67">
        <v>4515666617</v>
      </c>
      <c r="Z52" s="66">
        <f t="shared" si="9"/>
        <v>-7.838216461742642E-2</v>
      </c>
      <c r="AA52" s="76">
        <v>4899717045</v>
      </c>
      <c r="AC52" s="24"/>
    </row>
    <row r="53" spans="1:29" ht="14.25" customHeight="1" x14ac:dyDescent="0.2">
      <c r="A53" s="51" t="s">
        <v>19</v>
      </c>
      <c r="B53" s="45" t="s">
        <v>132</v>
      </c>
      <c r="C53" s="103">
        <v>1615108849</v>
      </c>
      <c r="D53" s="102">
        <f t="shared" si="1"/>
        <v>7.201815120489119E-2</v>
      </c>
      <c r="E53" s="103">
        <v>1506605879</v>
      </c>
      <c r="F53" s="102">
        <f t="shared" si="2"/>
        <v>8.0173307531454352E-2</v>
      </c>
      <c r="G53" s="103">
        <v>1394781623</v>
      </c>
      <c r="H53" s="102">
        <f t="shared" si="2"/>
        <v>7.8485811641339831E-2</v>
      </c>
      <c r="I53" s="65">
        <v>1293277675</v>
      </c>
      <c r="J53" s="66">
        <f t="shared" si="0"/>
        <v>8.1016190547714917E-2</v>
      </c>
      <c r="K53" s="65">
        <v>1196353659</v>
      </c>
      <c r="L53" s="66">
        <f t="shared" si="3"/>
        <v>8.3933830325312542E-2</v>
      </c>
      <c r="M53" s="65">
        <v>1103714660</v>
      </c>
      <c r="N53" s="66">
        <f t="shared" si="4"/>
        <v>7.1095016111541343E-2</v>
      </c>
      <c r="O53" s="65">
        <v>1030454482</v>
      </c>
      <c r="P53" s="66">
        <f t="shared" si="5"/>
        <v>4.5583665682460861E-2</v>
      </c>
      <c r="Q53" s="65">
        <v>985530394</v>
      </c>
      <c r="R53" s="66">
        <f t="shared" si="6"/>
        <v>3.5598304720589002E-2</v>
      </c>
      <c r="S53" s="67">
        <v>951653155</v>
      </c>
      <c r="T53" s="66">
        <f t="shared" si="6"/>
        <v>2.2526502756306632E-2</v>
      </c>
      <c r="U53" s="67">
        <v>930688009</v>
      </c>
      <c r="V53" s="66">
        <f t="shared" si="7"/>
        <v>5.1073145705182732E-4</v>
      </c>
      <c r="W53" s="67">
        <v>930212920</v>
      </c>
      <c r="X53" s="66">
        <f t="shared" si="8"/>
        <v>-4.7690543692811338E-2</v>
      </c>
      <c r="Y53" s="67">
        <v>976796895</v>
      </c>
      <c r="Z53" s="66">
        <f t="shared" si="9"/>
        <v>-0.11664060650201802</v>
      </c>
      <c r="AA53" s="76">
        <v>1105775183</v>
      </c>
      <c r="AC53" s="24"/>
    </row>
    <row r="54" spans="1:29" ht="14.25" customHeight="1" x14ac:dyDescent="0.2">
      <c r="A54" s="51" t="s">
        <v>18</v>
      </c>
      <c r="B54" s="45" t="s">
        <v>132</v>
      </c>
      <c r="C54" s="103">
        <v>7845392965</v>
      </c>
      <c r="D54" s="102">
        <f t="shared" si="1"/>
        <v>2.5687286729994208E-2</v>
      </c>
      <c r="E54" s="103">
        <v>7648913140</v>
      </c>
      <c r="F54" s="102">
        <f t="shared" si="2"/>
        <v>3.1678950486164759E-2</v>
      </c>
      <c r="G54" s="103">
        <v>7414044007</v>
      </c>
      <c r="H54" s="102">
        <f t="shared" si="2"/>
        <v>3.1440041717053058E-2</v>
      </c>
      <c r="I54" s="65">
        <v>7188051372</v>
      </c>
      <c r="J54" s="66">
        <f t="shared" si="0"/>
        <v>2.9507755082480491E-2</v>
      </c>
      <c r="K54" s="65">
        <v>6982027417</v>
      </c>
      <c r="L54" s="66">
        <f t="shared" si="3"/>
        <v>2.978872938717303E-2</v>
      </c>
      <c r="M54" s="65">
        <v>6780058101</v>
      </c>
      <c r="N54" s="66">
        <f t="shared" si="4"/>
        <v>2.4366506053765891E-2</v>
      </c>
      <c r="O54" s="65">
        <v>6618781521</v>
      </c>
      <c r="P54" s="66">
        <f t="shared" si="5"/>
        <v>5.5078121805995917E-3</v>
      </c>
      <c r="Q54" s="65">
        <v>6582526203</v>
      </c>
      <c r="R54" s="66">
        <f t="shared" si="6"/>
        <v>2.4947747309544965E-3</v>
      </c>
      <c r="S54" s="67">
        <v>6566145150</v>
      </c>
      <c r="T54" s="66">
        <f t="shared" si="6"/>
        <v>-1.0467384751315922E-2</v>
      </c>
      <c r="U54" s="67">
        <v>6635602555</v>
      </c>
      <c r="V54" s="66">
        <f t="shared" si="7"/>
        <v>-4.0551092879263839E-2</v>
      </c>
      <c r="W54" s="67">
        <v>6916056192</v>
      </c>
      <c r="X54" s="66">
        <f t="shared" si="8"/>
        <v>-3.2581016505458638E-2</v>
      </c>
      <c r="Y54" s="67">
        <v>7148977134</v>
      </c>
      <c r="Z54" s="66">
        <f t="shared" si="9"/>
        <v>-5.0942659634761966E-2</v>
      </c>
      <c r="AA54" s="76">
        <v>7532713599</v>
      </c>
      <c r="AC54" s="24"/>
    </row>
    <row r="55" spans="1:29" ht="14.25" customHeight="1" x14ac:dyDescent="0.2">
      <c r="A55" s="51" t="s">
        <v>17</v>
      </c>
      <c r="B55" s="45" t="s">
        <v>132</v>
      </c>
      <c r="C55" s="103">
        <v>2909908086</v>
      </c>
      <c r="D55" s="102">
        <f t="shared" si="1"/>
        <v>6.7540512691269816E-2</v>
      </c>
      <c r="E55" s="103">
        <v>2725805767</v>
      </c>
      <c r="F55" s="102">
        <f t="shared" si="2"/>
        <v>6.6206724542118511E-2</v>
      </c>
      <c r="G55" s="103">
        <v>2556545278</v>
      </c>
      <c r="H55" s="102">
        <f t="shared" si="2"/>
        <v>8.4637405590763493E-2</v>
      </c>
      <c r="I55" s="65">
        <v>2357050628</v>
      </c>
      <c r="J55" s="66">
        <f t="shared" si="0"/>
        <v>7.1294465176084731E-2</v>
      </c>
      <c r="K55" s="65">
        <v>2200189308</v>
      </c>
      <c r="L55" s="66">
        <f t="shared" si="3"/>
        <v>6.1551472649575167E-2</v>
      </c>
      <c r="M55" s="65">
        <v>2072616698</v>
      </c>
      <c r="N55" s="66">
        <f t="shared" si="4"/>
        <v>4.3448705009081712E-2</v>
      </c>
      <c r="O55" s="65">
        <v>1986313930</v>
      </c>
      <c r="P55" s="66">
        <f t="shared" si="5"/>
        <v>2.4161628642399124E-2</v>
      </c>
      <c r="Q55" s="65">
        <v>1939453573</v>
      </c>
      <c r="R55" s="66">
        <f t="shared" si="6"/>
        <v>6.4120730428018913E-3</v>
      </c>
      <c r="S55" s="67">
        <v>1927096887</v>
      </c>
      <c r="T55" s="66">
        <f t="shared" si="6"/>
        <v>-1.8564024638976995E-2</v>
      </c>
      <c r="U55" s="67">
        <v>1963548245</v>
      </c>
      <c r="V55" s="66">
        <f t="shared" si="7"/>
        <v>-7.4957577588670943E-2</v>
      </c>
      <c r="W55" s="67">
        <v>2122657510</v>
      </c>
      <c r="X55" s="66">
        <f t="shared" si="8"/>
        <v>-3.0238177284441559E-2</v>
      </c>
      <c r="Y55" s="67">
        <v>2188844168</v>
      </c>
      <c r="Z55" s="66">
        <f t="shared" si="9"/>
        <v>-5.0698199185364001E-2</v>
      </c>
      <c r="AA55" s="76">
        <v>2305741089</v>
      </c>
      <c r="AC55" s="24"/>
    </row>
    <row r="56" spans="1:29" ht="14.25" customHeight="1" x14ac:dyDescent="0.2">
      <c r="A56" s="51" t="s">
        <v>16</v>
      </c>
      <c r="B56" s="45" t="s">
        <v>132</v>
      </c>
      <c r="C56" s="103">
        <v>5322883512</v>
      </c>
      <c r="D56" s="102">
        <f t="shared" si="1"/>
        <v>2.6713750653800217E-2</v>
      </c>
      <c r="E56" s="103">
        <v>5184389036</v>
      </c>
      <c r="F56" s="102">
        <f t="shared" si="2"/>
        <v>3.6737570611688586E-2</v>
      </c>
      <c r="G56" s="103">
        <v>5000676336</v>
      </c>
      <c r="H56" s="102">
        <f t="shared" si="2"/>
        <v>3.4431210212578334E-2</v>
      </c>
      <c r="I56" s="65">
        <v>4834228015</v>
      </c>
      <c r="J56" s="66">
        <f t="shared" si="0"/>
        <v>3.9436335205514261E-2</v>
      </c>
      <c r="K56" s="65">
        <v>4650816843</v>
      </c>
      <c r="L56" s="66">
        <f t="shared" si="3"/>
        <v>3.9238452850819616E-2</v>
      </c>
      <c r="M56" s="65">
        <v>4475216280</v>
      </c>
      <c r="N56" s="66">
        <f t="shared" si="4"/>
        <v>2.2996726394038935E-2</v>
      </c>
      <c r="O56" s="65">
        <v>4374614468</v>
      </c>
      <c r="P56" s="66">
        <f t="shared" si="5"/>
        <v>1.4318845262826896E-2</v>
      </c>
      <c r="Q56" s="65">
        <v>4312859303</v>
      </c>
      <c r="R56" s="66">
        <f t="shared" si="6"/>
        <v>5.0008476583691674E-3</v>
      </c>
      <c r="S56" s="67">
        <v>4291398672</v>
      </c>
      <c r="T56" s="66">
        <f t="shared" si="6"/>
        <v>-9.6193726449583794E-3</v>
      </c>
      <c r="U56" s="67">
        <v>4333080185</v>
      </c>
      <c r="V56" s="66">
        <f t="shared" si="7"/>
        <v>-5.1918065563169913E-2</v>
      </c>
      <c r="W56" s="67">
        <v>4570364678</v>
      </c>
      <c r="X56" s="66">
        <f t="shared" si="8"/>
        <v>-5.2700221927083346E-2</v>
      </c>
      <c r="Y56" s="67">
        <v>4824623402</v>
      </c>
      <c r="Z56" s="66">
        <f t="shared" si="9"/>
        <v>-3.5729328854247511E-2</v>
      </c>
      <c r="AA56" s="76">
        <v>5003391212</v>
      </c>
      <c r="AC56" s="24"/>
    </row>
    <row r="57" spans="1:29" ht="14.25" customHeight="1" x14ac:dyDescent="0.2">
      <c r="A57" s="51" t="s">
        <v>15</v>
      </c>
      <c r="B57" s="45" t="s">
        <v>132</v>
      </c>
      <c r="C57" s="103">
        <v>2865321504</v>
      </c>
      <c r="D57" s="102">
        <f t="shared" si="1"/>
        <v>6.3021152893715904E-2</v>
      </c>
      <c r="E57" s="103">
        <v>2695451070</v>
      </c>
      <c r="F57" s="102">
        <f t="shared" si="2"/>
        <v>7.6245912134800253E-2</v>
      </c>
      <c r="G57" s="103">
        <v>2504493666</v>
      </c>
      <c r="H57" s="102">
        <f t="shared" si="2"/>
        <v>8.1422948697249309E-2</v>
      </c>
      <c r="I57" s="65">
        <v>2315924282</v>
      </c>
      <c r="J57" s="66">
        <f t="shared" si="0"/>
        <v>7.8037307732242045E-2</v>
      </c>
      <c r="K57" s="65">
        <v>2148278418</v>
      </c>
      <c r="L57" s="66">
        <f t="shared" si="3"/>
        <v>7.0448905442441534E-2</v>
      </c>
      <c r="M57" s="65">
        <v>2006894871</v>
      </c>
      <c r="N57" s="66">
        <f t="shared" si="4"/>
        <v>5.3056843349809313E-2</v>
      </c>
      <c r="O57" s="65">
        <v>1905780190</v>
      </c>
      <c r="P57" s="66">
        <f t="shared" si="5"/>
        <v>4.5427613612232909E-2</v>
      </c>
      <c r="Q57" s="65">
        <v>1822967143</v>
      </c>
      <c r="R57" s="66">
        <f t="shared" si="6"/>
        <v>1.7025518789492988E-2</v>
      </c>
      <c r="S57" s="67">
        <v>1792449756</v>
      </c>
      <c r="T57" s="66">
        <f t="shared" si="6"/>
        <v>4.4770919403485099E-3</v>
      </c>
      <c r="U57" s="67">
        <v>1784460562</v>
      </c>
      <c r="V57" s="66">
        <f t="shared" si="7"/>
        <v>-7.8922628041146137E-2</v>
      </c>
      <c r="W57" s="67">
        <v>1937362285</v>
      </c>
      <c r="X57" s="66">
        <f t="shared" si="8"/>
        <v>-8.3904131300801543E-2</v>
      </c>
      <c r="Y57" s="67">
        <v>2114802993</v>
      </c>
      <c r="Z57" s="66">
        <f t="shared" si="9"/>
        <v>-7.5078656263840138E-2</v>
      </c>
      <c r="AA57" s="76">
        <v>2286467933</v>
      </c>
      <c r="AC57" s="24"/>
    </row>
    <row r="58" spans="1:29" ht="14.25" customHeight="1" x14ac:dyDescent="0.2">
      <c r="A58" s="51" t="s">
        <v>14</v>
      </c>
      <c r="B58" s="45" t="s">
        <v>132</v>
      </c>
      <c r="C58" s="103">
        <v>263160024</v>
      </c>
      <c r="D58" s="102">
        <f t="shared" si="1"/>
        <v>5.2827335024570043E-2</v>
      </c>
      <c r="E58" s="103">
        <v>249955539</v>
      </c>
      <c r="F58" s="102">
        <f t="shared" si="2"/>
        <v>5.3517489869955304E-2</v>
      </c>
      <c r="G58" s="103">
        <v>237258082</v>
      </c>
      <c r="H58" s="102">
        <f t="shared" si="2"/>
        <v>3.9250940972986648E-2</v>
      </c>
      <c r="I58" s="65">
        <v>228297202</v>
      </c>
      <c r="J58" s="66">
        <f t="shared" si="0"/>
        <v>5.1966258701809709E-2</v>
      </c>
      <c r="K58" s="65">
        <v>217019510</v>
      </c>
      <c r="L58" s="66">
        <f t="shared" si="3"/>
        <v>3.9657489619018937E-2</v>
      </c>
      <c r="M58" s="65">
        <v>208741352</v>
      </c>
      <c r="N58" s="66">
        <f t="shared" si="4"/>
        <v>2.7409027110443462E-2</v>
      </c>
      <c r="O58" s="65">
        <v>203172589</v>
      </c>
      <c r="P58" s="66">
        <f t="shared" si="5"/>
        <v>-1.8054028562649815E-2</v>
      </c>
      <c r="Q58" s="65">
        <v>206908114</v>
      </c>
      <c r="R58" s="66">
        <f t="shared" si="6"/>
        <v>-1.370719251302599E-2</v>
      </c>
      <c r="S58" s="67">
        <v>209783659</v>
      </c>
      <c r="T58" s="66">
        <f t="shared" si="6"/>
        <v>-1.5769644720245113E-2</v>
      </c>
      <c r="U58" s="67">
        <v>213144878</v>
      </c>
      <c r="V58" s="66">
        <f t="shared" si="7"/>
        <v>-5.7684632311025497E-2</v>
      </c>
      <c r="W58" s="67">
        <v>226192722</v>
      </c>
      <c r="X58" s="66">
        <f t="shared" si="8"/>
        <v>-2.7290852450768566E-2</v>
      </c>
      <c r="Y58" s="67">
        <v>232538907</v>
      </c>
      <c r="Z58" s="66">
        <f t="shared" si="9"/>
        <v>1.8741322926158821E-2</v>
      </c>
      <c r="AA58" s="76">
        <v>228260994</v>
      </c>
      <c r="AC58" s="24"/>
    </row>
    <row r="59" spans="1:29" ht="14.25" customHeight="1" x14ac:dyDescent="0.2">
      <c r="A59" s="51" t="s">
        <v>13</v>
      </c>
      <c r="B59" s="45" t="s">
        <v>132</v>
      </c>
      <c r="C59" s="103">
        <v>1864262180</v>
      </c>
      <c r="D59" s="102">
        <f t="shared" si="1"/>
        <v>6.520438527675676E-2</v>
      </c>
      <c r="E59" s="103">
        <v>1750145048</v>
      </c>
      <c r="F59" s="102">
        <f t="shared" si="2"/>
        <v>5.7917394396590494E-2</v>
      </c>
      <c r="G59" s="103">
        <v>1654330534</v>
      </c>
      <c r="H59" s="102">
        <f t="shared" si="2"/>
        <v>6.2484374878284621E-2</v>
      </c>
      <c r="I59" s="65">
        <v>1557039871</v>
      </c>
      <c r="J59" s="66">
        <f t="shared" si="0"/>
        <v>6.3840886154333587E-2</v>
      </c>
      <c r="K59" s="65">
        <v>1463602209</v>
      </c>
      <c r="L59" s="66">
        <f t="shared" si="3"/>
        <v>5.6857024066435891E-2</v>
      </c>
      <c r="M59" s="65">
        <v>1384863019</v>
      </c>
      <c r="N59" s="66">
        <f t="shared" si="4"/>
        <v>4.6268695302343676E-2</v>
      </c>
      <c r="O59" s="65">
        <v>1323620811</v>
      </c>
      <c r="P59" s="66">
        <f t="shared" si="5"/>
        <v>4.9369600173112538E-2</v>
      </c>
      <c r="Q59" s="65">
        <v>1261348538</v>
      </c>
      <c r="R59" s="66">
        <f t="shared" si="6"/>
        <v>3.1857538759957116E-2</v>
      </c>
      <c r="S59" s="67">
        <v>1222405701</v>
      </c>
      <c r="T59" s="66">
        <f t="shared" si="6"/>
        <v>2.1412961387270668E-2</v>
      </c>
      <c r="U59" s="67">
        <v>1196779116</v>
      </c>
      <c r="V59" s="66">
        <f t="shared" si="7"/>
        <v>1.4142998041162258E-3</v>
      </c>
      <c r="W59" s="67">
        <v>1195088902</v>
      </c>
      <c r="X59" s="66">
        <f t="shared" si="8"/>
        <v>-4.4521229528390327E-3</v>
      </c>
      <c r="Y59" s="67">
        <v>1200433379</v>
      </c>
      <c r="Z59" s="66">
        <f t="shared" si="9"/>
        <v>8.1880397401254967E-3</v>
      </c>
      <c r="AA59" s="76">
        <v>1190684011</v>
      </c>
      <c r="AC59" s="24"/>
    </row>
    <row r="60" spans="1:29" ht="14.25" customHeight="1" x14ac:dyDescent="0.2">
      <c r="A60" s="51" t="s">
        <v>12</v>
      </c>
      <c r="B60" s="45" t="s">
        <v>132</v>
      </c>
      <c r="C60" s="103">
        <v>1870345252</v>
      </c>
      <c r="D60" s="102">
        <f t="shared" si="1"/>
        <v>5.8261688063788508E-2</v>
      </c>
      <c r="E60" s="103">
        <v>1767375001</v>
      </c>
      <c r="F60" s="102">
        <f t="shared" si="2"/>
        <v>6.8128396859070239E-2</v>
      </c>
      <c r="G60" s="103">
        <v>1654646582</v>
      </c>
      <c r="H60" s="102">
        <f t="shared" si="2"/>
        <v>6.4392998618678643E-2</v>
      </c>
      <c r="I60" s="65">
        <v>1554544782</v>
      </c>
      <c r="J60" s="66">
        <f t="shared" si="0"/>
        <v>7.4924994956036439E-2</v>
      </c>
      <c r="K60" s="65">
        <v>1446189073</v>
      </c>
      <c r="L60" s="66">
        <f t="shared" si="3"/>
        <v>6.6350350884010201E-2</v>
      </c>
      <c r="M60" s="65">
        <v>1356204433</v>
      </c>
      <c r="N60" s="66">
        <f t="shared" si="4"/>
        <v>5.497570746681224E-2</v>
      </c>
      <c r="O60" s="65">
        <v>1285531433</v>
      </c>
      <c r="P60" s="66">
        <f t="shared" si="5"/>
        <v>4.1760478935606749E-2</v>
      </c>
      <c r="Q60" s="65">
        <v>1233999042</v>
      </c>
      <c r="R60" s="66">
        <f t="shared" si="6"/>
        <v>2.1918602553283373E-2</v>
      </c>
      <c r="S60" s="67">
        <v>1207531636</v>
      </c>
      <c r="T60" s="66">
        <f t="shared" si="6"/>
        <v>1.2572783703208579E-3</v>
      </c>
      <c r="U60" s="67">
        <v>1206015339</v>
      </c>
      <c r="V60" s="66">
        <f t="shared" si="7"/>
        <v>-1.1137418420510081E-2</v>
      </c>
      <c r="W60" s="67">
        <v>1219598518</v>
      </c>
      <c r="X60" s="66">
        <f t="shared" si="8"/>
        <v>-3.9952884709561931E-2</v>
      </c>
      <c r="Y60" s="67">
        <v>1270352776</v>
      </c>
      <c r="Z60" s="66">
        <f t="shared" si="9"/>
        <v>-8.435797951582924E-2</v>
      </c>
      <c r="AA60" s="76">
        <v>1387390211</v>
      </c>
      <c r="AC60" s="24"/>
    </row>
    <row r="61" spans="1:29" ht="14.25" customHeight="1" x14ac:dyDescent="0.2">
      <c r="A61" s="51" t="s">
        <v>11</v>
      </c>
      <c r="B61" s="45" t="s">
        <v>132</v>
      </c>
      <c r="C61" s="103">
        <v>1044428629</v>
      </c>
      <c r="D61" s="102">
        <f t="shared" si="1"/>
        <v>2.9166752953751818E-2</v>
      </c>
      <c r="E61" s="103">
        <v>1014829352</v>
      </c>
      <c r="F61" s="102">
        <f t="shared" si="2"/>
        <v>3.130306225601287E-2</v>
      </c>
      <c r="G61" s="103">
        <v>984026315</v>
      </c>
      <c r="H61" s="102">
        <f t="shared" si="2"/>
        <v>3.6932725557511592E-2</v>
      </c>
      <c r="I61" s="65">
        <v>948977972</v>
      </c>
      <c r="J61" s="66">
        <f t="shared" si="0"/>
        <v>4.0147424206923077E-2</v>
      </c>
      <c r="K61" s="65">
        <v>912349490</v>
      </c>
      <c r="L61" s="66">
        <f t="shared" si="3"/>
        <v>3.5870981511925359E-2</v>
      </c>
      <c r="M61" s="65">
        <v>880755911</v>
      </c>
      <c r="N61" s="66">
        <f t="shared" si="4"/>
        <v>2.6681732879558773E-2</v>
      </c>
      <c r="O61" s="65">
        <v>857866545</v>
      </c>
      <c r="P61" s="66">
        <f t="shared" si="5"/>
        <v>1.5478516742025272E-2</v>
      </c>
      <c r="Q61" s="65">
        <v>844790442</v>
      </c>
      <c r="R61" s="66">
        <f t="shared" si="6"/>
        <v>1.8552567400087705E-2</v>
      </c>
      <c r="S61" s="67">
        <v>829402889</v>
      </c>
      <c r="T61" s="66">
        <f t="shared" si="6"/>
        <v>-3.4613054173835422E-3</v>
      </c>
      <c r="U61" s="67">
        <v>832283677</v>
      </c>
      <c r="V61" s="66">
        <f t="shared" si="7"/>
        <v>-3.5881693658839087E-3</v>
      </c>
      <c r="W61" s="67">
        <v>835280806</v>
      </c>
      <c r="X61" s="66">
        <f t="shared" si="8"/>
        <v>3.164028993828838E-3</v>
      </c>
      <c r="Y61" s="67">
        <v>832646289</v>
      </c>
      <c r="Z61" s="66">
        <f t="shared" si="9"/>
        <v>9.6360401122226325E-3</v>
      </c>
      <c r="AA61" s="76">
        <v>824699452</v>
      </c>
      <c r="AC61" s="24"/>
    </row>
    <row r="62" spans="1:29" ht="14.25" customHeight="1" x14ac:dyDescent="0.2">
      <c r="A62" s="51" t="s">
        <v>10</v>
      </c>
      <c r="B62" s="45" t="s">
        <v>132</v>
      </c>
      <c r="C62" s="103">
        <v>2992031417</v>
      </c>
      <c r="D62" s="102">
        <f t="shared" si="1"/>
        <v>3.3979061060136706E-2</v>
      </c>
      <c r="E62" s="103">
        <v>2893706004</v>
      </c>
      <c r="F62" s="102">
        <f t="shared" si="2"/>
        <v>3.8143889626036431E-2</v>
      </c>
      <c r="G62" s="103">
        <v>2787384324</v>
      </c>
      <c r="H62" s="102">
        <f t="shared" si="2"/>
        <v>4.0351374311521138E-2</v>
      </c>
      <c r="I62" s="65">
        <v>2679272016</v>
      </c>
      <c r="J62" s="66">
        <f t="shared" si="0"/>
        <v>3.9084466094926995E-2</v>
      </c>
      <c r="K62" s="65">
        <v>2578492994</v>
      </c>
      <c r="L62" s="66">
        <f t="shared" si="3"/>
        <v>4.215415648006382E-2</v>
      </c>
      <c r="M62" s="65">
        <v>2474195375</v>
      </c>
      <c r="N62" s="66">
        <f t="shared" si="4"/>
        <v>3.5730744268093639E-2</v>
      </c>
      <c r="O62" s="65">
        <v>2388840332</v>
      </c>
      <c r="P62" s="66">
        <f t="shared" si="5"/>
        <v>2.3539598505563752E-2</v>
      </c>
      <c r="Q62" s="65">
        <v>2333901234</v>
      </c>
      <c r="R62" s="66">
        <f t="shared" si="6"/>
        <v>1.2327263798069144E-2</v>
      </c>
      <c r="S62" s="67">
        <v>2305480962</v>
      </c>
      <c r="T62" s="66">
        <f t="shared" si="6"/>
        <v>-1.0694195855776023E-3</v>
      </c>
      <c r="U62" s="67">
        <v>2307949128</v>
      </c>
      <c r="V62" s="66">
        <f t="shared" si="7"/>
        <v>-2.8350274222541882E-2</v>
      </c>
      <c r="W62" s="67">
        <v>2375289229</v>
      </c>
      <c r="X62" s="66">
        <f t="shared" si="8"/>
        <v>-4.6962258851419358E-2</v>
      </c>
      <c r="Y62" s="67">
        <v>2492334906</v>
      </c>
      <c r="Z62" s="66">
        <f t="shared" si="9"/>
        <v>-3.7881610770987173E-2</v>
      </c>
      <c r="AA62" s="76">
        <v>2590465928</v>
      </c>
      <c r="AC62" s="24"/>
    </row>
    <row r="63" spans="1:29" ht="14.25" customHeight="1" x14ac:dyDescent="0.2">
      <c r="A63" s="51" t="s">
        <v>9</v>
      </c>
      <c r="B63" s="45" t="s">
        <v>132</v>
      </c>
      <c r="C63" s="103">
        <v>2427932929</v>
      </c>
      <c r="D63" s="102">
        <f t="shared" si="1"/>
        <v>2.0785079777646764E-2</v>
      </c>
      <c r="E63" s="103">
        <v>2378495706</v>
      </c>
      <c r="F63" s="102">
        <f t="shared" si="2"/>
        <v>2.7104301538890097E-2</v>
      </c>
      <c r="G63" s="103">
        <v>2315729476</v>
      </c>
      <c r="H63" s="102">
        <f t="shared" si="2"/>
        <v>3.1725929473598535E-2</v>
      </c>
      <c r="I63" s="65">
        <v>2244519993</v>
      </c>
      <c r="J63" s="66">
        <f t="shared" si="0"/>
        <v>2.2721987692422063E-2</v>
      </c>
      <c r="K63" s="65">
        <v>2194653112</v>
      </c>
      <c r="L63" s="66">
        <f t="shared" si="3"/>
        <v>2.2743203247153065E-2</v>
      </c>
      <c r="M63" s="65">
        <v>2145849618</v>
      </c>
      <c r="N63" s="66">
        <f t="shared" si="4"/>
        <v>1.5770366856630247E-2</v>
      </c>
      <c r="O63" s="65">
        <v>2112534179</v>
      </c>
      <c r="P63" s="66">
        <f t="shared" si="5"/>
        <v>6.404588002564271E-3</v>
      </c>
      <c r="Q63" s="65">
        <v>2099090370</v>
      </c>
      <c r="R63" s="66">
        <f t="shared" si="6"/>
        <v>-7.8806009456400261E-4</v>
      </c>
      <c r="S63" s="67">
        <v>2100745884</v>
      </c>
      <c r="T63" s="66">
        <f t="shared" si="6"/>
        <v>-9.3964898018561449E-3</v>
      </c>
      <c r="U63" s="67">
        <v>2120672764</v>
      </c>
      <c r="V63" s="66">
        <f t="shared" si="7"/>
        <v>-3.4550663687406002E-2</v>
      </c>
      <c r="W63" s="67">
        <v>2196565562</v>
      </c>
      <c r="X63" s="66">
        <f t="shared" si="8"/>
        <v>-3.3332001763889174E-2</v>
      </c>
      <c r="Y63" s="67">
        <v>2272306072</v>
      </c>
      <c r="Z63" s="66">
        <f t="shared" si="9"/>
        <v>-2.3125399104796163E-2</v>
      </c>
      <c r="AA63" s="76">
        <v>2326098017</v>
      </c>
      <c r="AC63" s="24"/>
    </row>
    <row r="64" spans="1:29" ht="14.25" customHeight="1" x14ac:dyDescent="0.2">
      <c r="A64" s="51" t="s">
        <v>8</v>
      </c>
      <c r="B64" s="45" t="s">
        <v>132</v>
      </c>
      <c r="C64" s="103">
        <v>1141264309</v>
      </c>
      <c r="D64" s="102">
        <f t="shared" si="1"/>
        <v>4.3445118896157098E-2</v>
      </c>
      <c r="E64" s="103">
        <v>1093746368</v>
      </c>
      <c r="F64" s="102">
        <f t="shared" si="2"/>
        <v>5.3277069927868403E-2</v>
      </c>
      <c r="G64" s="103">
        <v>1038422272</v>
      </c>
      <c r="H64" s="102">
        <f t="shared" si="2"/>
        <v>4.089062650010411E-2</v>
      </c>
      <c r="I64" s="65">
        <v>997628613</v>
      </c>
      <c r="J64" s="66">
        <f t="shared" si="0"/>
        <v>2.8834558191953796E-2</v>
      </c>
      <c r="K64" s="65">
        <v>969668646</v>
      </c>
      <c r="L64" s="66">
        <f t="shared" si="3"/>
        <v>3.7255764874102315E-2</v>
      </c>
      <c r="M64" s="65">
        <v>934840450</v>
      </c>
      <c r="N64" s="66">
        <f t="shared" si="4"/>
        <v>6.8458706483600196E-2</v>
      </c>
      <c r="O64" s="65">
        <v>874942985</v>
      </c>
      <c r="P64" s="66">
        <f t="shared" si="5"/>
        <v>5.9900651400453864E-2</v>
      </c>
      <c r="Q64" s="65">
        <v>825495280</v>
      </c>
      <c r="R64" s="66">
        <f t="shared" si="6"/>
        <v>7.4119461465041336E-2</v>
      </c>
      <c r="S64" s="67">
        <v>768532095</v>
      </c>
      <c r="T64" s="66">
        <f t="shared" si="6"/>
        <v>6.5486125454483401E-2</v>
      </c>
      <c r="U64" s="67">
        <v>721297140</v>
      </c>
      <c r="V64" s="66">
        <f t="shared" si="7"/>
        <v>7.0814920850385654E-2</v>
      </c>
      <c r="W64" s="67">
        <v>673596460</v>
      </c>
      <c r="X64" s="66">
        <f t="shared" si="8"/>
        <v>6.9494717280403906E-2</v>
      </c>
      <c r="Y64" s="67">
        <v>629826823</v>
      </c>
      <c r="Z64" s="66">
        <f t="shared" si="9"/>
        <v>7.9861217442154242E-2</v>
      </c>
      <c r="AA64" s="76">
        <v>583247933</v>
      </c>
      <c r="AC64" s="24"/>
    </row>
    <row r="65" spans="1:29" ht="14.25" customHeight="1" x14ac:dyDescent="0.2">
      <c r="A65" s="51" t="s">
        <v>7</v>
      </c>
      <c r="B65" s="45" t="s">
        <v>133</v>
      </c>
      <c r="C65" s="103">
        <v>156066778</v>
      </c>
      <c r="D65" s="102">
        <f t="shared" si="1"/>
        <v>4.9163807854188724E-2</v>
      </c>
      <c r="E65" s="103">
        <v>148753490</v>
      </c>
      <c r="F65" s="102">
        <f t="shared" si="2"/>
        <v>3.7685140398156403E-2</v>
      </c>
      <c r="G65" s="103">
        <v>143351277</v>
      </c>
      <c r="H65" s="102">
        <f t="shared" si="2"/>
        <v>4.1295584478254321E-2</v>
      </c>
      <c r="I65" s="65">
        <v>137666268</v>
      </c>
      <c r="J65" s="66">
        <f t="shared" si="0"/>
        <v>3.1623083400186047E-2</v>
      </c>
      <c r="K65" s="65">
        <v>133446285</v>
      </c>
      <c r="L65" s="66">
        <f t="shared" si="3"/>
        <v>2.9022901019768899E-2</v>
      </c>
      <c r="M65" s="65">
        <v>129682522</v>
      </c>
      <c r="N65" s="66">
        <f t="shared" si="4"/>
        <v>1.7276099790334509E-2</v>
      </c>
      <c r="O65" s="65">
        <v>127480162</v>
      </c>
      <c r="P65" s="66">
        <f t="shared" si="5"/>
        <v>8.8409507679199084E-3</v>
      </c>
      <c r="Q65" s="65">
        <v>126362993</v>
      </c>
      <c r="R65" s="66">
        <f t="shared" si="6"/>
        <v>3.3372480503850444E-3</v>
      </c>
      <c r="S65" s="67">
        <v>125942691</v>
      </c>
      <c r="T65" s="66">
        <f t="shared" si="6"/>
        <v>5.8368919623681403E-3</v>
      </c>
      <c r="U65" s="67">
        <v>125211843</v>
      </c>
      <c r="V65" s="66">
        <f t="shared" si="7"/>
        <v>1.3210439942104912E-2</v>
      </c>
      <c r="W65" s="67">
        <v>123579306</v>
      </c>
      <c r="X65" s="66">
        <f t="shared" si="8"/>
        <v>2.6086524040558556E-2</v>
      </c>
      <c r="Y65" s="67">
        <v>120437510</v>
      </c>
      <c r="Z65" s="66">
        <f t="shared" si="9"/>
        <v>1.5764118029980123E-2</v>
      </c>
      <c r="AA65" s="76">
        <v>118568384</v>
      </c>
      <c r="AC65" s="24"/>
    </row>
    <row r="66" spans="1:29" ht="14.25" customHeight="1" x14ac:dyDescent="0.2">
      <c r="A66" s="51" t="s">
        <v>6</v>
      </c>
      <c r="B66" s="45" t="s">
        <v>133</v>
      </c>
      <c r="C66" s="103">
        <v>63890450</v>
      </c>
      <c r="D66" s="102">
        <f t="shared" si="1"/>
        <v>5.7008051336909782E-2</v>
      </c>
      <c r="E66" s="103">
        <v>60444620</v>
      </c>
      <c r="F66" s="102">
        <f t="shared" si="2"/>
        <v>3.987845844124438E-2</v>
      </c>
      <c r="G66" s="103">
        <v>58126620</v>
      </c>
      <c r="H66" s="102">
        <f t="shared" si="2"/>
        <v>2.6537529342702371E-2</v>
      </c>
      <c r="I66" s="65">
        <v>56623960</v>
      </c>
      <c r="J66" s="66">
        <f t="shared" si="0"/>
        <v>2.0979204566050624E-2</v>
      </c>
      <c r="K66" s="65">
        <v>55460444</v>
      </c>
      <c r="L66" s="66">
        <f t="shared" si="3"/>
        <v>2.3110077843844223E-3</v>
      </c>
      <c r="M66" s="65">
        <v>55332570</v>
      </c>
      <c r="N66" s="66">
        <f t="shared" si="4"/>
        <v>-4.9476960924476066E-3</v>
      </c>
      <c r="O66" s="65">
        <v>55607700</v>
      </c>
      <c r="P66" s="66">
        <f t="shared" si="5"/>
        <v>1.7848336301921064E-2</v>
      </c>
      <c r="Q66" s="65">
        <v>54632599</v>
      </c>
      <c r="R66" s="66">
        <f t="shared" si="6"/>
        <v>1.9016464418712298E-2</v>
      </c>
      <c r="S66" s="67">
        <v>53613068</v>
      </c>
      <c r="T66" s="66">
        <f t="shared" si="6"/>
        <v>1.9778383890789897E-2</v>
      </c>
      <c r="U66" s="67">
        <v>52573254</v>
      </c>
      <c r="V66" s="66">
        <f t="shared" si="7"/>
        <v>1.8758984197578821E-2</v>
      </c>
      <c r="W66" s="67">
        <v>51605193</v>
      </c>
      <c r="X66" s="66">
        <f t="shared" si="8"/>
        <v>4.7869776823636911E-3</v>
      </c>
      <c r="Y66" s="67">
        <v>51359337</v>
      </c>
      <c r="Z66" s="66">
        <f t="shared" si="9"/>
        <v>4.1146536881156326E-2</v>
      </c>
      <c r="AA66" s="76">
        <v>49329595</v>
      </c>
      <c r="AC66" s="24"/>
    </row>
    <row r="67" spans="1:29" ht="14.25" customHeight="1" x14ac:dyDescent="0.2">
      <c r="A67" s="51" t="s">
        <v>5</v>
      </c>
      <c r="B67" s="45" t="s">
        <v>133</v>
      </c>
      <c r="C67" s="103">
        <v>35625492</v>
      </c>
      <c r="D67" s="102">
        <f t="shared" si="1"/>
        <v>3.7370867673838681E-2</v>
      </c>
      <c r="E67" s="103">
        <v>34342098</v>
      </c>
      <c r="F67" s="102">
        <f t="shared" si="2"/>
        <v>4.9006568383749505E-2</v>
      </c>
      <c r="G67" s="103">
        <v>32737734</v>
      </c>
      <c r="H67" s="102">
        <f t="shared" si="2"/>
        <v>4.6886693948576141E-2</v>
      </c>
      <c r="I67" s="65">
        <v>31271516</v>
      </c>
      <c r="J67" s="66">
        <f t="shared" si="0"/>
        <v>3.3633265260738066E-2</v>
      </c>
      <c r="K67" s="65">
        <v>30253976</v>
      </c>
      <c r="L67" s="66">
        <f t="shared" si="3"/>
        <v>1.4320388707568243E-2</v>
      </c>
      <c r="M67" s="65">
        <v>29826844</v>
      </c>
      <c r="N67" s="66">
        <f t="shared" si="4"/>
        <v>2.0602544282686486E-2</v>
      </c>
      <c r="O67" s="65">
        <v>29224740</v>
      </c>
      <c r="P67" s="66">
        <f t="shared" si="5"/>
        <v>1.0483920127459356E-2</v>
      </c>
      <c r="Q67" s="65">
        <v>28921529</v>
      </c>
      <c r="R67" s="66">
        <f t="shared" si="6"/>
        <v>-4.7415090390640069E-3</v>
      </c>
      <c r="S67" s="67">
        <v>29059314</v>
      </c>
      <c r="T67" s="66">
        <f t="shared" si="6"/>
        <v>1.310160254423498E-2</v>
      </c>
      <c r="U67" s="67">
        <v>28683514</v>
      </c>
      <c r="V67" s="66">
        <f t="shared" si="7"/>
        <v>4.1082271442594021E-4</v>
      </c>
      <c r="W67" s="67">
        <v>28671735</v>
      </c>
      <c r="X67" s="66">
        <f t="shared" si="8"/>
        <v>4.063490521610813E-4</v>
      </c>
      <c r="Y67" s="67">
        <v>28660089</v>
      </c>
      <c r="Z67" s="66">
        <f t="shared" si="9"/>
        <v>4.0432323336610398E-2</v>
      </c>
      <c r="AA67" s="76">
        <v>27546327</v>
      </c>
      <c r="AC67" s="24"/>
    </row>
    <row r="68" spans="1:29" ht="14.25" customHeight="1" x14ac:dyDescent="0.2">
      <c r="A68" s="51" t="s">
        <v>4</v>
      </c>
      <c r="B68" s="45" t="s">
        <v>132</v>
      </c>
      <c r="C68" s="103">
        <v>3085681373</v>
      </c>
      <c r="D68" s="102">
        <f t="shared" si="1"/>
        <v>4.1856855381412039E-2</v>
      </c>
      <c r="E68" s="103">
        <v>2961713365</v>
      </c>
      <c r="F68" s="102">
        <f t="shared" si="2"/>
        <v>5.0225206476359752E-2</v>
      </c>
      <c r="G68" s="103">
        <v>2820074539</v>
      </c>
      <c r="H68" s="102">
        <f t="shared" si="2"/>
        <v>5.051690590223834E-2</v>
      </c>
      <c r="I68" s="65">
        <v>2684463737</v>
      </c>
      <c r="J68" s="66">
        <f t="shared" si="0"/>
        <v>4.3991917732792318E-2</v>
      </c>
      <c r="K68" s="65">
        <v>2571345325</v>
      </c>
      <c r="L68" s="66">
        <f t="shared" si="3"/>
        <v>5.1176995519153001E-2</v>
      </c>
      <c r="M68" s="65">
        <v>2446158293</v>
      </c>
      <c r="N68" s="66">
        <f t="shared" si="4"/>
        <v>3.4317778843015789E-2</v>
      </c>
      <c r="O68" s="65">
        <v>2364996854</v>
      </c>
      <c r="P68" s="66">
        <f t="shared" si="5"/>
        <v>2.4336501812761258E-2</v>
      </c>
      <c r="Q68" s="65">
        <v>2308808531</v>
      </c>
      <c r="R68" s="66">
        <f t="shared" si="6"/>
        <v>1.5033287339279777E-2</v>
      </c>
      <c r="S68" s="67">
        <v>2274613611</v>
      </c>
      <c r="T68" s="66">
        <f t="shared" si="6"/>
        <v>-7.8153623118887294E-3</v>
      </c>
      <c r="U68" s="67">
        <v>2292530568</v>
      </c>
      <c r="V68" s="66">
        <f t="shared" si="7"/>
        <v>-3.8967501209691169E-2</v>
      </c>
      <c r="W68" s="67">
        <v>2385487037</v>
      </c>
      <c r="X68" s="66">
        <f t="shared" si="8"/>
        <v>-0.11717105768998481</v>
      </c>
      <c r="Y68" s="67">
        <v>2702094282</v>
      </c>
      <c r="Z68" s="66">
        <f t="shared" si="9"/>
        <v>-4.0738588161923994E-2</v>
      </c>
      <c r="AA68" s="76">
        <v>2816848722</v>
      </c>
      <c r="AC68" s="24"/>
    </row>
    <row r="69" spans="1:29" ht="14.25" customHeight="1" x14ac:dyDescent="0.2">
      <c r="A69" s="51" t="s">
        <v>3</v>
      </c>
      <c r="B69" s="45" t="s">
        <v>133</v>
      </c>
      <c r="C69" s="103">
        <v>167446873</v>
      </c>
      <c r="D69" s="102">
        <f t="shared" si="1"/>
        <v>6.5038196563889095E-2</v>
      </c>
      <c r="E69" s="103">
        <v>157221472</v>
      </c>
      <c r="F69" s="102">
        <f t="shared" si="2"/>
        <v>6.8651110042621033E-2</v>
      </c>
      <c r="G69" s="103">
        <v>147121423</v>
      </c>
      <c r="H69" s="102">
        <f t="shared" si="2"/>
        <v>6.3301670806446664E-2</v>
      </c>
      <c r="I69" s="65">
        <v>138362825</v>
      </c>
      <c r="J69" s="66">
        <f t="shared" si="0"/>
        <v>5.6790434570682446E-2</v>
      </c>
      <c r="K69" s="65">
        <v>130927401</v>
      </c>
      <c r="L69" s="66">
        <f t="shared" si="3"/>
        <v>4.9496160902425812E-2</v>
      </c>
      <c r="M69" s="65">
        <v>124752625</v>
      </c>
      <c r="N69" s="66">
        <f t="shared" si="4"/>
        <v>2.0399095003978518E-2</v>
      </c>
      <c r="O69" s="65">
        <v>122258659</v>
      </c>
      <c r="P69" s="66">
        <f t="shared" si="5"/>
        <v>1.4139386617948002E-2</v>
      </c>
      <c r="Q69" s="65">
        <v>120554098</v>
      </c>
      <c r="R69" s="66">
        <f t="shared" si="6"/>
        <v>-3.1917343022000333E-2</v>
      </c>
      <c r="S69" s="67">
        <v>124528724</v>
      </c>
      <c r="T69" s="66">
        <f t="shared" si="6"/>
        <v>-4.6584600287082556E-2</v>
      </c>
      <c r="U69" s="67">
        <v>130613292</v>
      </c>
      <c r="V69" s="66">
        <f t="shared" si="7"/>
        <v>-1.8809446884801129E-2</v>
      </c>
      <c r="W69" s="67">
        <v>133117152</v>
      </c>
      <c r="X69" s="66">
        <f t="shared" si="8"/>
        <v>5.4151662313035587E-3</v>
      </c>
      <c r="Y69" s="67">
        <v>132400183</v>
      </c>
      <c r="Z69" s="66">
        <f t="shared" si="9"/>
        <v>2.8564997274578507E-2</v>
      </c>
      <c r="AA69" s="76">
        <v>128723205</v>
      </c>
      <c r="AC69" s="24"/>
    </row>
    <row r="70" spans="1:29" ht="14.25" customHeight="1" x14ac:dyDescent="0.2">
      <c r="A70" s="51" t="s">
        <v>2</v>
      </c>
      <c r="B70" s="45" t="s">
        <v>133</v>
      </c>
      <c r="C70" s="103">
        <v>363433717</v>
      </c>
      <c r="D70" s="102">
        <f t="shared" si="1"/>
        <v>6.111050813210861E-2</v>
      </c>
      <c r="E70" s="103">
        <v>342503174</v>
      </c>
      <c r="F70" s="102">
        <f t="shared" si="2"/>
        <v>5.7291502527540672E-2</v>
      </c>
      <c r="G70" s="103">
        <v>323943939</v>
      </c>
      <c r="H70" s="102">
        <f t="shared" si="2"/>
        <v>6.6345081432515496E-2</v>
      </c>
      <c r="I70" s="65">
        <v>303789031</v>
      </c>
      <c r="J70" s="66">
        <f>I70/K70-1</f>
        <v>6.025693312400815E-2</v>
      </c>
      <c r="K70" s="65">
        <v>286523975</v>
      </c>
      <c r="L70" s="66">
        <f t="shared" si="3"/>
        <v>7.0330180624864402E-2</v>
      </c>
      <c r="M70" s="65">
        <v>267696810</v>
      </c>
      <c r="N70" s="66">
        <f t="shared" si="4"/>
        <v>5.1070981455683118E-2</v>
      </c>
      <c r="O70" s="65">
        <v>254689564</v>
      </c>
      <c r="P70" s="66">
        <f t="shared" si="5"/>
        <v>4.1274530711312263E-2</v>
      </c>
      <c r="Q70" s="65">
        <v>244594059</v>
      </c>
      <c r="R70" s="66">
        <f t="shared" si="6"/>
        <v>3.1644689598494757E-2</v>
      </c>
      <c r="S70" s="67">
        <v>237091376</v>
      </c>
      <c r="T70" s="66">
        <f t="shared" si="6"/>
        <v>3.3344034564440461E-2</v>
      </c>
      <c r="U70" s="67">
        <v>229440891</v>
      </c>
      <c r="V70" s="66">
        <f t="shared" si="7"/>
        <v>2.5278971743561529E-2</v>
      </c>
      <c r="W70" s="67">
        <v>223783865</v>
      </c>
      <c r="X70" s="66">
        <f t="shared" si="8"/>
        <v>5.7640638257152599E-3</v>
      </c>
      <c r="Y70" s="67">
        <v>222501353</v>
      </c>
      <c r="Z70" s="66">
        <f t="shared" si="9"/>
        <v>2.2519539275993594E-2</v>
      </c>
      <c r="AA70" s="76">
        <v>217601077</v>
      </c>
      <c r="AC70" s="24"/>
    </row>
    <row r="71" spans="1:29" ht="14.25" customHeight="1" x14ac:dyDescent="0.2">
      <c r="A71" s="51" t="s">
        <v>1</v>
      </c>
      <c r="B71" s="45" t="s">
        <v>133</v>
      </c>
      <c r="C71" s="103">
        <v>80834699</v>
      </c>
      <c r="D71" s="102">
        <f>C71/E71-1</f>
        <v>6.5207674826485151E-2</v>
      </c>
      <c r="E71" s="103">
        <v>75886328</v>
      </c>
      <c r="F71" s="102">
        <f>E71/G71-1</f>
        <v>6.4139755837591794E-2</v>
      </c>
      <c r="G71" s="103">
        <v>71312370</v>
      </c>
      <c r="H71" s="102">
        <f>G71/I71-1</f>
        <v>3.3419256489482629E-2</v>
      </c>
      <c r="I71" s="65">
        <v>69006233</v>
      </c>
      <c r="J71" s="66">
        <f>I71/K71-1</f>
        <v>4.5569563558531145E-2</v>
      </c>
      <c r="K71" s="65">
        <v>65998701</v>
      </c>
      <c r="L71" s="66">
        <f>K71/M71-1</f>
        <v>2.9324487830805657E-2</v>
      </c>
      <c r="M71" s="65">
        <v>64118460</v>
      </c>
      <c r="N71" s="66">
        <f>M71/O71-1</f>
        <v>1.5421586895957962E-2</v>
      </c>
      <c r="O71" s="65">
        <v>63144669</v>
      </c>
      <c r="P71" s="66">
        <f>O71/Q71-1</f>
        <v>1.3372250754977832E-2</v>
      </c>
      <c r="Q71" s="65">
        <v>62311425</v>
      </c>
      <c r="R71" s="66">
        <f>Q71/S71-1</f>
        <v>-3.4059408684876891E-2</v>
      </c>
      <c r="S71" s="67">
        <v>64508548</v>
      </c>
      <c r="T71" s="66">
        <f>S71/U71-1</f>
        <v>-8.9672431951418607E-3</v>
      </c>
      <c r="U71" s="67">
        <v>65092246</v>
      </c>
      <c r="V71" s="66">
        <f>U71/W71-1</f>
        <v>-2.0399429073150399E-2</v>
      </c>
      <c r="W71" s="67">
        <v>66447742</v>
      </c>
      <c r="X71" s="66">
        <f>W71/Y71-1</f>
        <v>4.8303359286914205E-3</v>
      </c>
      <c r="Y71" s="67">
        <v>66128320</v>
      </c>
      <c r="Z71" s="66">
        <f>Y71/AA71-1</f>
        <v>5.4064707796052991E-2</v>
      </c>
      <c r="AA71" s="76">
        <v>62736490</v>
      </c>
      <c r="AC71" s="24"/>
    </row>
    <row r="72" spans="1:29" ht="14.25" customHeight="1" x14ac:dyDescent="0.2">
      <c r="A72" s="51"/>
      <c r="B72" s="45"/>
      <c r="C72" s="45"/>
      <c r="D72" s="45"/>
      <c r="E72" s="45"/>
      <c r="F72" s="45"/>
      <c r="G72" s="45"/>
      <c r="H72" s="45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8"/>
      <c r="T72" s="66"/>
      <c r="U72" s="68"/>
      <c r="V72" s="66"/>
      <c r="W72" s="68"/>
      <c r="X72" s="66"/>
      <c r="Y72" s="68"/>
      <c r="Z72" s="66"/>
      <c r="AA72" s="76"/>
      <c r="AC72" s="24"/>
    </row>
    <row r="73" spans="1:29" ht="14.25" customHeight="1" thickBot="1" x14ac:dyDescent="0.25">
      <c r="A73" s="53" t="s">
        <v>0</v>
      </c>
      <c r="B73" s="54"/>
      <c r="C73" s="78">
        <f>SUM(C5:C71)</f>
        <v>104297499940</v>
      </c>
      <c r="D73" s="79">
        <f>C73/E73-1</f>
        <v>3.5733832956458711E-2</v>
      </c>
      <c r="E73" s="78">
        <f>SUM(E5:E71)</f>
        <v>100699133910</v>
      </c>
      <c r="F73" s="79">
        <f>E73/G73-1</f>
        <v>4.1801652360279107E-2</v>
      </c>
      <c r="G73" s="78">
        <f>SUM(G5:G71)</f>
        <v>96658642921</v>
      </c>
      <c r="H73" s="79">
        <f>G73/I73-1</f>
        <v>4.1357659934186053E-2</v>
      </c>
      <c r="I73" s="78">
        <f>SUM(I5:I71)</f>
        <v>92819831879</v>
      </c>
      <c r="J73" s="79">
        <f>I73/K73-1</f>
        <v>4.2287716245759777E-2</v>
      </c>
      <c r="K73" s="78">
        <f>SUM(K5:K71)</f>
        <v>89053943966</v>
      </c>
      <c r="L73" s="79">
        <f>K73/M73-1</f>
        <v>4.0954295454320278E-2</v>
      </c>
      <c r="M73" s="78">
        <f>SUM(M5:M71)</f>
        <v>85550292030</v>
      </c>
      <c r="N73" s="79">
        <f>M73/O73-1</f>
        <v>3.2860429501549993E-2</v>
      </c>
      <c r="O73" s="78">
        <f>SUM(O5:O71)</f>
        <v>82828511565</v>
      </c>
      <c r="P73" s="79">
        <f>O73/Q73-1</f>
        <v>1.7672790120663917E-2</v>
      </c>
      <c r="Q73" s="78">
        <f>SUM(Q5:Q71)</f>
        <v>81390121038</v>
      </c>
      <c r="R73" s="79">
        <f>Q73/S73-1</f>
        <v>8.6541961882766749E-3</v>
      </c>
      <c r="S73" s="78">
        <f>SUM(S5:S71)</f>
        <v>80691798384</v>
      </c>
      <c r="T73" s="79">
        <f>S73/U73-1</f>
        <v>-6.8942523145519852E-3</v>
      </c>
      <c r="U73" s="78">
        <f>SUM(U5:U71)</f>
        <v>81251969966</v>
      </c>
      <c r="V73" s="79">
        <f>U73/W73-1</f>
        <v>-3.4995021322007713E-2</v>
      </c>
      <c r="W73" s="78">
        <f>SUM(W5:W71)</f>
        <v>84198498206</v>
      </c>
      <c r="X73" s="79">
        <f>W73/Y73-1</f>
        <v>-4.2794832895889923E-2</v>
      </c>
      <c r="Y73" s="78">
        <f>SUM(Y5:Y71)</f>
        <v>87962853837</v>
      </c>
      <c r="Z73" s="79">
        <f>Y73/AA73-1</f>
        <v>-4.2139624147960908E-2</v>
      </c>
      <c r="AA73" s="80">
        <f>SUM(AA5:AA71)</f>
        <v>91832647069</v>
      </c>
    </row>
    <row r="75" spans="1:29" x14ac:dyDescent="0.2">
      <c r="A75" s="25" t="s">
        <v>134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5"/>
      <c r="Q75" s="25"/>
      <c r="R75" s="26"/>
      <c r="S75" s="26"/>
      <c r="T75" s="26"/>
      <c r="U75" s="26"/>
    </row>
  </sheetData>
  <phoneticPr fontId="2" type="noConversion"/>
  <conditionalFormatting sqref="M4:AA73 G5:G71 A4:B73 E5:E71 E72:H72 E4:H4">
    <cfRule type="expression" dxfId="82" priority="18" stopIfTrue="1">
      <formula>MOD(ROW(),3)=1</formula>
    </cfRule>
  </conditionalFormatting>
  <conditionalFormatting sqref="K4:L73">
    <cfRule type="expression" dxfId="81" priority="17" stopIfTrue="1">
      <formula>MOD(ROW(),3)=1</formula>
    </cfRule>
  </conditionalFormatting>
  <conditionalFormatting sqref="I4:J4 I72:J72 I5:I71">
    <cfRule type="expression" dxfId="80" priority="16" stopIfTrue="1">
      <formula>MOD(ROW(),3)=1</formula>
    </cfRule>
  </conditionalFormatting>
  <conditionalFormatting sqref="I73">
    <cfRule type="expression" dxfId="79" priority="15" stopIfTrue="1">
      <formula>MOD(ROW(),3)=1</formula>
    </cfRule>
  </conditionalFormatting>
  <conditionalFormatting sqref="J5:J71">
    <cfRule type="expression" dxfId="78" priority="14" stopIfTrue="1">
      <formula>MOD(ROW(),3)=1</formula>
    </cfRule>
  </conditionalFormatting>
  <conditionalFormatting sqref="J73">
    <cfRule type="expression" dxfId="77" priority="13" stopIfTrue="1">
      <formula>MOD(ROW(),3)=1</formula>
    </cfRule>
  </conditionalFormatting>
  <conditionalFormatting sqref="H5:H71">
    <cfRule type="expression" dxfId="76" priority="12" stopIfTrue="1">
      <formula>MOD(ROW(),3)=1</formula>
    </cfRule>
  </conditionalFormatting>
  <conditionalFormatting sqref="G73">
    <cfRule type="expression" dxfId="75" priority="11" stopIfTrue="1">
      <formula>MOD(ROW(),3)=1</formula>
    </cfRule>
  </conditionalFormatting>
  <conditionalFormatting sqref="H73">
    <cfRule type="expression" dxfId="74" priority="10" stopIfTrue="1">
      <formula>MOD(ROW(),3)=1</formula>
    </cfRule>
  </conditionalFormatting>
  <conditionalFormatting sqref="F5:F71">
    <cfRule type="expression" dxfId="73" priority="7" stopIfTrue="1">
      <formula>MOD(ROW(),3)=1</formula>
    </cfRule>
  </conditionalFormatting>
  <conditionalFormatting sqref="E73">
    <cfRule type="expression" dxfId="72" priority="6" stopIfTrue="1">
      <formula>MOD(ROW(),3)=1</formula>
    </cfRule>
  </conditionalFormatting>
  <conditionalFormatting sqref="F73">
    <cfRule type="expression" dxfId="71" priority="5" stopIfTrue="1">
      <formula>MOD(ROW(),3)=1</formula>
    </cfRule>
  </conditionalFormatting>
  <conditionalFormatting sqref="C5:C71 C72:D72 C4:D4">
    <cfRule type="expression" dxfId="70" priority="4" stopIfTrue="1">
      <formula>MOD(ROW(),3)=1</formula>
    </cfRule>
  </conditionalFormatting>
  <conditionalFormatting sqref="D5:D71">
    <cfRule type="expression" dxfId="69" priority="3" stopIfTrue="1">
      <formula>MOD(ROW(),3)=1</formula>
    </cfRule>
  </conditionalFormatting>
  <conditionalFormatting sqref="C73">
    <cfRule type="expression" dxfId="68" priority="2" stopIfTrue="1">
      <formula>MOD(ROW(),3)=1</formula>
    </cfRule>
  </conditionalFormatting>
  <conditionalFormatting sqref="D73">
    <cfRule type="expression" dxfId="67" priority="1" stopIfTrue="1">
      <formula>MOD(ROW(),3)=1</formula>
    </cfRule>
  </conditionalFormatting>
  <pageMargins left="0.75" right="0.75" top="1" bottom="1" header="0.5" footer="0.5"/>
  <pageSetup scale="93" fitToHeight="2" orientation="portrait" r:id="rId1"/>
  <headerFooter alignWithMargins="0"/>
  <ignoredErrors>
    <ignoredError sqref="W73:Y73 Z73 U73:V73 S73:T73 P73:Q73 R73 N7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C7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1" width="35.140625" style="23" customWidth="1"/>
    <col min="2" max="2" width="9.28515625" style="47" bestFit="1" customWidth="1"/>
    <col min="3" max="3" width="15.7109375" style="108" bestFit="1" customWidth="1"/>
    <col min="4" max="4" width="16.42578125" style="47" bestFit="1" customWidth="1"/>
    <col min="5" max="5" width="15.7109375" style="108" bestFit="1" customWidth="1"/>
    <col min="6" max="6" width="16.42578125" style="47" bestFit="1" customWidth="1"/>
    <col min="7" max="7" width="15.7109375" style="108" bestFit="1" customWidth="1"/>
    <col min="8" max="8" width="16.42578125" style="47" bestFit="1" customWidth="1"/>
    <col min="9" max="9" width="15.7109375" style="112" bestFit="1" customWidth="1"/>
    <col min="10" max="10" width="16.42578125" style="23" customWidth="1"/>
    <col min="11" max="11" width="14.28515625" style="23" customWidth="1"/>
    <col min="12" max="12" width="16.42578125" style="23" customWidth="1"/>
    <col min="13" max="13" width="14.28515625" style="23" bestFit="1" customWidth="1"/>
    <col min="14" max="14" width="16.42578125" style="23" bestFit="1" customWidth="1"/>
    <col min="15" max="15" width="14.28515625" style="23" bestFit="1" customWidth="1"/>
    <col min="16" max="16" width="16.42578125" style="23" bestFit="1" customWidth="1"/>
    <col min="17" max="17" width="14.28515625" style="23" bestFit="1" customWidth="1"/>
    <col min="18" max="18" width="16.42578125" style="23" bestFit="1" customWidth="1"/>
    <col min="19" max="19" width="14.28515625" style="23" bestFit="1" customWidth="1"/>
    <col min="20" max="20" width="16.42578125" style="23" bestFit="1" customWidth="1"/>
    <col min="21" max="21" width="14.28515625" style="23" bestFit="1" customWidth="1"/>
    <col min="22" max="22" width="16.42578125" style="23" bestFit="1" customWidth="1"/>
    <col min="23" max="23" width="14.28515625" style="23" bestFit="1" customWidth="1"/>
    <col min="24" max="24" width="16.42578125" style="23" bestFit="1" customWidth="1"/>
    <col min="25" max="25" width="14.28515625" style="23" bestFit="1" customWidth="1"/>
    <col min="26" max="26" width="16.42578125" style="2" bestFit="1" customWidth="1"/>
    <col min="27" max="27" width="14.28515625" style="2" bestFit="1" customWidth="1"/>
    <col min="28" max="16384" width="9.140625" style="2"/>
  </cols>
  <sheetData>
    <row r="1" spans="1:29" ht="23.25" x14ac:dyDescent="0.2">
      <c r="A1" s="14" t="s">
        <v>80</v>
      </c>
      <c r="B1" s="40"/>
      <c r="C1" s="104"/>
      <c r="D1" s="40"/>
      <c r="E1" s="104"/>
      <c r="F1" s="40"/>
      <c r="G1" s="104"/>
      <c r="H1" s="40"/>
      <c r="I1" s="109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9" ht="15" x14ac:dyDescent="0.2">
      <c r="A2" s="21" t="s">
        <v>139</v>
      </c>
      <c r="B2" s="40"/>
      <c r="C2" s="104"/>
      <c r="D2" s="40"/>
      <c r="E2" s="104"/>
      <c r="F2" s="40"/>
      <c r="G2" s="104"/>
      <c r="H2" s="40"/>
      <c r="I2" s="109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9" ht="15.75" thickBot="1" x14ac:dyDescent="0.25">
      <c r="A3" s="22"/>
      <c r="B3" s="40"/>
      <c r="C3" s="104"/>
      <c r="D3" s="40"/>
      <c r="E3" s="104"/>
      <c r="F3" s="40"/>
      <c r="G3" s="104"/>
      <c r="H3" s="40"/>
      <c r="I3" s="110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9" s="62" customFormat="1" ht="28.5" customHeight="1" x14ac:dyDescent="0.2">
      <c r="A4" s="72" t="s">
        <v>68</v>
      </c>
      <c r="B4" s="73" t="s">
        <v>67</v>
      </c>
      <c r="C4" s="105" t="s">
        <v>137</v>
      </c>
      <c r="D4" s="73" t="s">
        <v>138</v>
      </c>
      <c r="E4" s="105" t="s">
        <v>128</v>
      </c>
      <c r="F4" s="73" t="s">
        <v>129</v>
      </c>
      <c r="G4" s="105" t="s">
        <v>122</v>
      </c>
      <c r="H4" s="73" t="s">
        <v>123</v>
      </c>
      <c r="I4" s="105" t="s">
        <v>119</v>
      </c>
      <c r="J4" s="73" t="s">
        <v>120</v>
      </c>
      <c r="K4" s="73" t="s">
        <v>116</v>
      </c>
      <c r="L4" s="73" t="s">
        <v>117</v>
      </c>
      <c r="M4" s="73" t="s">
        <v>113</v>
      </c>
      <c r="N4" s="73" t="s">
        <v>112</v>
      </c>
      <c r="O4" s="73" t="s">
        <v>103</v>
      </c>
      <c r="P4" s="73" t="s">
        <v>104</v>
      </c>
      <c r="Q4" s="73" t="s">
        <v>101</v>
      </c>
      <c r="R4" s="73" t="s">
        <v>102</v>
      </c>
      <c r="S4" s="73" t="s">
        <v>94</v>
      </c>
      <c r="T4" s="73" t="s">
        <v>95</v>
      </c>
      <c r="U4" s="73" t="s">
        <v>91</v>
      </c>
      <c r="V4" s="73" t="s">
        <v>92</v>
      </c>
      <c r="W4" s="73" t="s">
        <v>89</v>
      </c>
      <c r="X4" s="73" t="s">
        <v>90</v>
      </c>
      <c r="Y4" s="73" t="s">
        <v>70</v>
      </c>
      <c r="Z4" s="73" t="s">
        <v>71</v>
      </c>
      <c r="AA4" s="74" t="s">
        <v>72</v>
      </c>
    </row>
    <row r="5" spans="1:29" ht="14.25" customHeight="1" x14ac:dyDescent="0.2">
      <c r="A5" s="51" t="s">
        <v>66</v>
      </c>
      <c r="B5" s="45" t="s">
        <v>132</v>
      </c>
      <c r="C5" s="103">
        <v>78153825</v>
      </c>
      <c r="D5" s="102">
        <f>C5/E5-1</f>
        <v>2.4741087217929225E-2</v>
      </c>
      <c r="E5" s="103">
        <v>76266899</v>
      </c>
      <c r="F5" s="102">
        <f>E5/G5-1</f>
        <v>-2.8896662190904032E-2</v>
      </c>
      <c r="G5" s="103">
        <v>78536337</v>
      </c>
      <c r="H5" s="102">
        <f>G5/I5-1</f>
        <v>-1.8991004050204707E-2</v>
      </c>
      <c r="I5" s="111">
        <v>80056694</v>
      </c>
      <c r="J5" s="66">
        <f>I5/K5-1</f>
        <v>-1.199020257616612E-2</v>
      </c>
      <c r="K5" s="65">
        <v>81028239</v>
      </c>
      <c r="L5" s="66">
        <f>K5/M5-1</f>
        <v>9.833849371763792E-3</v>
      </c>
      <c r="M5" s="65">
        <v>80239179</v>
      </c>
      <c r="N5" s="66">
        <f>M5/O5-1</f>
        <v>-9.1790180051080084E-3</v>
      </c>
      <c r="O5" s="65">
        <v>80982519</v>
      </c>
      <c r="P5" s="66">
        <f>O5/Q5-1</f>
        <v>-3.2771430888978159E-5</v>
      </c>
      <c r="Q5" s="65">
        <v>80985173</v>
      </c>
      <c r="R5" s="66">
        <f>Q5/S5-1</f>
        <v>-6.4718617140354651E-3</v>
      </c>
      <c r="S5" s="67">
        <v>81512712</v>
      </c>
      <c r="T5" s="66">
        <f>S5/U5-1</f>
        <v>4.8616624831903099E-3</v>
      </c>
      <c r="U5" s="67">
        <v>81118342</v>
      </c>
      <c r="V5" s="66">
        <f>U5/W5-1</f>
        <v>-7.731657109042922E-2</v>
      </c>
      <c r="W5" s="67">
        <v>87915681</v>
      </c>
      <c r="X5" s="66">
        <f>W5/Y5-1</f>
        <v>-3.2782803635251878E-2</v>
      </c>
      <c r="Y5" s="67">
        <v>90895490</v>
      </c>
      <c r="Z5" s="66">
        <f>Y5/AA5-1</f>
        <v>-7.9249699368720949E-2</v>
      </c>
      <c r="AA5" s="76">
        <v>98718936</v>
      </c>
      <c r="AC5" s="24"/>
    </row>
    <row r="6" spans="1:29" ht="14.25" customHeight="1" x14ac:dyDescent="0.2">
      <c r="A6" s="51" t="s">
        <v>65</v>
      </c>
      <c r="B6" s="45" t="s">
        <v>133</v>
      </c>
      <c r="C6" s="103">
        <v>6989627</v>
      </c>
      <c r="D6" s="102">
        <f>C6/E6-1</f>
        <v>6.50591760582242E-3</v>
      </c>
      <c r="E6" s="103">
        <v>6944447</v>
      </c>
      <c r="F6" s="102">
        <f>E6/G6-1</f>
        <v>-7.2207137800302523E-2</v>
      </c>
      <c r="G6" s="103">
        <v>7484911</v>
      </c>
      <c r="H6" s="102">
        <f>G6/I6-1</f>
        <v>-5.6184486161684255E-2</v>
      </c>
      <c r="I6" s="111">
        <v>7930481</v>
      </c>
      <c r="J6" s="66">
        <f t="shared" ref="J6:J69" si="0">I6/K6-1</f>
        <v>3.2584058702423979E-2</v>
      </c>
      <c r="K6" s="65">
        <v>7680228</v>
      </c>
      <c r="L6" s="66">
        <f>K6/M6-1</f>
        <v>2.2889264736260184E-2</v>
      </c>
      <c r="M6" s="65">
        <v>7508367</v>
      </c>
      <c r="N6" s="66">
        <f>M6/O6-1</f>
        <v>3.0685131885695105E-2</v>
      </c>
      <c r="O6" s="65">
        <v>7284831</v>
      </c>
      <c r="P6" s="66">
        <f>O6/Q6-1</f>
        <v>5.5865800329333526E-2</v>
      </c>
      <c r="Q6" s="65">
        <v>6899391</v>
      </c>
      <c r="R6" s="66">
        <f>Q6/S6-1</f>
        <v>-1.528962032210579E-2</v>
      </c>
      <c r="S6" s="67">
        <v>7006518</v>
      </c>
      <c r="T6" s="66">
        <f t="shared" ref="T6:T69" si="1">S6/U6-1</f>
        <v>-3.0357777830583021E-3</v>
      </c>
      <c r="U6" s="67">
        <v>7027853</v>
      </c>
      <c r="V6" s="66">
        <f t="shared" ref="V6:V69" si="2">U6/W6-1</f>
        <v>-0.3245979313120565</v>
      </c>
      <c r="W6" s="67">
        <v>10405436</v>
      </c>
      <c r="X6" s="66">
        <f t="shared" ref="X6:X69" si="3">W6/Y6-1</f>
        <v>-1.9326885885910805E-2</v>
      </c>
      <c r="Y6" s="67">
        <v>10610504</v>
      </c>
      <c r="Z6" s="66">
        <f t="shared" ref="Z6:Z69" si="4">Y6/AA6-1</f>
        <v>-1.9826463021961449E-2</v>
      </c>
      <c r="AA6" s="76">
        <v>10825128</v>
      </c>
      <c r="AC6" s="24"/>
    </row>
    <row r="7" spans="1:29" ht="14.25" customHeight="1" x14ac:dyDescent="0.2">
      <c r="A7" s="51" t="s">
        <v>64</v>
      </c>
      <c r="B7" s="45" t="s">
        <v>132</v>
      </c>
      <c r="C7" s="103">
        <v>82026463</v>
      </c>
      <c r="D7" s="102">
        <f t="shared" ref="D7:D70" si="5">C7/E7-1</f>
        <v>-3.3368730085055365E-2</v>
      </c>
      <c r="E7" s="103">
        <v>84858069</v>
      </c>
      <c r="F7" s="102">
        <f t="shared" ref="F7:H70" si="6">E7/G7-1</f>
        <v>-1.7403231526997742E-2</v>
      </c>
      <c r="G7" s="103">
        <v>86361030</v>
      </c>
      <c r="H7" s="102">
        <f t="shared" si="6"/>
        <v>-6.2404325343469069E-2</v>
      </c>
      <c r="I7" s="111">
        <v>92109032</v>
      </c>
      <c r="J7" s="66">
        <f t="shared" si="0"/>
        <v>8.714868967152789E-3</v>
      </c>
      <c r="K7" s="65">
        <v>91313249</v>
      </c>
      <c r="L7" s="66">
        <f t="shared" ref="L7:L70" si="7">K7/M7-1</f>
        <v>9.3889062389664879E-3</v>
      </c>
      <c r="M7" s="65">
        <v>90463892</v>
      </c>
      <c r="N7" s="66">
        <f t="shared" ref="N7:N70" si="8">M7/O7-1</f>
        <v>-2.7489023520691491E-2</v>
      </c>
      <c r="O7" s="65">
        <v>93020947</v>
      </c>
      <c r="P7" s="66">
        <f t="shared" ref="P7:P70" si="9">O7/Q7-1</f>
        <v>1.4500955842773999E-2</v>
      </c>
      <c r="Q7" s="65">
        <v>91691335</v>
      </c>
      <c r="R7" s="66">
        <f t="shared" ref="R7:R70" si="10">Q7/S7-1</f>
        <v>-4.680523581876006E-2</v>
      </c>
      <c r="S7" s="67">
        <v>96193704</v>
      </c>
      <c r="T7" s="66">
        <f t="shared" si="1"/>
        <v>-3.1142386677915912E-3</v>
      </c>
      <c r="U7" s="67">
        <v>96494210</v>
      </c>
      <c r="V7" s="66">
        <f t="shared" si="2"/>
        <v>-1.8371661234646952E-2</v>
      </c>
      <c r="W7" s="67">
        <v>98300147</v>
      </c>
      <c r="X7" s="66">
        <f t="shared" si="3"/>
        <v>-9.7029815837990641E-2</v>
      </c>
      <c r="Y7" s="67">
        <v>108863115</v>
      </c>
      <c r="Z7" s="66">
        <f t="shared" si="4"/>
        <v>-3.302709551804095E-2</v>
      </c>
      <c r="AA7" s="76">
        <v>112581350</v>
      </c>
      <c r="AC7" s="24"/>
    </row>
    <row r="8" spans="1:29" ht="14.25" customHeight="1" x14ac:dyDescent="0.2">
      <c r="A8" s="51" t="s">
        <v>63</v>
      </c>
      <c r="B8" s="45" t="s">
        <v>133</v>
      </c>
      <c r="C8" s="103">
        <v>9169201</v>
      </c>
      <c r="D8" s="102">
        <f t="shared" si="5"/>
        <v>-7.4944487368968637E-3</v>
      </c>
      <c r="E8" s="103">
        <v>9238438</v>
      </c>
      <c r="F8" s="102">
        <f t="shared" si="6"/>
        <v>2.4777064983736663E-2</v>
      </c>
      <c r="G8" s="103">
        <v>9015071</v>
      </c>
      <c r="H8" s="102">
        <f t="shared" si="6"/>
        <v>2.1617551783929656E-2</v>
      </c>
      <c r="I8" s="111">
        <v>8824311</v>
      </c>
      <c r="J8" s="66">
        <f t="shared" si="0"/>
        <v>4.5522958100106203E-2</v>
      </c>
      <c r="K8" s="65">
        <v>8440093</v>
      </c>
      <c r="L8" s="66">
        <f t="shared" si="7"/>
        <v>0.10126316363585586</v>
      </c>
      <c r="M8" s="65">
        <v>7664011</v>
      </c>
      <c r="N8" s="66">
        <f t="shared" si="8"/>
        <v>-4.6935854671854238E-2</v>
      </c>
      <c r="O8" s="65">
        <v>8041443</v>
      </c>
      <c r="P8" s="66">
        <f t="shared" si="9"/>
        <v>2.6507086223376941E-2</v>
      </c>
      <c r="Q8" s="65">
        <v>7833792</v>
      </c>
      <c r="R8" s="66">
        <f t="shared" si="10"/>
        <v>-0.26968136976135826</v>
      </c>
      <c r="S8" s="67">
        <v>10726540</v>
      </c>
      <c r="T8" s="66">
        <f t="shared" si="1"/>
        <v>-5.8086842901343361E-2</v>
      </c>
      <c r="U8" s="67">
        <v>11388035</v>
      </c>
      <c r="V8" s="66">
        <f t="shared" si="2"/>
        <v>-2.3973261680552138E-2</v>
      </c>
      <c r="W8" s="67">
        <v>11667749</v>
      </c>
      <c r="X8" s="66">
        <f t="shared" si="3"/>
        <v>-2.6752698196008784E-2</v>
      </c>
      <c r="Y8" s="67">
        <v>11988473</v>
      </c>
      <c r="Z8" s="66">
        <f t="shared" si="4"/>
        <v>-4.0665595606889093E-2</v>
      </c>
      <c r="AA8" s="76">
        <v>12496657</v>
      </c>
      <c r="AC8" s="24"/>
    </row>
    <row r="9" spans="1:29" ht="14.25" customHeight="1" x14ac:dyDescent="0.2">
      <c r="A9" s="51" t="s">
        <v>62</v>
      </c>
      <c r="B9" s="45" t="s">
        <v>132</v>
      </c>
      <c r="C9" s="103">
        <v>166343003</v>
      </c>
      <c r="D9" s="102">
        <f t="shared" si="5"/>
        <v>-1.683094466789492E-3</v>
      </c>
      <c r="E9" s="103">
        <v>166623446</v>
      </c>
      <c r="F9" s="102">
        <f t="shared" si="6"/>
        <v>-5.4517391350878963E-3</v>
      </c>
      <c r="G9" s="103">
        <v>167536813</v>
      </c>
      <c r="H9" s="102">
        <f t="shared" si="6"/>
        <v>1.4665127338989503E-2</v>
      </c>
      <c r="I9" s="111">
        <v>165115375</v>
      </c>
      <c r="J9" s="66">
        <f t="shared" si="0"/>
        <v>1.1428097763413803E-2</v>
      </c>
      <c r="K9" s="65">
        <v>163249741</v>
      </c>
      <c r="L9" s="66">
        <f t="shared" si="7"/>
        <v>-1.6022197754705592E-2</v>
      </c>
      <c r="M9" s="65">
        <v>165907951</v>
      </c>
      <c r="N9" s="66">
        <f t="shared" si="8"/>
        <v>-2.4960915089390801E-2</v>
      </c>
      <c r="O9" s="65">
        <v>170155180</v>
      </c>
      <c r="P9" s="66">
        <f t="shared" si="9"/>
        <v>-3.4023621696470663E-3</v>
      </c>
      <c r="Q9" s="65">
        <v>170736086</v>
      </c>
      <c r="R9" s="66">
        <f t="shared" si="10"/>
        <v>-1.2677639261241103E-2</v>
      </c>
      <c r="S9" s="67">
        <v>172928410</v>
      </c>
      <c r="T9" s="66">
        <f t="shared" si="1"/>
        <v>1.0351657082805277E-2</v>
      </c>
      <c r="U9" s="67">
        <v>171156655</v>
      </c>
      <c r="V9" s="66">
        <f t="shared" si="2"/>
        <v>5.1614947409746037E-2</v>
      </c>
      <c r="W9" s="67">
        <v>162756012</v>
      </c>
      <c r="X9" s="66">
        <f t="shared" si="3"/>
        <v>-0.1321670701012051</v>
      </c>
      <c r="Y9" s="67">
        <v>187543024</v>
      </c>
      <c r="Z9" s="66">
        <f t="shared" si="4"/>
        <v>-0.11741210124643786</v>
      </c>
      <c r="AA9" s="76">
        <v>212492177</v>
      </c>
      <c r="AC9" s="24"/>
    </row>
    <row r="10" spans="1:29" ht="14.25" customHeight="1" x14ac:dyDescent="0.2">
      <c r="A10" s="51" t="s">
        <v>61</v>
      </c>
      <c r="B10" s="45" t="s">
        <v>132</v>
      </c>
      <c r="C10" s="103">
        <v>807147296</v>
      </c>
      <c r="D10" s="102">
        <f t="shared" si="5"/>
        <v>-1.5187619624708937E-2</v>
      </c>
      <c r="E10" s="103">
        <v>819594993</v>
      </c>
      <c r="F10" s="102">
        <f t="shared" si="6"/>
        <v>-3.2057032315989664E-3</v>
      </c>
      <c r="G10" s="103">
        <v>822230821</v>
      </c>
      <c r="H10" s="102">
        <f t="shared" si="6"/>
        <v>3.8090010498665894E-3</v>
      </c>
      <c r="I10" s="111">
        <v>819110827</v>
      </c>
      <c r="J10" s="66">
        <f t="shared" si="0"/>
        <v>1.9644617356757044E-2</v>
      </c>
      <c r="K10" s="65">
        <v>803329722</v>
      </c>
      <c r="L10" s="66">
        <f t="shared" si="7"/>
        <v>-4.6005898915416621E-3</v>
      </c>
      <c r="M10" s="65">
        <v>807042594</v>
      </c>
      <c r="N10" s="66">
        <f t="shared" si="8"/>
        <v>2.1863288887217669E-2</v>
      </c>
      <c r="O10" s="65">
        <v>789775504</v>
      </c>
      <c r="P10" s="66">
        <f t="shared" si="9"/>
        <v>3.649584213359014E-2</v>
      </c>
      <c r="Q10" s="65">
        <v>761966881</v>
      </c>
      <c r="R10" s="66">
        <f t="shared" si="10"/>
        <v>5.6822055345910449E-2</v>
      </c>
      <c r="S10" s="67">
        <v>720998277</v>
      </c>
      <c r="T10" s="66">
        <f t="shared" si="1"/>
        <v>1.3494540563159463E-2</v>
      </c>
      <c r="U10" s="67">
        <v>711398284</v>
      </c>
      <c r="V10" s="66">
        <f t="shared" si="2"/>
        <v>-1.732906525284883E-2</v>
      </c>
      <c r="W10" s="67">
        <v>723943549</v>
      </c>
      <c r="X10" s="66">
        <f t="shared" si="3"/>
        <v>-1.3845139611784907E-2</v>
      </c>
      <c r="Y10" s="67">
        <v>734107368</v>
      </c>
      <c r="Z10" s="66">
        <f t="shared" si="4"/>
        <v>-3.1038743429969706E-2</v>
      </c>
      <c r="AA10" s="76">
        <v>757623035</v>
      </c>
      <c r="AC10" s="24"/>
    </row>
    <row r="11" spans="1:29" ht="14.25" customHeight="1" x14ac:dyDescent="0.2">
      <c r="A11" s="51" t="s">
        <v>60</v>
      </c>
      <c r="B11" s="45" t="s">
        <v>133</v>
      </c>
      <c r="C11" s="103">
        <v>5024378</v>
      </c>
      <c r="D11" s="102">
        <f t="shared" si="5"/>
        <v>-6.8345027591526719E-2</v>
      </c>
      <c r="E11" s="103">
        <v>5392960</v>
      </c>
      <c r="F11" s="102">
        <f t="shared" si="6"/>
        <v>1.2308280848272846E-2</v>
      </c>
      <c r="G11" s="103">
        <v>5327389</v>
      </c>
      <c r="H11" s="102">
        <f t="shared" si="6"/>
        <v>5.0791750990997198E-3</v>
      </c>
      <c r="I11" s="111">
        <v>5300467</v>
      </c>
      <c r="J11" s="66">
        <f t="shared" si="0"/>
        <v>-5.8364697685309053E-2</v>
      </c>
      <c r="K11" s="65">
        <v>5629002</v>
      </c>
      <c r="L11" s="66">
        <f t="shared" si="7"/>
        <v>1.560813597633115E-2</v>
      </c>
      <c r="M11" s="65">
        <v>5542494</v>
      </c>
      <c r="N11" s="66">
        <f t="shared" si="8"/>
        <v>2.7031003491446048E-2</v>
      </c>
      <c r="O11" s="65">
        <v>5396618</v>
      </c>
      <c r="P11" s="66">
        <f t="shared" si="9"/>
        <v>-3.0398689651611743E-4</v>
      </c>
      <c r="Q11" s="65">
        <v>5398259</v>
      </c>
      <c r="R11" s="66">
        <f t="shared" si="10"/>
        <v>-1.9760377593865064E-2</v>
      </c>
      <c r="S11" s="67">
        <v>5507081</v>
      </c>
      <c r="T11" s="66">
        <f t="shared" si="1"/>
        <v>1.1674964763312978E-3</v>
      </c>
      <c r="U11" s="67">
        <v>5500659</v>
      </c>
      <c r="V11" s="66">
        <f t="shared" si="2"/>
        <v>-4.2359211896860871E-2</v>
      </c>
      <c r="W11" s="67">
        <v>5743969</v>
      </c>
      <c r="X11" s="66">
        <f t="shared" si="3"/>
        <v>1.5812379289836587E-2</v>
      </c>
      <c r="Y11" s="67">
        <v>5654557</v>
      </c>
      <c r="Z11" s="66">
        <f t="shared" si="4"/>
        <v>6.4789930220889858E-3</v>
      </c>
      <c r="AA11" s="76">
        <v>5618157</v>
      </c>
      <c r="AC11" s="24"/>
    </row>
    <row r="12" spans="1:29" ht="14.25" customHeight="1" x14ac:dyDescent="0.2">
      <c r="A12" s="51" t="s">
        <v>59</v>
      </c>
      <c r="B12" s="45" t="s">
        <v>132</v>
      </c>
      <c r="C12" s="103">
        <v>98597856</v>
      </c>
      <c r="D12" s="102">
        <f t="shared" si="5"/>
        <v>-1.3888788319804779E-2</v>
      </c>
      <c r="E12" s="103">
        <v>99986548</v>
      </c>
      <c r="F12" s="102">
        <f t="shared" si="6"/>
        <v>-2.0340775238094078E-2</v>
      </c>
      <c r="G12" s="103">
        <v>102062580</v>
      </c>
      <c r="H12" s="102">
        <f t="shared" si="6"/>
        <v>-1.674272556130596E-2</v>
      </c>
      <c r="I12" s="111">
        <v>103800483</v>
      </c>
      <c r="J12" s="66">
        <f t="shared" si="0"/>
        <v>3.047743961817484E-2</v>
      </c>
      <c r="K12" s="65">
        <v>100730476</v>
      </c>
      <c r="L12" s="66">
        <f t="shared" si="7"/>
        <v>-6.5299027112053487E-4</v>
      </c>
      <c r="M12" s="65">
        <v>100796295</v>
      </c>
      <c r="N12" s="66">
        <f t="shared" si="8"/>
        <v>-3.4849227279357686E-2</v>
      </c>
      <c r="O12" s="65">
        <v>104435802</v>
      </c>
      <c r="P12" s="66">
        <f t="shared" si="9"/>
        <v>4.5591639923436844E-3</v>
      </c>
      <c r="Q12" s="65">
        <v>103961823</v>
      </c>
      <c r="R12" s="66">
        <f t="shared" si="10"/>
        <v>-0.17727623793855563</v>
      </c>
      <c r="S12" s="67">
        <v>126362976</v>
      </c>
      <c r="T12" s="66">
        <f t="shared" si="1"/>
        <v>-7.4524380736896711E-3</v>
      </c>
      <c r="U12" s="67">
        <v>127311759</v>
      </c>
      <c r="V12" s="66">
        <f t="shared" si="2"/>
        <v>1.5625733677940845E-2</v>
      </c>
      <c r="W12" s="67">
        <v>125353026</v>
      </c>
      <c r="X12" s="66">
        <f t="shared" si="3"/>
        <v>-9.6026013188820203E-3</v>
      </c>
      <c r="Y12" s="67">
        <v>126568412</v>
      </c>
      <c r="Z12" s="66">
        <f t="shared" si="4"/>
        <v>-2.9813737231047965E-2</v>
      </c>
      <c r="AA12" s="76">
        <v>130457848</v>
      </c>
      <c r="AC12" s="24"/>
    </row>
    <row r="13" spans="1:29" ht="14.25" customHeight="1" x14ac:dyDescent="0.2">
      <c r="A13" s="51" t="s">
        <v>58</v>
      </c>
      <c r="B13" s="45" t="s">
        <v>132</v>
      </c>
      <c r="C13" s="103">
        <v>55066060</v>
      </c>
      <c r="D13" s="102">
        <f t="shared" si="5"/>
        <v>5.1486682656696425E-2</v>
      </c>
      <c r="E13" s="103">
        <v>52369717</v>
      </c>
      <c r="F13" s="102">
        <f t="shared" si="6"/>
        <v>2.9193000042665451E-2</v>
      </c>
      <c r="G13" s="103">
        <v>50884253</v>
      </c>
      <c r="H13" s="102">
        <f t="shared" si="6"/>
        <v>-4.6801934672987988E-2</v>
      </c>
      <c r="I13" s="111">
        <v>53382665</v>
      </c>
      <c r="J13" s="66">
        <f t="shared" si="0"/>
        <v>1.7920959618528576E-2</v>
      </c>
      <c r="K13" s="65">
        <v>52442839</v>
      </c>
      <c r="L13" s="66">
        <f t="shared" si="7"/>
        <v>-6.16003394943343E-3</v>
      </c>
      <c r="M13" s="65">
        <v>52767891</v>
      </c>
      <c r="N13" s="66">
        <f t="shared" si="8"/>
        <v>-1.876385560997007E-2</v>
      </c>
      <c r="O13" s="65">
        <v>53776954</v>
      </c>
      <c r="P13" s="66">
        <f t="shared" si="9"/>
        <v>-4.743375255541693E-3</v>
      </c>
      <c r="Q13" s="65">
        <v>54033254</v>
      </c>
      <c r="R13" s="66">
        <f t="shared" si="10"/>
        <v>-3.395759073556226E-2</v>
      </c>
      <c r="S13" s="67">
        <v>55932590</v>
      </c>
      <c r="T13" s="66">
        <f t="shared" si="1"/>
        <v>-5.7669537499410284E-2</v>
      </c>
      <c r="U13" s="67">
        <v>59355600</v>
      </c>
      <c r="V13" s="66">
        <f t="shared" si="2"/>
        <v>-0.10140970746265221</v>
      </c>
      <c r="W13" s="67">
        <v>66054130</v>
      </c>
      <c r="X13" s="66">
        <f t="shared" si="3"/>
        <v>-6.1978258029713129E-2</v>
      </c>
      <c r="Y13" s="67">
        <v>70418549</v>
      </c>
      <c r="Z13" s="66">
        <f t="shared" si="4"/>
        <v>-0.10474852590031647</v>
      </c>
      <c r="AA13" s="76">
        <v>78657842</v>
      </c>
      <c r="AC13" s="24"/>
    </row>
    <row r="14" spans="1:29" ht="14.25" customHeight="1" x14ac:dyDescent="0.2">
      <c r="A14" s="51" t="s">
        <v>57</v>
      </c>
      <c r="B14" s="45" t="s">
        <v>132</v>
      </c>
      <c r="C14" s="103">
        <v>50600521</v>
      </c>
      <c r="D14" s="102">
        <f t="shared" si="5"/>
        <v>1.1947861383209357E-2</v>
      </c>
      <c r="E14" s="103">
        <v>50003091</v>
      </c>
      <c r="F14" s="102">
        <f t="shared" si="6"/>
        <v>4.0806124882597494E-3</v>
      </c>
      <c r="G14" s="103">
        <v>49799877</v>
      </c>
      <c r="H14" s="102">
        <f t="shared" si="6"/>
        <v>-4.1240081623399427E-2</v>
      </c>
      <c r="I14" s="111">
        <v>51941968</v>
      </c>
      <c r="J14" s="66">
        <f t="shared" si="0"/>
        <v>2.6418262043704344E-2</v>
      </c>
      <c r="K14" s="65">
        <v>50605070</v>
      </c>
      <c r="L14" s="66">
        <f t="shared" si="7"/>
        <v>3.2803744497707621E-2</v>
      </c>
      <c r="M14" s="65">
        <v>48997760</v>
      </c>
      <c r="N14" s="66">
        <f t="shared" si="8"/>
        <v>7.9851917325883814E-3</v>
      </c>
      <c r="O14" s="65">
        <v>48609603</v>
      </c>
      <c r="P14" s="66">
        <f t="shared" si="9"/>
        <v>6.767643963174752E-4</v>
      </c>
      <c r="Q14" s="65">
        <v>48576728</v>
      </c>
      <c r="R14" s="66">
        <f t="shared" si="10"/>
        <v>2.8444466979111738E-3</v>
      </c>
      <c r="S14" s="67">
        <v>48438946</v>
      </c>
      <c r="T14" s="66">
        <f t="shared" si="1"/>
        <v>-1.6339556576367986E-2</v>
      </c>
      <c r="U14" s="67">
        <v>49243564</v>
      </c>
      <c r="V14" s="66">
        <f t="shared" si="2"/>
        <v>-2.7012093735818254E-2</v>
      </c>
      <c r="W14" s="67">
        <v>50610664</v>
      </c>
      <c r="X14" s="66">
        <f t="shared" si="3"/>
        <v>-4.0006998505647595E-2</v>
      </c>
      <c r="Y14" s="67">
        <v>52719826</v>
      </c>
      <c r="Z14" s="66">
        <f t="shared" si="4"/>
        <v>-5.4412685117219084E-2</v>
      </c>
      <c r="AA14" s="76">
        <v>55753525</v>
      </c>
      <c r="AC14" s="24"/>
    </row>
    <row r="15" spans="1:29" ht="14.25" customHeight="1" x14ac:dyDescent="0.2">
      <c r="A15" s="51" t="s">
        <v>56</v>
      </c>
      <c r="B15" s="45" t="s">
        <v>132</v>
      </c>
      <c r="C15" s="103">
        <v>162820987</v>
      </c>
      <c r="D15" s="102">
        <f t="shared" si="5"/>
        <v>-3.1750114023786025E-2</v>
      </c>
      <c r="E15" s="103">
        <v>168160089</v>
      </c>
      <c r="F15" s="102">
        <f t="shared" si="6"/>
        <v>-8.586055271475046E-3</v>
      </c>
      <c r="G15" s="103">
        <v>169616425</v>
      </c>
      <c r="H15" s="102">
        <f t="shared" si="6"/>
        <v>-7.0090294826122834E-3</v>
      </c>
      <c r="I15" s="111">
        <v>170813663</v>
      </c>
      <c r="J15" s="66">
        <f t="shared" si="0"/>
        <v>-5.2213404338103953E-2</v>
      </c>
      <c r="K15" s="65">
        <v>180223759</v>
      </c>
      <c r="L15" s="66">
        <f t="shared" si="7"/>
        <v>-1.9383213959498491E-3</v>
      </c>
      <c r="M15" s="65">
        <v>180573769</v>
      </c>
      <c r="N15" s="66">
        <f t="shared" si="8"/>
        <v>-9.2088050807734856E-3</v>
      </c>
      <c r="O15" s="65">
        <v>182252093</v>
      </c>
      <c r="P15" s="66">
        <f t="shared" si="9"/>
        <v>-1.5545920566103932E-2</v>
      </c>
      <c r="Q15" s="65">
        <v>185130111</v>
      </c>
      <c r="R15" s="66">
        <f t="shared" si="10"/>
        <v>-7.5925283475210437E-2</v>
      </c>
      <c r="S15" s="67">
        <v>200341063</v>
      </c>
      <c r="T15" s="66">
        <f t="shared" si="1"/>
        <v>-3.5812488961100564E-2</v>
      </c>
      <c r="U15" s="67">
        <v>207782263</v>
      </c>
      <c r="V15" s="66">
        <f t="shared" si="2"/>
        <v>-1.207241680409521E-2</v>
      </c>
      <c r="W15" s="67">
        <v>210321350</v>
      </c>
      <c r="X15" s="66">
        <f t="shared" si="3"/>
        <v>-3.6127706228129108E-2</v>
      </c>
      <c r="Y15" s="67">
        <v>218204581</v>
      </c>
      <c r="Z15" s="66">
        <f t="shared" si="4"/>
        <v>-4.5155023135294292E-2</v>
      </c>
      <c r="AA15" s="76">
        <v>228523568</v>
      </c>
      <c r="AC15" s="24"/>
    </row>
    <row r="16" spans="1:29" ht="14.25" customHeight="1" x14ac:dyDescent="0.2">
      <c r="A16" s="51" t="s">
        <v>55</v>
      </c>
      <c r="B16" s="45" t="s">
        <v>133</v>
      </c>
      <c r="C16" s="103">
        <v>23196763</v>
      </c>
      <c r="D16" s="102">
        <f t="shared" si="5"/>
        <v>4.8538615143276509E-3</v>
      </c>
      <c r="E16" s="103">
        <v>23084713</v>
      </c>
      <c r="F16" s="102">
        <f t="shared" si="6"/>
        <v>-4.3629156739464214E-3</v>
      </c>
      <c r="G16" s="103">
        <v>23185871</v>
      </c>
      <c r="H16" s="102">
        <f t="shared" si="6"/>
        <v>-7.0375417357256831E-3</v>
      </c>
      <c r="I16" s="111">
        <v>23350199</v>
      </c>
      <c r="J16" s="66">
        <f t="shared" si="0"/>
        <v>1.4414952566187189E-2</v>
      </c>
      <c r="K16" s="65">
        <v>23018390</v>
      </c>
      <c r="L16" s="66">
        <f t="shared" si="7"/>
        <v>9.8694663387886017E-3</v>
      </c>
      <c r="M16" s="65">
        <v>22793431</v>
      </c>
      <c r="N16" s="66">
        <f t="shared" si="8"/>
        <v>-1.039299979494468E-2</v>
      </c>
      <c r="O16" s="65">
        <v>23032811</v>
      </c>
      <c r="P16" s="66">
        <f t="shared" si="9"/>
        <v>-1.622696107241528E-3</v>
      </c>
      <c r="Q16" s="65">
        <v>23070247</v>
      </c>
      <c r="R16" s="66">
        <f t="shared" si="10"/>
        <v>-1.6811574957235842E-2</v>
      </c>
      <c r="S16" s="67">
        <v>23464726</v>
      </c>
      <c r="T16" s="66">
        <f t="shared" si="1"/>
        <v>-1.6211629709221187E-2</v>
      </c>
      <c r="U16" s="67">
        <v>23851396</v>
      </c>
      <c r="V16" s="66">
        <f t="shared" si="2"/>
        <v>-2.356896953623433E-2</v>
      </c>
      <c r="W16" s="67">
        <v>24427118</v>
      </c>
      <c r="X16" s="66">
        <f t="shared" si="3"/>
        <v>-1.5416852280270121E-2</v>
      </c>
      <c r="Y16" s="67">
        <v>24809604</v>
      </c>
      <c r="Z16" s="66">
        <f t="shared" si="4"/>
        <v>-4.7464477747843015E-2</v>
      </c>
      <c r="AA16" s="76">
        <v>26045857</v>
      </c>
      <c r="AC16" s="24"/>
    </row>
    <row r="17" spans="1:29" ht="14.25" customHeight="1" x14ac:dyDescent="0.2">
      <c r="A17" s="51" t="s">
        <v>93</v>
      </c>
      <c r="B17" s="45" t="s">
        <v>132</v>
      </c>
      <c r="C17" s="103">
        <v>1070063848</v>
      </c>
      <c r="D17" s="102">
        <f t="shared" si="5"/>
        <v>3.3395620096963841E-2</v>
      </c>
      <c r="E17" s="103">
        <v>1035483243</v>
      </c>
      <c r="F17" s="102">
        <f t="shared" si="6"/>
        <v>-1.3479648148063683E-3</v>
      </c>
      <c r="G17" s="103">
        <v>1036880922</v>
      </c>
      <c r="H17" s="102">
        <f t="shared" si="6"/>
        <v>1.267847457039184E-2</v>
      </c>
      <c r="I17" s="111">
        <v>1023899439</v>
      </c>
      <c r="J17" s="66">
        <f t="shared" si="0"/>
        <v>-1.0906763849263257E-2</v>
      </c>
      <c r="K17" s="65">
        <v>1035190012</v>
      </c>
      <c r="L17" s="66">
        <f t="shared" si="7"/>
        <v>-1.268792572353572E-3</v>
      </c>
      <c r="M17" s="65">
        <v>1036505122</v>
      </c>
      <c r="N17" s="66">
        <f t="shared" si="8"/>
        <v>2.2540195454440637E-2</v>
      </c>
      <c r="O17" s="65">
        <v>1013657093</v>
      </c>
      <c r="P17" s="66">
        <f t="shared" si="9"/>
        <v>1.859302571617838E-2</v>
      </c>
      <c r="Q17" s="65">
        <v>995154166</v>
      </c>
      <c r="R17" s="66">
        <f t="shared" si="10"/>
        <v>2.7541229801792966E-2</v>
      </c>
      <c r="S17" s="67">
        <v>968481008</v>
      </c>
      <c r="T17" s="66">
        <f t="shared" si="1"/>
        <v>2.1595292954376344E-2</v>
      </c>
      <c r="U17" s="67">
        <v>948008487</v>
      </c>
      <c r="V17" s="66">
        <f t="shared" si="2"/>
        <v>1.9817544269323806E-2</v>
      </c>
      <c r="W17" s="67">
        <v>929586368</v>
      </c>
      <c r="X17" s="66">
        <f t="shared" si="3"/>
        <v>-2.3169949902731579E-3</v>
      </c>
      <c r="Y17" s="67">
        <v>931745217</v>
      </c>
      <c r="Z17" s="66">
        <f t="shared" si="4"/>
        <v>-2.6386241754955186E-2</v>
      </c>
      <c r="AA17" s="76">
        <v>956996765</v>
      </c>
      <c r="AC17" s="24"/>
    </row>
    <row r="18" spans="1:29" ht="14.25" customHeight="1" x14ac:dyDescent="0.2">
      <c r="A18" s="51" t="s">
        <v>54</v>
      </c>
      <c r="B18" s="45" t="s">
        <v>132</v>
      </c>
      <c r="C18" s="103">
        <v>21576753</v>
      </c>
      <c r="D18" s="102">
        <f t="shared" si="5"/>
        <v>1.6289885725073283E-2</v>
      </c>
      <c r="E18" s="103">
        <v>21230904</v>
      </c>
      <c r="F18" s="102">
        <f t="shared" si="6"/>
        <v>-1.5239573939255679E-2</v>
      </c>
      <c r="G18" s="103">
        <v>21559461</v>
      </c>
      <c r="H18" s="102">
        <f t="shared" si="6"/>
        <v>-2.5623400808490682E-2</v>
      </c>
      <c r="I18" s="111">
        <v>22126415</v>
      </c>
      <c r="J18" s="66">
        <f t="shared" si="0"/>
        <v>-2.4374053069511015E-2</v>
      </c>
      <c r="K18" s="65">
        <v>22679199</v>
      </c>
      <c r="L18" s="66">
        <f t="shared" si="7"/>
        <v>-1.8255040808570877E-2</v>
      </c>
      <c r="M18" s="65">
        <v>23100907</v>
      </c>
      <c r="N18" s="66">
        <f t="shared" si="8"/>
        <v>1.150283146182729E-2</v>
      </c>
      <c r="O18" s="65">
        <v>22838203</v>
      </c>
      <c r="P18" s="66">
        <f t="shared" si="9"/>
        <v>-6.9166479651691093E-3</v>
      </c>
      <c r="Q18" s="65">
        <v>22997267</v>
      </c>
      <c r="R18" s="66">
        <f t="shared" si="10"/>
        <v>-5.9879915995139088E-3</v>
      </c>
      <c r="S18" s="67">
        <v>23135804</v>
      </c>
      <c r="T18" s="66">
        <f t="shared" si="1"/>
        <v>-4.0138012860583494E-2</v>
      </c>
      <c r="U18" s="67">
        <v>24103261</v>
      </c>
      <c r="V18" s="66">
        <f t="shared" si="2"/>
        <v>-3.7366762726596114E-2</v>
      </c>
      <c r="W18" s="67">
        <v>25038883</v>
      </c>
      <c r="X18" s="66">
        <f t="shared" si="3"/>
        <v>-4.2371666246283191E-2</v>
      </c>
      <c r="Y18" s="67">
        <v>26146765</v>
      </c>
      <c r="Z18" s="66">
        <f t="shared" si="4"/>
        <v>-3.2704371570346225E-2</v>
      </c>
      <c r="AA18" s="76">
        <v>27030790</v>
      </c>
      <c r="AC18" s="24"/>
    </row>
    <row r="19" spans="1:29" ht="14.25" customHeight="1" x14ac:dyDescent="0.2">
      <c r="A19" s="51" t="s">
        <v>53</v>
      </c>
      <c r="B19" s="45" t="s">
        <v>133</v>
      </c>
      <c r="C19" s="103">
        <v>3542148</v>
      </c>
      <c r="D19" s="102">
        <f t="shared" si="5"/>
        <v>-1.8618049192831831E-2</v>
      </c>
      <c r="E19" s="103">
        <v>3609347</v>
      </c>
      <c r="F19" s="102">
        <f t="shared" si="6"/>
        <v>3.8759054092012191E-2</v>
      </c>
      <c r="G19" s="103">
        <v>3474672</v>
      </c>
      <c r="H19" s="102">
        <f t="shared" si="6"/>
        <v>6.9081490775648069E-2</v>
      </c>
      <c r="I19" s="111">
        <v>3250147</v>
      </c>
      <c r="J19" s="66">
        <f t="shared" si="0"/>
        <v>-1.6067943338975321E-2</v>
      </c>
      <c r="K19" s="65">
        <v>3303223</v>
      </c>
      <c r="L19" s="66">
        <f t="shared" si="7"/>
        <v>1.7424724739431463E-2</v>
      </c>
      <c r="M19" s="65">
        <v>3246651</v>
      </c>
      <c r="N19" s="66">
        <f t="shared" si="8"/>
        <v>1.2574805104399678E-2</v>
      </c>
      <c r="O19" s="65">
        <v>3206332</v>
      </c>
      <c r="P19" s="66">
        <f t="shared" si="9"/>
        <v>3.6733897890719458E-3</v>
      </c>
      <c r="Q19" s="65">
        <v>3194597</v>
      </c>
      <c r="R19" s="66">
        <f t="shared" si="10"/>
        <v>5.478404080465582E-2</v>
      </c>
      <c r="S19" s="67">
        <v>3028674</v>
      </c>
      <c r="T19" s="66">
        <f t="shared" si="1"/>
        <v>-7.1420052434082559E-2</v>
      </c>
      <c r="U19" s="67">
        <v>3261619</v>
      </c>
      <c r="V19" s="66">
        <f t="shared" si="2"/>
        <v>0.15251066073218067</v>
      </c>
      <c r="W19" s="67">
        <v>2830012</v>
      </c>
      <c r="X19" s="66">
        <f t="shared" si="3"/>
        <v>0.11817344179438027</v>
      </c>
      <c r="Y19" s="67">
        <v>2530924</v>
      </c>
      <c r="Z19" s="66">
        <f t="shared" si="4"/>
        <v>-4.598267865651029E-2</v>
      </c>
      <c r="AA19" s="76">
        <v>2652912</v>
      </c>
      <c r="AC19" s="24"/>
    </row>
    <row r="20" spans="1:29" ht="14.25" customHeight="1" x14ac:dyDescent="0.2">
      <c r="A20" s="51" t="s">
        <v>52</v>
      </c>
      <c r="B20" s="45" t="s">
        <v>132</v>
      </c>
      <c r="C20" s="103">
        <v>272501533</v>
      </c>
      <c r="D20" s="102">
        <f t="shared" si="5"/>
        <v>-5.9445099615386687E-2</v>
      </c>
      <c r="E20" s="103">
        <v>289724218</v>
      </c>
      <c r="F20" s="102">
        <f t="shared" si="6"/>
        <v>8.6358982330270173E-4</v>
      </c>
      <c r="G20" s="103">
        <v>289474231</v>
      </c>
      <c r="H20" s="102">
        <f t="shared" si="6"/>
        <v>3.8318291861349163E-2</v>
      </c>
      <c r="I20" s="111">
        <v>278791420</v>
      </c>
      <c r="J20" s="66">
        <f t="shared" si="0"/>
        <v>1.1559043256589963E-2</v>
      </c>
      <c r="K20" s="65">
        <v>275605682</v>
      </c>
      <c r="L20" s="66">
        <f t="shared" si="7"/>
        <v>5.6591756016874939E-3</v>
      </c>
      <c r="M20" s="65">
        <v>274054758</v>
      </c>
      <c r="N20" s="66">
        <f t="shared" si="8"/>
        <v>1.2043656970019079E-2</v>
      </c>
      <c r="O20" s="65">
        <v>270793415</v>
      </c>
      <c r="P20" s="66">
        <f t="shared" si="9"/>
        <v>-7.5300867900126578E-3</v>
      </c>
      <c r="Q20" s="65">
        <v>272847984</v>
      </c>
      <c r="R20" s="66">
        <f t="shared" si="10"/>
        <v>-8.8572490811137383E-3</v>
      </c>
      <c r="S20" s="67">
        <v>275286263</v>
      </c>
      <c r="T20" s="66">
        <f t="shared" si="1"/>
        <v>-1.0335990764726577E-2</v>
      </c>
      <c r="U20" s="67">
        <v>278161336</v>
      </c>
      <c r="V20" s="66">
        <f t="shared" si="2"/>
        <v>-3.4742636784927727E-2</v>
      </c>
      <c r="W20" s="67">
        <v>288173234</v>
      </c>
      <c r="X20" s="66">
        <f t="shared" si="3"/>
        <v>-0.12357867875310191</v>
      </c>
      <c r="Y20" s="67">
        <v>328806736</v>
      </c>
      <c r="Z20" s="66">
        <f t="shared" si="4"/>
        <v>-3.8385200602205405E-2</v>
      </c>
      <c r="AA20" s="76">
        <v>341931859</v>
      </c>
      <c r="AC20" s="24"/>
    </row>
    <row r="21" spans="1:29" ht="14.25" customHeight="1" x14ac:dyDescent="0.2">
      <c r="A21" s="51" t="s">
        <v>51</v>
      </c>
      <c r="B21" s="45" t="s">
        <v>132</v>
      </c>
      <c r="C21" s="103">
        <v>105133051</v>
      </c>
      <c r="D21" s="102">
        <f t="shared" si="5"/>
        <v>-3.5644960333989451E-2</v>
      </c>
      <c r="E21" s="103">
        <v>109019030</v>
      </c>
      <c r="F21" s="102">
        <f t="shared" si="6"/>
        <v>1.166876860617827E-2</v>
      </c>
      <c r="G21" s="103">
        <v>107761585</v>
      </c>
      <c r="H21" s="102">
        <f t="shared" si="6"/>
        <v>-1.8053803062415108E-2</v>
      </c>
      <c r="I21" s="111">
        <v>109742861</v>
      </c>
      <c r="J21" s="66">
        <f t="shared" si="0"/>
        <v>-2.5959655242730473E-2</v>
      </c>
      <c r="K21" s="65">
        <v>112667675</v>
      </c>
      <c r="L21" s="66">
        <f t="shared" si="7"/>
        <v>-6.8349185501881404E-3</v>
      </c>
      <c r="M21" s="65">
        <v>113443049</v>
      </c>
      <c r="N21" s="66">
        <f t="shared" si="8"/>
        <v>-2.404047019199973E-2</v>
      </c>
      <c r="O21" s="65">
        <v>116237452</v>
      </c>
      <c r="P21" s="66">
        <f t="shared" si="9"/>
        <v>-2.0496418476697476E-2</v>
      </c>
      <c r="Q21" s="65">
        <v>118669757</v>
      </c>
      <c r="R21" s="66">
        <f t="shared" si="10"/>
        <v>-9.4740284635194127E-3</v>
      </c>
      <c r="S21" s="67">
        <v>119804791</v>
      </c>
      <c r="T21" s="66">
        <f t="shared" si="1"/>
        <v>-7.4559364097313008E-3</v>
      </c>
      <c r="U21" s="67">
        <v>120704758</v>
      </c>
      <c r="V21" s="66">
        <f t="shared" si="2"/>
        <v>-1.3233601751826307E-2</v>
      </c>
      <c r="W21" s="67">
        <v>122323539</v>
      </c>
      <c r="X21" s="66">
        <f t="shared" si="3"/>
        <v>-2.4605947459023336E-2</v>
      </c>
      <c r="Y21" s="67">
        <v>125409355</v>
      </c>
      <c r="Z21" s="66">
        <f t="shared" si="4"/>
        <v>-1.4130682795249871E-2</v>
      </c>
      <c r="AA21" s="76">
        <v>127206875</v>
      </c>
      <c r="AC21" s="24"/>
    </row>
    <row r="22" spans="1:29" ht="14.25" customHeight="1" x14ac:dyDescent="0.2">
      <c r="A22" s="51" t="s">
        <v>50</v>
      </c>
      <c r="B22" s="45" t="s">
        <v>132</v>
      </c>
      <c r="C22" s="103">
        <v>32393849</v>
      </c>
      <c r="D22" s="102">
        <f t="shared" si="5"/>
        <v>4.9975351686173841E-2</v>
      </c>
      <c r="E22" s="103">
        <v>30852009</v>
      </c>
      <c r="F22" s="102">
        <f t="shared" si="6"/>
        <v>-3.7484736079121617E-2</v>
      </c>
      <c r="G22" s="103">
        <v>32053527</v>
      </c>
      <c r="H22" s="102">
        <f t="shared" si="6"/>
        <v>-4.2099531015122649E-2</v>
      </c>
      <c r="I22" s="111">
        <v>33462273</v>
      </c>
      <c r="J22" s="66">
        <f t="shared" si="0"/>
        <v>2.2724301121173296E-2</v>
      </c>
      <c r="K22" s="65">
        <v>32718762</v>
      </c>
      <c r="L22" s="66">
        <f t="shared" si="7"/>
        <v>0.11986963840840925</v>
      </c>
      <c r="M22" s="65">
        <v>29216581</v>
      </c>
      <c r="N22" s="66">
        <f t="shared" si="8"/>
        <v>-3.2975329048623658E-2</v>
      </c>
      <c r="O22" s="65">
        <v>30212860</v>
      </c>
      <c r="P22" s="66">
        <f t="shared" si="9"/>
        <v>1.5248455261385852E-2</v>
      </c>
      <c r="Q22" s="65">
        <v>29759080</v>
      </c>
      <c r="R22" s="66">
        <f t="shared" si="10"/>
        <v>8.6697096036223442E-3</v>
      </c>
      <c r="S22" s="67">
        <v>29503295</v>
      </c>
      <c r="T22" s="66">
        <f t="shared" si="1"/>
        <v>2.8969266613758649E-3</v>
      </c>
      <c r="U22" s="67">
        <v>29418073</v>
      </c>
      <c r="V22" s="66">
        <f t="shared" si="2"/>
        <v>-1.512801529671326E-2</v>
      </c>
      <c r="W22" s="67">
        <v>29869946</v>
      </c>
      <c r="X22" s="66">
        <f t="shared" si="3"/>
        <v>-4.9188402687742605E-2</v>
      </c>
      <c r="Y22" s="67">
        <v>31415210</v>
      </c>
      <c r="Z22" s="66">
        <f t="shared" si="4"/>
        <v>-6.0204064935022616E-2</v>
      </c>
      <c r="AA22" s="76">
        <v>33427693</v>
      </c>
      <c r="AC22" s="24"/>
    </row>
    <row r="23" spans="1:29" ht="14.25" customHeight="1" x14ac:dyDescent="0.2">
      <c r="A23" s="51" t="s">
        <v>49</v>
      </c>
      <c r="B23" s="45" t="s">
        <v>133</v>
      </c>
      <c r="C23" s="103">
        <v>4854448</v>
      </c>
      <c r="D23" s="102">
        <f t="shared" si="5"/>
        <v>-1.9656754010271893E-2</v>
      </c>
      <c r="E23" s="103">
        <v>4951784</v>
      </c>
      <c r="F23" s="102">
        <f t="shared" si="6"/>
        <v>2.2707929153851225E-3</v>
      </c>
      <c r="G23" s="103">
        <v>4940565</v>
      </c>
      <c r="H23" s="102">
        <f t="shared" si="6"/>
        <v>3.2679955779597814E-2</v>
      </c>
      <c r="I23" s="111">
        <v>4784217</v>
      </c>
      <c r="J23" s="66">
        <f t="shared" si="0"/>
        <v>-6.4806150575409394E-2</v>
      </c>
      <c r="K23" s="65">
        <v>5115749</v>
      </c>
      <c r="L23" s="66">
        <f t="shared" si="7"/>
        <v>-6.8337925096230379E-2</v>
      </c>
      <c r="M23" s="65">
        <v>5490992</v>
      </c>
      <c r="N23" s="66">
        <f t="shared" si="8"/>
        <v>-1.8817219937528051E-3</v>
      </c>
      <c r="O23" s="65">
        <v>5501344</v>
      </c>
      <c r="P23" s="66">
        <f t="shared" si="9"/>
        <v>4.1306486303445578E-2</v>
      </c>
      <c r="Q23" s="65">
        <v>5283117</v>
      </c>
      <c r="R23" s="66">
        <f t="shared" si="10"/>
        <v>-2.4600632387639099E-4</v>
      </c>
      <c r="S23" s="67">
        <v>5284417</v>
      </c>
      <c r="T23" s="66">
        <f t="shared" si="1"/>
        <v>-4.9016419728580729E-2</v>
      </c>
      <c r="U23" s="67">
        <v>5556791</v>
      </c>
      <c r="V23" s="66">
        <f t="shared" si="2"/>
        <v>-2.4550068426252403E-2</v>
      </c>
      <c r="W23" s="67">
        <v>5696644</v>
      </c>
      <c r="X23" s="66">
        <f t="shared" si="3"/>
        <v>-3.8158470804335209E-2</v>
      </c>
      <c r="Y23" s="67">
        <v>5922643</v>
      </c>
      <c r="Z23" s="66">
        <f t="shared" si="4"/>
        <v>-3.8034288194232935E-2</v>
      </c>
      <c r="AA23" s="76">
        <v>6156813</v>
      </c>
      <c r="AC23" s="24"/>
    </row>
    <row r="24" spans="1:29" ht="14.25" customHeight="1" x14ac:dyDescent="0.2">
      <c r="A24" s="51" t="s">
        <v>48</v>
      </c>
      <c r="B24" s="45" t="s">
        <v>133</v>
      </c>
      <c r="C24" s="103">
        <v>12634388</v>
      </c>
      <c r="D24" s="102">
        <f t="shared" si="5"/>
        <v>-4.6458476368345547E-2</v>
      </c>
      <c r="E24" s="103">
        <v>13249961</v>
      </c>
      <c r="F24" s="102">
        <f t="shared" si="6"/>
        <v>-0.10614429450561136</v>
      </c>
      <c r="G24" s="103">
        <v>14823378</v>
      </c>
      <c r="H24" s="102">
        <f t="shared" si="6"/>
        <v>-4.1394185886795443E-2</v>
      </c>
      <c r="I24" s="111">
        <v>15463476</v>
      </c>
      <c r="J24" s="66">
        <f t="shared" si="0"/>
        <v>5.8086786447189676E-2</v>
      </c>
      <c r="K24" s="65">
        <v>14614563</v>
      </c>
      <c r="L24" s="66">
        <f t="shared" si="7"/>
        <v>1.5058458766661786E-2</v>
      </c>
      <c r="M24" s="65">
        <v>14397755</v>
      </c>
      <c r="N24" s="66">
        <f t="shared" si="8"/>
        <v>4.7570802454335315E-3</v>
      </c>
      <c r="O24" s="65">
        <v>14329588</v>
      </c>
      <c r="P24" s="66">
        <f t="shared" si="9"/>
        <v>7.6436149666874176E-3</v>
      </c>
      <c r="Q24" s="65">
        <v>14220889</v>
      </c>
      <c r="R24" s="66">
        <f t="shared" si="10"/>
        <v>-1.6941287205184619E-2</v>
      </c>
      <c r="S24" s="67">
        <v>14465961</v>
      </c>
      <c r="T24" s="66">
        <f t="shared" si="1"/>
        <v>-1.7684052292957775E-3</v>
      </c>
      <c r="U24" s="67">
        <v>14491588</v>
      </c>
      <c r="V24" s="66">
        <f t="shared" si="2"/>
        <v>-1.3823401454631457E-2</v>
      </c>
      <c r="W24" s="67">
        <v>14694719</v>
      </c>
      <c r="X24" s="66">
        <f t="shared" si="3"/>
        <v>3.2521355753516445E-2</v>
      </c>
      <c r="Y24" s="67">
        <v>14231879</v>
      </c>
      <c r="Z24" s="66">
        <f t="shared" si="4"/>
        <v>-5.6835864187451124E-2</v>
      </c>
      <c r="AA24" s="76">
        <v>15089504</v>
      </c>
      <c r="AC24" s="24"/>
    </row>
    <row r="25" spans="1:29" ht="14.25" customHeight="1" x14ac:dyDescent="0.2">
      <c r="A25" s="51" t="s">
        <v>47</v>
      </c>
      <c r="B25" s="45" t="s">
        <v>133</v>
      </c>
      <c r="C25" s="103">
        <v>5771300</v>
      </c>
      <c r="D25" s="102">
        <f t="shared" si="5"/>
        <v>1.4176113044797045E-2</v>
      </c>
      <c r="E25" s="103">
        <v>5690629</v>
      </c>
      <c r="F25" s="102">
        <f t="shared" si="6"/>
        <v>-1.7350056681755932E-2</v>
      </c>
      <c r="G25" s="103">
        <v>5791105</v>
      </c>
      <c r="H25" s="102">
        <f t="shared" si="6"/>
        <v>5.5813816963016016E-2</v>
      </c>
      <c r="I25" s="111">
        <v>5484968</v>
      </c>
      <c r="J25" s="66">
        <f t="shared" si="0"/>
        <v>-6.9147393436271409E-2</v>
      </c>
      <c r="K25" s="65">
        <v>5892413</v>
      </c>
      <c r="L25" s="66">
        <f t="shared" si="7"/>
        <v>5.3149020150340176E-2</v>
      </c>
      <c r="M25" s="65">
        <v>5595042</v>
      </c>
      <c r="N25" s="66">
        <f t="shared" si="8"/>
        <v>2.5517882643143919E-2</v>
      </c>
      <c r="O25" s="65">
        <v>5455821</v>
      </c>
      <c r="P25" s="66">
        <f t="shared" si="9"/>
        <v>-2.0588775428322492E-2</v>
      </c>
      <c r="Q25" s="65">
        <v>5570511</v>
      </c>
      <c r="R25" s="66">
        <f t="shared" si="10"/>
        <v>-1.3808425162892601E-2</v>
      </c>
      <c r="S25" s="67">
        <v>5648508</v>
      </c>
      <c r="T25" s="66">
        <f t="shared" si="1"/>
        <v>-2.6255130965353257E-2</v>
      </c>
      <c r="U25" s="67">
        <v>5800809</v>
      </c>
      <c r="V25" s="66">
        <f t="shared" si="2"/>
        <v>-3.1353389648381857E-2</v>
      </c>
      <c r="W25" s="67">
        <v>5988571</v>
      </c>
      <c r="X25" s="66">
        <f t="shared" si="3"/>
        <v>-5.7376349894728396E-2</v>
      </c>
      <c r="Y25" s="67">
        <v>6353088</v>
      </c>
      <c r="Z25" s="66">
        <f t="shared" si="4"/>
        <v>-5.1322120284357564E-2</v>
      </c>
      <c r="AA25" s="76">
        <v>6696781</v>
      </c>
      <c r="AC25" s="24"/>
    </row>
    <row r="26" spans="1:29" ht="14.25" customHeight="1" x14ac:dyDescent="0.2">
      <c r="A26" s="51" t="s">
        <v>46</v>
      </c>
      <c r="B26" s="45" t="s">
        <v>132</v>
      </c>
      <c r="C26" s="103">
        <v>15513010</v>
      </c>
      <c r="D26" s="102">
        <f t="shared" si="5"/>
        <v>0.11649674882517091</v>
      </c>
      <c r="E26" s="103">
        <v>13894362</v>
      </c>
      <c r="F26" s="102">
        <f t="shared" si="6"/>
        <v>3.4479878051595136E-2</v>
      </c>
      <c r="G26" s="103">
        <v>13431254</v>
      </c>
      <c r="H26" s="102">
        <f t="shared" si="6"/>
        <v>2.5572315950627367E-2</v>
      </c>
      <c r="I26" s="111">
        <v>13096350</v>
      </c>
      <c r="J26" s="66">
        <f t="shared" si="0"/>
        <v>3.5968160176521158E-2</v>
      </c>
      <c r="K26" s="65">
        <v>12641653</v>
      </c>
      <c r="L26" s="66">
        <f t="shared" si="7"/>
        <v>2.6919981631583711E-2</v>
      </c>
      <c r="M26" s="65">
        <v>12310261</v>
      </c>
      <c r="N26" s="66">
        <f t="shared" si="8"/>
        <v>7.6123314298621958E-2</v>
      </c>
      <c r="O26" s="65">
        <v>11439452</v>
      </c>
      <c r="P26" s="66">
        <f t="shared" si="9"/>
        <v>6.1896788898636812E-2</v>
      </c>
      <c r="Q26" s="65">
        <v>10772659</v>
      </c>
      <c r="R26" s="66">
        <f t="shared" si="10"/>
        <v>-4.4283636283629857E-2</v>
      </c>
      <c r="S26" s="67">
        <v>11271816</v>
      </c>
      <c r="T26" s="66">
        <f t="shared" si="1"/>
        <v>1.1829286641966696E-3</v>
      </c>
      <c r="U26" s="67">
        <v>11258498</v>
      </c>
      <c r="V26" s="66">
        <f t="shared" si="2"/>
        <v>-3.4370697080099766E-2</v>
      </c>
      <c r="W26" s="67">
        <v>11659234</v>
      </c>
      <c r="X26" s="66">
        <f t="shared" si="3"/>
        <v>-4.2291206793180658E-2</v>
      </c>
      <c r="Y26" s="67">
        <v>12174091</v>
      </c>
      <c r="Z26" s="66">
        <f t="shared" si="4"/>
        <v>-4.2506977047080285E-2</v>
      </c>
      <c r="AA26" s="76">
        <v>12714548</v>
      </c>
      <c r="AC26" s="24"/>
    </row>
    <row r="27" spans="1:29" ht="14.25" customHeight="1" x14ac:dyDescent="0.2">
      <c r="A27" s="51" t="s">
        <v>45</v>
      </c>
      <c r="B27" s="45" t="s">
        <v>133</v>
      </c>
      <c r="C27" s="103">
        <v>4869849</v>
      </c>
      <c r="D27" s="102">
        <f t="shared" si="5"/>
        <v>-1.5467279343698292E-3</v>
      </c>
      <c r="E27" s="103">
        <v>4877393</v>
      </c>
      <c r="F27" s="102">
        <f t="shared" si="6"/>
        <v>1.7448768687882588E-2</v>
      </c>
      <c r="G27" s="103">
        <v>4793748</v>
      </c>
      <c r="H27" s="102">
        <f t="shared" si="6"/>
        <v>-0.10177243443146833</v>
      </c>
      <c r="I27" s="111">
        <v>5336897</v>
      </c>
      <c r="J27" s="66">
        <f t="shared" si="0"/>
        <v>1.3262662420387095E-2</v>
      </c>
      <c r="K27" s="65">
        <v>5267042</v>
      </c>
      <c r="L27" s="66">
        <f t="shared" si="7"/>
        <v>-3.8392603989059637E-2</v>
      </c>
      <c r="M27" s="65">
        <v>5477331</v>
      </c>
      <c r="N27" s="66">
        <f t="shared" si="8"/>
        <v>-3.4618562544547316E-2</v>
      </c>
      <c r="O27" s="65">
        <v>5673748</v>
      </c>
      <c r="P27" s="66">
        <f t="shared" si="9"/>
        <v>1.0945206260512652E-2</v>
      </c>
      <c r="Q27" s="65">
        <v>5612320</v>
      </c>
      <c r="R27" s="66">
        <f t="shared" si="10"/>
        <v>-3.2072414515671444E-2</v>
      </c>
      <c r="S27" s="67">
        <v>5798285</v>
      </c>
      <c r="T27" s="66">
        <f t="shared" si="1"/>
        <v>-2.7362840242721287E-2</v>
      </c>
      <c r="U27" s="67">
        <v>5961406</v>
      </c>
      <c r="V27" s="66">
        <f t="shared" si="2"/>
        <v>-4.7512941421961052E-2</v>
      </c>
      <c r="W27" s="67">
        <v>6258779</v>
      </c>
      <c r="X27" s="66">
        <f t="shared" si="3"/>
        <v>-7.4811637178541446E-2</v>
      </c>
      <c r="Y27" s="67">
        <v>6764870</v>
      </c>
      <c r="Z27" s="66">
        <f t="shared" si="4"/>
        <v>8.5597281592306729E-3</v>
      </c>
      <c r="AA27" s="76">
        <v>6707456</v>
      </c>
      <c r="AC27" s="24"/>
    </row>
    <row r="28" spans="1:29" ht="14.25" customHeight="1" x14ac:dyDescent="0.2">
      <c r="A28" s="51" t="s">
        <v>44</v>
      </c>
      <c r="B28" s="45" t="s">
        <v>133</v>
      </c>
      <c r="C28" s="103">
        <v>7661986</v>
      </c>
      <c r="D28" s="102">
        <f t="shared" si="5"/>
        <v>-1.3565494761794028E-2</v>
      </c>
      <c r="E28" s="103">
        <v>7767354</v>
      </c>
      <c r="F28" s="102">
        <f t="shared" si="6"/>
        <v>1.2836897660410296E-2</v>
      </c>
      <c r="G28" s="103">
        <v>7668909</v>
      </c>
      <c r="H28" s="102">
        <f t="shared" si="6"/>
        <v>2.2559375550020633E-2</v>
      </c>
      <c r="I28" s="111">
        <v>7499720</v>
      </c>
      <c r="J28" s="66">
        <f t="shared" si="0"/>
        <v>2.7411400609921532E-2</v>
      </c>
      <c r="K28" s="65">
        <v>7299627</v>
      </c>
      <c r="L28" s="66">
        <f t="shared" si="7"/>
        <v>1.857032303724715E-2</v>
      </c>
      <c r="M28" s="65">
        <v>7166542</v>
      </c>
      <c r="N28" s="66">
        <f t="shared" si="8"/>
        <v>-2.7612838447500399E-2</v>
      </c>
      <c r="O28" s="65">
        <v>7370050</v>
      </c>
      <c r="P28" s="66">
        <f t="shared" si="9"/>
        <v>3.3809116086577884E-2</v>
      </c>
      <c r="Q28" s="65">
        <v>7129024</v>
      </c>
      <c r="R28" s="66">
        <f t="shared" si="10"/>
        <v>1.8774744932045007E-2</v>
      </c>
      <c r="S28" s="67">
        <v>6997645</v>
      </c>
      <c r="T28" s="66">
        <f t="shared" si="1"/>
        <v>-5.2035413024960064E-3</v>
      </c>
      <c r="U28" s="67">
        <v>7034248</v>
      </c>
      <c r="V28" s="66">
        <f t="shared" si="2"/>
        <v>-1.278963547061851E-2</v>
      </c>
      <c r="W28" s="67">
        <v>7125379</v>
      </c>
      <c r="X28" s="66">
        <f t="shared" si="3"/>
        <v>-8.1947292494750634E-3</v>
      </c>
      <c r="Y28" s="67">
        <v>7184252</v>
      </c>
      <c r="Z28" s="66">
        <f t="shared" si="4"/>
        <v>-5.5750930974055257E-2</v>
      </c>
      <c r="AA28" s="76">
        <v>7608429</v>
      </c>
      <c r="AC28" s="24"/>
    </row>
    <row r="29" spans="1:29" ht="14.25" customHeight="1" x14ac:dyDescent="0.2">
      <c r="A29" s="51" t="s">
        <v>43</v>
      </c>
      <c r="B29" s="45" t="s">
        <v>132</v>
      </c>
      <c r="C29" s="103">
        <v>19385774</v>
      </c>
      <c r="D29" s="102">
        <f t="shared" si="5"/>
        <v>-3.8894802853782773E-3</v>
      </c>
      <c r="E29" s="103">
        <v>19461469</v>
      </c>
      <c r="F29" s="102">
        <f t="shared" si="6"/>
        <v>-5.3523440475373607E-2</v>
      </c>
      <c r="G29" s="103">
        <v>20562019</v>
      </c>
      <c r="H29" s="102">
        <f t="shared" si="6"/>
        <v>-3.2049069540257102E-2</v>
      </c>
      <c r="I29" s="111">
        <v>21242832</v>
      </c>
      <c r="J29" s="66">
        <f t="shared" si="0"/>
        <v>2.4586360319529987E-2</v>
      </c>
      <c r="K29" s="65">
        <v>20733081</v>
      </c>
      <c r="L29" s="66">
        <f t="shared" si="7"/>
        <v>1.0369982172763192E-2</v>
      </c>
      <c r="M29" s="65">
        <v>20520286</v>
      </c>
      <c r="N29" s="66">
        <f t="shared" si="8"/>
        <v>-1.1804009949049399E-2</v>
      </c>
      <c r="O29" s="65">
        <v>20765401</v>
      </c>
      <c r="P29" s="66">
        <f t="shared" si="9"/>
        <v>4.6671947389683943E-2</v>
      </c>
      <c r="Q29" s="65">
        <v>19839455</v>
      </c>
      <c r="R29" s="66">
        <f t="shared" si="10"/>
        <v>1.2707221464429264E-2</v>
      </c>
      <c r="S29" s="67">
        <v>19590514</v>
      </c>
      <c r="T29" s="66">
        <f t="shared" si="1"/>
        <v>1.0508653188241457E-2</v>
      </c>
      <c r="U29" s="67">
        <v>19386785</v>
      </c>
      <c r="V29" s="66">
        <f t="shared" si="2"/>
        <v>-6.1756304044467081E-2</v>
      </c>
      <c r="W29" s="67">
        <v>20662846</v>
      </c>
      <c r="X29" s="66">
        <f t="shared" si="3"/>
        <v>-4.9362042957334928E-3</v>
      </c>
      <c r="Y29" s="67">
        <v>20765348</v>
      </c>
      <c r="Z29" s="66">
        <f t="shared" si="4"/>
        <v>-2.2523293705668634E-2</v>
      </c>
      <c r="AA29" s="76">
        <v>21243829</v>
      </c>
      <c r="AC29" s="24"/>
    </row>
    <row r="30" spans="1:29" ht="14.25" customHeight="1" x14ac:dyDescent="0.2">
      <c r="A30" s="51" t="s">
        <v>42</v>
      </c>
      <c r="B30" s="45" t="s">
        <v>132</v>
      </c>
      <c r="C30" s="103">
        <v>16586610</v>
      </c>
      <c r="D30" s="102">
        <f t="shared" si="5"/>
        <v>3.4121383903538138E-2</v>
      </c>
      <c r="E30" s="103">
        <v>16039326</v>
      </c>
      <c r="F30" s="102">
        <f t="shared" si="6"/>
        <v>2.9527366744740213E-2</v>
      </c>
      <c r="G30" s="103">
        <v>15579310</v>
      </c>
      <c r="H30" s="102">
        <f t="shared" si="6"/>
        <v>-1.2912787679288162E-2</v>
      </c>
      <c r="I30" s="111">
        <v>15783114</v>
      </c>
      <c r="J30" s="66">
        <f t="shared" si="0"/>
        <v>-1.4826187644575217E-2</v>
      </c>
      <c r="K30" s="65">
        <v>16020639</v>
      </c>
      <c r="L30" s="66">
        <f t="shared" si="7"/>
        <v>2.4197981720009976E-2</v>
      </c>
      <c r="M30" s="65">
        <v>15642131</v>
      </c>
      <c r="N30" s="66">
        <f t="shared" si="8"/>
        <v>-4.4938053774322695E-3</v>
      </c>
      <c r="O30" s="65">
        <v>15712741</v>
      </c>
      <c r="P30" s="66">
        <f t="shared" si="9"/>
        <v>4.6048251759797321E-2</v>
      </c>
      <c r="Q30" s="65">
        <v>15021048</v>
      </c>
      <c r="R30" s="66">
        <f t="shared" si="10"/>
        <v>1.7377794833733917E-2</v>
      </c>
      <c r="S30" s="67">
        <v>14764474</v>
      </c>
      <c r="T30" s="66">
        <f t="shared" si="1"/>
        <v>-7.6689355965849915E-2</v>
      </c>
      <c r="U30" s="67">
        <v>15990798</v>
      </c>
      <c r="V30" s="66">
        <f t="shared" si="2"/>
        <v>-8.7382890970000293E-3</v>
      </c>
      <c r="W30" s="67">
        <v>16131762</v>
      </c>
      <c r="X30" s="66">
        <f t="shared" si="3"/>
        <v>-4.3947419888225814E-2</v>
      </c>
      <c r="Y30" s="67">
        <v>16873300</v>
      </c>
      <c r="Z30" s="66">
        <f t="shared" si="4"/>
        <v>-0.16739593682822129</v>
      </c>
      <c r="AA30" s="76">
        <v>20265695</v>
      </c>
      <c r="AC30" s="24"/>
    </row>
    <row r="31" spans="1:29" ht="14.25" customHeight="1" x14ac:dyDescent="0.2">
      <c r="A31" s="51" t="s">
        <v>41</v>
      </c>
      <c r="B31" s="45" t="s">
        <v>132</v>
      </c>
      <c r="C31" s="103">
        <v>56856507</v>
      </c>
      <c r="D31" s="102">
        <f t="shared" si="5"/>
        <v>-2.5667327534578677E-3</v>
      </c>
      <c r="E31" s="103">
        <v>57002818</v>
      </c>
      <c r="F31" s="102">
        <f t="shared" si="6"/>
        <v>2.4808062994186031E-3</v>
      </c>
      <c r="G31" s="103">
        <v>56861755</v>
      </c>
      <c r="H31" s="102">
        <f t="shared" si="6"/>
        <v>1.0839973024951988E-2</v>
      </c>
      <c r="I31" s="111">
        <v>56251985</v>
      </c>
      <c r="J31" s="66">
        <f t="shared" si="0"/>
        <v>2.3739908049691394E-4</v>
      </c>
      <c r="K31" s="65">
        <v>56238634</v>
      </c>
      <c r="L31" s="66">
        <f t="shared" si="7"/>
        <v>8.4283092713159924E-3</v>
      </c>
      <c r="M31" s="65">
        <v>55768599</v>
      </c>
      <c r="N31" s="66">
        <f t="shared" si="8"/>
        <v>5.3672854713242568E-3</v>
      </c>
      <c r="O31" s="65">
        <v>55470871</v>
      </c>
      <c r="P31" s="66">
        <f t="shared" si="9"/>
        <v>-7.0653820401767042E-4</v>
      </c>
      <c r="Q31" s="65">
        <v>55510091</v>
      </c>
      <c r="R31" s="66">
        <f t="shared" si="10"/>
        <v>4.4150582903570434E-3</v>
      </c>
      <c r="S31" s="67">
        <v>55266088</v>
      </c>
      <c r="T31" s="66">
        <f t="shared" si="1"/>
        <v>-4.0840557360545149E-2</v>
      </c>
      <c r="U31" s="67">
        <v>57619292</v>
      </c>
      <c r="V31" s="66">
        <f t="shared" si="2"/>
        <v>-2.1168950982097146E-2</v>
      </c>
      <c r="W31" s="67">
        <v>58865411</v>
      </c>
      <c r="X31" s="66">
        <f t="shared" si="3"/>
        <v>-0.10092961075632878</v>
      </c>
      <c r="Y31" s="67">
        <v>65473640</v>
      </c>
      <c r="Z31" s="66">
        <f t="shared" si="4"/>
        <v>-3.7349583023666422E-2</v>
      </c>
      <c r="AA31" s="76">
        <v>68013932</v>
      </c>
      <c r="AC31" s="24"/>
    </row>
    <row r="32" spans="1:29" ht="14.25" customHeight="1" x14ac:dyDescent="0.2">
      <c r="A32" s="51" t="s">
        <v>40</v>
      </c>
      <c r="B32" s="45" t="s">
        <v>132</v>
      </c>
      <c r="C32" s="103">
        <v>77680065</v>
      </c>
      <c r="D32" s="102">
        <f t="shared" si="5"/>
        <v>-1.4018767923808184E-2</v>
      </c>
      <c r="E32" s="103">
        <v>78784527</v>
      </c>
      <c r="F32" s="102">
        <f t="shared" si="6"/>
        <v>-1.4925546129131217E-2</v>
      </c>
      <c r="G32" s="103">
        <v>79978246</v>
      </c>
      <c r="H32" s="102">
        <f t="shared" si="6"/>
        <v>-2.0147390069562898E-2</v>
      </c>
      <c r="I32" s="111">
        <v>81622731</v>
      </c>
      <c r="J32" s="66">
        <f t="shared" si="0"/>
        <v>-1.8583288812148102E-2</v>
      </c>
      <c r="K32" s="65">
        <v>83168271</v>
      </c>
      <c r="L32" s="66">
        <f t="shared" si="7"/>
        <v>-2.0151820835400791E-2</v>
      </c>
      <c r="M32" s="65">
        <v>84878732</v>
      </c>
      <c r="N32" s="66">
        <f t="shared" si="8"/>
        <v>-2.207295426311584E-2</v>
      </c>
      <c r="O32" s="65">
        <v>86794544</v>
      </c>
      <c r="P32" s="66">
        <f t="shared" si="9"/>
        <v>-2.2296455262795889E-2</v>
      </c>
      <c r="Q32" s="65">
        <v>88773887</v>
      </c>
      <c r="R32" s="66">
        <f t="shared" si="10"/>
        <v>-9.0952633322587406E-3</v>
      </c>
      <c r="S32" s="67">
        <v>89588720</v>
      </c>
      <c r="T32" s="66">
        <f t="shared" si="1"/>
        <v>-1.535743420484581E-2</v>
      </c>
      <c r="U32" s="67">
        <v>90986032</v>
      </c>
      <c r="V32" s="66">
        <f t="shared" si="2"/>
        <v>-1.175830809554046E-2</v>
      </c>
      <c r="W32" s="67">
        <v>92068603</v>
      </c>
      <c r="X32" s="66">
        <f t="shared" si="3"/>
        <v>-3.2760815769740548E-2</v>
      </c>
      <c r="Y32" s="67">
        <v>95187007</v>
      </c>
      <c r="Z32" s="66">
        <f t="shared" si="4"/>
        <v>-3.7393157671696486E-2</v>
      </c>
      <c r="AA32" s="76">
        <v>98884615</v>
      </c>
      <c r="AC32" s="24"/>
    </row>
    <row r="33" spans="1:29" ht="14.25" customHeight="1" x14ac:dyDescent="0.2">
      <c r="A33" s="51" t="s">
        <v>39</v>
      </c>
      <c r="B33" s="45" t="s">
        <v>132</v>
      </c>
      <c r="C33" s="103">
        <v>415423203</v>
      </c>
      <c r="D33" s="102">
        <f t="shared" si="5"/>
        <v>-4.8615856442584815E-2</v>
      </c>
      <c r="E33" s="103">
        <v>436651384</v>
      </c>
      <c r="F33" s="102">
        <f t="shared" si="6"/>
        <v>2.4479708431817127E-2</v>
      </c>
      <c r="G33" s="103">
        <v>426217699</v>
      </c>
      <c r="H33" s="102">
        <f t="shared" si="6"/>
        <v>4.9364112739313626E-2</v>
      </c>
      <c r="I33" s="111">
        <v>406167596</v>
      </c>
      <c r="J33" s="66">
        <f t="shared" si="0"/>
        <v>4.3692925824689866E-4</v>
      </c>
      <c r="K33" s="65">
        <v>405990207</v>
      </c>
      <c r="L33" s="66">
        <f t="shared" si="7"/>
        <v>-2.0342298630459554E-2</v>
      </c>
      <c r="M33" s="65">
        <v>414420472</v>
      </c>
      <c r="N33" s="66">
        <f t="shared" si="8"/>
        <v>-6.0832722340092849E-2</v>
      </c>
      <c r="O33" s="65">
        <v>441263747</v>
      </c>
      <c r="P33" s="66">
        <f t="shared" si="9"/>
        <v>2.7940072706333918E-3</v>
      </c>
      <c r="Q33" s="65">
        <v>440034288</v>
      </c>
      <c r="R33" s="66">
        <f t="shared" si="10"/>
        <v>5.1015357930787708E-2</v>
      </c>
      <c r="S33" s="67">
        <v>418675412</v>
      </c>
      <c r="T33" s="66">
        <f t="shared" si="1"/>
        <v>-5.934022547300799E-3</v>
      </c>
      <c r="U33" s="67">
        <v>421174672</v>
      </c>
      <c r="V33" s="66">
        <f t="shared" si="2"/>
        <v>1.3850775858651465E-2</v>
      </c>
      <c r="W33" s="67">
        <v>415420772</v>
      </c>
      <c r="X33" s="66">
        <f t="shared" si="3"/>
        <v>-2.2336990658216926E-2</v>
      </c>
      <c r="Y33" s="67">
        <v>424912028</v>
      </c>
      <c r="Z33" s="66">
        <f t="shared" si="4"/>
        <v>-4.341691333572395E-2</v>
      </c>
      <c r="AA33" s="76">
        <v>444197722</v>
      </c>
      <c r="AC33" s="24"/>
    </row>
    <row r="34" spans="1:29" ht="14.25" customHeight="1" x14ac:dyDescent="0.2">
      <c r="A34" s="51" t="s">
        <v>38</v>
      </c>
      <c r="B34" s="45" t="s">
        <v>133</v>
      </c>
      <c r="C34" s="103">
        <v>12545740</v>
      </c>
      <c r="D34" s="102">
        <f t="shared" si="5"/>
        <v>-7.9544000656632807E-3</v>
      </c>
      <c r="E34" s="103">
        <v>12646334</v>
      </c>
      <c r="F34" s="102">
        <f t="shared" si="6"/>
        <v>-3.1876051561075869E-2</v>
      </c>
      <c r="G34" s="103">
        <v>13062722</v>
      </c>
      <c r="H34" s="102">
        <f t="shared" si="6"/>
        <v>-1.7978377172288895E-2</v>
      </c>
      <c r="I34" s="111">
        <v>13301868</v>
      </c>
      <c r="J34" s="66">
        <f t="shared" si="0"/>
        <v>-1.084585342347999E-2</v>
      </c>
      <c r="K34" s="65">
        <v>13447720</v>
      </c>
      <c r="L34" s="66">
        <f t="shared" si="7"/>
        <v>2.1324387900820918E-2</v>
      </c>
      <c r="M34" s="65">
        <v>13166943</v>
      </c>
      <c r="N34" s="66">
        <f t="shared" si="8"/>
        <v>1.091046367109727E-2</v>
      </c>
      <c r="O34" s="65">
        <v>13024836</v>
      </c>
      <c r="P34" s="66">
        <f t="shared" si="9"/>
        <v>1.9683465912120113E-2</v>
      </c>
      <c r="Q34" s="65">
        <v>12773411</v>
      </c>
      <c r="R34" s="66">
        <f t="shared" si="10"/>
        <v>2.4801815817518946E-3</v>
      </c>
      <c r="S34" s="67">
        <v>12741809</v>
      </c>
      <c r="T34" s="66">
        <f t="shared" si="1"/>
        <v>2.0074522116102722E-2</v>
      </c>
      <c r="U34" s="67">
        <v>12491057</v>
      </c>
      <c r="V34" s="66">
        <f t="shared" si="2"/>
        <v>1.5405902720231346E-3</v>
      </c>
      <c r="W34" s="67">
        <v>12471843</v>
      </c>
      <c r="X34" s="66">
        <f t="shared" si="3"/>
        <v>1.152185914737669E-2</v>
      </c>
      <c r="Y34" s="67">
        <v>12329781</v>
      </c>
      <c r="Z34" s="66">
        <f t="shared" si="4"/>
        <v>-2.2985138492137347E-2</v>
      </c>
      <c r="AA34" s="76">
        <v>12619850</v>
      </c>
      <c r="AC34" s="24"/>
    </row>
    <row r="35" spans="1:29" ht="14.25" customHeight="1" x14ac:dyDescent="0.2">
      <c r="A35" s="51" t="s">
        <v>37</v>
      </c>
      <c r="B35" s="45" t="s">
        <v>132</v>
      </c>
      <c r="C35" s="103">
        <v>48412670</v>
      </c>
      <c r="D35" s="102">
        <f t="shared" si="5"/>
        <v>-2.7078405438703546E-2</v>
      </c>
      <c r="E35" s="103">
        <v>49760094</v>
      </c>
      <c r="F35" s="102">
        <f t="shared" si="6"/>
        <v>-1.0942560220037811E-2</v>
      </c>
      <c r="G35" s="103">
        <v>50310621</v>
      </c>
      <c r="H35" s="102">
        <f t="shared" si="6"/>
        <v>-5.0125508078107117E-3</v>
      </c>
      <c r="I35" s="111">
        <v>50564076</v>
      </c>
      <c r="J35" s="66">
        <f t="shared" si="0"/>
        <v>-8.9936358814639017E-2</v>
      </c>
      <c r="K35" s="65">
        <v>55561033</v>
      </c>
      <c r="L35" s="66">
        <f t="shared" si="7"/>
        <v>-2.563206428828857E-2</v>
      </c>
      <c r="M35" s="65">
        <v>57022641</v>
      </c>
      <c r="N35" s="66">
        <f t="shared" si="8"/>
        <v>-4.4810820830655795E-2</v>
      </c>
      <c r="O35" s="65">
        <v>59697746</v>
      </c>
      <c r="P35" s="66">
        <f t="shared" si="9"/>
        <v>-2.8767638396116291E-2</v>
      </c>
      <c r="Q35" s="65">
        <v>61465977</v>
      </c>
      <c r="R35" s="66">
        <f t="shared" si="10"/>
        <v>-8.2956088837489173E-3</v>
      </c>
      <c r="S35" s="67">
        <v>61980140</v>
      </c>
      <c r="T35" s="66">
        <f t="shared" si="1"/>
        <v>-3.0436755343125399E-2</v>
      </c>
      <c r="U35" s="67">
        <v>63925835</v>
      </c>
      <c r="V35" s="66">
        <f t="shared" si="2"/>
        <v>-2.7305450355193606E-2</v>
      </c>
      <c r="W35" s="67">
        <v>65720359</v>
      </c>
      <c r="X35" s="66">
        <f t="shared" si="3"/>
        <v>-4.1193316809618796E-2</v>
      </c>
      <c r="Y35" s="67">
        <v>68543910</v>
      </c>
      <c r="Z35" s="66">
        <f t="shared" si="4"/>
        <v>-7.5320831810332556E-2</v>
      </c>
      <c r="AA35" s="76">
        <v>74127235</v>
      </c>
      <c r="AC35" s="24"/>
    </row>
    <row r="36" spans="1:29" ht="14.25" customHeight="1" x14ac:dyDescent="0.2">
      <c r="A36" s="51" t="s">
        <v>36</v>
      </c>
      <c r="B36" s="45" t="s">
        <v>133</v>
      </c>
      <c r="C36" s="103">
        <v>18433765</v>
      </c>
      <c r="D36" s="102">
        <f t="shared" si="5"/>
        <v>-2.7376644558437802E-3</v>
      </c>
      <c r="E36" s="103">
        <v>18484369</v>
      </c>
      <c r="F36" s="102">
        <f t="shared" si="6"/>
        <v>-3.4941127049730292E-2</v>
      </c>
      <c r="G36" s="103">
        <v>19153618</v>
      </c>
      <c r="H36" s="102">
        <f t="shared" si="6"/>
        <v>-6.2156087136404636E-3</v>
      </c>
      <c r="I36" s="111">
        <v>19273414</v>
      </c>
      <c r="J36" s="66">
        <f t="shared" si="0"/>
        <v>1.1813093495485205E-3</v>
      </c>
      <c r="K36" s="65">
        <v>19250673</v>
      </c>
      <c r="L36" s="66">
        <f t="shared" si="7"/>
        <v>2.9490359756443318E-3</v>
      </c>
      <c r="M36" s="65">
        <v>19194069</v>
      </c>
      <c r="N36" s="66">
        <f t="shared" si="8"/>
        <v>-1.2885617490694723E-2</v>
      </c>
      <c r="O36" s="65">
        <v>19444625</v>
      </c>
      <c r="P36" s="66">
        <f t="shared" si="9"/>
        <v>8.8886647447343758E-3</v>
      </c>
      <c r="Q36" s="65">
        <v>19273311</v>
      </c>
      <c r="R36" s="66">
        <f t="shared" si="10"/>
        <v>-7.8871518543377483E-3</v>
      </c>
      <c r="S36" s="67">
        <v>19426531</v>
      </c>
      <c r="T36" s="66">
        <f t="shared" si="1"/>
        <v>-4.7813769048332677E-4</v>
      </c>
      <c r="U36" s="67">
        <v>19435824</v>
      </c>
      <c r="V36" s="66">
        <f t="shared" si="2"/>
        <v>-4.1357740665097786E-3</v>
      </c>
      <c r="W36" s="67">
        <v>19516540</v>
      </c>
      <c r="X36" s="66">
        <f t="shared" si="3"/>
        <v>-1.8695160122837673E-2</v>
      </c>
      <c r="Y36" s="67">
        <v>19888356</v>
      </c>
      <c r="Z36" s="66">
        <f t="shared" si="4"/>
        <v>-1.4567911768146535E-2</v>
      </c>
      <c r="AA36" s="76">
        <v>20182371</v>
      </c>
      <c r="AC36" s="24"/>
    </row>
    <row r="37" spans="1:29" ht="14.25" customHeight="1" x14ac:dyDescent="0.2">
      <c r="A37" s="51" t="s">
        <v>35</v>
      </c>
      <c r="B37" s="45" t="s">
        <v>133</v>
      </c>
      <c r="C37" s="103">
        <v>14389203</v>
      </c>
      <c r="D37" s="102">
        <f t="shared" si="5"/>
        <v>4.452855603335415E-3</v>
      </c>
      <c r="E37" s="103">
        <v>14325414</v>
      </c>
      <c r="F37" s="102">
        <f t="shared" si="6"/>
        <v>7.7897251407583967E-2</v>
      </c>
      <c r="G37" s="103">
        <v>13290148</v>
      </c>
      <c r="H37" s="102">
        <f t="shared" si="6"/>
        <v>3.6250169440070756E-3</v>
      </c>
      <c r="I37" s="111">
        <v>13242145</v>
      </c>
      <c r="J37" s="66">
        <f t="shared" si="0"/>
        <v>-4.5749614848671016E-2</v>
      </c>
      <c r="K37" s="65">
        <v>13877013</v>
      </c>
      <c r="L37" s="66">
        <f t="shared" si="7"/>
        <v>0.36038850785019005</v>
      </c>
      <c r="M37" s="65">
        <v>10200772</v>
      </c>
      <c r="N37" s="66">
        <f t="shared" si="8"/>
        <v>-3.6700173428063199E-2</v>
      </c>
      <c r="O37" s="65">
        <v>10589405</v>
      </c>
      <c r="P37" s="66">
        <f t="shared" si="9"/>
        <v>-1.5079615615780972E-2</v>
      </c>
      <c r="Q37" s="65">
        <v>10751534</v>
      </c>
      <c r="R37" s="66">
        <f t="shared" si="10"/>
        <v>-2.2584263942778016E-2</v>
      </c>
      <c r="S37" s="67">
        <v>10999960</v>
      </c>
      <c r="T37" s="66">
        <f t="shared" si="1"/>
        <v>3.1895158653629796E-3</v>
      </c>
      <c r="U37" s="67">
        <v>10964987</v>
      </c>
      <c r="V37" s="66">
        <f t="shared" si="2"/>
        <v>-8.3478848166440578E-3</v>
      </c>
      <c r="W37" s="67">
        <v>11057292</v>
      </c>
      <c r="X37" s="66">
        <f t="shared" si="3"/>
        <v>-5.2246438903823411E-2</v>
      </c>
      <c r="Y37" s="67">
        <v>11666843</v>
      </c>
      <c r="Z37" s="66">
        <f t="shared" si="4"/>
        <v>-3.0388145826532265E-2</v>
      </c>
      <c r="AA37" s="76">
        <v>12032488</v>
      </c>
      <c r="AC37" s="24"/>
    </row>
    <row r="38" spans="1:29" ht="14.25" customHeight="1" x14ac:dyDescent="0.2">
      <c r="A38" s="51" t="s">
        <v>34</v>
      </c>
      <c r="B38" s="45" t="s">
        <v>133</v>
      </c>
      <c r="C38" s="103">
        <v>3545606</v>
      </c>
      <c r="D38" s="102">
        <f t="shared" si="5"/>
        <v>1.9509978517546767E-3</v>
      </c>
      <c r="E38" s="103">
        <v>3538702</v>
      </c>
      <c r="F38" s="102">
        <f t="shared" si="6"/>
        <v>-1.406228842625068E-2</v>
      </c>
      <c r="G38" s="103">
        <v>3589174</v>
      </c>
      <c r="H38" s="102">
        <f t="shared" si="6"/>
        <v>-0.10527837730443834</v>
      </c>
      <c r="I38" s="111">
        <v>4011498</v>
      </c>
      <c r="J38" s="66">
        <f t="shared" si="0"/>
        <v>3.2165968595290195E-3</v>
      </c>
      <c r="K38" s="65">
        <v>3998636</v>
      </c>
      <c r="L38" s="66">
        <f t="shared" si="7"/>
        <v>2.8908156534432905E-3</v>
      </c>
      <c r="M38" s="65">
        <v>3987110</v>
      </c>
      <c r="N38" s="66">
        <f t="shared" si="8"/>
        <v>-1.0684903770856402E-2</v>
      </c>
      <c r="O38" s="65">
        <v>4030172</v>
      </c>
      <c r="P38" s="66">
        <f t="shared" si="9"/>
        <v>2.6256269954485045E-2</v>
      </c>
      <c r="Q38" s="65">
        <v>3927062</v>
      </c>
      <c r="R38" s="66">
        <f t="shared" si="10"/>
        <v>-2.0073821437162409E-2</v>
      </c>
      <c r="S38" s="67">
        <v>4007508</v>
      </c>
      <c r="T38" s="66">
        <f t="shared" si="1"/>
        <v>-8.3744251923614232E-3</v>
      </c>
      <c r="U38" s="67">
        <v>4041352</v>
      </c>
      <c r="V38" s="66">
        <f t="shared" si="2"/>
        <v>-5.4494947208020283E-3</v>
      </c>
      <c r="W38" s="67">
        <v>4063496</v>
      </c>
      <c r="X38" s="66">
        <f t="shared" si="3"/>
        <v>-2.8196557274996814E-2</v>
      </c>
      <c r="Y38" s="67">
        <v>4181397</v>
      </c>
      <c r="Z38" s="66">
        <f t="shared" si="4"/>
        <v>-2.6175936369515873E-2</v>
      </c>
      <c r="AA38" s="76">
        <v>4293791</v>
      </c>
      <c r="AC38" s="24"/>
    </row>
    <row r="39" spans="1:29" ht="14.25" customHeight="1" x14ac:dyDescent="0.2">
      <c r="A39" s="51" t="s">
        <v>33</v>
      </c>
      <c r="B39" s="45" t="s">
        <v>132</v>
      </c>
      <c r="C39" s="103">
        <v>132385619</v>
      </c>
      <c r="D39" s="102">
        <f t="shared" si="5"/>
        <v>-1.4194343641361296E-2</v>
      </c>
      <c r="E39" s="103">
        <v>134291803</v>
      </c>
      <c r="F39" s="102">
        <f t="shared" si="6"/>
        <v>-1.0502778726309003E-3</v>
      </c>
      <c r="G39" s="103">
        <v>134432995</v>
      </c>
      <c r="H39" s="102">
        <f t="shared" si="6"/>
        <v>1.4504173509115814E-2</v>
      </c>
      <c r="I39" s="111">
        <v>132511032</v>
      </c>
      <c r="J39" s="66">
        <f t="shared" si="0"/>
        <v>8.9232325344059671E-3</v>
      </c>
      <c r="K39" s="65">
        <v>131339063</v>
      </c>
      <c r="L39" s="66">
        <f t="shared" si="7"/>
        <v>9.2100409293145447E-3</v>
      </c>
      <c r="M39" s="65">
        <v>130140464</v>
      </c>
      <c r="N39" s="66">
        <f t="shared" si="8"/>
        <v>9.5875262432509878E-4</v>
      </c>
      <c r="O39" s="65">
        <v>130015811</v>
      </c>
      <c r="P39" s="66">
        <f t="shared" si="9"/>
        <v>4.4534987748277022E-3</v>
      </c>
      <c r="Q39" s="65">
        <v>129439353</v>
      </c>
      <c r="R39" s="66">
        <f t="shared" si="10"/>
        <v>1.0843613769884186E-3</v>
      </c>
      <c r="S39" s="67">
        <v>129299146</v>
      </c>
      <c r="T39" s="66">
        <f t="shared" si="1"/>
        <v>-2.4503678829906117E-2</v>
      </c>
      <c r="U39" s="67">
        <v>132547036</v>
      </c>
      <c r="V39" s="66">
        <f t="shared" si="2"/>
        <v>4.0060928284872954E-3</v>
      </c>
      <c r="W39" s="67">
        <v>132018159</v>
      </c>
      <c r="X39" s="66">
        <f t="shared" si="3"/>
        <v>-4.8635221097641956E-2</v>
      </c>
      <c r="Y39" s="67">
        <v>138767129</v>
      </c>
      <c r="Z39" s="66">
        <f t="shared" si="4"/>
        <v>5.4006499063965485E-3</v>
      </c>
      <c r="AA39" s="76">
        <v>138021722</v>
      </c>
      <c r="AC39" s="24"/>
    </row>
    <row r="40" spans="1:29" ht="14.25" customHeight="1" x14ac:dyDescent="0.2">
      <c r="A40" s="51" t="s">
        <v>32</v>
      </c>
      <c r="B40" s="45" t="s">
        <v>132</v>
      </c>
      <c r="C40" s="103">
        <v>386293617</v>
      </c>
      <c r="D40" s="102">
        <f t="shared" si="5"/>
        <v>2.9561449761505765E-2</v>
      </c>
      <c r="E40" s="103">
        <v>375202099</v>
      </c>
      <c r="F40" s="102">
        <f t="shared" si="6"/>
        <v>-9.8045924689389441E-3</v>
      </c>
      <c r="G40" s="103">
        <v>378917228</v>
      </c>
      <c r="H40" s="102">
        <f t="shared" si="6"/>
        <v>1.4731887406762789E-2</v>
      </c>
      <c r="I40" s="111">
        <v>373416104</v>
      </c>
      <c r="J40" s="66">
        <f t="shared" si="0"/>
        <v>7.7317705784201163E-3</v>
      </c>
      <c r="K40" s="65">
        <v>370551088</v>
      </c>
      <c r="L40" s="66">
        <f t="shared" si="7"/>
        <v>-7.8342609957626763E-4</v>
      </c>
      <c r="M40" s="65">
        <v>370841615</v>
      </c>
      <c r="N40" s="66">
        <f t="shared" si="8"/>
        <v>7.7878475049484308E-3</v>
      </c>
      <c r="O40" s="65">
        <v>367975875</v>
      </c>
      <c r="P40" s="66">
        <f t="shared" si="9"/>
        <v>1.0064902599108194E-2</v>
      </c>
      <c r="Q40" s="65">
        <v>364309139</v>
      </c>
      <c r="R40" s="66">
        <f t="shared" si="10"/>
        <v>6.751106877525892E-3</v>
      </c>
      <c r="S40" s="67">
        <v>361866142</v>
      </c>
      <c r="T40" s="66">
        <f t="shared" si="1"/>
        <v>1.5859858994722753E-2</v>
      </c>
      <c r="U40" s="67">
        <v>356216597</v>
      </c>
      <c r="V40" s="66">
        <f t="shared" si="2"/>
        <v>5.6797103430962448E-2</v>
      </c>
      <c r="W40" s="67">
        <v>337071890</v>
      </c>
      <c r="X40" s="66">
        <f t="shared" si="3"/>
        <v>-7.2458292268555713E-2</v>
      </c>
      <c r="Y40" s="67">
        <v>363403486</v>
      </c>
      <c r="Z40" s="66">
        <f t="shared" si="4"/>
        <v>-3.1312284786423672E-2</v>
      </c>
      <c r="AA40" s="76">
        <v>375150299</v>
      </c>
      <c r="AC40" s="24"/>
    </row>
    <row r="41" spans="1:29" ht="14.25" customHeight="1" x14ac:dyDescent="0.2">
      <c r="A41" s="51" t="s">
        <v>31</v>
      </c>
      <c r="B41" s="45" t="s">
        <v>132</v>
      </c>
      <c r="C41" s="103">
        <v>119592479</v>
      </c>
      <c r="D41" s="102">
        <f t="shared" si="5"/>
        <v>-5.6611962968045049E-4</v>
      </c>
      <c r="E41" s="103">
        <v>119660221</v>
      </c>
      <c r="F41" s="102">
        <f t="shared" si="6"/>
        <v>-8.050411239273747E-3</v>
      </c>
      <c r="G41" s="103">
        <v>120631353</v>
      </c>
      <c r="H41" s="102">
        <f t="shared" si="6"/>
        <v>9.8565937680550331E-3</v>
      </c>
      <c r="I41" s="111">
        <v>119453944</v>
      </c>
      <c r="J41" s="66">
        <f t="shared" si="0"/>
        <v>1.6528799731104105E-2</v>
      </c>
      <c r="K41" s="65">
        <v>117511618</v>
      </c>
      <c r="L41" s="66">
        <f t="shared" si="7"/>
        <v>6.9219424995421441E-3</v>
      </c>
      <c r="M41" s="65">
        <v>116703801</v>
      </c>
      <c r="N41" s="66">
        <f t="shared" si="8"/>
        <v>3.876056845129261E-3</v>
      </c>
      <c r="O41" s="65">
        <v>116253197</v>
      </c>
      <c r="P41" s="66">
        <f t="shared" si="9"/>
        <v>-3.0861118338716409E-3</v>
      </c>
      <c r="Q41" s="65">
        <v>116613078</v>
      </c>
      <c r="R41" s="66">
        <f t="shared" si="10"/>
        <v>-1.0625765104151919E-2</v>
      </c>
      <c r="S41" s="67">
        <v>117865489</v>
      </c>
      <c r="T41" s="66">
        <f t="shared" si="1"/>
        <v>-1.8207520673282684E-2</v>
      </c>
      <c r="U41" s="67">
        <v>120051326</v>
      </c>
      <c r="V41" s="66">
        <f t="shared" si="2"/>
        <v>-3.7760929923215003E-2</v>
      </c>
      <c r="W41" s="67">
        <v>124762473</v>
      </c>
      <c r="X41" s="66">
        <f t="shared" si="3"/>
        <v>-2.0285891494996822E-2</v>
      </c>
      <c r="Y41" s="67">
        <v>127345796</v>
      </c>
      <c r="Z41" s="66">
        <f t="shared" si="4"/>
        <v>-2.3740516612023255E-2</v>
      </c>
      <c r="AA41" s="76">
        <v>130442570</v>
      </c>
      <c r="AC41" s="24"/>
    </row>
    <row r="42" spans="1:29" ht="14.25" customHeight="1" x14ac:dyDescent="0.2">
      <c r="A42" s="51" t="s">
        <v>30</v>
      </c>
      <c r="B42" s="45" t="s">
        <v>133</v>
      </c>
      <c r="C42" s="103">
        <v>15861180</v>
      </c>
      <c r="D42" s="102">
        <f t="shared" si="5"/>
        <v>-1.2027575958900361E-2</v>
      </c>
      <c r="E42" s="103">
        <v>16054274</v>
      </c>
      <c r="F42" s="102">
        <f t="shared" si="6"/>
        <v>-1.0729708412412831E-2</v>
      </c>
      <c r="G42" s="103">
        <v>16228400</v>
      </c>
      <c r="H42" s="102">
        <f t="shared" si="6"/>
        <v>-2.5754026965200794E-2</v>
      </c>
      <c r="I42" s="111">
        <v>16657395</v>
      </c>
      <c r="J42" s="66">
        <f t="shared" si="0"/>
        <v>-1.1347716497073779E-2</v>
      </c>
      <c r="K42" s="65">
        <v>16848588</v>
      </c>
      <c r="L42" s="66">
        <f t="shared" si="7"/>
        <v>-2.8947288340028132E-2</v>
      </c>
      <c r="M42" s="65">
        <v>17350848</v>
      </c>
      <c r="N42" s="66">
        <f t="shared" si="8"/>
        <v>-1.4374041369386248E-2</v>
      </c>
      <c r="O42" s="65">
        <v>17603887</v>
      </c>
      <c r="P42" s="66">
        <f t="shared" si="9"/>
        <v>-2.4181215212604745E-2</v>
      </c>
      <c r="Q42" s="65">
        <v>18040119</v>
      </c>
      <c r="R42" s="66">
        <f t="shared" si="10"/>
        <v>-4.1423158404840899E-2</v>
      </c>
      <c r="S42" s="67">
        <v>18819690</v>
      </c>
      <c r="T42" s="66">
        <f t="shared" si="1"/>
        <v>-1.4690618490771246E-2</v>
      </c>
      <c r="U42" s="67">
        <v>19100285</v>
      </c>
      <c r="V42" s="66">
        <f t="shared" si="2"/>
        <v>-3.842032436971532E-2</v>
      </c>
      <c r="W42" s="67">
        <v>19863445</v>
      </c>
      <c r="X42" s="66">
        <f t="shared" si="3"/>
        <v>-4.6783671193754928E-2</v>
      </c>
      <c r="Y42" s="67">
        <v>20838339</v>
      </c>
      <c r="Z42" s="66">
        <f t="shared" si="4"/>
        <v>-7.4474622549638325E-2</v>
      </c>
      <c r="AA42" s="76">
        <v>22515146</v>
      </c>
      <c r="AC42" s="24"/>
    </row>
    <row r="43" spans="1:29" ht="14.25" customHeight="1" x14ac:dyDescent="0.2">
      <c r="A43" s="51" t="s">
        <v>29</v>
      </c>
      <c r="B43" s="45" t="s">
        <v>133</v>
      </c>
      <c r="C43" s="103">
        <v>2197106</v>
      </c>
      <c r="D43" s="102">
        <f t="shared" si="5"/>
        <v>-5.1342068164498045E-2</v>
      </c>
      <c r="E43" s="103">
        <v>2316015</v>
      </c>
      <c r="F43" s="102">
        <f t="shared" si="6"/>
        <v>-8.2525188552842188E-3</v>
      </c>
      <c r="G43" s="103">
        <v>2335287</v>
      </c>
      <c r="H43" s="102">
        <f t="shared" si="6"/>
        <v>0.13023334151260357</v>
      </c>
      <c r="I43" s="111">
        <v>2066199</v>
      </c>
      <c r="J43" s="66">
        <f t="shared" si="0"/>
        <v>-7.446317913244016E-3</v>
      </c>
      <c r="K43" s="65">
        <v>2081700</v>
      </c>
      <c r="L43" s="66">
        <f t="shared" si="7"/>
        <v>7.430603865581964E-2</v>
      </c>
      <c r="M43" s="65">
        <v>1937716</v>
      </c>
      <c r="N43" s="66">
        <f t="shared" si="8"/>
        <v>1.5769272302758264E-2</v>
      </c>
      <c r="O43" s="65">
        <v>1907634</v>
      </c>
      <c r="P43" s="66">
        <f t="shared" si="9"/>
        <v>-7.6048798632987302E-2</v>
      </c>
      <c r="Q43" s="65">
        <v>2064648</v>
      </c>
      <c r="R43" s="66">
        <f t="shared" si="10"/>
        <v>8.6596221473959956E-2</v>
      </c>
      <c r="S43" s="67">
        <v>1900106</v>
      </c>
      <c r="T43" s="66">
        <f t="shared" si="1"/>
        <v>-3.2312344000900439E-2</v>
      </c>
      <c r="U43" s="67">
        <v>1963553</v>
      </c>
      <c r="V43" s="66">
        <f t="shared" si="2"/>
        <v>-5.34169832704946E-2</v>
      </c>
      <c r="W43" s="67">
        <v>2074359</v>
      </c>
      <c r="X43" s="66">
        <f t="shared" si="3"/>
        <v>-0.12040332323145375</v>
      </c>
      <c r="Y43" s="67">
        <v>2358307</v>
      </c>
      <c r="Z43" s="66">
        <f t="shared" si="4"/>
        <v>-8.3302139344036075E-2</v>
      </c>
      <c r="AA43" s="76">
        <v>2572611</v>
      </c>
      <c r="AC43" s="24"/>
    </row>
    <row r="44" spans="1:29" ht="14.25" customHeight="1" x14ac:dyDescent="0.2">
      <c r="A44" s="51" t="s">
        <v>28</v>
      </c>
      <c r="B44" s="45" t="s">
        <v>133</v>
      </c>
      <c r="C44" s="103">
        <v>11628482</v>
      </c>
      <c r="D44" s="102">
        <f t="shared" si="5"/>
        <v>2.0273274150928389E-2</v>
      </c>
      <c r="E44" s="103">
        <v>11397419</v>
      </c>
      <c r="F44" s="102">
        <f t="shared" si="6"/>
        <v>-2.1689757870893334E-2</v>
      </c>
      <c r="G44" s="103">
        <v>11650107</v>
      </c>
      <c r="H44" s="102">
        <f t="shared" si="6"/>
        <v>3.8486556110117753E-4</v>
      </c>
      <c r="I44" s="111">
        <v>11645625</v>
      </c>
      <c r="J44" s="66">
        <f t="shared" si="0"/>
        <v>1.6686114637626037E-2</v>
      </c>
      <c r="K44" s="65">
        <v>11454494</v>
      </c>
      <c r="L44" s="66">
        <f t="shared" si="7"/>
        <v>2.8700598587969584E-3</v>
      </c>
      <c r="M44" s="65">
        <v>11421713</v>
      </c>
      <c r="N44" s="66">
        <f t="shared" si="8"/>
        <v>1.5726820068214131E-2</v>
      </c>
      <c r="O44" s="65">
        <v>11244867</v>
      </c>
      <c r="P44" s="66">
        <f t="shared" si="9"/>
        <v>-2.8120479764015549E-4</v>
      </c>
      <c r="Q44" s="65">
        <v>11248030</v>
      </c>
      <c r="R44" s="66">
        <f t="shared" si="10"/>
        <v>-3.0444880490237747E-2</v>
      </c>
      <c r="S44" s="67">
        <v>11601228</v>
      </c>
      <c r="T44" s="66">
        <f t="shared" si="1"/>
        <v>1.2274448115780823E-2</v>
      </c>
      <c r="U44" s="67">
        <v>11460556</v>
      </c>
      <c r="V44" s="66">
        <f t="shared" si="2"/>
        <v>2.094152758257195E-3</v>
      </c>
      <c r="W44" s="67">
        <v>11436606</v>
      </c>
      <c r="X44" s="66">
        <f t="shared" si="3"/>
        <v>-2.3408184611501293E-2</v>
      </c>
      <c r="Y44" s="67">
        <v>11710733</v>
      </c>
      <c r="Z44" s="66">
        <f t="shared" si="4"/>
        <v>-4.2847037159485124E-2</v>
      </c>
      <c r="AA44" s="76">
        <v>12234965</v>
      </c>
      <c r="AC44" s="24"/>
    </row>
    <row r="45" spans="1:29" ht="14.25" customHeight="1" x14ac:dyDescent="0.2">
      <c r="A45" s="51" t="s">
        <v>27</v>
      </c>
      <c r="B45" s="45" t="s">
        <v>132</v>
      </c>
      <c r="C45" s="103">
        <v>142862211</v>
      </c>
      <c r="D45" s="102">
        <f t="shared" si="5"/>
        <v>-1.2214398741047239E-3</v>
      </c>
      <c r="E45" s="103">
        <v>143036922</v>
      </c>
      <c r="F45" s="102">
        <f t="shared" si="6"/>
        <v>-7.4754100453713335E-3</v>
      </c>
      <c r="G45" s="103">
        <v>144114235</v>
      </c>
      <c r="H45" s="102">
        <f t="shared" si="6"/>
        <v>-4.8955133361591185E-3</v>
      </c>
      <c r="I45" s="111">
        <v>144823219</v>
      </c>
      <c r="J45" s="66">
        <f t="shared" si="0"/>
        <v>2.0213673587107905E-2</v>
      </c>
      <c r="K45" s="65">
        <v>141953811</v>
      </c>
      <c r="L45" s="66">
        <f t="shared" si="7"/>
        <v>-1.7069155481844067E-2</v>
      </c>
      <c r="M45" s="65">
        <v>144418920</v>
      </c>
      <c r="N45" s="66">
        <f t="shared" si="8"/>
        <v>1.5201679806510437E-2</v>
      </c>
      <c r="O45" s="65">
        <v>142256384</v>
      </c>
      <c r="P45" s="66">
        <f t="shared" si="9"/>
        <v>1.4413719249624313E-2</v>
      </c>
      <c r="Q45" s="65">
        <v>140235075</v>
      </c>
      <c r="R45" s="66">
        <f t="shared" si="10"/>
        <v>-4.0878228833822972E-2</v>
      </c>
      <c r="S45" s="67">
        <v>146211961</v>
      </c>
      <c r="T45" s="66">
        <f t="shared" si="1"/>
        <v>-1.1704643799770542E-2</v>
      </c>
      <c r="U45" s="67">
        <v>147943588</v>
      </c>
      <c r="V45" s="66">
        <f t="shared" si="2"/>
        <v>-5.4937379525644037E-2</v>
      </c>
      <c r="W45" s="67">
        <v>156543688</v>
      </c>
      <c r="X45" s="66">
        <f t="shared" si="3"/>
        <v>-4.1832676894414056E-2</v>
      </c>
      <c r="Y45" s="67">
        <v>163378237</v>
      </c>
      <c r="Z45" s="66">
        <f t="shared" si="4"/>
        <v>-4.2961044872407816E-2</v>
      </c>
      <c r="AA45" s="76">
        <v>170712212</v>
      </c>
      <c r="AC45" s="24"/>
    </row>
    <row r="46" spans="1:29" ht="14.25" customHeight="1" x14ac:dyDescent="0.2">
      <c r="A46" s="51" t="s">
        <v>26</v>
      </c>
      <c r="B46" s="45" t="s">
        <v>132</v>
      </c>
      <c r="C46" s="103">
        <v>123700712</v>
      </c>
      <c r="D46" s="102">
        <f t="shared" si="5"/>
        <v>-3.4264014069841364E-2</v>
      </c>
      <c r="E46" s="103">
        <v>128089575</v>
      </c>
      <c r="F46" s="102">
        <f t="shared" si="6"/>
        <v>1.2929936568660372E-2</v>
      </c>
      <c r="G46" s="103">
        <v>126454526</v>
      </c>
      <c r="H46" s="102">
        <f t="shared" si="6"/>
        <v>-2.8393891107271196E-3</v>
      </c>
      <c r="I46" s="111">
        <v>126814602</v>
      </c>
      <c r="J46" s="66">
        <f t="shared" si="0"/>
        <v>-2.4192116603309888E-2</v>
      </c>
      <c r="K46" s="65">
        <v>129958575</v>
      </c>
      <c r="L46" s="66">
        <f t="shared" si="7"/>
        <v>8.6776176810055006E-3</v>
      </c>
      <c r="M46" s="65">
        <v>128840546</v>
      </c>
      <c r="N46" s="66">
        <f t="shared" si="8"/>
        <v>-1.7721707405909282E-2</v>
      </c>
      <c r="O46" s="65">
        <v>131165014</v>
      </c>
      <c r="P46" s="66">
        <f t="shared" si="9"/>
        <v>8.0660415107971506E-3</v>
      </c>
      <c r="Q46" s="65">
        <v>130115497</v>
      </c>
      <c r="R46" s="66">
        <f t="shared" si="10"/>
        <v>1.162410186461571E-4</v>
      </c>
      <c r="S46" s="67">
        <v>130100374</v>
      </c>
      <c r="T46" s="66">
        <f t="shared" si="1"/>
        <v>-2.2127668945844281E-2</v>
      </c>
      <c r="U46" s="67">
        <v>133044335</v>
      </c>
      <c r="V46" s="66">
        <f t="shared" si="2"/>
        <v>-1.3659678868909175E-2</v>
      </c>
      <c r="W46" s="67">
        <v>134886846</v>
      </c>
      <c r="X46" s="66">
        <f t="shared" si="3"/>
        <v>-6.3294352115504271E-2</v>
      </c>
      <c r="Y46" s="67">
        <v>144001316</v>
      </c>
      <c r="Z46" s="66">
        <f t="shared" si="4"/>
        <v>-3.786744091260541E-2</v>
      </c>
      <c r="AA46" s="76">
        <v>149668894</v>
      </c>
      <c r="AC46" s="24"/>
    </row>
    <row r="47" spans="1:29" ht="14.25" customHeight="1" x14ac:dyDescent="0.2">
      <c r="A47" s="51" t="s">
        <v>25</v>
      </c>
      <c r="B47" s="45" t="s">
        <v>132</v>
      </c>
      <c r="C47" s="103">
        <v>69815224</v>
      </c>
      <c r="D47" s="102">
        <f t="shared" si="5"/>
        <v>-8.0055675979553431E-3</v>
      </c>
      <c r="E47" s="103">
        <v>70378645</v>
      </c>
      <c r="F47" s="102">
        <f t="shared" si="6"/>
        <v>2.0844322101934321E-2</v>
      </c>
      <c r="G47" s="103">
        <v>68941604</v>
      </c>
      <c r="H47" s="102">
        <f t="shared" si="6"/>
        <v>9.2454878466652346E-4</v>
      </c>
      <c r="I47" s="111">
        <v>68877923</v>
      </c>
      <c r="J47" s="66">
        <f t="shared" si="0"/>
        <v>3.7595045615455014E-3</v>
      </c>
      <c r="K47" s="65">
        <v>68619946</v>
      </c>
      <c r="L47" s="66">
        <f t="shared" si="7"/>
        <v>4.6120543000416347E-3</v>
      </c>
      <c r="M47" s="65">
        <v>68304920</v>
      </c>
      <c r="N47" s="66">
        <f t="shared" si="8"/>
        <v>2.4129972793690335E-2</v>
      </c>
      <c r="O47" s="65">
        <v>66695558</v>
      </c>
      <c r="P47" s="66">
        <f t="shared" si="9"/>
        <v>-4.3726366227155311E-2</v>
      </c>
      <c r="Q47" s="65">
        <v>69745265</v>
      </c>
      <c r="R47" s="66">
        <f t="shared" si="10"/>
        <v>3.0336240847037566E-3</v>
      </c>
      <c r="S47" s="67">
        <v>69534324</v>
      </c>
      <c r="T47" s="66">
        <f t="shared" si="1"/>
        <v>-2.4710500938298297E-2</v>
      </c>
      <c r="U47" s="67">
        <v>71296086</v>
      </c>
      <c r="V47" s="66">
        <f t="shared" si="2"/>
        <v>-2.9665146006325527E-2</v>
      </c>
      <c r="W47" s="67">
        <v>73475755</v>
      </c>
      <c r="X47" s="66">
        <f t="shared" si="3"/>
        <v>2.6249194360434824E-3</v>
      </c>
      <c r="Y47" s="67">
        <v>73283392</v>
      </c>
      <c r="Z47" s="66">
        <f t="shared" si="4"/>
        <v>-5.7869257821106967E-2</v>
      </c>
      <c r="AA47" s="76">
        <v>77784737</v>
      </c>
      <c r="AC47" s="24"/>
    </row>
    <row r="48" spans="1:29" ht="14.25" customHeight="1" x14ac:dyDescent="0.2">
      <c r="A48" s="51" t="s">
        <v>24</v>
      </c>
      <c r="B48" s="45" t="s">
        <v>132</v>
      </c>
      <c r="C48" s="103">
        <v>86071634</v>
      </c>
      <c r="D48" s="102">
        <f t="shared" si="5"/>
        <v>-8.7102962294471897E-3</v>
      </c>
      <c r="E48" s="103">
        <v>86827931</v>
      </c>
      <c r="F48" s="102">
        <f t="shared" si="6"/>
        <v>-1.2260142454752043E-2</v>
      </c>
      <c r="G48" s="103">
        <v>87905667</v>
      </c>
      <c r="H48" s="102">
        <f t="shared" si="6"/>
        <v>-5.5233425969301031E-2</v>
      </c>
      <c r="I48" s="111">
        <v>93044853</v>
      </c>
      <c r="J48" s="66">
        <f t="shared" si="0"/>
        <v>-5.037870144815515E-2</v>
      </c>
      <c r="K48" s="65">
        <v>97981009</v>
      </c>
      <c r="L48" s="66">
        <f t="shared" si="7"/>
        <v>-4.7695538783346647E-2</v>
      </c>
      <c r="M48" s="65">
        <v>102888323</v>
      </c>
      <c r="N48" s="66">
        <f t="shared" si="8"/>
        <v>-2.9935075491731911E-2</v>
      </c>
      <c r="O48" s="65">
        <v>106063337</v>
      </c>
      <c r="P48" s="66">
        <f t="shared" si="9"/>
        <v>-4.2102324348759823E-2</v>
      </c>
      <c r="Q48" s="65">
        <v>110725122</v>
      </c>
      <c r="R48" s="66">
        <f t="shared" si="10"/>
        <v>0.28746396238565253</v>
      </c>
      <c r="S48" s="67">
        <v>86002502</v>
      </c>
      <c r="T48" s="66">
        <f t="shared" si="1"/>
        <v>1.7384056134496007E-2</v>
      </c>
      <c r="U48" s="67">
        <v>84532976</v>
      </c>
      <c r="V48" s="66">
        <f t="shared" si="2"/>
        <v>3.571951658383643E-3</v>
      </c>
      <c r="W48" s="67">
        <v>84232103</v>
      </c>
      <c r="X48" s="66">
        <f t="shared" si="3"/>
        <v>-1.2727677182036268E-2</v>
      </c>
      <c r="Y48" s="67">
        <v>85318003</v>
      </c>
      <c r="Z48" s="66">
        <f t="shared" si="4"/>
        <v>3.1642405413033092E-2</v>
      </c>
      <c r="AA48" s="76">
        <v>82701140</v>
      </c>
      <c r="AC48" s="24"/>
    </row>
    <row r="49" spans="1:29" ht="14.25" customHeight="1" x14ac:dyDescent="0.2">
      <c r="A49" s="51" t="s">
        <v>23</v>
      </c>
      <c r="B49" s="45" t="s">
        <v>132</v>
      </c>
      <c r="C49" s="103">
        <v>27316377</v>
      </c>
      <c r="D49" s="102">
        <f t="shared" si="5"/>
        <v>-5.4920720251758759E-3</v>
      </c>
      <c r="E49" s="103">
        <v>27467229</v>
      </c>
      <c r="F49" s="102">
        <f t="shared" si="6"/>
        <v>4.3348653657666825E-2</v>
      </c>
      <c r="G49" s="103">
        <v>26326031</v>
      </c>
      <c r="H49" s="102">
        <f t="shared" si="6"/>
        <v>3.151229923961818E-2</v>
      </c>
      <c r="I49" s="111">
        <v>25521781</v>
      </c>
      <c r="J49" s="66">
        <f t="shared" si="0"/>
        <v>1.9665587409447127E-2</v>
      </c>
      <c r="K49" s="65">
        <v>25029560</v>
      </c>
      <c r="L49" s="66">
        <f t="shared" si="7"/>
        <v>1.3028963302653906E-2</v>
      </c>
      <c r="M49" s="65">
        <v>24707645</v>
      </c>
      <c r="N49" s="66">
        <f t="shared" si="8"/>
        <v>1.7003272914041023E-2</v>
      </c>
      <c r="O49" s="65">
        <v>24294558</v>
      </c>
      <c r="P49" s="66">
        <f t="shared" si="9"/>
        <v>1.3828632093069393E-2</v>
      </c>
      <c r="Q49" s="65">
        <v>23963180</v>
      </c>
      <c r="R49" s="66">
        <f t="shared" si="10"/>
        <v>-1.1385137083624985E-2</v>
      </c>
      <c r="S49" s="67">
        <v>24239146</v>
      </c>
      <c r="T49" s="66">
        <f t="shared" si="1"/>
        <v>6.6609796408082511E-2</v>
      </c>
      <c r="U49" s="67">
        <v>22725411</v>
      </c>
      <c r="V49" s="66">
        <f t="shared" si="2"/>
        <v>2.2129271984557386E-2</v>
      </c>
      <c r="W49" s="67">
        <v>22233402</v>
      </c>
      <c r="X49" s="66">
        <f t="shared" si="3"/>
        <v>-0.1036754206668723</v>
      </c>
      <c r="Y49" s="67">
        <v>24805079</v>
      </c>
      <c r="Z49" s="66">
        <f t="shared" si="4"/>
        <v>-1.714294567244723E-2</v>
      </c>
      <c r="AA49" s="76">
        <v>25237728</v>
      </c>
      <c r="AC49" s="24"/>
    </row>
    <row r="50" spans="1:29" ht="14.25" customHeight="1" x14ac:dyDescent="0.2">
      <c r="A50" s="51" t="s">
        <v>22</v>
      </c>
      <c r="B50" s="45" t="s">
        <v>132</v>
      </c>
      <c r="C50" s="103">
        <v>84637510</v>
      </c>
      <c r="D50" s="102">
        <f t="shared" si="5"/>
        <v>-1.0469572657590742E-2</v>
      </c>
      <c r="E50" s="103">
        <v>85533004</v>
      </c>
      <c r="F50" s="102">
        <f t="shared" si="6"/>
        <v>-6.0358626972576102E-2</v>
      </c>
      <c r="G50" s="103">
        <v>91027286</v>
      </c>
      <c r="H50" s="102">
        <f t="shared" si="6"/>
        <v>1.7375908235970128E-2</v>
      </c>
      <c r="I50" s="111">
        <v>89472618</v>
      </c>
      <c r="J50" s="66">
        <f t="shared" si="0"/>
        <v>5.7912636471719736E-3</v>
      </c>
      <c r="K50" s="65">
        <v>88957442</v>
      </c>
      <c r="L50" s="66">
        <f t="shared" si="7"/>
        <v>-7.152136579972268E-3</v>
      </c>
      <c r="M50" s="65">
        <v>89598261</v>
      </c>
      <c r="N50" s="66">
        <f t="shared" si="8"/>
        <v>-6.5007271868346983E-3</v>
      </c>
      <c r="O50" s="65">
        <v>90184526</v>
      </c>
      <c r="P50" s="66">
        <f t="shared" si="9"/>
        <v>-5.1506078734373517E-3</v>
      </c>
      <c r="Q50" s="65">
        <v>90651436</v>
      </c>
      <c r="R50" s="66">
        <f t="shared" si="10"/>
        <v>-1.3893600271932649E-2</v>
      </c>
      <c r="S50" s="67">
        <v>91928656</v>
      </c>
      <c r="T50" s="66">
        <f t="shared" si="1"/>
        <v>6.6567760871199866E-2</v>
      </c>
      <c r="U50" s="67">
        <v>86191107</v>
      </c>
      <c r="V50" s="66">
        <f t="shared" si="2"/>
        <v>-1.7163520862525927E-2</v>
      </c>
      <c r="W50" s="67">
        <v>87696284</v>
      </c>
      <c r="X50" s="66">
        <f t="shared" si="3"/>
        <v>-2.8171994293964331E-2</v>
      </c>
      <c r="Y50" s="67">
        <v>90238482</v>
      </c>
      <c r="Z50" s="66">
        <f t="shared" si="4"/>
        <v>-0.11540073814697926</v>
      </c>
      <c r="AA50" s="76">
        <v>102010578</v>
      </c>
      <c r="AC50" s="24"/>
    </row>
    <row r="51" spans="1:29" ht="14.25" customHeight="1" x14ac:dyDescent="0.2">
      <c r="A51" s="51" t="s">
        <v>21</v>
      </c>
      <c r="B51" s="45" t="s">
        <v>132</v>
      </c>
      <c r="C51" s="103">
        <v>31152018</v>
      </c>
      <c r="D51" s="102">
        <f t="shared" si="5"/>
        <v>-1.8817081870709518E-2</v>
      </c>
      <c r="E51" s="103">
        <v>31749450</v>
      </c>
      <c r="F51" s="102">
        <f t="shared" si="6"/>
        <v>-1.8925388398634002E-3</v>
      </c>
      <c r="G51" s="103">
        <v>31809651</v>
      </c>
      <c r="H51" s="102">
        <f t="shared" si="6"/>
        <v>2.9068112472005581E-2</v>
      </c>
      <c r="I51" s="111">
        <v>30911123</v>
      </c>
      <c r="J51" s="66">
        <f t="shared" si="0"/>
        <v>9.6540125348025807E-3</v>
      </c>
      <c r="K51" s="65">
        <v>30615560</v>
      </c>
      <c r="L51" s="66">
        <f t="shared" si="7"/>
        <v>1.6112599213955026E-2</v>
      </c>
      <c r="M51" s="65">
        <v>30130086</v>
      </c>
      <c r="N51" s="66">
        <f t="shared" si="8"/>
        <v>-5.2964429330657481E-3</v>
      </c>
      <c r="O51" s="65">
        <v>30290518</v>
      </c>
      <c r="P51" s="66">
        <f t="shared" si="9"/>
        <v>1.0255670692567387E-2</v>
      </c>
      <c r="Q51" s="65">
        <v>29983022</v>
      </c>
      <c r="R51" s="66">
        <f t="shared" si="10"/>
        <v>-9.5420247644373291E-3</v>
      </c>
      <c r="S51" s="67">
        <v>30271877</v>
      </c>
      <c r="T51" s="66">
        <f t="shared" si="1"/>
        <v>-2.8706453602745929E-3</v>
      </c>
      <c r="U51" s="67">
        <v>30359027</v>
      </c>
      <c r="V51" s="66">
        <f t="shared" si="2"/>
        <v>-2.9647641840854222E-3</v>
      </c>
      <c r="W51" s="67">
        <v>30449302</v>
      </c>
      <c r="X51" s="66">
        <f t="shared" si="3"/>
        <v>-2.7442590009456813E-2</v>
      </c>
      <c r="Y51" s="67">
        <v>31308488</v>
      </c>
      <c r="Z51" s="66">
        <f t="shared" si="4"/>
        <v>8.5187296047464001E-2</v>
      </c>
      <c r="AA51" s="76">
        <v>28850769</v>
      </c>
      <c r="AC51" s="24"/>
    </row>
    <row r="52" spans="1:29" ht="14.25" customHeight="1" x14ac:dyDescent="0.2">
      <c r="A52" s="51" t="s">
        <v>20</v>
      </c>
      <c r="B52" s="45" t="s">
        <v>132</v>
      </c>
      <c r="C52" s="103">
        <v>524398159</v>
      </c>
      <c r="D52" s="102">
        <f t="shared" si="5"/>
        <v>-9.6492119679916222E-3</v>
      </c>
      <c r="E52" s="103">
        <v>529507489</v>
      </c>
      <c r="F52" s="102">
        <f t="shared" si="6"/>
        <v>1.2521199303020536E-2</v>
      </c>
      <c r="G52" s="103">
        <v>522959410</v>
      </c>
      <c r="H52" s="102">
        <f t="shared" si="6"/>
        <v>2.8960462930731845E-2</v>
      </c>
      <c r="I52" s="111">
        <v>508240529</v>
      </c>
      <c r="J52" s="66">
        <f t="shared" si="0"/>
        <v>1.2991876365307187E-2</v>
      </c>
      <c r="K52" s="65">
        <v>501722216</v>
      </c>
      <c r="L52" s="66">
        <f t="shared" si="7"/>
        <v>1.3162152469519794E-2</v>
      </c>
      <c r="M52" s="65">
        <v>495204262</v>
      </c>
      <c r="N52" s="66">
        <f t="shared" si="8"/>
        <v>-2.2478613557818328E-2</v>
      </c>
      <c r="O52" s="65">
        <v>506591742</v>
      </c>
      <c r="P52" s="66">
        <f t="shared" si="9"/>
        <v>-1.1061483001392425E-2</v>
      </c>
      <c r="Q52" s="65">
        <v>512258076</v>
      </c>
      <c r="R52" s="66">
        <f t="shared" si="10"/>
        <v>1.1815829588842641E-2</v>
      </c>
      <c r="S52" s="67">
        <v>506276005</v>
      </c>
      <c r="T52" s="66">
        <f t="shared" si="1"/>
        <v>7.098643357322354E-3</v>
      </c>
      <c r="U52" s="67">
        <v>502707464</v>
      </c>
      <c r="V52" s="66">
        <f t="shared" si="2"/>
        <v>-4.6551569300996576E-3</v>
      </c>
      <c r="W52" s="67">
        <v>505058591</v>
      </c>
      <c r="X52" s="66">
        <f t="shared" si="3"/>
        <v>-9.5027674527914385E-3</v>
      </c>
      <c r="Y52" s="67">
        <v>509904091</v>
      </c>
      <c r="Z52" s="66">
        <f t="shared" si="4"/>
        <v>-2.9948445398129908E-2</v>
      </c>
      <c r="AA52" s="76">
        <v>525646383</v>
      </c>
      <c r="AC52" s="24"/>
    </row>
    <row r="53" spans="1:29" ht="14.25" customHeight="1" x14ac:dyDescent="0.2">
      <c r="A53" s="51" t="s">
        <v>19</v>
      </c>
      <c r="B53" s="45" t="s">
        <v>132</v>
      </c>
      <c r="C53" s="103">
        <v>147626405</v>
      </c>
      <c r="D53" s="102">
        <f t="shared" si="5"/>
        <v>2.3686844522909256E-2</v>
      </c>
      <c r="E53" s="103">
        <v>144210513</v>
      </c>
      <c r="F53" s="102">
        <f t="shared" si="6"/>
        <v>1.7517660299949389E-2</v>
      </c>
      <c r="G53" s="103">
        <v>141727774</v>
      </c>
      <c r="H53" s="102">
        <f t="shared" si="6"/>
        <v>5.7598021518119324E-3</v>
      </c>
      <c r="I53" s="111">
        <v>140916125</v>
      </c>
      <c r="J53" s="66">
        <f t="shared" si="0"/>
        <v>-7.8062035988365697E-2</v>
      </c>
      <c r="K53" s="65">
        <v>152847730</v>
      </c>
      <c r="L53" s="66">
        <f t="shared" si="7"/>
        <v>8.4542844917188109E-3</v>
      </c>
      <c r="M53" s="65">
        <v>151566345</v>
      </c>
      <c r="N53" s="66">
        <f t="shared" si="8"/>
        <v>-2.2531851626056532E-2</v>
      </c>
      <c r="O53" s="65">
        <v>155060137</v>
      </c>
      <c r="P53" s="66">
        <f t="shared" si="9"/>
        <v>-4.2062417652793394E-2</v>
      </c>
      <c r="Q53" s="65">
        <v>161868727</v>
      </c>
      <c r="R53" s="66">
        <f t="shared" si="10"/>
        <v>-2.2130992259345006E-2</v>
      </c>
      <c r="S53" s="67">
        <v>165532117</v>
      </c>
      <c r="T53" s="66">
        <f t="shared" si="1"/>
        <v>-7.2435628308010758E-3</v>
      </c>
      <c r="U53" s="67">
        <v>166739908</v>
      </c>
      <c r="V53" s="66">
        <f t="shared" si="2"/>
        <v>6.7204313325522014E-2</v>
      </c>
      <c r="W53" s="67">
        <v>156239912</v>
      </c>
      <c r="X53" s="66">
        <f t="shared" si="3"/>
        <v>-6.5721567517019741E-2</v>
      </c>
      <c r="Y53" s="67">
        <v>167230567</v>
      </c>
      <c r="Z53" s="66">
        <f t="shared" si="4"/>
        <v>-2.8354312260265413E-2</v>
      </c>
      <c r="AA53" s="76">
        <v>172110646</v>
      </c>
      <c r="AC53" s="24"/>
    </row>
    <row r="54" spans="1:29" ht="14.25" customHeight="1" x14ac:dyDescent="0.2">
      <c r="A54" s="51" t="s">
        <v>18</v>
      </c>
      <c r="B54" s="45" t="s">
        <v>132</v>
      </c>
      <c r="C54" s="103">
        <v>368391884</v>
      </c>
      <c r="D54" s="102">
        <f t="shared" si="5"/>
        <v>-0.10703017496110045</v>
      </c>
      <c r="E54" s="103">
        <v>412546845</v>
      </c>
      <c r="F54" s="102">
        <f t="shared" si="6"/>
        <v>8.0862126643347798E-2</v>
      </c>
      <c r="G54" s="103">
        <v>381683135</v>
      </c>
      <c r="H54" s="102">
        <f t="shared" si="6"/>
        <v>-1.7959368232783102E-2</v>
      </c>
      <c r="I54" s="111">
        <v>388663282</v>
      </c>
      <c r="J54" s="66">
        <f t="shared" si="0"/>
        <v>-1.7857656284285484E-2</v>
      </c>
      <c r="K54" s="65">
        <v>395730094</v>
      </c>
      <c r="L54" s="66">
        <f t="shared" si="7"/>
        <v>-5.0969870167514642E-2</v>
      </c>
      <c r="M54" s="65">
        <v>416983699</v>
      </c>
      <c r="N54" s="66">
        <f t="shared" si="8"/>
        <v>-1.2831946340352007E-2</v>
      </c>
      <c r="O54" s="65">
        <v>422403964</v>
      </c>
      <c r="P54" s="66">
        <f t="shared" si="9"/>
        <v>2.5595720205914274E-2</v>
      </c>
      <c r="Q54" s="65">
        <v>411862058</v>
      </c>
      <c r="R54" s="66">
        <f t="shared" si="10"/>
        <v>-8.2217906328463375E-4</v>
      </c>
      <c r="S54" s="67">
        <v>412200961</v>
      </c>
      <c r="T54" s="66">
        <f t="shared" si="1"/>
        <v>5.7375443431944895E-2</v>
      </c>
      <c r="U54" s="67">
        <v>389834059</v>
      </c>
      <c r="V54" s="66">
        <f t="shared" si="2"/>
        <v>-2.2752304506840293E-2</v>
      </c>
      <c r="W54" s="67">
        <v>398910185</v>
      </c>
      <c r="X54" s="66">
        <f t="shared" si="3"/>
        <v>-0.11453765634356916</v>
      </c>
      <c r="Y54" s="67">
        <v>450510615</v>
      </c>
      <c r="Z54" s="66">
        <f t="shared" si="4"/>
        <v>-3.4835678786622526E-2</v>
      </c>
      <c r="AA54" s="76">
        <v>466770896</v>
      </c>
      <c r="AC54" s="24"/>
    </row>
    <row r="55" spans="1:29" ht="14.25" customHeight="1" x14ac:dyDescent="0.2">
      <c r="A55" s="51" t="s">
        <v>17</v>
      </c>
      <c r="B55" s="45" t="s">
        <v>132</v>
      </c>
      <c r="C55" s="103">
        <v>122419616</v>
      </c>
      <c r="D55" s="102">
        <f t="shared" si="5"/>
        <v>-4.8103851837840605E-2</v>
      </c>
      <c r="E55" s="103">
        <v>128606063</v>
      </c>
      <c r="F55" s="102">
        <f t="shared" si="6"/>
        <v>-0.10474506186107935</v>
      </c>
      <c r="G55" s="103">
        <v>143653006</v>
      </c>
      <c r="H55" s="102">
        <f t="shared" si="6"/>
        <v>-0.18570492364254376</v>
      </c>
      <c r="I55" s="111">
        <v>176413944</v>
      </c>
      <c r="J55" s="66">
        <f t="shared" si="0"/>
        <v>-1.9439983406500772E-2</v>
      </c>
      <c r="K55" s="65">
        <v>179911419</v>
      </c>
      <c r="L55" s="66">
        <f t="shared" si="7"/>
        <v>5.5478686697078228E-2</v>
      </c>
      <c r="M55" s="65">
        <v>170454810</v>
      </c>
      <c r="N55" s="66">
        <f t="shared" si="8"/>
        <v>1.2573304644585725E-2</v>
      </c>
      <c r="O55" s="65">
        <v>168338242</v>
      </c>
      <c r="P55" s="66">
        <f t="shared" si="9"/>
        <v>-1.9976736354840874E-3</v>
      </c>
      <c r="Q55" s="65">
        <v>168675200</v>
      </c>
      <c r="R55" s="66">
        <f t="shared" si="10"/>
        <v>-2.4435644425152114E-2</v>
      </c>
      <c r="S55" s="67">
        <v>172900126</v>
      </c>
      <c r="T55" s="66">
        <f t="shared" si="1"/>
        <v>-4.1049528319284323E-2</v>
      </c>
      <c r="U55" s="67">
        <v>180301414</v>
      </c>
      <c r="V55" s="66">
        <f t="shared" si="2"/>
        <v>-2.1731338127994992E-2</v>
      </c>
      <c r="W55" s="67">
        <v>184306644</v>
      </c>
      <c r="X55" s="66">
        <f t="shared" si="3"/>
        <v>-5.2587136531963452E-2</v>
      </c>
      <c r="Y55" s="67">
        <v>194536776</v>
      </c>
      <c r="Z55" s="66">
        <f t="shared" si="4"/>
        <v>-6.4030204448895844E-2</v>
      </c>
      <c r="AA55" s="76">
        <v>207845143</v>
      </c>
      <c r="AC55" s="24"/>
    </row>
    <row r="56" spans="1:29" ht="14.25" customHeight="1" x14ac:dyDescent="0.2">
      <c r="A56" s="51" t="s">
        <v>16</v>
      </c>
      <c r="B56" s="45" t="s">
        <v>132</v>
      </c>
      <c r="C56" s="103">
        <v>322418028</v>
      </c>
      <c r="D56" s="102">
        <f t="shared" si="5"/>
        <v>-7.0580275825888883E-3</v>
      </c>
      <c r="E56" s="103">
        <v>324709839</v>
      </c>
      <c r="F56" s="102">
        <f t="shared" si="6"/>
        <v>-1.8637230947163741E-2</v>
      </c>
      <c r="G56" s="103">
        <v>330876460</v>
      </c>
      <c r="H56" s="102">
        <f t="shared" si="6"/>
        <v>7.0483179574816202E-3</v>
      </c>
      <c r="I56" s="111">
        <v>328560660</v>
      </c>
      <c r="J56" s="66">
        <f t="shared" si="0"/>
        <v>-3.6536145067159742E-3</v>
      </c>
      <c r="K56" s="65">
        <v>329765496</v>
      </c>
      <c r="L56" s="66">
        <f t="shared" si="7"/>
        <v>-1.231259010389596E-2</v>
      </c>
      <c r="M56" s="65">
        <v>333876379</v>
      </c>
      <c r="N56" s="66">
        <f t="shared" si="8"/>
        <v>5.0255615888814553E-3</v>
      </c>
      <c r="O56" s="65">
        <v>332206853</v>
      </c>
      <c r="P56" s="66">
        <f t="shared" si="9"/>
        <v>-2.0787004821434252E-3</v>
      </c>
      <c r="Q56" s="65">
        <v>332898850</v>
      </c>
      <c r="R56" s="66">
        <f t="shared" si="10"/>
        <v>-1.2002769850116835E-3</v>
      </c>
      <c r="S56" s="67">
        <v>333298901</v>
      </c>
      <c r="T56" s="66">
        <f t="shared" si="1"/>
        <v>3.3136310443708794E-3</v>
      </c>
      <c r="U56" s="67">
        <v>332198119</v>
      </c>
      <c r="V56" s="66">
        <f t="shared" si="2"/>
        <v>-1.7030629608495773E-2</v>
      </c>
      <c r="W56" s="67">
        <v>337953683</v>
      </c>
      <c r="X56" s="66">
        <f t="shared" si="3"/>
        <v>-2.7811869116614263E-2</v>
      </c>
      <c r="Y56" s="67">
        <v>347621692</v>
      </c>
      <c r="Z56" s="66">
        <f t="shared" si="4"/>
        <v>-7.81533158129748E-2</v>
      </c>
      <c r="AA56" s="76">
        <v>377092740</v>
      </c>
      <c r="AC56" s="24"/>
    </row>
    <row r="57" spans="1:29" ht="14.25" customHeight="1" x14ac:dyDescent="0.2">
      <c r="A57" s="51" t="s">
        <v>15</v>
      </c>
      <c r="B57" s="45" t="s">
        <v>132</v>
      </c>
      <c r="C57" s="103">
        <v>355608007</v>
      </c>
      <c r="D57" s="102">
        <f t="shared" si="5"/>
        <v>-1.144233073587686E-2</v>
      </c>
      <c r="E57" s="103">
        <v>359724089</v>
      </c>
      <c r="F57" s="102">
        <f t="shared" si="6"/>
        <v>1.5935862448841043E-2</v>
      </c>
      <c r="G57" s="103">
        <v>354081495</v>
      </c>
      <c r="H57" s="102">
        <f t="shared" si="6"/>
        <v>3.8664327550189448E-2</v>
      </c>
      <c r="I57" s="111">
        <v>340900795</v>
      </c>
      <c r="J57" s="66">
        <f t="shared" si="0"/>
        <v>2.6835402629761695E-2</v>
      </c>
      <c r="K57" s="65">
        <v>331991665</v>
      </c>
      <c r="L57" s="66">
        <f t="shared" si="7"/>
        <v>-3.1316627375892359E-2</v>
      </c>
      <c r="M57" s="65">
        <v>342724645</v>
      </c>
      <c r="N57" s="66">
        <f t="shared" si="8"/>
        <v>2.7582621828512455E-2</v>
      </c>
      <c r="O57" s="65">
        <v>333525147</v>
      </c>
      <c r="P57" s="66">
        <f t="shared" si="9"/>
        <v>4.1389296419903854E-2</v>
      </c>
      <c r="Q57" s="65">
        <v>320269421</v>
      </c>
      <c r="R57" s="66">
        <f t="shared" si="10"/>
        <v>4.5673055386770578E-2</v>
      </c>
      <c r="S57" s="67">
        <v>306280648</v>
      </c>
      <c r="T57" s="66">
        <f t="shared" si="1"/>
        <v>6.8353579959358868E-2</v>
      </c>
      <c r="U57" s="67">
        <v>286684721</v>
      </c>
      <c r="V57" s="66">
        <f t="shared" si="2"/>
        <v>-2.3202840201880348E-2</v>
      </c>
      <c r="W57" s="67">
        <v>293494630</v>
      </c>
      <c r="X57" s="66">
        <f t="shared" si="3"/>
        <v>-1.55648947453082E-2</v>
      </c>
      <c r="Y57" s="67">
        <v>298135071</v>
      </c>
      <c r="Z57" s="66">
        <f t="shared" si="4"/>
        <v>-7.7083116645444649E-2</v>
      </c>
      <c r="AA57" s="76">
        <v>323035667</v>
      </c>
      <c r="AC57" s="24"/>
    </row>
    <row r="58" spans="1:29" ht="14.25" customHeight="1" x14ac:dyDescent="0.2">
      <c r="A58" s="51" t="s">
        <v>14</v>
      </c>
      <c r="B58" s="45" t="s">
        <v>132</v>
      </c>
      <c r="C58" s="103">
        <v>22882031</v>
      </c>
      <c r="D58" s="102">
        <f t="shared" si="5"/>
        <v>-2.9186190822313218E-2</v>
      </c>
      <c r="E58" s="103">
        <v>23569948</v>
      </c>
      <c r="F58" s="102">
        <f t="shared" si="6"/>
        <v>4.164659897878642E-2</v>
      </c>
      <c r="G58" s="103">
        <v>22627586</v>
      </c>
      <c r="H58" s="102">
        <f t="shared" si="6"/>
        <v>-1.6573268826753695E-2</v>
      </c>
      <c r="I58" s="111">
        <v>23008919</v>
      </c>
      <c r="J58" s="66">
        <f t="shared" si="0"/>
        <v>7.438298591189163E-4</v>
      </c>
      <c r="K58" s="65">
        <v>22991817</v>
      </c>
      <c r="L58" s="66">
        <f t="shared" si="7"/>
        <v>-4.4485155552297373E-2</v>
      </c>
      <c r="M58" s="65">
        <v>24062229</v>
      </c>
      <c r="N58" s="66">
        <f t="shared" si="8"/>
        <v>-1.1913957258026908E-2</v>
      </c>
      <c r="O58" s="65">
        <v>24352362</v>
      </c>
      <c r="P58" s="66">
        <f t="shared" si="9"/>
        <v>-2.5788311234848926E-3</v>
      </c>
      <c r="Q58" s="65">
        <v>24415325</v>
      </c>
      <c r="R58" s="66">
        <f t="shared" si="10"/>
        <v>-4.6137759080616347E-2</v>
      </c>
      <c r="S58" s="67">
        <v>25596280</v>
      </c>
      <c r="T58" s="66">
        <f t="shared" si="1"/>
        <v>8.4755955556525819E-4</v>
      </c>
      <c r="U58" s="67">
        <v>25574604</v>
      </c>
      <c r="V58" s="66">
        <f t="shared" si="2"/>
        <v>-2.4919776248508052E-2</v>
      </c>
      <c r="W58" s="67">
        <v>26228205</v>
      </c>
      <c r="X58" s="66">
        <f t="shared" si="3"/>
        <v>-4.3250656337395332E-2</v>
      </c>
      <c r="Y58" s="67">
        <v>27413873</v>
      </c>
      <c r="Z58" s="66">
        <f t="shared" si="4"/>
        <v>-3.3472149103353832E-2</v>
      </c>
      <c r="AA58" s="76">
        <v>28363252</v>
      </c>
      <c r="AC58" s="24"/>
    </row>
    <row r="59" spans="1:29" ht="14.25" customHeight="1" x14ac:dyDescent="0.2">
      <c r="A59" s="51" t="s">
        <v>13</v>
      </c>
      <c r="B59" s="45" t="s">
        <v>132</v>
      </c>
      <c r="C59" s="103">
        <v>104466669</v>
      </c>
      <c r="D59" s="102">
        <f t="shared" si="5"/>
        <v>4.7971552127357819E-2</v>
      </c>
      <c r="E59" s="103">
        <v>99684642</v>
      </c>
      <c r="F59" s="102">
        <f t="shared" si="6"/>
        <v>6.3711653662735568E-2</v>
      </c>
      <c r="G59" s="103">
        <v>93713970</v>
      </c>
      <c r="H59" s="102">
        <f t="shared" si="6"/>
        <v>0.16768253817388246</v>
      </c>
      <c r="I59" s="111">
        <v>80256377</v>
      </c>
      <c r="J59" s="66">
        <f t="shared" si="0"/>
        <v>-2.8256703548528161E-2</v>
      </c>
      <c r="K59" s="65">
        <v>82590101</v>
      </c>
      <c r="L59" s="66">
        <f t="shared" si="7"/>
        <v>-7.4191101929144132E-4</v>
      </c>
      <c r="M59" s="65">
        <v>82651421</v>
      </c>
      <c r="N59" s="66">
        <f t="shared" si="8"/>
        <v>2.6425143523808314E-2</v>
      </c>
      <c r="O59" s="65">
        <v>80523574</v>
      </c>
      <c r="P59" s="66">
        <f t="shared" si="9"/>
        <v>1.4833284803594804E-3</v>
      </c>
      <c r="Q59" s="65">
        <v>80404308</v>
      </c>
      <c r="R59" s="66">
        <f t="shared" si="10"/>
        <v>-3.5608151506557606E-3</v>
      </c>
      <c r="S59" s="67">
        <v>80691636</v>
      </c>
      <c r="T59" s="66">
        <f t="shared" si="1"/>
        <v>-8.5825473938370145E-3</v>
      </c>
      <c r="U59" s="67">
        <v>81390171</v>
      </c>
      <c r="V59" s="66">
        <f t="shared" si="2"/>
        <v>-4.1864049046474894E-2</v>
      </c>
      <c r="W59" s="67">
        <v>84946370</v>
      </c>
      <c r="X59" s="66">
        <f t="shared" si="3"/>
        <v>-1.0866886290383238E-2</v>
      </c>
      <c r="Y59" s="67">
        <v>85879614</v>
      </c>
      <c r="Z59" s="66">
        <f t="shared" si="4"/>
        <v>-1.3073638299240131E-2</v>
      </c>
      <c r="AA59" s="76">
        <v>87017246</v>
      </c>
      <c r="AC59" s="24"/>
    </row>
    <row r="60" spans="1:29" ht="14.25" customHeight="1" x14ac:dyDescent="0.2">
      <c r="A60" s="51" t="s">
        <v>12</v>
      </c>
      <c r="B60" s="45" t="s">
        <v>132</v>
      </c>
      <c r="C60" s="103">
        <v>87585442</v>
      </c>
      <c r="D60" s="102">
        <f t="shared" si="5"/>
        <v>2.5398783693636684E-2</v>
      </c>
      <c r="E60" s="103">
        <v>85415980</v>
      </c>
      <c r="F60" s="102">
        <f t="shared" si="6"/>
        <v>3.3368384664188122E-2</v>
      </c>
      <c r="G60" s="103">
        <v>82657822</v>
      </c>
      <c r="H60" s="102">
        <f t="shared" si="6"/>
        <v>6.4903412128691773E-3</v>
      </c>
      <c r="I60" s="111">
        <v>82124804</v>
      </c>
      <c r="J60" s="66">
        <f t="shared" si="0"/>
        <v>5.0519389221714839E-4</v>
      </c>
      <c r="K60" s="65">
        <v>82083336</v>
      </c>
      <c r="L60" s="66">
        <f t="shared" si="7"/>
        <v>2.508462973544745E-2</v>
      </c>
      <c r="M60" s="65">
        <v>80074692</v>
      </c>
      <c r="N60" s="66">
        <f t="shared" si="8"/>
        <v>-8.6806974304446394E-3</v>
      </c>
      <c r="O60" s="65">
        <v>80775883</v>
      </c>
      <c r="P60" s="66">
        <f t="shared" si="9"/>
        <v>1.4973762131301305E-2</v>
      </c>
      <c r="Q60" s="65">
        <v>79584208</v>
      </c>
      <c r="R60" s="66">
        <f t="shared" si="10"/>
        <v>-2.9937876522935558E-2</v>
      </c>
      <c r="S60" s="67">
        <v>82040321</v>
      </c>
      <c r="T60" s="66">
        <f t="shared" si="1"/>
        <v>-6.1431115126688862E-3</v>
      </c>
      <c r="U60" s="67">
        <v>82547419</v>
      </c>
      <c r="V60" s="66">
        <f t="shared" si="2"/>
        <v>-1.8592283487822603E-2</v>
      </c>
      <c r="W60" s="67">
        <v>84111239</v>
      </c>
      <c r="X60" s="66">
        <f t="shared" si="3"/>
        <v>-9.0765530631865543E-3</v>
      </c>
      <c r="Y60" s="67">
        <v>84881672</v>
      </c>
      <c r="Z60" s="66">
        <f t="shared" si="4"/>
        <v>-2.5860093334949652E-2</v>
      </c>
      <c r="AA60" s="76">
        <v>87134991</v>
      </c>
      <c r="AC60" s="24"/>
    </row>
    <row r="61" spans="1:29" ht="14.25" customHeight="1" x14ac:dyDescent="0.2">
      <c r="A61" s="51" t="s">
        <v>11</v>
      </c>
      <c r="B61" s="45" t="s">
        <v>132</v>
      </c>
      <c r="C61" s="103">
        <v>38997677</v>
      </c>
      <c r="D61" s="102">
        <f t="shared" si="5"/>
        <v>4.7789877583317431E-3</v>
      </c>
      <c r="E61" s="103">
        <v>38812194</v>
      </c>
      <c r="F61" s="102">
        <f t="shared" si="6"/>
        <v>-8.6519548847600491E-2</v>
      </c>
      <c r="G61" s="103">
        <v>42488259</v>
      </c>
      <c r="H61" s="102">
        <f t="shared" si="6"/>
        <v>2.1896490559276227E-2</v>
      </c>
      <c r="I61" s="111">
        <v>41577850</v>
      </c>
      <c r="J61" s="66">
        <f t="shared" si="0"/>
        <v>3.5959650100612528E-2</v>
      </c>
      <c r="K61" s="65">
        <v>40134623</v>
      </c>
      <c r="L61" s="66">
        <f t="shared" si="7"/>
        <v>-6.6910326436542267E-3</v>
      </c>
      <c r="M61" s="65">
        <v>40404974</v>
      </c>
      <c r="N61" s="66">
        <f t="shared" si="8"/>
        <v>1.1718215134357557E-3</v>
      </c>
      <c r="O61" s="65">
        <v>40357682</v>
      </c>
      <c r="P61" s="66">
        <f t="shared" si="9"/>
        <v>-3.9459558817666718E-2</v>
      </c>
      <c r="Q61" s="65">
        <v>42015599</v>
      </c>
      <c r="R61" s="66">
        <f t="shared" si="10"/>
        <v>2.94590899917202E-2</v>
      </c>
      <c r="S61" s="67">
        <v>40813277</v>
      </c>
      <c r="T61" s="66">
        <f t="shared" si="1"/>
        <v>-4.044253465808556E-2</v>
      </c>
      <c r="U61" s="67">
        <v>42533437</v>
      </c>
      <c r="V61" s="66">
        <f t="shared" si="2"/>
        <v>-1.3792160311372537E-2</v>
      </c>
      <c r="W61" s="67">
        <v>43128269</v>
      </c>
      <c r="X61" s="66">
        <f t="shared" si="3"/>
        <v>-1.8447487108782856E-2</v>
      </c>
      <c r="Y61" s="67">
        <v>43938830</v>
      </c>
      <c r="Z61" s="66">
        <f t="shared" si="4"/>
        <v>-3.0409626430757619E-2</v>
      </c>
      <c r="AA61" s="76">
        <v>45316900</v>
      </c>
      <c r="AC61" s="24"/>
    </row>
    <row r="62" spans="1:29" ht="14.25" customHeight="1" x14ac:dyDescent="0.2">
      <c r="A62" s="51" t="s">
        <v>10</v>
      </c>
      <c r="B62" s="45" t="s">
        <v>132</v>
      </c>
      <c r="C62" s="103">
        <v>136484302</v>
      </c>
      <c r="D62" s="102">
        <f t="shared" si="5"/>
        <v>-1.1709433107737532E-2</v>
      </c>
      <c r="E62" s="103">
        <v>138101391</v>
      </c>
      <c r="F62" s="102">
        <f t="shared" si="6"/>
        <v>-5.4714225465758659E-2</v>
      </c>
      <c r="G62" s="103">
        <v>146094858</v>
      </c>
      <c r="H62" s="102">
        <f t="shared" si="6"/>
        <v>2.4339865969981611E-2</v>
      </c>
      <c r="I62" s="111">
        <v>142623423</v>
      </c>
      <c r="J62" s="66">
        <f t="shared" si="0"/>
        <v>-8.4269211101917207E-4</v>
      </c>
      <c r="K62" s="65">
        <v>142743712</v>
      </c>
      <c r="L62" s="66">
        <f t="shared" si="7"/>
        <v>-4.673295215307538E-2</v>
      </c>
      <c r="M62" s="65">
        <v>149741578</v>
      </c>
      <c r="N62" s="66">
        <f t="shared" si="8"/>
        <v>2.0234899830940067E-2</v>
      </c>
      <c r="O62" s="65">
        <v>146771668</v>
      </c>
      <c r="P62" s="66">
        <f t="shared" si="9"/>
        <v>3.3223622474501946E-2</v>
      </c>
      <c r="Q62" s="65">
        <v>142052180</v>
      </c>
      <c r="R62" s="66">
        <f t="shared" si="10"/>
        <v>2.6830483104336444E-3</v>
      </c>
      <c r="S62" s="67">
        <v>141672067</v>
      </c>
      <c r="T62" s="66">
        <f t="shared" si="1"/>
        <v>-0.12488424976347146</v>
      </c>
      <c r="U62" s="67">
        <v>161889518</v>
      </c>
      <c r="V62" s="66">
        <f t="shared" si="2"/>
        <v>-2.3256153788121847E-2</v>
      </c>
      <c r="W62" s="67">
        <v>165744088</v>
      </c>
      <c r="X62" s="66">
        <f t="shared" si="3"/>
        <v>-0.11833233530667786</v>
      </c>
      <c r="Y62" s="67">
        <v>187989301</v>
      </c>
      <c r="Z62" s="66">
        <f t="shared" si="4"/>
        <v>-4.2107825745746674E-2</v>
      </c>
      <c r="AA62" s="76">
        <v>196253092</v>
      </c>
      <c r="AC62" s="24"/>
    </row>
    <row r="63" spans="1:29" ht="14.25" customHeight="1" x14ac:dyDescent="0.2">
      <c r="A63" s="51" t="s">
        <v>9</v>
      </c>
      <c r="B63" s="45" t="s">
        <v>132</v>
      </c>
      <c r="C63" s="103">
        <v>163389715</v>
      </c>
      <c r="D63" s="102">
        <f t="shared" si="5"/>
        <v>-4.3211180016344719E-2</v>
      </c>
      <c r="E63" s="103">
        <v>170768838</v>
      </c>
      <c r="F63" s="102">
        <f t="shared" si="6"/>
        <v>8.1065553860266704E-3</v>
      </c>
      <c r="G63" s="103">
        <v>169395623</v>
      </c>
      <c r="H63" s="102">
        <f t="shared" si="6"/>
        <v>-2.880386463031348E-2</v>
      </c>
      <c r="I63" s="111">
        <v>174419581</v>
      </c>
      <c r="J63" s="66">
        <f t="shared" si="0"/>
        <v>7.9547072771026794E-3</v>
      </c>
      <c r="K63" s="65">
        <v>173043074</v>
      </c>
      <c r="L63" s="66">
        <f t="shared" si="7"/>
        <v>-3.6802100402067883E-2</v>
      </c>
      <c r="M63" s="65">
        <v>179654746</v>
      </c>
      <c r="N63" s="66">
        <f t="shared" si="8"/>
        <v>-2.7140808905009695E-2</v>
      </c>
      <c r="O63" s="65">
        <v>184666751</v>
      </c>
      <c r="P63" s="66">
        <f t="shared" si="9"/>
        <v>1.1879932566525531E-2</v>
      </c>
      <c r="Q63" s="65">
        <v>182498679</v>
      </c>
      <c r="R63" s="66">
        <f t="shared" si="10"/>
        <v>-5.9210927569649519E-3</v>
      </c>
      <c r="S63" s="67">
        <v>183585707</v>
      </c>
      <c r="T63" s="66">
        <f t="shared" si="1"/>
        <v>-1.2344093828590585E-2</v>
      </c>
      <c r="U63" s="67">
        <v>185880230</v>
      </c>
      <c r="V63" s="66">
        <f t="shared" si="2"/>
        <v>-4.4173969007147429E-3</v>
      </c>
      <c r="W63" s="67">
        <v>186704980</v>
      </c>
      <c r="X63" s="66">
        <f t="shared" si="3"/>
        <v>2.0887169006298389E-3</v>
      </c>
      <c r="Y63" s="67">
        <v>186315819</v>
      </c>
      <c r="Z63" s="66">
        <f t="shared" si="4"/>
        <v>-4.6416625339698703E-2</v>
      </c>
      <c r="AA63" s="76">
        <v>195384928</v>
      </c>
      <c r="AC63" s="24"/>
    </row>
    <row r="64" spans="1:29" ht="14.25" customHeight="1" x14ac:dyDescent="0.2">
      <c r="A64" s="51" t="s">
        <v>8</v>
      </c>
      <c r="B64" s="45" t="s">
        <v>132</v>
      </c>
      <c r="C64" s="103">
        <v>32933362</v>
      </c>
      <c r="D64" s="102">
        <f t="shared" si="5"/>
        <v>-8.2688026048700625E-3</v>
      </c>
      <c r="E64" s="103">
        <v>33207952</v>
      </c>
      <c r="F64" s="102">
        <f t="shared" si="6"/>
        <v>-7.0057508109504507E-3</v>
      </c>
      <c r="G64" s="103">
        <v>33442240</v>
      </c>
      <c r="H64" s="102">
        <f t="shared" si="6"/>
        <v>8.8815146520722088E-3</v>
      </c>
      <c r="I64" s="111">
        <v>33147837</v>
      </c>
      <c r="J64" s="66">
        <f t="shared" si="0"/>
        <v>6.9503312192029876E-2</v>
      </c>
      <c r="K64" s="65">
        <v>30993674</v>
      </c>
      <c r="L64" s="66">
        <f t="shared" si="7"/>
        <v>1.0135322206866082E-2</v>
      </c>
      <c r="M64" s="65">
        <v>30682695</v>
      </c>
      <c r="N64" s="66">
        <f t="shared" si="8"/>
        <v>-6.9617488999905719E-2</v>
      </c>
      <c r="O64" s="65">
        <v>32978581</v>
      </c>
      <c r="P64" s="66">
        <f t="shared" si="9"/>
        <v>8.8739342737611304E-2</v>
      </c>
      <c r="Q64" s="65">
        <v>30290612</v>
      </c>
      <c r="R64" s="66">
        <f t="shared" si="10"/>
        <v>1.7940562680230032E-2</v>
      </c>
      <c r="S64" s="67">
        <v>29756759</v>
      </c>
      <c r="T64" s="66">
        <f t="shared" si="1"/>
        <v>-4.804329788437034E-4</v>
      </c>
      <c r="U64" s="67">
        <v>29771062</v>
      </c>
      <c r="V64" s="66">
        <f t="shared" si="2"/>
        <v>1.3141683848113095E-2</v>
      </c>
      <c r="W64" s="67">
        <v>29384895</v>
      </c>
      <c r="X64" s="66">
        <f t="shared" si="3"/>
        <v>1.3825159930407338E-3</v>
      </c>
      <c r="Y64" s="67">
        <v>29344326</v>
      </c>
      <c r="Z64" s="66">
        <f t="shared" si="4"/>
        <v>-1.9146158567915794E-2</v>
      </c>
      <c r="AA64" s="76">
        <v>29917124</v>
      </c>
      <c r="AC64" s="24"/>
    </row>
    <row r="65" spans="1:29" ht="14.25" customHeight="1" x14ac:dyDescent="0.2">
      <c r="A65" s="51" t="s">
        <v>7</v>
      </c>
      <c r="B65" s="45" t="s">
        <v>133</v>
      </c>
      <c r="C65" s="103">
        <v>14505314</v>
      </c>
      <c r="D65" s="102">
        <f t="shared" si="5"/>
        <v>-2.1376013173012298E-3</v>
      </c>
      <c r="E65" s="103">
        <v>14536387</v>
      </c>
      <c r="F65" s="102">
        <f t="shared" si="6"/>
        <v>-4.1820874183343126E-2</v>
      </c>
      <c r="G65" s="103">
        <v>15170845</v>
      </c>
      <c r="H65" s="102">
        <f t="shared" si="6"/>
        <v>1.9926451062056039E-2</v>
      </c>
      <c r="I65" s="111">
        <v>14874450</v>
      </c>
      <c r="J65" s="66">
        <f t="shared" si="0"/>
        <v>2.6757850276810435E-2</v>
      </c>
      <c r="K65" s="65">
        <v>14486814</v>
      </c>
      <c r="L65" s="66">
        <f t="shared" si="7"/>
        <v>2.8575335643841182E-2</v>
      </c>
      <c r="M65" s="65">
        <v>14084349</v>
      </c>
      <c r="N65" s="66">
        <f t="shared" si="8"/>
        <v>1.0787470335227978E-2</v>
      </c>
      <c r="O65" s="65">
        <v>13934036</v>
      </c>
      <c r="P65" s="66">
        <f t="shared" si="9"/>
        <v>9.9962112555211924E-3</v>
      </c>
      <c r="Q65" s="65">
        <v>13796127</v>
      </c>
      <c r="R65" s="66">
        <f t="shared" si="10"/>
        <v>-6.5092631572579718E-3</v>
      </c>
      <c r="S65" s="67">
        <v>13886518</v>
      </c>
      <c r="T65" s="66">
        <f t="shared" si="1"/>
        <v>9.4072138158167729E-3</v>
      </c>
      <c r="U65" s="67">
        <v>13757102</v>
      </c>
      <c r="V65" s="66">
        <f t="shared" si="2"/>
        <v>-1.8890619345932835E-2</v>
      </c>
      <c r="W65" s="67">
        <v>14021986</v>
      </c>
      <c r="X65" s="66">
        <f t="shared" si="3"/>
        <v>-5.1147671262873451E-2</v>
      </c>
      <c r="Y65" s="67">
        <v>14777838</v>
      </c>
      <c r="Z65" s="66">
        <f t="shared" si="4"/>
        <v>-0.15289651747687427</v>
      </c>
      <c r="AA65" s="76">
        <v>17445139</v>
      </c>
      <c r="AC65" s="24"/>
    </row>
    <row r="66" spans="1:29" ht="14.25" customHeight="1" x14ac:dyDescent="0.2">
      <c r="A66" s="51" t="s">
        <v>6</v>
      </c>
      <c r="B66" s="45" t="s">
        <v>133</v>
      </c>
      <c r="C66" s="103">
        <v>12434304</v>
      </c>
      <c r="D66" s="102">
        <f t="shared" si="5"/>
        <v>-4.1761352777329064E-2</v>
      </c>
      <c r="E66" s="103">
        <v>12976208</v>
      </c>
      <c r="F66" s="102">
        <f t="shared" si="6"/>
        <v>-8.3410811812962837E-3</v>
      </c>
      <c r="G66" s="103">
        <v>13085354</v>
      </c>
      <c r="H66" s="102">
        <f t="shared" si="6"/>
        <v>1.5458452537506551E-2</v>
      </c>
      <c r="I66" s="111">
        <v>12886154</v>
      </c>
      <c r="J66" s="66">
        <f t="shared" si="0"/>
        <v>2.2536722524097774E-2</v>
      </c>
      <c r="K66" s="65">
        <v>12602143</v>
      </c>
      <c r="L66" s="66">
        <f t="shared" si="7"/>
        <v>0.12959018535125844</v>
      </c>
      <c r="M66" s="65">
        <v>11156385</v>
      </c>
      <c r="N66" s="66">
        <f t="shared" si="8"/>
        <v>-0.15143482885374937</v>
      </c>
      <c r="O66" s="65">
        <v>13147352</v>
      </c>
      <c r="P66" s="66">
        <f t="shared" si="9"/>
        <v>1.2421330954575316E-2</v>
      </c>
      <c r="Q66" s="65">
        <v>12986048</v>
      </c>
      <c r="R66" s="66">
        <f t="shared" si="10"/>
        <v>1.6546650520130823E-2</v>
      </c>
      <c r="S66" s="67">
        <v>12774670</v>
      </c>
      <c r="T66" s="66">
        <f t="shared" si="1"/>
        <v>-9.993856766008502E-3</v>
      </c>
      <c r="U66" s="67">
        <v>12903627</v>
      </c>
      <c r="V66" s="66">
        <f t="shared" si="2"/>
        <v>2.1137056001458543E-2</v>
      </c>
      <c r="W66" s="67">
        <v>12636528</v>
      </c>
      <c r="X66" s="66">
        <f t="shared" si="3"/>
        <v>-3.0069505710729971E-2</v>
      </c>
      <c r="Y66" s="67">
        <v>13028282</v>
      </c>
      <c r="Z66" s="66">
        <f t="shared" si="4"/>
        <v>0.23472964953126207</v>
      </c>
      <c r="AA66" s="76">
        <v>10551526</v>
      </c>
      <c r="AC66" s="24"/>
    </row>
    <row r="67" spans="1:29" ht="14.25" customHeight="1" x14ac:dyDescent="0.2">
      <c r="A67" s="51" t="s">
        <v>5</v>
      </c>
      <c r="B67" s="45" t="s">
        <v>133</v>
      </c>
      <c r="C67" s="103">
        <v>3806154</v>
      </c>
      <c r="D67" s="102">
        <f t="shared" si="5"/>
        <v>-1.1601654708205733E-2</v>
      </c>
      <c r="E67" s="103">
        <v>3850830</v>
      </c>
      <c r="F67" s="102">
        <f t="shared" si="6"/>
        <v>4.0582903476067855E-2</v>
      </c>
      <c r="G67" s="103">
        <v>3700647</v>
      </c>
      <c r="H67" s="102">
        <f t="shared" si="6"/>
        <v>2.726865929346256E-2</v>
      </c>
      <c r="I67" s="111">
        <v>3602414</v>
      </c>
      <c r="J67" s="66">
        <f t="shared" si="0"/>
        <v>3.2782044386749254E-2</v>
      </c>
      <c r="K67" s="65">
        <v>3488068</v>
      </c>
      <c r="L67" s="66">
        <f t="shared" si="7"/>
        <v>-1.2064306335665576E-2</v>
      </c>
      <c r="M67" s="65">
        <v>3530663</v>
      </c>
      <c r="N67" s="66">
        <f t="shared" si="8"/>
        <v>5.1280372368440741E-3</v>
      </c>
      <c r="O67" s="65">
        <v>3512650</v>
      </c>
      <c r="P67" s="66">
        <f t="shared" si="9"/>
        <v>-4.0417133689249374E-2</v>
      </c>
      <c r="Q67" s="65">
        <v>3660601</v>
      </c>
      <c r="R67" s="66">
        <f t="shared" si="10"/>
        <v>-4.4685211519204793E-2</v>
      </c>
      <c r="S67" s="67">
        <v>3831827</v>
      </c>
      <c r="T67" s="66">
        <f t="shared" si="1"/>
        <v>-1.1203936783351742E-2</v>
      </c>
      <c r="U67" s="67">
        <v>3875245</v>
      </c>
      <c r="V67" s="66">
        <f t="shared" si="2"/>
        <v>-3.8054157478078943E-2</v>
      </c>
      <c r="W67" s="67">
        <v>4028548</v>
      </c>
      <c r="X67" s="66">
        <f t="shared" si="3"/>
        <v>-7.858120808377822E-2</v>
      </c>
      <c r="Y67" s="67">
        <v>4372114</v>
      </c>
      <c r="Z67" s="66">
        <f t="shared" si="4"/>
        <v>7.7085852827214474E-3</v>
      </c>
      <c r="AA67" s="76">
        <v>4338669</v>
      </c>
      <c r="AC67" s="24"/>
    </row>
    <row r="68" spans="1:29" ht="14.25" customHeight="1" x14ac:dyDescent="0.2">
      <c r="A68" s="51" t="s">
        <v>4</v>
      </c>
      <c r="B68" s="45" t="s">
        <v>132</v>
      </c>
      <c r="C68" s="103">
        <v>229564283</v>
      </c>
      <c r="D68" s="102">
        <f t="shared" si="5"/>
        <v>2.1221654137620893E-2</v>
      </c>
      <c r="E68" s="103">
        <v>224793787</v>
      </c>
      <c r="F68" s="102">
        <f t="shared" si="6"/>
        <v>0.2201546073060241</v>
      </c>
      <c r="G68" s="103">
        <v>184233855</v>
      </c>
      <c r="H68" s="102">
        <f t="shared" si="6"/>
        <v>2.4613871360910311E-2</v>
      </c>
      <c r="I68" s="111">
        <v>179808082</v>
      </c>
      <c r="J68" s="66">
        <f t="shared" si="0"/>
        <v>-1.1760108701062255E-2</v>
      </c>
      <c r="K68" s="65">
        <v>181947808</v>
      </c>
      <c r="L68" s="66">
        <f t="shared" si="7"/>
        <v>5.8347020801403637E-3</v>
      </c>
      <c r="M68" s="65">
        <v>180892355</v>
      </c>
      <c r="N68" s="66">
        <f t="shared" si="8"/>
        <v>9.97181903204436E-3</v>
      </c>
      <c r="O68" s="65">
        <v>179106339</v>
      </c>
      <c r="P68" s="66">
        <f t="shared" si="9"/>
        <v>-2.4909570096538602E-2</v>
      </c>
      <c r="Q68" s="65">
        <v>183681773</v>
      </c>
      <c r="R68" s="66">
        <f t="shared" si="10"/>
        <v>-1.8882269209397839E-2</v>
      </c>
      <c r="S68" s="67">
        <v>187216852</v>
      </c>
      <c r="T68" s="66">
        <f t="shared" si="1"/>
        <v>-2.1557440103918024E-2</v>
      </c>
      <c r="U68" s="67">
        <v>191341689</v>
      </c>
      <c r="V68" s="66">
        <f t="shared" si="2"/>
        <v>-5.6847713880702755E-2</v>
      </c>
      <c r="W68" s="67">
        <v>202874649</v>
      </c>
      <c r="X68" s="66">
        <f t="shared" si="3"/>
        <v>-6.0078326709972374E-2</v>
      </c>
      <c r="Y68" s="67">
        <v>215842080</v>
      </c>
      <c r="Z68" s="66">
        <f t="shared" si="4"/>
        <v>-4.1869682739270719E-2</v>
      </c>
      <c r="AA68" s="76">
        <v>225274241</v>
      </c>
      <c r="AC68" s="24"/>
    </row>
    <row r="69" spans="1:29" ht="14.25" customHeight="1" x14ac:dyDescent="0.2">
      <c r="A69" s="51" t="s">
        <v>3</v>
      </c>
      <c r="B69" s="45" t="s">
        <v>133</v>
      </c>
      <c r="C69" s="103">
        <v>6776899</v>
      </c>
      <c r="D69" s="102">
        <f t="shared" si="5"/>
        <v>9.8827523105304849E-3</v>
      </c>
      <c r="E69" s="103">
        <v>6710580</v>
      </c>
      <c r="F69" s="102">
        <f t="shared" si="6"/>
        <v>2.1240421372121121E-2</v>
      </c>
      <c r="G69" s="103">
        <v>6571009</v>
      </c>
      <c r="H69" s="102">
        <f t="shared" si="6"/>
        <v>1.0939392335640674E-2</v>
      </c>
      <c r="I69" s="111">
        <v>6499904</v>
      </c>
      <c r="J69" s="66">
        <f t="shared" si="0"/>
        <v>5.0474595270402656E-2</v>
      </c>
      <c r="K69" s="65">
        <v>6187588</v>
      </c>
      <c r="L69" s="66">
        <f t="shared" si="7"/>
        <v>-4.6710740486077373E-2</v>
      </c>
      <c r="M69" s="65">
        <v>6490777</v>
      </c>
      <c r="N69" s="66">
        <f t="shared" si="8"/>
        <v>-1.3313354687196188E-2</v>
      </c>
      <c r="O69" s="65">
        <v>6578357</v>
      </c>
      <c r="P69" s="66">
        <f t="shared" si="9"/>
        <v>0.11107851358666498</v>
      </c>
      <c r="Q69" s="65">
        <v>5920695</v>
      </c>
      <c r="R69" s="66">
        <f t="shared" si="10"/>
        <v>-0.1013235858626258</v>
      </c>
      <c r="S69" s="67">
        <v>6588239</v>
      </c>
      <c r="T69" s="66">
        <f t="shared" si="1"/>
        <v>-7.446623940251007E-2</v>
      </c>
      <c r="U69" s="67">
        <v>7118313</v>
      </c>
      <c r="V69" s="66">
        <f t="shared" si="2"/>
        <v>-2.9215403783902305E-2</v>
      </c>
      <c r="W69" s="67">
        <v>7332536</v>
      </c>
      <c r="X69" s="66">
        <f t="shared" si="3"/>
        <v>-0.12627948933744493</v>
      </c>
      <c r="Y69" s="67">
        <v>8392313</v>
      </c>
      <c r="Z69" s="66">
        <f t="shared" si="4"/>
        <v>-5.8575360856637504E-2</v>
      </c>
      <c r="AA69" s="76">
        <v>8914482</v>
      </c>
      <c r="AC69" s="24"/>
    </row>
    <row r="70" spans="1:29" ht="14.25" customHeight="1" x14ac:dyDescent="0.2">
      <c r="A70" s="51" t="s">
        <v>2</v>
      </c>
      <c r="B70" s="45" t="s">
        <v>133</v>
      </c>
      <c r="C70" s="103">
        <v>57716591</v>
      </c>
      <c r="D70" s="102">
        <f t="shared" si="5"/>
        <v>1.2391282101601453E-2</v>
      </c>
      <c r="E70" s="103">
        <v>57010162</v>
      </c>
      <c r="F70" s="102">
        <f t="shared" si="6"/>
        <v>-4.8144707238794715E-2</v>
      </c>
      <c r="G70" s="103">
        <v>59893728</v>
      </c>
      <c r="H70" s="102">
        <f t="shared" si="6"/>
        <v>2.1704277822261808E-2</v>
      </c>
      <c r="I70" s="111">
        <v>58621393</v>
      </c>
      <c r="J70" s="66">
        <f>I70/K70-1</f>
        <v>1.3335258082941337E-2</v>
      </c>
      <c r="K70" s="65">
        <v>57849949</v>
      </c>
      <c r="L70" s="66">
        <f t="shared" si="7"/>
        <v>6.004994310545575E-3</v>
      </c>
      <c r="M70" s="65">
        <v>57504634</v>
      </c>
      <c r="N70" s="66">
        <f t="shared" si="8"/>
        <v>-1.5696144369108378E-3</v>
      </c>
      <c r="O70" s="65">
        <v>57595036</v>
      </c>
      <c r="P70" s="66">
        <f t="shared" si="9"/>
        <v>2.1497442723206195E-3</v>
      </c>
      <c r="Q70" s="65">
        <v>57471487</v>
      </c>
      <c r="R70" s="66">
        <f t="shared" si="10"/>
        <v>1.8139491847273481E-2</v>
      </c>
      <c r="S70" s="67">
        <v>56447557</v>
      </c>
      <c r="T70" s="66">
        <f>S70/U70-1</f>
        <v>-4.1984304902292768E-2</v>
      </c>
      <c r="U70" s="67">
        <v>58921328</v>
      </c>
      <c r="V70" s="66">
        <f>U70/W70-1</f>
        <v>3.9602031784269354E-3</v>
      </c>
      <c r="W70" s="67">
        <v>58688908</v>
      </c>
      <c r="X70" s="66">
        <f>W70/Y70-1</f>
        <v>-2.8690442981835096E-2</v>
      </c>
      <c r="Y70" s="67">
        <v>60422455</v>
      </c>
      <c r="Z70" s="66">
        <f>Y70/AA70-1</f>
        <v>-3.0679325011888192E-2</v>
      </c>
      <c r="AA70" s="76">
        <v>62334846</v>
      </c>
      <c r="AC70" s="24"/>
    </row>
    <row r="71" spans="1:29" ht="14.25" customHeight="1" x14ac:dyDescent="0.2">
      <c r="A71" s="51" t="s">
        <v>1</v>
      </c>
      <c r="B71" s="45" t="s">
        <v>133</v>
      </c>
      <c r="C71" s="103">
        <v>9713303</v>
      </c>
      <c r="D71" s="102">
        <f>C71/E71-1</f>
        <v>-6.7594084957716127E-3</v>
      </c>
      <c r="E71" s="103">
        <v>9779406</v>
      </c>
      <c r="F71" s="102">
        <f>E71/G71-1</f>
        <v>-3.0633831506789888E-2</v>
      </c>
      <c r="G71" s="103">
        <v>10088454</v>
      </c>
      <c r="H71" s="102">
        <f>G71/I71-1</f>
        <v>-7.6343206540583353E-3</v>
      </c>
      <c r="I71" s="111">
        <v>10166065</v>
      </c>
      <c r="J71" s="66">
        <f>I71/K71-1</f>
        <v>7.8312128466231368E-3</v>
      </c>
      <c r="K71" s="65">
        <v>10087071</v>
      </c>
      <c r="L71" s="66">
        <f>K71/M71-1</f>
        <v>2.963494507614528E-2</v>
      </c>
      <c r="M71" s="65">
        <v>9796745</v>
      </c>
      <c r="N71" s="66">
        <f>M71/O71-1</f>
        <v>-7.867590979654171E-3</v>
      </c>
      <c r="O71" s="65">
        <v>9874433</v>
      </c>
      <c r="P71" s="66">
        <f>O71/Q71-1</f>
        <v>3.1193434486947336E-2</v>
      </c>
      <c r="Q71" s="65">
        <v>9575733</v>
      </c>
      <c r="R71" s="66">
        <f>Q71/S71-1</f>
        <v>-9.3062473220161257E-2</v>
      </c>
      <c r="S71" s="67">
        <v>10558316</v>
      </c>
      <c r="T71" s="66">
        <f>S71/U71-1</f>
        <v>2.1416601301929017E-3</v>
      </c>
      <c r="U71" s="67">
        <v>10535752</v>
      </c>
      <c r="V71" s="66">
        <f>U71/W71-1</f>
        <v>-3.6591987892320432E-3</v>
      </c>
      <c r="W71" s="67">
        <v>10574446</v>
      </c>
      <c r="X71" s="66">
        <f>W71/Y71-1</f>
        <v>2.8738575904114105E-2</v>
      </c>
      <c r="Y71" s="67">
        <v>10279041</v>
      </c>
      <c r="Z71" s="66">
        <f>Y71/AA71-1</f>
        <v>-1.5699543204777955E-3</v>
      </c>
      <c r="AA71" s="76">
        <v>10295204</v>
      </c>
      <c r="AC71" s="24"/>
    </row>
    <row r="72" spans="1:29" ht="14.25" customHeight="1" x14ac:dyDescent="0.2">
      <c r="A72" s="51"/>
      <c r="B72" s="45"/>
      <c r="C72" s="103"/>
      <c r="D72" s="45"/>
      <c r="E72" s="103"/>
      <c r="F72" s="45"/>
      <c r="G72" s="103"/>
      <c r="H72" s="45"/>
      <c r="I72" s="111"/>
      <c r="J72" s="69"/>
      <c r="K72" s="69"/>
      <c r="L72" s="69"/>
      <c r="M72" s="69"/>
      <c r="N72" s="69"/>
      <c r="O72" s="69"/>
      <c r="P72" s="69"/>
      <c r="Q72" s="69"/>
      <c r="R72" s="69"/>
      <c r="S72" s="68"/>
      <c r="T72" s="66"/>
      <c r="U72" s="68"/>
      <c r="V72" s="66"/>
      <c r="W72" s="68"/>
      <c r="X72" s="66"/>
      <c r="Y72" s="68"/>
      <c r="Z72" s="66"/>
      <c r="AA72" s="76"/>
    </row>
    <row r="73" spans="1:29" ht="14.25" customHeight="1" thickBot="1" x14ac:dyDescent="0.25">
      <c r="A73" s="53" t="s">
        <v>0</v>
      </c>
      <c r="B73" s="77"/>
      <c r="C73" s="106">
        <f>SUM(C5:C71)</f>
        <v>7780543600</v>
      </c>
      <c r="D73" s="79">
        <f>C73/E73-1</f>
        <v>-1.0121023065478241E-2</v>
      </c>
      <c r="E73" s="106">
        <f>SUM(E5:E71)</f>
        <v>7860095811</v>
      </c>
      <c r="F73" s="79">
        <f>E73/G73-1</f>
        <v>6.1283302729315814E-3</v>
      </c>
      <c r="G73" s="106">
        <f>SUM(G5:G71)</f>
        <v>7812219947</v>
      </c>
      <c r="H73" s="79">
        <f>G73/I73-1</f>
        <v>5.6065406565646292E-3</v>
      </c>
      <c r="I73" s="106">
        <f>SUM(I5:I71)</f>
        <v>7768664613</v>
      </c>
      <c r="J73" s="79">
        <f>I73/K73-1</f>
        <v>-8.2424356174548574E-4</v>
      </c>
      <c r="K73" s="78">
        <f>SUM(K5:K71)</f>
        <v>7775073167</v>
      </c>
      <c r="L73" s="79">
        <f>K73/M73-1</f>
        <v>-4.9724614668272826E-3</v>
      </c>
      <c r="M73" s="78">
        <f>SUM(M5:M71)</f>
        <v>7813927621</v>
      </c>
      <c r="N73" s="79">
        <f>M73/O73-1</f>
        <v>-1.8647297777679706E-3</v>
      </c>
      <c r="O73" s="78">
        <f>SUM(O5:O71)</f>
        <v>7828525706</v>
      </c>
      <c r="P73" s="79">
        <f>O73/Q73-1</f>
        <v>7.2492527069472068E-3</v>
      </c>
      <c r="Q73" s="78">
        <f>SUM(Q5:Q71)</f>
        <v>7772183186</v>
      </c>
      <c r="R73" s="79">
        <f>Q73/S73-1</f>
        <v>7.1834115080318117E-3</v>
      </c>
      <c r="S73" s="78">
        <f>SUM(S5:S71)</f>
        <v>7716750591</v>
      </c>
      <c r="T73" s="79">
        <f>S73/U73-1</f>
        <v>1.4804529421041934E-3</v>
      </c>
      <c r="U73" s="78">
        <f>SUM(U5:U71)</f>
        <v>7705343193</v>
      </c>
      <c r="V73" s="79">
        <f>U73/W73-1</f>
        <v>-7.7896917735934545E-3</v>
      </c>
      <c r="W73" s="78">
        <f>SUM(W5:W71)</f>
        <v>7765836667</v>
      </c>
      <c r="X73" s="79">
        <f>W73/Y73-1</f>
        <v>-4.1072808590735921E-2</v>
      </c>
      <c r="Y73" s="78">
        <f>SUM(Y5:Y71)</f>
        <v>8098463300</v>
      </c>
      <c r="Z73" s="79">
        <f>Y73/AA73-1</f>
        <v>-4.146840796005602E-2</v>
      </c>
      <c r="AA73" s="80">
        <f>SUM(AA5:AA71)</f>
        <v>8448822519</v>
      </c>
    </row>
    <row r="75" spans="1:29" x14ac:dyDescent="0.2">
      <c r="A75" s="25" t="s">
        <v>134</v>
      </c>
      <c r="B75" s="26"/>
      <c r="C75" s="107"/>
      <c r="D75" s="26"/>
      <c r="E75" s="107"/>
      <c r="F75" s="26"/>
      <c r="G75" s="107"/>
      <c r="H75" s="26"/>
      <c r="I75" s="107"/>
      <c r="J75" s="26"/>
      <c r="K75" s="26"/>
      <c r="L75" s="26"/>
      <c r="M75" s="26"/>
      <c r="N75" s="26"/>
      <c r="O75" s="26"/>
      <c r="P75" s="26"/>
      <c r="Q75" s="26"/>
      <c r="R75" s="26"/>
      <c r="S75" s="26"/>
    </row>
  </sheetData>
  <phoneticPr fontId="2" type="noConversion"/>
  <conditionalFormatting sqref="M4:AA73 A4:B73 G5:G71 G72:H72 G4:H4">
    <cfRule type="expression" dxfId="66" priority="19" stopIfTrue="1">
      <formula>MOD(ROW(),3)=1</formula>
    </cfRule>
  </conditionalFormatting>
  <conditionalFormatting sqref="K4:L73">
    <cfRule type="expression" dxfId="65" priority="18" stopIfTrue="1">
      <formula>MOD(ROW(),3)=1</formula>
    </cfRule>
  </conditionalFormatting>
  <conditionalFormatting sqref="I4:J4 I72:J72 I5:I71">
    <cfRule type="expression" dxfId="64" priority="17" stopIfTrue="1">
      <formula>MOD(ROW(),3)=1</formula>
    </cfRule>
  </conditionalFormatting>
  <conditionalFormatting sqref="J5:J71">
    <cfRule type="expression" dxfId="63" priority="16" stopIfTrue="1">
      <formula>MOD(ROW(),3)=1</formula>
    </cfRule>
  </conditionalFormatting>
  <conditionalFormatting sqref="I73:J73">
    <cfRule type="expression" dxfId="62" priority="15" stopIfTrue="1">
      <formula>MOD(ROW(),3)=1</formula>
    </cfRule>
  </conditionalFormatting>
  <conditionalFormatting sqref="H5:H71">
    <cfRule type="expression" dxfId="61" priority="14" stopIfTrue="1">
      <formula>MOD(ROW(),3)=1</formula>
    </cfRule>
  </conditionalFormatting>
  <conditionalFormatting sqref="G73">
    <cfRule type="expression" dxfId="60" priority="13" stopIfTrue="1">
      <formula>MOD(ROW(),3)=1</formula>
    </cfRule>
  </conditionalFormatting>
  <conditionalFormatting sqref="H73">
    <cfRule type="expression" dxfId="59" priority="12" stopIfTrue="1">
      <formula>MOD(ROW(),3)=1</formula>
    </cfRule>
  </conditionalFormatting>
  <conditionalFormatting sqref="E5:E71 E72:F72 E4:F4">
    <cfRule type="expression" dxfId="58" priority="11" stopIfTrue="1">
      <formula>MOD(ROW(),3)=1</formula>
    </cfRule>
  </conditionalFormatting>
  <conditionalFormatting sqref="F5:F71">
    <cfRule type="expression" dxfId="57" priority="7" stopIfTrue="1">
      <formula>MOD(ROW(),3)=1</formula>
    </cfRule>
  </conditionalFormatting>
  <conditionalFormatting sqref="F73">
    <cfRule type="expression" dxfId="56" priority="6" stopIfTrue="1">
      <formula>MOD(ROW(),3)=1</formula>
    </cfRule>
  </conditionalFormatting>
  <conditionalFormatting sqref="E73">
    <cfRule type="expression" dxfId="55" priority="5" stopIfTrue="1">
      <formula>MOD(ROW(),3)=1</formula>
    </cfRule>
  </conditionalFormatting>
  <conditionalFormatting sqref="C5:C71 C72:D72 C4:D4">
    <cfRule type="expression" dxfId="54" priority="4" stopIfTrue="1">
      <formula>MOD(ROW(),3)=1</formula>
    </cfRule>
  </conditionalFormatting>
  <conditionalFormatting sqref="D5:D71">
    <cfRule type="expression" dxfId="53" priority="3" stopIfTrue="1">
      <formula>MOD(ROW(),3)=1</formula>
    </cfRule>
  </conditionalFormatting>
  <conditionalFormatting sqref="D73">
    <cfRule type="expression" dxfId="52" priority="2" stopIfTrue="1">
      <formula>MOD(ROW(),3)=1</formula>
    </cfRule>
  </conditionalFormatting>
  <conditionalFormatting sqref="C73">
    <cfRule type="expression" dxfId="51" priority="1" stopIfTrue="1">
      <formula>MOD(ROW(),3)=1</formula>
    </cfRule>
  </conditionalFormatting>
  <pageMargins left="0.75" right="0.75" top="1" bottom="1" header="0.5" footer="0.5"/>
  <pageSetup orientation="portrait" r:id="rId1"/>
  <headerFooter alignWithMargins="0"/>
  <ignoredErrors>
    <ignoredError sqref="W73:Y73 Z73 U73:V73 S73:T73 P73:Q73 R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C75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38.140625" style="23" customWidth="1"/>
    <col min="2" max="2" width="9.28515625" style="47" bestFit="1" customWidth="1"/>
    <col min="3" max="3" width="15.42578125" style="47" bestFit="1" customWidth="1"/>
    <col min="4" max="4" width="16.42578125" style="47" bestFit="1" customWidth="1"/>
    <col min="5" max="5" width="15.42578125" style="47" bestFit="1" customWidth="1"/>
    <col min="6" max="6" width="16.42578125" style="47" bestFit="1" customWidth="1"/>
    <col min="7" max="7" width="15.42578125" style="47" bestFit="1" customWidth="1"/>
    <col min="8" max="8" width="16.42578125" style="47" bestFit="1" customWidth="1"/>
    <col min="9" max="9" width="15.42578125" style="23" customWidth="1"/>
    <col min="10" max="10" width="16.42578125" style="23" customWidth="1"/>
    <col min="11" max="11" width="15.42578125" style="23" customWidth="1"/>
    <col min="12" max="12" width="16.42578125" style="23" customWidth="1"/>
    <col min="13" max="13" width="15.42578125" style="23" bestFit="1" customWidth="1"/>
    <col min="14" max="14" width="16.42578125" style="23" bestFit="1" customWidth="1"/>
    <col min="15" max="15" width="15.42578125" style="23" bestFit="1" customWidth="1"/>
    <col min="16" max="16" width="16.42578125" style="23" bestFit="1" customWidth="1"/>
    <col min="17" max="17" width="15.42578125" style="23" bestFit="1" customWidth="1"/>
    <col min="18" max="18" width="16.42578125" style="23" bestFit="1" customWidth="1"/>
    <col min="19" max="19" width="15.42578125" style="23" bestFit="1" customWidth="1"/>
    <col min="20" max="20" width="16.42578125" style="23" bestFit="1" customWidth="1"/>
    <col min="21" max="21" width="15.42578125" style="23" bestFit="1" customWidth="1"/>
    <col min="22" max="22" width="16.42578125" style="23" bestFit="1" customWidth="1"/>
    <col min="23" max="23" width="14.28515625" style="23" bestFit="1" customWidth="1"/>
    <col min="24" max="24" width="16.42578125" style="23" bestFit="1" customWidth="1"/>
    <col min="25" max="25" width="14.28515625" style="23" bestFit="1" customWidth="1"/>
    <col min="26" max="26" width="16.42578125" style="23" bestFit="1" customWidth="1"/>
    <col min="27" max="27" width="14.28515625" style="23" bestFit="1" customWidth="1"/>
    <col min="28" max="16384" width="9.140625" style="2"/>
  </cols>
  <sheetData>
    <row r="1" spans="1:29" ht="23.25" x14ac:dyDescent="0.2">
      <c r="A1" s="14" t="s">
        <v>78</v>
      </c>
      <c r="B1" s="40"/>
      <c r="C1" s="40"/>
      <c r="D1" s="40"/>
      <c r="E1" s="40"/>
      <c r="F1" s="40"/>
      <c r="G1" s="40"/>
      <c r="H1" s="40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9" ht="15" x14ac:dyDescent="0.2">
      <c r="A2" s="21" t="s">
        <v>139</v>
      </c>
      <c r="B2" s="40"/>
      <c r="C2" s="40"/>
      <c r="D2" s="40"/>
      <c r="E2" s="40"/>
      <c r="F2" s="40"/>
      <c r="G2" s="40"/>
      <c r="H2" s="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9" ht="15.75" thickBot="1" x14ac:dyDescent="0.25">
      <c r="A3" s="22"/>
      <c r="B3" s="40"/>
      <c r="C3" s="40"/>
      <c r="D3" s="40"/>
      <c r="E3" s="40"/>
      <c r="F3" s="40"/>
      <c r="G3" s="40"/>
      <c r="H3" s="40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29" s="62" customFormat="1" ht="28.5" customHeight="1" x14ac:dyDescent="0.2">
      <c r="A4" s="72" t="s">
        <v>68</v>
      </c>
      <c r="B4" s="73" t="s">
        <v>67</v>
      </c>
      <c r="C4" s="73" t="s">
        <v>140</v>
      </c>
      <c r="D4" s="73" t="s">
        <v>141</v>
      </c>
      <c r="E4" s="73" t="s">
        <v>130</v>
      </c>
      <c r="F4" s="73" t="s">
        <v>129</v>
      </c>
      <c r="G4" s="73" t="s">
        <v>122</v>
      </c>
      <c r="H4" s="73" t="s">
        <v>123</v>
      </c>
      <c r="I4" s="73" t="s">
        <v>119</v>
      </c>
      <c r="J4" s="73" t="s">
        <v>120</v>
      </c>
      <c r="K4" s="73" t="s">
        <v>116</v>
      </c>
      <c r="L4" s="73" t="s">
        <v>117</v>
      </c>
      <c r="M4" s="73" t="s">
        <v>113</v>
      </c>
      <c r="N4" s="73" t="s">
        <v>112</v>
      </c>
      <c r="O4" s="73" t="s">
        <v>103</v>
      </c>
      <c r="P4" s="73" t="s">
        <v>104</v>
      </c>
      <c r="Q4" s="73" t="s">
        <v>101</v>
      </c>
      <c r="R4" s="73" t="s">
        <v>102</v>
      </c>
      <c r="S4" s="73" t="s">
        <v>94</v>
      </c>
      <c r="T4" s="73" t="s">
        <v>95</v>
      </c>
      <c r="U4" s="73" t="s">
        <v>91</v>
      </c>
      <c r="V4" s="73" t="s">
        <v>92</v>
      </c>
      <c r="W4" s="73" t="s">
        <v>89</v>
      </c>
      <c r="X4" s="73" t="s">
        <v>90</v>
      </c>
      <c r="Y4" s="73" t="s">
        <v>70</v>
      </c>
      <c r="Z4" s="73" t="s">
        <v>71</v>
      </c>
      <c r="AA4" s="74" t="s">
        <v>72</v>
      </c>
    </row>
    <row r="5" spans="1:29" ht="14.25" customHeight="1" x14ac:dyDescent="0.2">
      <c r="A5" s="51" t="s">
        <v>66</v>
      </c>
      <c r="B5" s="45" t="s">
        <v>132</v>
      </c>
      <c r="C5" s="43">
        <v>1017545800</v>
      </c>
      <c r="D5" s="102">
        <f>C5/E5-1</f>
        <v>0.38862650791176412</v>
      </c>
      <c r="E5" s="43">
        <v>732771407</v>
      </c>
      <c r="F5" s="102">
        <f>E5/G5-1</f>
        <v>-0.23374412302048897</v>
      </c>
      <c r="G5" s="43">
        <v>956301190</v>
      </c>
      <c r="H5" s="102">
        <f>G5/I5-1</f>
        <v>4.4429634038799071E-2</v>
      </c>
      <c r="I5" s="65">
        <v>915620506</v>
      </c>
      <c r="J5" s="66">
        <f>I5/K5-1</f>
        <v>0.27999130598377953</v>
      </c>
      <c r="K5" s="65">
        <v>715333379</v>
      </c>
      <c r="L5" s="66">
        <f>K5/M5-1</f>
        <v>1.9416114938749174</v>
      </c>
      <c r="M5" s="65">
        <v>243177381</v>
      </c>
      <c r="N5" s="66">
        <f>M5/O5-1</f>
        <v>0.92921319415790693</v>
      </c>
      <c r="O5" s="65">
        <v>126050030</v>
      </c>
      <c r="P5" s="66">
        <f>O5/Q5-1</f>
        <v>0.11521904250438952</v>
      </c>
      <c r="Q5" s="65">
        <v>113027150</v>
      </c>
      <c r="R5" s="66">
        <f>Q5/S5-1</f>
        <v>-0.49861197674650726</v>
      </c>
      <c r="S5" s="67">
        <v>225428500</v>
      </c>
      <c r="T5" s="66">
        <f t="shared" ref="T5:T68" si="0">S5/U5-1</f>
        <v>2.5891100044937811</v>
      </c>
      <c r="U5" s="67">
        <v>62809025</v>
      </c>
      <c r="V5" s="66">
        <f t="shared" ref="V5:V68" si="1">U5/W5-1</f>
        <v>-3.6755000052986153E-2</v>
      </c>
      <c r="W5" s="67">
        <v>65205659</v>
      </c>
      <c r="X5" s="66">
        <f t="shared" ref="X5:X68" si="2">W5/Y5-1</f>
        <v>-0.33933936225033101</v>
      </c>
      <c r="Y5" s="71">
        <v>98697660</v>
      </c>
      <c r="Z5" s="66">
        <f>Y5/AA5-1</f>
        <v>-0.33505555557277278</v>
      </c>
      <c r="AA5" s="75">
        <v>148429934</v>
      </c>
      <c r="AC5" s="24"/>
    </row>
    <row r="6" spans="1:29" ht="14.25" customHeight="1" x14ac:dyDescent="0.2">
      <c r="A6" s="51" t="s">
        <v>65</v>
      </c>
      <c r="B6" s="45" t="s">
        <v>133</v>
      </c>
      <c r="C6" s="43">
        <v>13101813</v>
      </c>
      <c r="D6" s="102">
        <f>C6/E6-1</f>
        <v>-1.4093872967245069E-2</v>
      </c>
      <c r="E6" s="43">
        <v>13289108</v>
      </c>
      <c r="F6" s="102">
        <f>E6/G6-1</f>
        <v>1.2093452766796351</v>
      </c>
      <c r="G6" s="43">
        <v>6014953</v>
      </c>
      <c r="H6" s="102">
        <f>G6/I6-1</f>
        <v>1.0250185165234722</v>
      </c>
      <c r="I6" s="65">
        <v>2970320</v>
      </c>
      <c r="J6" s="66">
        <f t="shared" ref="J6:J69" si="3">I6/K6-1</f>
        <v>0.4973725706865193</v>
      </c>
      <c r="K6" s="65">
        <v>1983688</v>
      </c>
      <c r="L6" s="66">
        <f>K6/M6-1</f>
        <v>4.2368103143412883E-2</v>
      </c>
      <c r="M6" s="65">
        <v>1903059</v>
      </c>
      <c r="N6" s="66">
        <f>M6/O6-1</f>
        <v>2.0468004783792741</v>
      </c>
      <c r="O6" s="65">
        <v>624609</v>
      </c>
      <c r="P6" s="66">
        <f>O6/Q6-1</f>
        <v>-0.6802028117785659</v>
      </c>
      <c r="Q6" s="65">
        <v>1953141</v>
      </c>
      <c r="R6" s="66">
        <f>Q6/S6-1</f>
        <v>2.4656828126608064</v>
      </c>
      <c r="S6" s="67">
        <v>563566</v>
      </c>
      <c r="T6" s="66">
        <f t="shared" si="0"/>
        <v>-0.52991116486633016</v>
      </c>
      <c r="U6" s="67">
        <v>1198850</v>
      </c>
      <c r="V6" s="66">
        <f t="shared" si="1"/>
        <v>0.37758631388077513</v>
      </c>
      <c r="W6" s="67">
        <v>870254</v>
      </c>
      <c r="X6" s="66">
        <f t="shared" si="2"/>
        <v>0.30977135357719066</v>
      </c>
      <c r="Y6" s="71">
        <v>664432</v>
      </c>
      <c r="Z6" s="66">
        <f>Y6/AA6-1</f>
        <v>-0.83365704056980483</v>
      </c>
      <c r="AA6" s="75">
        <v>3994350</v>
      </c>
      <c r="AC6" s="24"/>
    </row>
    <row r="7" spans="1:29" ht="14.25" customHeight="1" x14ac:dyDescent="0.2">
      <c r="A7" s="51" t="s">
        <v>64</v>
      </c>
      <c r="B7" s="45" t="s">
        <v>132</v>
      </c>
      <c r="C7" s="43">
        <v>727632472</v>
      </c>
      <c r="D7" s="102">
        <f t="shared" ref="D7:D70" si="4">C7/E7-1</f>
        <v>0.43692792453221641</v>
      </c>
      <c r="E7" s="43">
        <v>506380633</v>
      </c>
      <c r="F7" s="102">
        <f t="shared" ref="F7:H70" si="5">E7/G7-1</f>
        <v>0.60047844062026012</v>
      </c>
      <c r="G7" s="43">
        <v>316393286</v>
      </c>
      <c r="H7" s="102">
        <f t="shared" si="5"/>
        <v>0.1669823185997128</v>
      </c>
      <c r="I7" s="65">
        <v>271120891</v>
      </c>
      <c r="J7" s="66">
        <f t="shared" si="3"/>
        <v>0.15436123282819869</v>
      </c>
      <c r="K7" s="65">
        <v>234866594</v>
      </c>
      <c r="L7" s="66">
        <f t="shared" ref="L7:L70" si="6">K7/M7-1</f>
        <v>0.28214867235774888</v>
      </c>
      <c r="M7" s="65">
        <v>183182028</v>
      </c>
      <c r="N7" s="66">
        <f t="shared" ref="N7:N70" si="7">M7/O7-1</f>
        <v>-0.12834537358583298</v>
      </c>
      <c r="O7" s="65">
        <v>210154369</v>
      </c>
      <c r="P7" s="66">
        <f t="shared" ref="P7:P70" si="8">O7/Q7-1</f>
        <v>4.071844755708387E-2</v>
      </c>
      <c r="Q7" s="65">
        <v>201932011</v>
      </c>
      <c r="R7" s="66">
        <f t="shared" ref="R7:R70" si="9">Q7/S7-1</f>
        <v>0.31434987671315251</v>
      </c>
      <c r="S7" s="67">
        <v>153636421</v>
      </c>
      <c r="T7" s="66">
        <f t="shared" si="0"/>
        <v>7.0970372089733669E-2</v>
      </c>
      <c r="U7" s="67">
        <v>143455342</v>
      </c>
      <c r="V7" s="66">
        <f t="shared" si="1"/>
        <v>-8.9062126291846733E-3</v>
      </c>
      <c r="W7" s="67">
        <v>144744467</v>
      </c>
      <c r="X7" s="66">
        <f t="shared" si="2"/>
        <v>-0.26651911254166383</v>
      </c>
      <c r="Y7" s="71">
        <v>197339112</v>
      </c>
      <c r="Z7" s="66">
        <f t="shared" ref="Z7:Z70" si="10">Y7/AA7-1</f>
        <v>0.31708052830370681</v>
      </c>
      <c r="AA7" s="75">
        <v>149830711</v>
      </c>
      <c r="AC7" s="24"/>
    </row>
    <row r="8" spans="1:29" ht="14.25" customHeight="1" x14ac:dyDescent="0.2">
      <c r="A8" s="51" t="s">
        <v>63</v>
      </c>
      <c r="B8" s="45" t="s">
        <v>133</v>
      </c>
      <c r="C8" s="43">
        <v>8043434</v>
      </c>
      <c r="D8" s="102">
        <f t="shared" si="4"/>
        <v>1.5393579240708859</v>
      </c>
      <c r="E8" s="43">
        <v>3167507</v>
      </c>
      <c r="F8" s="102">
        <f t="shared" si="5"/>
        <v>1.6093212833124593E-2</v>
      </c>
      <c r="G8" s="43">
        <v>3117339</v>
      </c>
      <c r="H8" s="102">
        <f t="shared" si="5"/>
        <v>-0.1582517193613453</v>
      </c>
      <c r="I8" s="65">
        <v>3703410</v>
      </c>
      <c r="J8" s="66">
        <f t="shared" si="3"/>
        <v>-0.22127871098571461</v>
      </c>
      <c r="K8" s="65">
        <v>4755758</v>
      </c>
      <c r="L8" s="66">
        <f t="shared" si="6"/>
        <v>8.3616574344186123E-2</v>
      </c>
      <c r="M8" s="65">
        <v>4388783</v>
      </c>
      <c r="N8" s="66">
        <f t="shared" si="7"/>
        <v>3.7146522090729883E-2</v>
      </c>
      <c r="O8" s="65">
        <v>4231594</v>
      </c>
      <c r="P8" s="66">
        <f t="shared" si="8"/>
        <v>-0.27429970147738425</v>
      </c>
      <c r="Q8" s="65">
        <v>5831049</v>
      </c>
      <c r="R8" s="66">
        <f t="shared" si="9"/>
        <v>3.2652376180409766</v>
      </c>
      <c r="S8" s="67">
        <v>1367110</v>
      </c>
      <c r="T8" s="66">
        <f t="shared" si="0"/>
        <v>1.4558671100165088</v>
      </c>
      <c r="U8" s="67">
        <v>556671</v>
      </c>
      <c r="V8" s="66">
        <f t="shared" si="1"/>
        <v>-0.37255297565374212</v>
      </c>
      <c r="W8" s="67">
        <v>887200</v>
      </c>
      <c r="X8" s="66">
        <f t="shared" si="2"/>
        <v>0.43311278817326571</v>
      </c>
      <c r="Y8" s="71">
        <v>619072</v>
      </c>
      <c r="Z8" s="66">
        <f t="shared" si="10"/>
        <v>-0.15445804195804191</v>
      </c>
      <c r="AA8" s="75">
        <v>732160</v>
      </c>
      <c r="AC8" s="24"/>
    </row>
    <row r="9" spans="1:29" ht="14.25" customHeight="1" x14ac:dyDescent="0.2">
      <c r="A9" s="51" t="s">
        <v>62</v>
      </c>
      <c r="B9" s="45" t="s">
        <v>132</v>
      </c>
      <c r="C9" s="43">
        <v>1458250839</v>
      </c>
      <c r="D9" s="102">
        <f t="shared" si="4"/>
        <v>-0.29214848444041575</v>
      </c>
      <c r="E9" s="43">
        <v>2060108380</v>
      </c>
      <c r="F9" s="102">
        <f t="shared" si="5"/>
        <v>0.3982279395014201</v>
      </c>
      <c r="G9" s="43">
        <v>1473370916</v>
      </c>
      <c r="H9" s="102">
        <f t="shared" si="5"/>
        <v>2.1666869989367621E-2</v>
      </c>
      <c r="I9" s="65">
        <v>1442124590</v>
      </c>
      <c r="J9" s="66">
        <f t="shared" si="3"/>
        <v>2.2106914614335338E-2</v>
      </c>
      <c r="K9" s="65">
        <v>1410933210</v>
      </c>
      <c r="L9" s="66">
        <f t="shared" si="6"/>
        <v>0.82547518553320964</v>
      </c>
      <c r="M9" s="65">
        <v>772912840</v>
      </c>
      <c r="N9" s="66">
        <f t="shared" si="7"/>
        <v>0.45921192918577436</v>
      </c>
      <c r="O9" s="65">
        <v>529678263</v>
      </c>
      <c r="P9" s="66">
        <f t="shared" si="8"/>
        <v>0.34379392776429918</v>
      </c>
      <c r="Q9" s="65">
        <v>394166287</v>
      </c>
      <c r="R9" s="66">
        <f t="shared" si="9"/>
        <v>1.5442853703342712</v>
      </c>
      <c r="S9" s="67">
        <v>154922200</v>
      </c>
      <c r="T9" s="66">
        <f t="shared" si="0"/>
        <v>1.8300251688181395</v>
      </c>
      <c r="U9" s="67">
        <v>54742340</v>
      </c>
      <c r="V9" s="66">
        <f t="shared" si="1"/>
        <v>6.1065374233944381</v>
      </c>
      <c r="W9" s="67">
        <v>7703096</v>
      </c>
      <c r="X9" s="66">
        <f t="shared" si="2"/>
        <v>-0.37412501077575433</v>
      </c>
      <c r="Y9" s="71">
        <v>12307723</v>
      </c>
      <c r="Z9" s="66">
        <f t="shared" si="10"/>
        <v>-0.55110954264188772</v>
      </c>
      <c r="AA9" s="75">
        <v>27418099</v>
      </c>
      <c r="AC9" s="24"/>
    </row>
    <row r="10" spans="1:29" ht="14.25" customHeight="1" x14ac:dyDescent="0.2">
      <c r="A10" s="51" t="s">
        <v>61</v>
      </c>
      <c r="B10" s="45" t="s">
        <v>132</v>
      </c>
      <c r="C10" s="43">
        <v>6117417380</v>
      </c>
      <c r="D10" s="102">
        <f t="shared" si="4"/>
        <v>4.3551267167684315E-2</v>
      </c>
      <c r="E10" s="43">
        <v>5862114850</v>
      </c>
      <c r="F10" s="102">
        <f t="shared" si="5"/>
        <v>-0.1364286510359829</v>
      </c>
      <c r="G10" s="43">
        <v>6788222950</v>
      </c>
      <c r="H10" s="102">
        <f t="shared" si="5"/>
        <v>1.8579258306829161E-2</v>
      </c>
      <c r="I10" s="65">
        <v>6664403280</v>
      </c>
      <c r="J10" s="66">
        <f t="shared" si="3"/>
        <v>-0.15645539745299986</v>
      </c>
      <c r="K10" s="65">
        <v>7900475280</v>
      </c>
      <c r="L10" s="66">
        <f t="shared" si="6"/>
        <v>4.1563117955428552E-2</v>
      </c>
      <c r="M10" s="65">
        <v>7585210290</v>
      </c>
      <c r="N10" s="66">
        <f t="shared" si="7"/>
        <v>0.21624626363672217</v>
      </c>
      <c r="O10" s="65">
        <v>6236574382</v>
      </c>
      <c r="P10" s="66">
        <f t="shared" si="8"/>
        <v>0.26740582677202274</v>
      </c>
      <c r="Q10" s="65">
        <v>4920739869</v>
      </c>
      <c r="R10" s="66">
        <f t="shared" si="9"/>
        <v>1.1085467981671839</v>
      </c>
      <c r="S10" s="67">
        <v>2333711480</v>
      </c>
      <c r="T10" s="66">
        <f t="shared" si="0"/>
        <v>0.22419780161028258</v>
      </c>
      <c r="U10" s="67">
        <v>1906318960</v>
      </c>
      <c r="V10" s="66">
        <f t="shared" si="1"/>
        <v>0.3113810597872877</v>
      </c>
      <c r="W10" s="67">
        <v>1453672787</v>
      </c>
      <c r="X10" s="66">
        <f t="shared" si="2"/>
        <v>0.5123739327105743</v>
      </c>
      <c r="Y10" s="71">
        <v>961186090</v>
      </c>
      <c r="Z10" s="66">
        <f t="shared" si="10"/>
        <v>8.5234610236272657E-2</v>
      </c>
      <c r="AA10" s="75">
        <v>885694283</v>
      </c>
      <c r="AC10" s="24"/>
    </row>
    <row r="11" spans="1:29" ht="14.25" customHeight="1" x14ac:dyDescent="0.2">
      <c r="A11" s="51" t="s">
        <v>60</v>
      </c>
      <c r="B11" s="45" t="s">
        <v>133</v>
      </c>
      <c r="C11" s="43">
        <v>2051855</v>
      </c>
      <c r="D11" s="102">
        <f t="shared" si="4"/>
        <v>-2.2305516032059547E-3</v>
      </c>
      <c r="E11" s="43">
        <v>2056442</v>
      </c>
      <c r="F11" s="102">
        <f t="shared" si="5"/>
        <v>4.3327092431047536</v>
      </c>
      <c r="G11" s="43">
        <v>385628</v>
      </c>
      <c r="H11" s="102">
        <f t="shared" si="5"/>
        <v>-0.1215422920705358</v>
      </c>
      <c r="I11" s="65">
        <v>438983</v>
      </c>
      <c r="J11" s="66">
        <f t="shared" si="3"/>
        <v>0.1194947542371585</v>
      </c>
      <c r="K11" s="65">
        <v>392126</v>
      </c>
      <c r="L11" s="66">
        <f t="shared" si="6"/>
        <v>-0.37020315664535364</v>
      </c>
      <c r="M11" s="65">
        <v>622623</v>
      </c>
      <c r="N11" s="66">
        <f t="shared" si="7"/>
        <v>-0.32028427792424718</v>
      </c>
      <c r="O11" s="65">
        <v>916005</v>
      </c>
      <c r="P11" s="66">
        <f t="shared" si="8"/>
        <v>-7.350241484815534E-2</v>
      </c>
      <c r="Q11" s="65">
        <v>988675</v>
      </c>
      <c r="R11" s="66">
        <f t="shared" si="9"/>
        <v>-7.0945231649365281E-2</v>
      </c>
      <c r="S11" s="67">
        <v>1064173</v>
      </c>
      <c r="T11" s="66">
        <f t="shared" si="0"/>
        <v>0.25742694757240248</v>
      </c>
      <c r="U11" s="67">
        <v>846310</v>
      </c>
      <c r="V11" s="66">
        <f t="shared" si="1"/>
        <v>0.262420064828226</v>
      </c>
      <c r="W11" s="67">
        <v>670387</v>
      </c>
      <c r="X11" s="66">
        <f t="shared" si="2"/>
        <v>5.5842288374642335E-2</v>
      </c>
      <c r="Y11" s="71">
        <v>634931</v>
      </c>
      <c r="Z11" s="66">
        <f t="shared" si="10"/>
        <v>4.1647279885468862</v>
      </c>
      <c r="AA11" s="75">
        <v>122936</v>
      </c>
      <c r="AC11" s="24"/>
    </row>
    <row r="12" spans="1:29" ht="14.25" customHeight="1" x14ac:dyDescent="0.2">
      <c r="A12" s="51" t="s">
        <v>59</v>
      </c>
      <c r="B12" s="45" t="s">
        <v>132</v>
      </c>
      <c r="C12" s="43">
        <v>767536640</v>
      </c>
      <c r="D12" s="102">
        <f t="shared" si="4"/>
        <v>0.25175101618371576</v>
      </c>
      <c r="E12" s="43">
        <v>613170375</v>
      </c>
      <c r="F12" s="102">
        <f t="shared" si="5"/>
        <v>-7.9614846194769218E-2</v>
      </c>
      <c r="G12" s="43">
        <v>666210632</v>
      </c>
      <c r="H12" s="102">
        <f t="shared" si="5"/>
        <v>-0.18273189265291179</v>
      </c>
      <c r="I12" s="65">
        <v>815167784</v>
      </c>
      <c r="J12" s="66">
        <f t="shared" si="3"/>
        <v>4.9143977295771135E-2</v>
      </c>
      <c r="K12" s="65">
        <v>776983714</v>
      </c>
      <c r="L12" s="66">
        <f t="shared" si="6"/>
        <v>5.7671413715257858E-2</v>
      </c>
      <c r="M12" s="65">
        <v>734617296</v>
      </c>
      <c r="N12" s="66">
        <f t="shared" si="7"/>
        <v>0.15851479899918974</v>
      </c>
      <c r="O12" s="65">
        <v>634102643</v>
      </c>
      <c r="P12" s="66">
        <f t="shared" si="8"/>
        <v>0.16977117094823702</v>
      </c>
      <c r="Q12" s="65">
        <v>542074090</v>
      </c>
      <c r="R12" s="66">
        <f t="shared" si="9"/>
        <v>0.70301805371503412</v>
      </c>
      <c r="S12" s="67">
        <v>318302022</v>
      </c>
      <c r="T12" s="66">
        <f t="shared" si="0"/>
        <v>0.82473008469388187</v>
      </c>
      <c r="U12" s="67">
        <v>174437866</v>
      </c>
      <c r="V12" s="66">
        <f t="shared" si="1"/>
        <v>0.6013669657436298</v>
      </c>
      <c r="W12" s="67">
        <v>108930601</v>
      </c>
      <c r="X12" s="66">
        <f t="shared" si="2"/>
        <v>-3.6217777022068631E-2</v>
      </c>
      <c r="Y12" s="71">
        <v>113024082</v>
      </c>
      <c r="Z12" s="66">
        <f t="shared" si="10"/>
        <v>1.623204630747499</v>
      </c>
      <c r="AA12" s="75">
        <v>43086262</v>
      </c>
      <c r="AC12" s="24"/>
    </row>
    <row r="13" spans="1:29" ht="14.25" customHeight="1" x14ac:dyDescent="0.2">
      <c r="A13" s="51" t="s">
        <v>58</v>
      </c>
      <c r="B13" s="45" t="s">
        <v>132</v>
      </c>
      <c r="C13" s="43">
        <v>293630977</v>
      </c>
      <c r="D13" s="102">
        <f t="shared" si="4"/>
        <v>6.4527314067416741E-2</v>
      </c>
      <c r="E13" s="43">
        <v>275832262</v>
      </c>
      <c r="F13" s="102">
        <f t="shared" si="5"/>
        <v>-9.2426377835367002E-2</v>
      </c>
      <c r="G13" s="43">
        <v>303922740</v>
      </c>
      <c r="H13" s="102">
        <f t="shared" si="5"/>
        <v>8.4000790137858772E-2</v>
      </c>
      <c r="I13" s="65">
        <v>280371327</v>
      </c>
      <c r="J13" s="66">
        <f t="shared" si="3"/>
        <v>0.26810824401693822</v>
      </c>
      <c r="K13" s="65">
        <v>221094160</v>
      </c>
      <c r="L13" s="66">
        <f t="shared" si="6"/>
        <v>1.8923132851002E-2</v>
      </c>
      <c r="M13" s="65">
        <v>216988066</v>
      </c>
      <c r="N13" s="66">
        <f t="shared" si="7"/>
        <v>0.54734614044477392</v>
      </c>
      <c r="O13" s="65">
        <v>140232402</v>
      </c>
      <c r="P13" s="66">
        <f t="shared" si="8"/>
        <v>0.26857474662569003</v>
      </c>
      <c r="Q13" s="65">
        <v>110543271</v>
      </c>
      <c r="R13" s="66">
        <f t="shared" si="9"/>
        <v>4.1243906974777866E-2</v>
      </c>
      <c r="S13" s="67">
        <v>106164627</v>
      </c>
      <c r="T13" s="66">
        <f t="shared" si="0"/>
        <v>0.21247172683362003</v>
      </c>
      <c r="U13" s="67">
        <v>87560497</v>
      </c>
      <c r="V13" s="66">
        <f t="shared" si="1"/>
        <v>0.58874768400423405</v>
      </c>
      <c r="W13" s="67">
        <v>55112903</v>
      </c>
      <c r="X13" s="66">
        <f t="shared" si="2"/>
        <v>-3.5011919102434286E-2</v>
      </c>
      <c r="Y13" s="71">
        <v>57112522</v>
      </c>
      <c r="Z13" s="66">
        <f t="shared" si="10"/>
        <v>0.11446423868330657</v>
      </c>
      <c r="AA13" s="75">
        <v>51246617</v>
      </c>
      <c r="AC13" s="24"/>
    </row>
    <row r="14" spans="1:29" ht="14.25" customHeight="1" x14ac:dyDescent="0.2">
      <c r="A14" s="51" t="s">
        <v>57</v>
      </c>
      <c r="B14" s="45" t="s">
        <v>132</v>
      </c>
      <c r="C14" s="43">
        <v>146773834</v>
      </c>
      <c r="D14" s="102">
        <f t="shared" si="4"/>
        <v>0.24550179771612157</v>
      </c>
      <c r="E14" s="43">
        <v>117843133</v>
      </c>
      <c r="F14" s="102">
        <f t="shared" si="5"/>
        <v>-5.9221809673178027E-2</v>
      </c>
      <c r="G14" s="43">
        <v>125261336</v>
      </c>
      <c r="H14" s="102">
        <f t="shared" si="5"/>
        <v>-0.14082324127498191</v>
      </c>
      <c r="I14" s="65">
        <v>145792277</v>
      </c>
      <c r="J14" s="66">
        <f t="shared" si="3"/>
        <v>0.11915419179913744</v>
      </c>
      <c r="K14" s="65">
        <v>130270054</v>
      </c>
      <c r="L14" s="66">
        <f t="shared" si="6"/>
        <v>3.4377239771792301E-2</v>
      </c>
      <c r="M14" s="65">
        <v>125940565</v>
      </c>
      <c r="N14" s="66">
        <f t="shared" si="7"/>
        <v>1.7134052758108935</v>
      </c>
      <c r="O14" s="65">
        <v>46414211</v>
      </c>
      <c r="P14" s="66">
        <f t="shared" si="8"/>
        <v>4.2681218279425615E-2</v>
      </c>
      <c r="Q14" s="65">
        <v>44514287</v>
      </c>
      <c r="R14" s="66">
        <f t="shared" si="9"/>
        <v>0.58010949803538292</v>
      </c>
      <c r="S14" s="67">
        <v>28171647</v>
      </c>
      <c r="T14" s="66">
        <f t="shared" si="0"/>
        <v>0.22391180530122234</v>
      </c>
      <c r="U14" s="67">
        <v>23017710</v>
      </c>
      <c r="V14" s="66">
        <f t="shared" si="1"/>
        <v>-0.16842043123316086</v>
      </c>
      <c r="W14" s="67">
        <v>27679504</v>
      </c>
      <c r="X14" s="66">
        <f t="shared" si="2"/>
        <v>-0.17004524473879312</v>
      </c>
      <c r="Y14" s="71">
        <v>33350618</v>
      </c>
      <c r="Z14" s="66">
        <f t="shared" si="10"/>
        <v>-0.19429067801200328</v>
      </c>
      <c r="AA14" s="75">
        <v>41392866</v>
      </c>
      <c r="AC14" s="24"/>
    </row>
    <row r="15" spans="1:29" ht="14.25" customHeight="1" x14ac:dyDescent="0.2">
      <c r="A15" s="51" t="s">
        <v>56</v>
      </c>
      <c r="B15" s="45" t="s">
        <v>132</v>
      </c>
      <c r="C15" s="43">
        <v>2433941918</v>
      </c>
      <c r="D15" s="102">
        <f t="shared" si="4"/>
        <v>-8.1905166308656852E-2</v>
      </c>
      <c r="E15" s="43">
        <v>2651078983</v>
      </c>
      <c r="F15" s="102">
        <f t="shared" si="5"/>
        <v>-6.5940310947260827E-2</v>
      </c>
      <c r="G15" s="43">
        <v>2838232946</v>
      </c>
      <c r="H15" s="102">
        <f t="shared" si="5"/>
        <v>0.32347129924391593</v>
      </c>
      <c r="I15" s="65">
        <v>2144536831</v>
      </c>
      <c r="J15" s="66">
        <f t="shared" si="3"/>
        <v>-0.31122123599558205</v>
      </c>
      <c r="K15" s="65">
        <v>3113535061</v>
      </c>
      <c r="L15" s="66">
        <f t="shared" si="6"/>
        <v>-0.1203193827218364</v>
      </c>
      <c r="M15" s="65">
        <v>3539392593</v>
      </c>
      <c r="N15" s="66">
        <f t="shared" si="7"/>
        <v>0.37687722264297507</v>
      </c>
      <c r="O15" s="65">
        <v>2570594193</v>
      </c>
      <c r="P15" s="66">
        <f t="shared" si="8"/>
        <v>0.87939984923093695</v>
      </c>
      <c r="Q15" s="65">
        <v>1367773970</v>
      </c>
      <c r="R15" s="66">
        <f t="shared" si="9"/>
        <v>1.8842301544414233</v>
      </c>
      <c r="S15" s="67">
        <v>474224974</v>
      </c>
      <c r="T15" s="66">
        <f t="shared" si="0"/>
        <v>0.72084443841571777</v>
      </c>
      <c r="U15" s="67">
        <v>275576899</v>
      </c>
      <c r="V15" s="66">
        <f t="shared" si="1"/>
        <v>1.4853001831430177</v>
      </c>
      <c r="W15" s="67">
        <v>110882742</v>
      </c>
      <c r="X15" s="66">
        <f t="shared" si="2"/>
        <v>0.78184799775808944</v>
      </c>
      <c r="Y15" s="71">
        <v>62229069</v>
      </c>
      <c r="Z15" s="66">
        <f t="shared" si="10"/>
        <v>6.1116570866043194</v>
      </c>
      <c r="AA15" s="75">
        <v>8750291</v>
      </c>
      <c r="AC15" s="24"/>
    </row>
    <row r="16" spans="1:29" ht="14.25" customHeight="1" x14ac:dyDescent="0.2">
      <c r="A16" s="51" t="s">
        <v>55</v>
      </c>
      <c r="B16" s="45" t="s">
        <v>133</v>
      </c>
      <c r="C16" s="43">
        <v>25912636</v>
      </c>
      <c r="D16" s="102">
        <f t="shared" si="4"/>
        <v>0.82486731972571037</v>
      </c>
      <c r="E16" s="43">
        <v>14199737</v>
      </c>
      <c r="F16" s="102">
        <f t="shared" si="5"/>
        <v>-0.30486386461238713</v>
      </c>
      <c r="G16" s="43">
        <v>20427275</v>
      </c>
      <c r="H16" s="102">
        <f t="shared" si="5"/>
        <v>0.58432162405089927</v>
      </c>
      <c r="I16" s="65">
        <v>12893389</v>
      </c>
      <c r="J16" s="66">
        <f t="shared" si="3"/>
        <v>0.2006222784745062</v>
      </c>
      <c r="K16" s="65">
        <v>10738922</v>
      </c>
      <c r="L16" s="66">
        <f t="shared" si="6"/>
        <v>1.4724142606675983E-2</v>
      </c>
      <c r="M16" s="65">
        <v>10583095</v>
      </c>
      <c r="N16" s="66">
        <f t="shared" si="7"/>
        <v>7.8074266762259148E-2</v>
      </c>
      <c r="O16" s="65">
        <v>9816666</v>
      </c>
      <c r="P16" s="66">
        <f t="shared" si="8"/>
        <v>9.0551830217220353E-3</v>
      </c>
      <c r="Q16" s="65">
        <v>9728572</v>
      </c>
      <c r="R16" s="66">
        <f t="shared" si="9"/>
        <v>1.3277927084649339</v>
      </c>
      <c r="S16" s="67">
        <v>4179312</v>
      </c>
      <c r="T16" s="66">
        <f t="shared" si="0"/>
        <v>-0.57745930354234343</v>
      </c>
      <c r="U16" s="67">
        <v>9890910</v>
      </c>
      <c r="V16" s="66">
        <f t="shared" si="1"/>
        <v>1.1871013578460738</v>
      </c>
      <c r="W16" s="67">
        <v>4522383</v>
      </c>
      <c r="X16" s="66">
        <f t="shared" si="2"/>
        <v>4.5643006738993908E-2</v>
      </c>
      <c r="Y16" s="71">
        <v>4324978</v>
      </c>
      <c r="Z16" s="66">
        <f t="shared" si="10"/>
        <v>-0.15742120874143417</v>
      </c>
      <c r="AA16" s="75">
        <v>5133025</v>
      </c>
      <c r="AC16" s="24"/>
    </row>
    <row r="17" spans="1:29" ht="14.25" customHeight="1" x14ac:dyDescent="0.2">
      <c r="A17" s="51" t="s">
        <v>93</v>
      </c>
      <c r="B17" s="45" t="s">
        <v>132</v>
      </c>
      <c r="C17" s="43">
        <v>18815864691</v>
      </c>
      <c r="D17" s="102">
        <f t="shared" si="4"/>
        <v>0.17035242561012764</v>
      </c>
      <c r="E17" s="43">
        <v>16077092916</v>
      </c>
      <c r="F17" s="102">
        <f t="shared" si="5"/>
        <v>-0.13171610542687484</v>
      </c>
      <c r="G17" s="43">
        <v>18515940485</v>
      </c>
      <c r="H17" s="102">
        <f t="shared" si="5"/>
        <v>-6.6244393889774877E-2</v>
      </c>
      <c r="I17" s="65">
        <v>19829536084</v>
      </c>
      <c r="J17" s="66">
        <f t="shared" si="3"/>
        <v>-4.0050235266066325E-2</v>
      </c>
      <c r="K17" s="65">
        <v>20656847694</v>
      </c>
      <c r="L17" s="66">
        <f t="shared" si="6"/>
        <v>-9.7102429066950102E-2</v>
      </c>
      <c r="M17" s="65">
        <v>22878395467</v>
      </c>
      <c r="N17" s="66">
        <f t="shared" si="7"/>
        <v>0.11302634260619482</v>
      </c>
      <c r="O17" s="65">
        <v>20555124880</v>
      </c>
      <c r="P17" s="66">
        <f t="shared" si="8"/>
        <v>0.5279019193435841</v>
      </c>
      <c r="Q17" s="65">
        <v>13453170403</v>
      </c>
      <c r="R17" s="66">
        <f t="shared" si="9"/>
        <v>1.022133156001451</v>
      </c>
      <c r="S17" s="67">
        <v>6652959704</v>
      </c>
      <c r="T17" s="66">
        <f t="shared" si="0"/>
        <v>0.73494643000478166</v>
      </c>
      <c r="U17" s="67">
        <v>3834677307</v>
      </c>
      <c r="V17" s="66">
        <f t="shared" si="1"/>
        <v>0.85939661497866315</v>
      </c>
      <c r="W17" s="67">
        <v>2062323485</v>
      </c>
      <c r="X17" s="66">
        <f t="shared" si="2"/>
        <v>1.8360670051079344</v>
      </c>
      <c r="Y17" s="71">
        <v>727177278</v>
      </c>
      <c r="Z17" s="66">
        <f t="shared" si="10"/>
        <v>0.13125435308127176</v>
      </c>
      <c r="AA17" s="75">
        <v>642806170</v>
      </c>
      <c r="AC17" s="24"/>
    </row>
    <row r="18" spans="1:29" ht="14.25" customHeight="1" x14ac:dyDescent="0.2">
      <c r="A18" s="51" t="s">
        <v>54</v>
      </c>
      <c r="B18" s="45" t="s">
        <v>132</v>
      </c>
      <c r="C18" s="43">
        <v>58147405</v>
      </c>
      <c r="D18" s="102">
        <f t="shared" si="4"/>
        <v>-3.7481643262156084E-3</v>
      </c>
      <c r="E18" s="43">
        <v>58366171</v>
      </c>
      <c r="F18" s="102">
        <f t="shared" si="5"/>
        <v>-0.2041939751800218</v>
      </c>
      <c r="G18" s="43">
        <v>73342208</v>
      </c>
      <c r="H18" s="102">
        <f t="shared" si="5"/>
        <v>1.0066534949453363</v>
      </c>
      <c r="I18" s="65">
        <v>36549513</v>
      </c>
      <c r="J18" s="66">
        <f t="shared" si="3"/>
        <v>0.39958956058467399</v>
      </c>
      <c r="K18" s="65">
        <v>26114451</v>
      </c>
      <c r="L18" s="66">
        <f t="shared" si="6"/>
        <v>0.51407282440438684</v>
      </c>
      <c r="M18" s="65">
        <v>17247817</v>
      </c>
      <c r="N18" s="66">
        <f t="shared" si="7"/>
        <v>0.15206628031603597</v>
      </c>
      <c r="O18" s="65">
        <v>14971202</v>
      </c>
      <c r="P18" s="66">
        <f t="shared" si="8"/>
        <v>-3.1464274154988092E-2</v>
      </c>
      <c r="Q18" s="65">
        <v>15457563</v>
      </c>
      <c r="R18" s="66">
        <f t="shared" si="9"/>
        <v>2.1576236637530055E-2</v>
      </c>
      <c r="S18" s="67">
        <v>15131091</v>
      </c>
      <c r="T18" s="66">
        <f t="shared" si="0"/>
        <v>-0.17078698642643841</v>
      </c>
      <c r="U18" s="67">
        <v>18247532</v>
      </c>
      <c r="V18" s="66">
        <f t="shared" si="1"/>
        <v>0.48352495480124658</v>
      </c>
      <c r="W18" s="67">
        <v>12300118</v>
      </c>
      <c r="X18" s="66">
        <f t="shared" si="2"/>
        <v>-0.1138526342422933</v>
      </c>
      <c r="Y18" s="71">
        <v>13880443</v>
      </c>
      <c r="Z18" s="66">
        <f t="shared" si="10"/>
        <v>0.18670699745780928</v>
      </c>
      <c r="AA18" s="75">
        <v>11696605</v>
      </c>
      <c r="AC18" s="24"/>
    </row>
    <row r="19" spans="1:29" ht="14.25" customHeight="1" x14ac:dyDescent="0.2">
      <c r="A19" s="51" t="s">
        <v>53</v>
      </c>
      <c r="B19" s="45" t="s">
        <v>133</v>
      </c>
      <c r="C19" s="43">
        <v>16980082</v>
      </c>
      <c r="D19" s="102">
        <f t="shared" si="4"/>
        <v>-4.2174089602996623E-2</v>
      </c>
      <c r="E19" s="43">
        <v>17727733</v>
      </c>
      <c r="F19" s="102">
        <f t="shared" si="5"/>
        <v>0.2986724156447258</v>
      </c>
      <c r="G19" s="43">
        <v>13650658</v>
      </c>
      <c r="H19" s="102">
        <f t="shared" si="5"/>
        <v>2.1877764357846972</v>
      </c>
      <c r="I19" s="65">
        <v>4282188</v>
      </c>
      <c r="J19" s="66">
        <f t="shared" si="3"/>
        <v>4.2017600126146304E-2</v>
      </c>
      <c r="K19" s="65">
        <v>4109516</v>
      </c>
      <c r="L19" s="66">
        <f t="shared" si="6"/>
        <v>-9.9634246322635289E-2</v>
      </c>
      <c r="M19" s="65">
        <v>4564274</v>
      </c>
      <c r="N19" s="66">
        <f t="shared" si="7"/>
        <v>-1.4487312771938043E-3</v>
      </c>
      <c r="O19" s="65">
        <v>4570896</v>
      </c>
      <c r="P19" s="66">
        <f t="shared" si="8"/>
        <v>-0.32013564279283502</v>
      </c>
      <c r="Q19" s="65">
        <v>6723247</v>
      </c>
      <c r="R19" s="66">
        <f t="shared" si="9"/>
        <v>-0.34330509834580114</v>
      </c>
      <c r="S19" s="67">
        <v>10238007</v>
      </c>
      <c r="T19" s="66">
        <f t="shared" si="0"/>
        <v>-0.17828874695379937</v>
      </c>
      <c r="U19" s="67">
        <v>12459373</v>
      </c>
      <c r="V19" s="66">
        <f t="shared" si="1"/>
        <v>-0.25890543389433918</v>
      </c>
      <c r="W19" s="67">
        <v>16812123</v>
      </c>
      <c r="X19" s="66">
        <f t="shared" si="2"/>
        <v>5.2430018325594006</v>
      </c>
      <c r="Y19" s="71">
        <v>2692955</v>
      </c>
      <c r="Z19" s="66">
        <f t="shared" si="10"/>
        <v>0.10161448739299161</v>
      </c>
      <c r="AA19" s="75">
        <v>2444553</v>
      </c>
      <c r="AC19" s="24"/>
    </row>
    <row r="20" spans="1:29" ht="14.25" customHeight="1" x14ac:dyDescent="0.2">
      <c r="A20" s="51" t="s">
        <v>52</v>
      </c>
      <c r="B20" s="45" t="s">
        <v>132</v>
      </c>
      <c r="C20" s="43">
        <v>2682937653</v>
      </c>
      <c r="D20" s="102">
        <f t="shared" si="4"/>
        <v>0.1417068647285562</v>
      </c>
      <c r="E20" s="43">
        <v>2349935641</v>
      </c>
      <c r="F20" s="102">
        <f t="shared" si="5"/>
        <v>-0.21967183601700602</v>
      </c>
      <c r="G20" s="43">
        <v>3011471006</v>
      </c>
      <c r="H20" s="102">
        <f t="shared" si="5"/>
        <v>0.35631157683724557</v>
      </c>
      <c r="I20" s="65">
        <v>2220338643</v>
      </c>
      <c r="J20" s="66">
        <f t="shared" si="3"/>
        <v>9.9880261716795538E-2</v>
      </c>
      <c r="K20" s="65">
        <v>2018709418</v>
      </c>
      <c r="L20" s="66">
        <f t="shared" si="6"/>
        <v>0.12183979788190014</v>
      </c>
      <c r="M20" s="65">
        <v>1799463187</v>
      </c>
      <c r="N20" s="66">
        <f t="shared" si="7"/>
        <v>-4.7499282889117533E-2</v>
      </c>
      <c r="O20" s="65">
        <v>1889198774</v>
      </c>
      <c r="P20" s="66">
        <f t="shared" si="8"/>
        <v>1.7018259605163566E-2</v>
      </c>
      <c r="Q20" s="65">
        <v>1857585895</v>
      </c>
      <c r="R20" s="66">
        <f t="shared" si="9"/>
        <v>0.70174088507484433</v>
      </c>
      <c r="S20" s="67">
        <v>1091579753</v>
      </c>
      <c r="T20" s="66">
        <f t="shared" si="0"/>
        <v>0.1455795394725341</v>
      </c>
      <c r="U20" s="67">
        <v>952862473</v>
      </c>
      <c r="V20" s="66">
        <f t="shared" si="1"/>
        <v>6.817867017701329E-2</v>
      </c>
      <c r="W20" s="67">
        <v>892044093</v>
      </c>
      <c r="X20" s="66">
        <f t="shared" si="2"/>
        <v>-0.15090159346904652</v>
      </c>
      <c r="Y20" s="71">
        <v>1050577985</v>
      </c>
      <c r="Z20" s="66">
        <f t="shared" si="10"/>
        <v>0.29231570947330576</v>
      </c>
      <c r="AA20" s="75">
        <v>812942207</v>
      </c>
      <c r="AC20" s="24"/>
    </row>
    <row r="21" spans="1:29" ht="14.25" customHeight="1" x14ac:dyDescent="0.2">
      <c r="A21" s="51" t="s">
        <v>51</v>
      </c>
      <c r="B21" s="45" t="s">
        <v>132</v>
      </c>
      <c r="C21" s="43">
        <v>518491511</v>
      </c>
      <c r="D21" s="102">
        <f t="shared" si="4"/>
        <v>0.15070120685121635</v>
      </c>
      <c r="E21" s="43">
        <v>450587440</v>
      </c>
      <c r="F21" s="102">
        <f t="shared" si="5"/>
        <v>-0.18460787600013473</v>
      </c>
      <c r="G21" s="43">
        <v>552602149</v>
      </c>
      <c r="H21" s="102">
        <f t="shared" si="5"/>
        <v>-0.17030312040831241</v>
      </c>
      <c r="I21" s="65">
        <v>666028959</v>
      </c>
      <c r="J21" s="66">
        <f t="shared" si="3"/>
        <v>0.63332469768842214</v>
      </c>
      <c r="K21" s="65">
        <v>407774988</v>
      </c>
      <c r="L21" s="66">
        <f t="shared" si="6"/>
        <v>-0.11194327193415687</v>
      </c>
      <c r="M21" s="65">
        <v>459176734</v>
      </c>
      <c r="N21" s="66">
        <f t="shared" si="7"/>
        <v>2.3475774217632361E-2</v>
      </c>
      <c r="O21" s="65">
        <v>448644458</v>
      </c>
      <c r="P21" s="66">
        <f t="shared" si="8"/>
        <v>0.21657163551609138</v>
      </c>
      <c r="Q21" s="65">
        <v>368777674</v>
      </c>
      <c r="R21" s="66">
        <f t="shared" si="9"/>
        <v>0.14793589362338011</v>
      </c>
      <c r="S21" s="67">
        <v>321252847</v>
      </c>
      <c r="T21" s="66">
        <f t="shared" si="0"/>
        <v>9.7342338631714043E-2</v>
      </c>
      <c r="U21" s="67">
        <v>292755356</v>
      </c>
      <c r="V21" s="66">
        <f t="shared" si="1"/>
        <v>-5.4332294710393136E-2</v>
      </c>
      <c r="W21" s="67">
        <v>309575292</v>
      </c>
      <c r="X21" s="66">
        <f t="shared" si="2"/>
        <v>-0.83495948075814619</v>
      </c>
      <c r="Y21" s="71">
        <v>1875753260</v>
      </c>
      <c r="Z21" s="66">
        <f t="shared" si="10"/>
        <v>-3.2808698229678246E-2</v>
      </c>
      <c r="AA21" s="75">
        <v>1939381854</v>
      </c>
      <c r="AC21" s="24"/>
    </row>
    <row r="22" spans="1:29" ht="14.25" customHeight="1" x14ac:dyDescent="0.2">
      <c r="A22" s="51" t="s">
        <v>50</v>
      </c>
      <c r="B22" s="45" t="s">
        <v>132</v>
      </c>
      <c r="C22" s="43">
        <v>320226960</v>
      </c>
      <c r="D22" s="102">
        <f t="shared" si="4"/>
        <v>0.55941578080445398</v>
      </c>
      <c r="E22" s="43">
        <v>205350596</v>
      </c>
      <c r="F22" s="102">
        <f t="shared" si="5"/>
        <v>-0.20657864211260779</v>
      </c>
      <c r="G22" s="43">
        <v>258816572</v>
      </c>
      <c r="H22" s="102">
        <f t="shared" si="5"/>
        <v>0.30413915527467239</v>
      </c>
      <c r="I22" s="65">
        <v>198457788</v>
      </c>
      <c r="J22" s="66">
        <f t="shared" si="3"/>
        <v>0.12159448997199651</v>
      </c>
      <c r="K22" s="65">
        <v>176942549</v>
      </c>
      <c r="L22" s="66">
        <f t="shared" si="6"/>
        <v>-4.1421869975988512E-2</v>
      </c>
      <c r="M22" s="65">
        <v>184588552</v>
      </c>
      <c r="N22" s="66">
        <f t="shared" si="7"/>
        <v>5.239407133576246E-2</v>
      </c>
      <c r="O22" s="65">
        <v>175398700</v>
      </c>
      <c r="P22" s="66">
        <f t="shared" si="8"/>
        <v>0.32568267173807786</v>
      </c>
      <c r="Q22" s="65">
        <v>132308209</v>
      </c>
      <c r="R22" s="66">
        <f t="shared" si="9"/>
        <v>2.3304642019085571</v>
      </c>
      <c r="S22" s="67">
        <v>39726657</v>
      </c>
      <c r="T22" s="66">
        <f t="shared" si="0"/>
        <v>3.3152231706887969E-2</v>
      </c>
      <c r="U22" s="67">
        <v>38451891</v>
      </c>
      <c r="V22" s="66">
        <f t="shared" si="1"/>
        <v>-6.1001016486619264E-2</v>
      </c>
      <c r="W22" s="67">
        <v>40949875</v>
      </c>
      <c r="X22" s="66">
        <f t="shared" si="2"/>
        <v>1.8482413429718023</v>
      </c>
      <c r="Y22" s="71">
        <v>14377249</v>
      </c>
      <c r="Z22" s="66">
        <f t="shared" si="10"/>
        <v>6.5179246348559605</v>
      </c>
      <c r="AA22" s="75">
        <v>1912396</v>
      </c>
      <c r="AC22" s="24"/>
    </row>
    <row r="23" spans="1:29" ht="14.25" customHeight="1" x14ac:dyDescent="0.2">
      <c r="A23" s="51" t="s">
        <v>49</v>
      </c>
      <c r="B23" s="45" t="s">
        <v>133</v>
      </c>
      <c r="C23" s="43">
        <v>163389663</v>
      </c>
      <c r="D23" s="102">
        <f t="shared" si="4"/>
        <v>0.16750640268434269</v>
      </c>
      <c r="E23" s="43">
        <v>139947552</v>
      </c>
      <c r="F23" s="102">
        <f t="shared" si="5"/>
        <v>-0.13271204682923743</v>
      </c>
      <c r="G23" s="43">
        <v>161362269</v>
      </c>
      <c r="H23" s="102">
        <f t="shared" si="5"/>
        <v>0.5890183301755616</v>
      </c>
      <c r="I23" s="65">
        <v>101548400</v>
      </c>
      <c r="J23" s="66">
        <f t="shared" si="3"/>
        <v>0.15632971135858997</v>
      </c>
      <c r="K23" s="65">
        <v>87819589</v>
      </c>
      <c r="L23" s="66">
        <f t="shared" si="6"/>
        <v>-7.9816418429864977E-2</v>
      </c>
      <c r="M23" s="65">
        <v>95437031</v>
      </c>
      <c r="N23" s="66">
        <f t="shared" si="7"/>
        <v>0.21655835616437669</v>
      </c>
      <c r="O23" s="65">
        <v>78448379</v>
      </c>
      <c r="P23" s="66">
        <f t="shared" si="8"/>
        <v>0.27656508730469898</v>
      </c>
      <c r="Q23" s="65">
        <v>61452706</v>
      </c>
      <c r="R23" s="66">
        <f t="shared" si="9"/>
        <v>0.29150122640978271</v>
      </c>
      <c r="S23" s="67">
        <v>47582383</v>
      </c>
      <c r="T23" s="66">
        <f t="shared" si="0"/>
        <v>2.132541406660537</v>
      </c>
      <c r="U23" s="67">
        <v>15189706</v>
      </c>
      <c r="V23" s="66">
        <f t="shared" si="1"/>
        <v>-2.839918151121068E-2</v>
      </c>
      <c r="W23" s="67">
        <v>15633690</v>
      </c>
      <c r="X23" s="66">
        <f t="shared" si="2"/>
        <v>-8.0675689129089068E-2</v>
      </c>
      <c r="Y23" s="71">
        <v>17005631</v>
      </c>
      <c r="Z23" s="66">
        <f t="shared" si="10"/>
        <v>-0.51185938190974656</v>
      </c>
      <c r="AA23" s="75">
        <v>34837566</v>
      </c>
      <c r="AC23" s="24"/>
    </row>
    <row r="24" spans="1:29" ht="14.25" customHeight="1" x14ac:dyDescent="0.2">
      <c r="A24" s="51" t="s">
        <v>48</v>
      </c>
      <c r="B24" s="45" t="s">
        <v>133</v>
      </c>
      <c r="C24" s="43">
        <v>46031591</v>
      </c>
      <c r="D24" s="102">
        <f t="shared" si="4"/>
        <v>0.41157384307613221</v>
      </c>
      <c r="E24" s="43">
        <v>32610119</v>
      </c>
      <c r="F24" s="102">
        <f t="shared" si="5"/>
        <v>0.6044459768873045</v>
      </c>
      <c r="G24" s="43">
        <v>20324847</v>
      </c>
      <c r="H24" s="102">
        <f t="shared" si="5"/>
        <v>0.86740240578367134</v>
      </c>
      <c r="I24" s="65">
        <v>10884021</v>
      </c>
      <c r="J24" s="66">
        <f t="shared" si="3"/>
        <v>8.3142468487272581E-2</v>
      </c>
      <c r="K24" s="65">
        <v>10048559</v>
      </c>
      <c r="L24" s="66">
        <f t="shared" si="6"/>
        <v>8.1328651710482092E-2</v>
      </c>
      <c r="M24" s="65">
        <v>9292789</v>
      </c>
      <c r="N24" s="66">
        <f t="shared" si="7"/>
        <v>-0.17235359552973517</v>
      </c>
      <c r="O24" s="65">
        <v>11227970</v>
      </c>
      <c r="P24" s="66">
        <f t="shared" si="8"/>
        <v>5.5298721861406053E-2</v>
      </c>
      <c r="Q24" s="65">
        <v>10639613</v>
      </c>
      <c r="R24" s="66">
        <f t="shared" si="9"/>
        <v>-0.13247647592603962</v>
      </c>
      <c r="S24" s="67">
        <v>12264351</v>
      </c>
      <c r="T24" s="66">
        <f t="shared" si="0"/>
        <v>0.93540853562697301</v>
      </c>
      <c r="U24" s="67">
        <v>6336828</v>
      </c>
      <c r="V24" s="66">
        <f t="shared" si="1"/>
        <v>-0.19790165275730209</v>
      </c>
      <c r="W24" s="67">
        <v>7900313</v>
      </c>
      <c r="X24" s="66">
        <f t="shared" si="2"/>
        <v>0.19081962676368103</v>
      </c>
      <c r="Y24" s="71">
        <v>6634349</v>
      </c>
      <c r="Z24" s="66">
        <f t="shared" si="10"/>
        <v>-0.35238946346034639</v>
      </c>
      <c r="AA24" s="75">
        <v>10244350</v>
      </c>
      <c r="AC24" s="24"/>
    </row>
    <row r="25" spans="1:29" ht="14.25" customHeight="1" x14ac:dyDescent="0.2">
      <c r="A25" s="51" t="s">
        <v>47</v>
      </c>
      <c r="B25" s="45" t="s">
        <v>133</v>
      </c>
      <c r="C25" s="43">
        <v>23171800</v>
      </c>
      <c r="D25" s="102">
        <f t="shared" si="4"/>
        <v>1.8978471306163467</v>
      </c>
      <c r="E25" s="43">
        <v>7996212</v>
      </c>
      <c r="F25" s="102">
        <f t="shared" si="5"/>
        <v>0.87223658673814497</v>
      </c>
      <c r="G25" s="43">
        <v>4270941</v>
      </c>
      <c r="H25" s="102">
        <f t="shared" si="5"/>
        <v>7.8489407123128352E-2</v>
      </c>
      <c r="I25" s="65">
        <v>3960114</v>
      </c>
      <c r="J25" s="66">
        <f t="shared" si="3"/>
        <v>0.76492893022982189</v>
      </c>
      <c r="K25" s="65">
        <v>2243781</v>
      </c>
      <c r="L25" s="66">
        <f t="shared" si="6"/>
        <v>-0.23762083224322406</v>
      </c>
      <c r="M25" s="65">
        <v>2943130</v>
      </c>
      <c r="N25" s="66">
        <f t="shared" si="7"/>
        <v>-0.12366184190819496</v>
      </c>
      <c r="O25" s="65">
        <v>3358441</v>
      </c>
      <c r="P25" s="66">
        <f t="shared" si="8"/>
        <v>-0.25724335908386209</v>
      </c>
      <c r="Q25" s="65">
        <v>4521590</v>
      </c>
      <c r="R25" s="66">
        <f t="shared" si="9"/>
        <v>0.35056611235267732</v>
      </c>
      <c r="S25" s="67">
        <v>3347922</v>
      </c>
      <c r="T25" s="66">
        <f t="shared" si="0"/>
        <v>-0.40139431171883755</v>
      </c>
      <c r="U25" s="67">
        <v>5592867</v>
      </c>
      <c r="V25" s="66">
        <f t="shared" si="1"/>
        <v>0.23133838414972452</v>
      </c>
      <c r="W25" s="67">
        <v>4542104</v>
      </c>
      <c r="X25" s="66">
        <f t="shared" si="2"/>
        <v>-0.33695251844980068</v>
      </c>
      <c r="Y25" s="71">
        <v>6850345</v>
      </c>
      <c r="Z25" s="66">
        <f t="shared" si="10"/>
        <v>1.1100162509271283</v>
      </c>
      <c r="AA25" s="75">
        <v>3246584</v>
      </c>
      <c r="AC25" s="24"/>
    </row>
    <row r="26" spans="1:29" ht="14.25" customHeight="1" x14ac:dyDescent="0.2">
      <c r="A26" s="51" t="s">
        <v>46</v>
      </c>
      <c r="B26" s="45" t="s">
        <v>132</v>
      </c>
      <c r="C26" s="43">
        <v>47406313</v>
      </c>
      <c r="D26" s="102">
        <f t="shared" si="4"/>
        <v>1.1606056455852602</v>
      </c>
      <c r="E26" s="43">
        <v>21941215</v>
      </c>
      <c r="F26" s="102">
        <f t="shared" si="5"/>
        <v>-4.6123877736025221E-2</v>
      </c>
      <c r="G26" s="43">
        <v>23002164</v>
      </c>
      <c r="H26" s="102">
        <f t="shared" si="5"/>
        <v>0.21066098292002278</v>
      </c>
      <c r="I26" s="65">
        <v>18999674</v>
      </c>
      <c r="J26" s="66">
        <f t="shared" si="3"/>
        <v>-9.2156185645013267E-2</v>
      </c>
      <c r="K26" s="65">
        <v>20928351</v>
      </c>
      <c r="L26" s="66">
        <f t="shared" si="6"/>
        <v>0.26489357284919568</v>
      </c>
      <c r="M26" s="65">
        <v>16545543</v>
      </c>
      <c r="N26" s="66">
        <f t="shared" si="7"/>
        <v>3.6090328581710018E-2</v>
      </c>
      <c r="O26" s="65">
        <v>15969209</v>
      </c>
      <c r="P26" s="66">
        <f t="shared" si="8"/>
        <v>-8.659601629749003E-2</v>
      </c>
      <c r="Q26" s="65">
        <v>17483183</v>
      </c>
      <c r="R26" s="66">
        <f t="shared" si="9"/>
        <v>-1.3280976010274448E-2</v>
      </c>
      <c r="S26" s="67">
        <v>17718502</v>
      </c>
      <c r="T26" s="66">
        <f t="shared" si="0"/>
        <v>4.8584362559076499E-3</v>
      </c>
      <c r="U26" s="67">
        <v>17632834</v>
      </c>
      <c r="V26" s="66">
        <f t="shared" si="1"/>
        <v>0.23136602956451569</v>
      </c>
      <c r="W26" s="67">
        <v>14319734</v>
      </c>
      <c r="X26" s="66">
        <f t="shared" si="2"/>
        <v>-0.15742866930449739</v>
      </c>
      <c r="Y26" s="71">
        <v>16995278</v>
      </c>
      <c r="Z26" s="66">
        <f t="shared" si="10"/>
        <v>0.20010402849866793</v>
      </c>
      <c r="AA26" s="75">
        <v>14161504</v>
      </c>
      <c r="AC26" s="24"/>
    </row>
    <row r="27" spans="1:29" ht="14.25" customHeight="1" x14ac:dyDescent="0.2">
      <c r="A27" s="51" t="s">
        <v>45</v>
      </c>
      <c r="B27" s="45" t="s">
        <v>133</v>
      </c>
      <c r="C27" s="43">
        <v>240159009</v>
      </c>
      <c r="D27" s="102">
        <f t="shared" si="4"/>
        <v>0.31535709737435536</v>
      </c>
      <c r="E27" s="43">
        <v>182580844</v>
      </c>
      <c r="F27" s="102">
        <f t="shared" si="5"/>
        <v>1.7203260848058406</v>
      </c>
      <c r="G27" s="43">
        <v>67117264</v>
      </c>
      <c r="H27" s="102">
        <f t="shared" si="5"/>
        <v>-0.56200580362052066</v>
      </c>
      <c r="I27" s="65">
        <v>153237793</v>
      </c>
      <c r="J27" s="66">
        <f t="shared" si="3"/>
        <v>-0.12142997094588304</v>
      </c>
      <c r="K27" s="65">
        <v>174417278</v>
      </c>
      <c r="L27" s="66">
        <f t="shared" si="6"/>
        <v>1.2005709815075725</v>
      </c>
      <c r="M27" s="65">
        <v>79260010</v>
      </c>
      <c r="N27" s="66">
        <f t="shared" si="7"/>
        <v>1.1748827797050918</v>
      </c>
      <c r="O27" s="65">
        <v>36443348</v>
      </c>
      <c r="P27" s="66">
        <f t="shared" si="8"/>
        <v>0.25294019379526334</v>
      </c>
      <c r="Q27" s="65">
        <v>29086263</v>
      </c>
      <c r="R27" s="66">
        <f t="shared" si="9"/>
        <v>0.13774156547067329</v>
      </c>
      <c r="S27" s="67">
        <v>25564912</v>
      </c>
      <c r="T27" s="66">
        <f t="shared" si="0"/>
        <v>3.502263049447496E-2</v>
      </c>
      <c r="U27" s="67">
        <v>24699858</v>
      </c>
      <c r="V27" s="66">
        <f t="shared" si="1"/>
        <v>-0.17259607713820579</v>
      </c>
      <c r="W27" s="67">
        <v>29852237</v>
      </c>
      <c r="X27" s="66">
        <f t="shared" si="2"/>
        <v>-0.13885856048768164</v>
      </c>
      <c r="Y27" s="71">
        <v>34665893</v>
      </c>
      <c r="Z27" s="66">
        <f t="shared" si="10"/>
        <v>-0.15233409730112724</v>
      </c>
      <c r="AA27" s="75">
        <v>40895703</v>
      </c>
      <c r="AC27" s="24"/>
    </row>
    <row r="28" spans="1:29" ht="14.25" customHeight="1" x14ac:dyDescent="0.2">
      <c r="A28" s="51" t="s">
        <v>44</v>
      </c>
      <c r="B28" s="45" t="s">
        <v>133</v>
      </c>
      <c r="C28" s="43">
        <v>11594126</v>
      </c>
      <c r="D28" s="102">
        <f t="shared" si="4"/>
        <v>0.22728385155891084</v>
      </c>
      <c r="E28" s="43">
        <v>9446980</v>
      </c>
      <c r="F28" s="102">
        <f t="shared" si="5"/>
        <v>-0.26231114106191655</v>
      </c>
      <c r="G28" s="43">
        <v>12806185</v>
      </c>
      <c r="H28" s="102">
        <f t="shared" si="5"/>
        <v>0.66587164049953063</v>
      </c>
      <c r="I28" s="65">
        <v>7687378</v>
      </c>
      <c r="J28" s="66">
        <f t="shared" si="3"/>
        <v>-0.1142545125055997</v>
      </c>
      <c r="K28" s="65">
        <v>8678992</v>
      </c>
      <c r="L28" s="66">
        <f t="shared" si="6"/>
        <v>-0.24848265486150944</v>
      </c>
      <c r="M28" s="65">
        <v>11548625</v>
      </c>
      <c r="N28" s="66">
        <f t="shared" si="7"/>
        <v>5.7339758140513286E-3</v>
      </c>
      <c r="O28" s="65">
        <v>11482783</v>
      </c>
      <c r="P28" s="66">
        <f t="shared" si="8"/>
        <v>-0.25414703837256392</v>
      </c>
      <c r="Q28" s="65">
        <v>15395505</v>
      </c>
      <c r="R28" s="66">
        <f t="shared" si="9"/>
        <v>0.46866130308864751</v>
      </c>
      <c r="S28" s="67">
        <v>10482679</v>
      </c>
      <c r="T28" s="66">
        <f t="shared" si="0"/>
        <v>-0.41482605879506296</v>
      </c>
      <c r="U28" s="67">
        <v>17913783</v>
      </c>
      <c r="V28" s="66">
        <f t="shared" si="1"/>
        <v>-1.5917239801746197E-2</v>
      </c>
      <c r="W28" s="67">
        <v>18203533</v>
      </c>
      <c r="X28" s="66">
        <f t="shared" si="2"/>
        <v>-6.3942338520640241E-2</v>
      </c>
      <c r="Y28" s="71">
        <v>19447021</v>
      </c>
      <c r="Z28" s="66">
        <f t="shared" si="10"/>
        <v>-0.43292341558369796</v>
      </c>
      <c r="AA28" s="75">
        <v>34293465</v>
      </c>
      <c r="AC28" s="24"/>
    </row>
    <row r="29" spans="1:29" ht="14.25" customHeight="1" x14ac:dyDescent="0.2">
      <c r="A29" s="51" t="s">
        <v>43</v>
      </c>
      <c r="B29" s="45" t="s">
        <v>132</v>
      </c>
      <c r="C29" s="43">
        <v>64091715</v>
      </c>
      <c r="D29" s="102">
        <f t="shared" si="4"/>
        <v>-6.421831125228461E-2</v>
      </c>
      <c r="E29" s="43">
        <v>68490029</v>
      </c>
      <c r="F29" s="102">
        <f t="shared" si="5"/>
        <v>1.4180433691375889</v>
      </c>
      <c r="G29" s="43">
        <v>28324566</v>
      </c>
      <c r="H29" s="102">
        <f t="shared" si="5"/>
        <v>0.31745482525862623</v>
      </c>
      <c r="I29" s="65">
        <v>21499459</v>
      </c>
      <c r="J29" s="66">
        <f t="shared" si="3"/>
        <v>0.64090663365028555</v>
      </c>
      <c r="K29" s="65">
        <v>13102183</v>
      </c>
      <c r="L29" s="66">
        <f t="shared" si="6"/>
        <v>-0.24183793693455091</v>
      </c>
      <c r="M29" s="65">
        <v>17281507</v>
      </c>
      <c r="N29" s="66">
        <f t="shared" si="7"/>
        <v>-0.44413174935847521</v>
      </c>
      <c r="O29" s="65">
        <v>31089214</v>
      </c>
      <c r="P29" s="66">
        <f t="shared" si="8"/>
        <v>22.995812011330571</v>
      </c>
      <c r="Q29" s="65">
        <v>1295610</v>
      </c>
      <c r="R29" s="66">
        <f t="shared" si="9"/>
        <v>-0.22769798431683452</v>
      </c>
      <c r="S29" s="67">
        <v>1677595</v>
      </c>
      <c r="T29" s="66">
        <f t="shared" si="0"/>
        <v>-0.33553304659560668</v>
      </c>
      <c r="U29" s="67">
        <v>2524723</v>
      </c>
      <c r="V29" s="66">
        <f t="shared" si="1"/>
        <v>-0.24503003315952665</v>
      </c>
      <c r="W29" s="67">
        <v>3344137</v>
      </c>
      <c r="X29" s="66">
        <f t="shared" si="2"/>
        <v>2.7349594186032227</v>
      </c>
      <c r="Y29" s="71">
        <v>895361</v>
      </c>
      <c r="Z29" s="66">
        <f t="shared" si="10"/>
        <v>-0.78635305919284992</v>
      </c>
      <c r="AA29" s="75">
        <v>4190844</v>
      </c>
      <c r="AC29" s="24"/>
    </row>
    <row r="30" spans="1:29" ht="14.25" customHeight="1" x14ac:dyDescent="0.2">
      <c r="A30" s="51" t="s">
        <v>42</v>
      </c>
      <c r="B30" s="45" t="s">
        <v>132</v>
      </c>
      <c r="C30" s="43">
        <v>178852155</v>
      </c>
      <c r="D30" s="102">
        <f t="shared" si="4"/>
        <v>1.2526797465950339</v>
      </c>
      <c r="E30" s="43">
        <v>79395287</v>
      </c>
      <c r="F30" s="102">
        <f t="shared" si="5"/>
        <v>0.98968163529862641</v>
      </c>
      <c r="G30" s="43">
        <v>39903513</v>
      </c>
      <c r="H30" s="102">
        <f t="shared" si="5"/>
        <v>3.5743206473141775E-2</v>
      </c>
      <c r="I30" s="65">
        <v>38526454</v>
      </c>
      <c r="J30" s="66">
        <f t="shared" si="3"/>
        <v>0.63899562224944151</v>
      </c>
      <c r="K30" s="65">
        <v>23506136</v>
      </c>
      <c r="L30" s="66">
        <f t="shared" si="6"/>
        <v>0.60533361598041435</v>
      </c>
      <c r="M30" s="65">
        <v>14642524</v>
      </c>
      <c r="N30" s="66">
        <f t="shared" si="7"/>
        <v>-1.0624226338805443E-2</v>
      </c>
      <c r="O30" s="65">
        <v>14799760</v>
      </c>
      <c r="P30" s="66">
        <f t="shared" si="8"/>
        <v>0.47890497701564527</v>
      </c>
      <c r="Q30" s="65">
        <v>10007242</v>
      </c>
      <c r="R30" s="66">
        <f t="shared" si="9"/>
        <v>0.23340584208818305</v>
      </c>
      <c r="S30" s="67">
        <v>8113503</v>
      </c>
      <c r="T30" s="66">
        <f t="shared" si="0"/>
        <v>2.0046895136800629</v>
      </c>
      <c r="U30" s="67">
        <v>2700280</v>
      </c>
      <c r="V30" s="66">
        <f t="shared" si="1"/>
        <v>1.7387873501430109</v>
      </c>
      <c r="W30" s="67">
        <v>985940</v>
      </c>
      <c r="X30" s="66">
        <f t="shared" si="2"/>
        <v>-0.30471342718157679</v>
      </c>
      <c r="Y30" s="71">
        <v>1418034</v>
      </c>
      <c r="Z30" s="66">
        <f t="shared" si="10"/>
        <v>-0.55297004561298535</v>
      </c>
      <c r="AA30" s="75">
        <v>3172123</v>
      </c>
      <c r="AC30" s="24"/>
    </row>
    <row r="31" spans="1:29" ht="14.25" customHeight="1" x14ac:dyDescent="0.2">
      <c r="A31" s="51" t="s">
        <v>41</v>
      </c>
      <c r="B31" s="45" t="s">
        <v>132</v>
      </c>
      <c r="C31" s="43">
        <v>328157928</v>
      </c>
      <c r="D31" s="102">
        <f t="shared" si="4"/>
        <v>-0.6244977489798953</v>
      </c>
      <c r="E31" s="43">
        <v>873917339</v>
      </c>
      <c r="F31" s="102">
        <f t="shared" si="5"/>
        <v>9.7504000532437685E-2</v>
      </c>
      <c r="G31" s="43">
        <v>796277133</v>
      </c>
      <c r="H31" s="102">
        <f t="shared" si="5"/>
        <v>4.651905738155083</v>
      </c>
      <c r="I31" s="65">
        <v>140886485</v>
      </c>
      <c r="J31" s="66">
        <f t="shared" si="3"/>
        <v>0.24547261750985649</v>
      </c>
      <c r="K31" s="65">
        <v>113118894</v>
      </c>
      <c r="L31" s="66">
        <f t="shared" si="6"/>
        <v>1.9259498281608458</v>
      </c>
      <c r="M31" s="65">
        <v>38660572</v>
      </c>
      <c r="N31" s="66">
        <f t="shared" si="7"/>
        <v>-0.12020019814546135</v>
      </c>
      <c r="O31" s="65">
        <v>43942465</v>
      </c>
      <c r="P31" s="66">
        <f t="shared" si="8"/>
        <v>0.17784240328771683</v>
      </c>
      <c r="Q31" s="65">
        <v>37307593</v>
      </c>
      <c r="R31" s="66">
        <f t="shared" si="9"/>
        <v>0.52903198571609189</v>
      </c>
      <c r="S31" s="67">
        <v>24399485</v>
      </c>
      <c r="T31" s="66">
        <f t="shared" si="0"/>
        <v>-0.69318956362273065</v>
      </c>
      <c r="U31" s="67">
        <v>79526255</v>
      </c>
      <c r="V31" s="66">
        <f t="shared" si="1"/>
        <v>1.5591574379429805</v>
      </c>
      <c r="W31" s="67">
        <v>31075171</v>
      </c>
      <c r="X31" s="66">
        <f t="shared" si="2"/>
        <v>0.36084174572679428</v>
      </c>
      <c r="Y31" s="71">
        <v>22835257</v>
      </c>
      <c r="Z31" s="66">
        <f t="shared" si="10"/>
        <v>-0.23811204588185431</v>
      </c>
      <c r="AA31" s="75">
        <v>29971936</v>
      </c>
      <c r="AC31" s="24"/>
    </row>
    <row r="32" spans="1:29" ht="14.25" customHeight="1" x14ac:dyDescent="0.2">
      <c r="A32" s="51" t="s">
        <v>40</v>
      </c>
      <c r="B32" s="45" t="s">
        <v>132</v>
      </c>
      <c r="C32" s="43">
        <v>181088978</v>
      </c>
      <c r="D32" s="102">
        <f t="shared" si="4"/>
        <v>1.0220777656929596</v>
      </c>
      <c r="E32" s="43">
        <v>89555892</v>
      </c>
      <c r="F32" s="102">
        <f t="shared" si="5"/>
        <v>0.14631133856573286</v>
      </c>
      <c r="G32" s="43">
        <v>78125278</v>
      </c>
      <c r="H32" s="102">
        <f t="shared" si="5"/>
        <v>-0.23875954640851194</v>
      </c>
      <c r="I32" s="65">
        <v>102628910</v>
      </c>
      <c r="J32" s="66">
        <f t="shared" si="3"/>
        <v>5.2646203012612469E-2</v>
      </c>
      <c r="K32" s="65">
        <v>97496110</v>
      </c>
      <c r="L32" s="66">
        <f t="shared" si="6"/>
        <v>0.16669614237649788</v>
      </c>
      <c r="M32" s="65">
        <v>83565983</v>
      </c>
      <c r="N32" s="66">
        <f t="shared" si="7"/>
        <v>2.0828544509545632</v>
      </c>
      <c r="O32" s="65">
        <v>27106691</v>
      </c>
      <c r="P32" s="66">
        <f t="shared" si="8"/>
        <v>0.45294039799775265</v>
      </c>
      <c r="Q32" s="65">
        <v>18656437</v>
      </c>
      <c r="R32" s="66">
        <f t="shared" si="9"/>
        <v>-0.14608751921898866</v>
      </c>
      <c r="S32" s="67">
        <v>21848184</v>
      </c>
      <c r="T32" s="66">
        <f t="shared" si="0"/>
        <v>0.27530979470300254</v>
      </c>
      <c r="U32" s="67">
        <v>17131668</v>
      </c>
      <c r="V32" s="66">
        <f t="shared" si="1"/>
        <v>-0.52404899356581336</v>
      </c>
      <c r="W32" s="67">
        <v>35994604</v>
      </c>
      <c r="X32" s="66">
        <f t="shared" si="2"/>
        <v>0.98723682486688613</v>
      </c>
      <c r="Y32" s="71">
        <v>18112891</v>
      </c>
      <c r="Z32" s="66">
        <f t="shared" si="10"/>
        <v>1.0102073601355936</v>
      </c>
      <c r="AA32" s="75">
        <v>9010459</v>
      </c>
      <c r="AC32" s="24"/>
    </row>
    <row r="33" spans="1:29" ht="14.25" customHeight="1" x14ac:dyDescent="0.2">
      <c r="A33" s="51" t="s">
        <v>39</v>
      </c>
      <c r="B33" s="45" t="s">
        <v>132</v>
      </c>
      <c r="C33" s="43">
        <v>3821932834</v>
      </c>
      <c r="D33" s="102">
        <f t="shared" si="4"/>
        <v>0.19248598952075691</v>
      </c>
      <c r="E33" s="43">
        <v>3205012778</v>
      </c>
      <c r="F33" s="102">
        <f t="shared" si="5"/>
        <v>-0.16058844447260967</v>
      </c>
      <c r="G33" s="43">
        <v>3818166139</v>
      </c>
      <c r="H33" s="102">
        <f t="shared" si="5"/>
        <v>2.6145446026838881E-2</v>
      </c>
      <c r="I33" s="65">
        <v>3720882019</v>
      </c>
      <c r="J33" s="66">
        <f t="shared" si="3"/>
        <v>0.24180826526231369</v>
      </c>
      <c r="K33" s="65">
        <v>2996341805</v>
      </c>
      <c r="L33" s="66">
        <f t="shared" si="6"/>
        <v>0.10468386476534453</v>
      </c>
      <c r="M33" s="65">
        <v>2712397547</v>
      </c>
      <c r="N33" s="66">
        <f t="shared" si="7"/>
        <v>0.21423383932948292</v>
      </c>
      <c r="O33" s="65">
        <v>2233834587</v>
      </c>
      <c r="P33" s="66">
        <f t="shared" si="8"/>
        <v>0.57832166561904819</v>
      </c>
      <c r="Q33" s="65">
        <v>1415322767</v>
      </c>
      <c r="R33" s="66">
        <f t="shared" si="9"/>
        <v>0.41099088107403281</v>
      </c>
      <c r="S33" s="67">
        <v>1003070102</v>
      </c>
      <c r="T33" s="66">
        <f t="shared" si="0"/>
        <v>1.1048510235796298</v>
      </c>
      <c r="U33" s="67">
        <v>476551590</v>
      </c>
      <c r="V33" s="66">
        <f t="shared" si="1"/>
        <v>1.0312593293547865</v>
      </c>
      <c r="W33" s="67">
        <v>234608936</v>
      </c>
      <c r="X33" s="66">
        <f t="shared" si="2"/>
        <v>0.48457142295952482</v>
      </c>
      <c r="Y33" s="71">
        <v>158031424</v>
      </c>
      <c r="Z33" s="66">
        <f t="shared" si="10"/>
        <v>3.2647912133857204E-2</v>
      </c>
      <c r="AA33" s="75">
        <v>153035146</v>
      </c>
      <c r="AC33" s="24"/>
    </row>
    <row r="34" spans="1:29" ht="14.25" customHeight="1" x14ac:dyDescent="0.2">
      <c r="A34" s="51" t="s">
        <v>38</v>
      </c>
      <c r="B34" s="45" t="s">
        <v>133</v>
      </c>
      <c r="C34" s="43">
        <v>1101655</v>
      </c>
      <c r="D34" s="102">
        <f t="shared" si="4"/>
        <v>-0.14093539479830219</v>
      </c>
      <c r="E34" s="43">
        <v>1282389</v>
      </c>
      <c r="F34" s="102">
        <f t="shared" si="5"/>
        <v>-1.0112775860871226E-2</v>
      </c>
      <c r="G34" s="43">
        <v>1295490</v>
      </c>
      <c r="H34" s="102">
        <f t="shared" si="5"/>
        <v>-0.36285016461265618</v>
      </c>
      <c r="I34" s="65">
        <v>2033258</v>
      </c>
      <c r="J34" s="66">
        <f t="shared" si="3"/>
        <v>1.7732989613383254</v>
      </c>
      <c r="K34" s="65">
        <v>733155</v>
      </c>
      <c r="L34" s="66">
        <f t="shared" si="6"/>
        <v>-0.43702761206579477</v>
      </c>
      <c r="M34" s="65">
        <v>1302293</v>
      </c>
      <c r="N34" s="66">
        <f t="shared" si="7"/>
        <v>-0.14981498600317544</v>
      </c>
      <c r="O34" s="65">
        <v>1531776</v>
      </c>
      <c r="P34" s="66">
        <f t="shared" si="8"/>
        <v>-0.3123624074785688</v>
      </c>
      <c r="Q34" s="65">
        <v>2227592</v>
      </c>
      <c r="R34" s="66">
        <f t="shared" si="9"/>
        <v>3.9212673921784349</v>
      </c>
      <c r="S34" s="67">
        <v>452646</v>
      </c>
      <c r="T34" s="66">
        <f t="shared" si="0"/>
        <v>-6.2947544058312488E-2</v>
      </c>
      <c r="U34" s="67">
        <v>483053</v>
      </c>
      <c r="V34" s="66">
        <f t="shared" si="1"/>
        <v>-0.27604635792357501</v>
      </c>
      <c r="W34" s="67">
        <v>667243</v>
      </c>
      <c r="X34" s="66">
        <f t="shared" si="2"/>
        <v>-7.6458546429466145E-2</v>
      </c>
      <c r="Y34" s="71">
        <v>722483</v>
      </c>
      <c r="Z34" s="66">
        <f t="shared" si="10"/>
        <v>0.71704561388498722</v>
      </c>
      <c r="AA34" s="75">
        <v>420771</v>
      </c>
      <c r="AC34" s="24"/>
    </row>
    <row r="35" spans="1:29" ht="14.25" customHeight="1" x14ac:dyDescent="0.2">
      <c r="A35" s="51" t="s">
        <v>37</v>
      </c>
      <c r="B35" s="45" t="s">
        <v>132</v>
      </c>
      <c r="C35" s="43">
        <v>365237476</v>
      </c>
      <c r="D35" s="102">
        <f t="shared" si="4"/>
        <v>-4.9505160233213386E-2</v>
      </c>
      <c r="E35" s="43">
        <v>384260346</v>
      </c>
      <c r="F35" s="102">
        <f t="shared" si="5"/>
        <v>-0.27366222826663478</v>
      </c>
      <c r="G35" s="43">
        <v>529038088</v>
      </c>
      <c r="H35" s="102">
        <f t="shared" si="5"/>
        <v>-3.7471307907376961E-2</v>
      </c>
      <c r="I35" s="65">
        <v>549633577</v>
      </c>
      <c r="J35" s="66">
        <f t="shared" si="3"/>
        <v>1.8523392262078442E-2</v>
      </c>
      <c r="K35" s="65">
        <v>539637657</v>
      </c>
      <c r="L35" s="66">
        <f t="shared" si="6"/>
        <v>0.24173763532724402</v>
      </c>
      <c r="M35" s="65">
        <v>434582670</v>
      </c>
      <c r="N35" s="66">
        <f t="shared" si="7"/>
        <v>0.53273592104225975</v>
      </c>
      <c r="O35" s="65">
        <v>283533950</v>
      </c>
      <c r="P35" s="66">
        <f t="shared" si="8"/>
        <v>1.0388639021539596</v>
      </c>
      <c r="Q35" s="65">
        <v>139064677</v>
      </c>
      <c r="R35" s="66">
        <f t="shared" si="9"/>
        <v>0.734357379594611</v>
      </c>
      <c r="S35" s="67">
        <v>80182250</v>
      </c>
      <c r="T35" s="66">
        <f t="shared" si="0"/>
        <v>0.90703659633249423</v>
      </c>
      <c r="U35" s="67">
        <v>42045470</v>
      </c>
      <c r="V35" s="66">
        <f t="shared" si="1"/>
        <v>1.7536690617327126</v>
      </c>
      <c r="W35" s="67">
        <v>15268890</v>
      </c>
      <c r="X35" s="66">
        <f t="shared" si="2"/>
        <v>1.1493270090383869</v>
      </c>
      <c r="Y35" s="71">
        <v>7104033</v>
      </c>
      <c r="Z35" s="66">
        <f t="shared" si="10"/>
        <v>-0.77429285029855377</v>
      </c>
      <c r="AA35" s="75">
        <v>31474559</v>
      </c>
      <c r="AC35" s="24"/>
    </row>
    <row r="36" spans="1:29" ht="14.25" customHeight="1" x14ac:dyDescent="0.2">
      <c r="A36" s="51" t="s">
        <v>36</v>
      </c>
      <c r="B36" s="45" t="s">
        <v>133</v>
      </c>
      <c r="C36" s="43">
        <v>30434225</v>
      </c>
      <c r="D36" s="102">
        <f t="shared" si="4"/>
        <v>1.9004417437135483</v>
      </c>
      <c r="E36" s="43">
        <v>10492962</v>
      </c>
      <c r="F36" s="102">
        <f t="shared" si="5"/>
        <v>0.34468728698842144</v>
      </c>
      <c r="G36" s="43">
        <v>7803273</v>
      </c>
      <c r="H36" s="102">
        <f t="shared" si="5"/>
        <v>-0.24269911497983465</v>
      </c>
      <c r="I36" s="65">
        <v>10304059</v>
      </c>
      <c r="J36" s="66">
        <f t="shared" si="3"/>
        <v>-0.17037944697701091</v>
      </c>
      <c r="K36" s="65">
        <v>12420207</v>
      </c>
      <c r="L36" s="66">
        <f t="shared" si="6"/>
        <v>-0.13865800715692533</v>
      </c>
      <c r="M36" s="65">
        <v>14419600</v>
      </c>
      <c r="N36" s="66">
        <f t="shared" si="7"/>
        <v>0.93761903015043035</v>
      </c>
      <c r="O36" s="65">
        <v>7441917</v>
      </c>
      <c r="P36" s="66">
        <f t="shared" si="8"/>
        <v>1.6561170973508288E-2</v>
      </c>
      <c r="Q36" s="65">
        <v>7320678</v>
      </c>
      <c r="R36" s="66">
        <f t="shared" si="9"/>
        <v>0.28707659189772405</v>
      </c>
      <c r="S36" s="67">
        <v>5687834</v>
      </c>
      <c r="T36" s="66">
        <f t="shared" si="0"/>
        <v>-0.10183878925345913</v>
      </c>
      <c r="U36" s="67">
        <v>6332754</v>
      </c>
      <c r="V36" s="66">
        <f t="shared" si="1"/>
        <v>0.3865272831132458</v>
      </c>
      <c r="W36" s="67">
        <v>4567349</v>
      </c>
      <c r="X36" s="66">
        <f t="shared" si="2"/>
        <v>7.5637667568340339E-2</v>
      </c>
      <c r="Y36" s="71">
        <v>4246178</v>
      </c>
      <c r="Z36" s="66">
        <f t="shared" si="10"/>
        <v>-1.1277622117579433E-2</v>
      </c>
      <c r="AA36" s="75">
        <v>4294611</v>
      </c>
      <c r="AC36" s="24"/>
    </row>
    <row r="37" spans="1:29" ht="14.25" customHeight="1" x14ac:dyDescent="0.2">
      <c r="A37" s="51" t="s">
        <v>35</v>
      </c>
      <c r="B37" s="45" t="s">
        <v>133</v>
      </c>
      <c r="C37" s="43">
        <v>31913435</v>
      </c>
      <c r="D37" s="102">
        <f t="shared" si="4"/>
        <v>8.0553701310694725E-2</v>
      </c>
      <c r="E37" s="43">
        <v>29534335</v>
      </c>
      <c r="F37" s="102">
        <f t="shared" si="5"/>
        <v>2.2522451252174225E-2</v>
      </c>
      <c r="G37" s="43">
        <v>28883801</v>
      </c>
      <c r="H37" s="102">
        <f t="shared" si="5"/>
        <v>6.3905529665355898E-2</v>
      </c>
      <c r="I37" s="65">
        <v>27148840</v>
      </c>
      <c r="J37" s="66">
        <f t="shared" si="3"/>
        <v>1.1014463754925741</v>
      </c>
      <c r="K37" s="65">
        <v>12919121</v>
      </c>
      <c r="L37" s="66">
        <f t="shared" si="6"/>
        <v>4.7270369943435364E-2</v>
      </c>
      <c r="M37" s="65">
        <v>12335994</v>
      </c>
      <c r="N37" s="66">
        <f t="shared" si="7"/>
        <v>1.344608595001739</v>
      </c>
      <c r="O37" s="65">
        <v>5261430</v>
      </c>
      <c r="P37" s="66">
        <f t="shared" si="8"/>
        <v>0.48400460649732735</v>
      </c>
      <c r="Q37" s="65">
        <v>3545427</v>
      </c>
      <c r="R37" s="66">
        <f t="shared" si="9"/>
        <v>-3.5314134088518356E-2</v>
      </c>
      <c r="S37" s="67">
        <v>3675214</v>
      </c>
      <c r="T37" s="66">
        <f t="shared" si="0"/>
        <v>0.39790026685978752</v>
      </c>
      <c r="U37" s="67">
        <v>2629096</v>
      </c>
      <c r="V37" s="66">
        <f t="shared" si="1"/>
        <v>-0.41093052550069076</v>
      </c>
      <c r="W37" s="67">
        <v>4463134</v>
      </c>
      <c r="X37" s="66">
        <f t="shared" si="2"/>
        <v>1.7865624666362399</v>
      </c>
      <c r="Y37" s="71">
        <v>1601663</v>
      </c>
      <c r="Z37" s="66">
        <f t="shared" si="10"/>
        <v>-0.1560115738215796</v>
      </c>
      <c r="AA37" s="75">
        <v>1897731</v>
      </c>
      <c r="AC37" s="24"/>
    </row>
    <row r="38" spans="1:29" ht="14.25" customHeight="1" x14ac:dyDescent="0.2">
      <c r="A38" s="51" t="s">
        <v>34</v>
      </c>
      <c r="B38" s="45" t="s">
        <v>133</v>
      </c>
      <c r="C38" s="43">
        <v>1227395</v>
      </c>
      <c r="D38" s="102">
        <f t="shared" si="4"/>
        <v>1.1303984836860868</v>
      </c>
      <c r="E38" s="43">
        <v>576134</v>
      </c>
      <c r="F38" s="102">
        <f t="shared" si="5"/>
        <v>-0.33664931533031439</v>
      </c>
      <c r="G38" s="43">
        <v>868521</v>
      </c>
      <c r="H38" s="102">
        <f t="shared" si="5"/>
        <v>-0.33412173662372235</v>
      </c>
      <c r="I38" s="65">
        <v>1304324</v>
      </c>
      <c r="J38" s="66">
        <f t="shared" si="3"/>
        <v>-1.7174766257860297E-3</v>
      </c>
      <c r="K38" s="65">
        <v>1306568</v>
      </c>
      <c r="L38" s="66">
        <f t="shared" si="6"/>
        <v>4.2563805477776704</v>
      </c>
      <c r="M38" s="65">
        <v>248568</v>
      </c>
      <c r="N38" s="66">
        <f t="shared" si="7"/>
        <v>5.1909838107098381</v>
      </c>
      <c r="O38" s="65">
        <v>40150</v>
      </c>
      <c r="P38" s="66">
        <f t="shared" si="8"/>
        <v>-0.82201436297544106</v>
      </c>
      <c r="Q38" s="65">
        <v>225580</v>
      </c>
      <c r="R38" s="66">
        <f t="shared" si="9"/>
        <v>-0.45160388481688118</v>
      </c>
      <c r="S38" s="67">
        <v>411345</v>
      </c>
      <c r="T38" s="66">
        <f t="shared" si="0"/>
        <v>-0.35478026812982033</v>
      </c>
      <c r="U38" s="67">
        <v>637527</v>
      </c>
      <c r="V38" s="66">
        <f t="shared" si="1"/>
        <v>3.2251110080190868</v>
      </c>
      <c r="W38" s="67">
        <v>150890</v>
      </c>
      <c r="X38" s="66">
        <f t="shared" si="2"/>
        <v>-0.28038649001821803</v>
      </c>
      <c r="Y38" s="71">
        <v>209682</v>
      </c>
      <c r="Z38" s="66">
        <f t="shared" si="10"/>
        <v>-0.71103693863038764</v>
      </c>
      <c r="AA38" s="75">
        <v>725636</v>
      </c>
      <c r="AC38" s="24"/>
    </row>
    <row r="39" spans="1:29" ht="14.25" customHeight="1" x14ac:dyDescent="0.2">
      <c r="A39" s="51" t="s">
        <v>33</v>
      </c>
      <c r="B39" s="45" t="s">
        <v>132</v>
      </c>
      <c r="C39" s="43">
        <v>587310392</v>
      </c>
      <c r="D39" s="102">
        <f t="shared" si="4"/>
        <v>9.37515119012724E-2</v>
      </c>
      <c r="E39" s="43">
        <v>536968759</v>
      </c>
      <c r="F39" s="102">
        <f t="shared" si="5"/>
        <v>-7.4421199542972216E-3</v>
      </c>
      <c r="G39" s="43">
        <v>540994908</v>
      </c>
      <c r="H39" s="102">
        <f t="shared" si="5"/>
        <v>0.26331626513166762</v>
      </c>
      <c r="I39" s="65">
        <v>428233945</v>
      </c>
      <c r="J39" s="66">
        <f t="shared" si="3"/>
        <v>0.25967125886340647</v>
      </c>
      <c r="K39" s="65">
        <v>339956907</v>
      </c>
      <c r="L39" s="66">
        <f t="shared" si="6"/>
        <v>1.1604931086309391</v>
      </c>
      <c r="M39" s="65">
        <v>157351535</v>
      </c>
      <c r="N39" s="66">
        <f t="shared" si="7"/>
        <v>0.16189178475130528</v>
      </c>
      <c r="O39" s="65">
        <v>135427014</v>
      </c>
      <c r="P39" s="66">
        <f t="shared" si="8"/>
        <v>0.3307351572297812</v>
      </c>
      <c r="Q39" s="65">
        <v>101768570</v>
      </c>
      <c r="R39" s="66">
        <f t="shared" si="9"/>
        <v>1.2330505472367261</v>
      </c>
      <c r="S39" s="67">
        <v>45573787</v>
      </c>
      <c r="T39" s="66">
        <f t="shared" si="0"/>
        <v>1.582684778375663</v>
      </c>
      <c r="U39" s="67">
        <v>17645896</v>
      </c>
      <c r="V39" s="66">
        <f t="shared" si="1"/>
        <v>-3.5346825911001578E-2</v>
      </c>
      <c r="W39" s="67">
        <v>18292477</v>
      </c>
      <c r="X39" s="66">
        <f t="shared" si="2"/>
        <v>-0.19350367662263035</v>
      </c>
      <c r="Y39" s="71">
        <v>22681414</v>
      </c>
      <c r="Z39" s="66">
        <f t="shared" si="10"/>
        <v>-0.31624381032724613</v>
      </c>
      <c r="AA39" s="75">
        <v>33171786</v>
      </c>
      <c r="AC39" s="24"/>
    </row>
    <row r="40" spans="1:29" ht="14.25" customHeight="1" x14ac:dyDescent="0.2">
      <c r="A40" s="51" t="s">
        <v>32</v>
      </c>
      <c r="B40" s="45" t="s">
        <v>132</v>
      </c>
      <c r="C40" s="43">
        <v>6045573554</v>
      </c>
      <c r="D40" s="102">
        <f t="shared" si="4"/>
        <v>0.23328100954876496</v>
      </c>
      <c r="E40" s="43">
        <v>4902024362</v>
      </c>
      <c r="F40" s="102">
        <f t="shared" si="5"/>
        <v>-4.4162427159584516E-2</v>
      </c>
      <c r="G40" s="43">
        <v>5128511895</v>
      </c>
      <c r="H40" s="102">
        <f t="shared" si="5"/>
        <v>-2.6740932105048243E-3</v>
      </c>
      <c r="I40" s="65">
        <v>5142262785</v>
      </c>
      <c r="J40" s="66">
        <f t="shared" si="3"/>
        <v>-0.13883811127779733</v>
      </c>
      <c r="K40" s="65">
        <v>5971307895</v>
      </c>
      <c r="L40" s="66">
        <f t="shared" si="6"/>
        <v>-6.2778571731351152E-3</v>
      </c>
      <c r="M40" s="65">
        <v>6009031738</v>
      </c>
      <c r="N40" s="66">
        <f t="shared" si="7"/>
        <v>0.42167994607657255</v>
      </c>
      <c r="O40" s="65">
        <v>4226712035</v>
      </c>
      <c r="P40" s="66">
        <f t="shared" si="8"/>
        <v>0.49094546778154746</v>
      </c>
      <c r="Q40" s="65">
        <v>2834920610</v>
      </c>
      <c r="R40" s="66">
        <f t="shared" si="9"/>
        <v>0.6257562802774046</v>
      </c>
      <c r="S40" s="67">
        <v>1743754980</v>
      </c>
      <c r="T40" s="66">
        <f t="shared" si="0"/>
        <v>0.53288631861652513</v>
      </c>
      <c r="U40" s="67">
        <v>1137563144</v>
      </c>
      <c r="V40" s="66">
        <f t="shared" si="1"/>
        <v>0.68504713897307146</v>
      </c>
      <c r="W40" s="67">
        <v>675092772</v>
      </c>
      <c r="X40" s="66">
        <f t="shared" si="2"/>
        <v>1.0707473578387194</v>
      </c>
      <c r="Y40" s="71">
        <v>326014069</v>
      </c>
      <c r="Z40" s="66">
        <f t="shared" si="10"/>
        <v>2.0400609496591362</v>
      </c>
      <c r="AA40" s="75">
        <v>107239320</v>
      </c>
      <c r="AC40" s="24"/>
    </row>
    <row r="41" spans="1:29" ht="14.25" customHeight="1" x14ac:dyDescent="0.2">
      <c r="A41" s="51" t="s">
        <v>31</v>
      </c>
      <c r="B41" s="45" t="s">
        <v>132</v>
      </c>
      <c r="C41" s="43">
        <v>252371150</v>
      </c>
      <c r="D41" s="102">
        <f t="shared" si="4"/>
        <v>-0.16167739042830942</v>
      </c>
      <c r="E41" s="43">
        <v>301042996</v>
      </c>
      <c r="F41" s="102">
        <f t="shared" si="5"/>
        <v>-0.12818954374660441</v>
      </c>
      <c r="G41" s="43">
        <v>345307852</v>
      </c>
      <c r="H41" s="102">
        <f t="shared" si="5"/>
        <v>-6.7139478868253111E-2</v>
      </c>
      <c r="I41" s="65">
        <v>370160216</v>
      </c>
      <c r="J41" s="66">
        <f t="shared" si="3"/>
        <v>0.15492613712514647</v>
      </c>
      <c r="K41" s="65">
        <v>320505532</v>
      </c>
      <c r="L41" s="66">
        <f t="shared" si="6"/>
        <v>-0.1746206318020902</v>
      </c>
      <c r="M41" s="65">
        <v>388312992</v>
      </c>
      <c r="N41" s="66">
        <f t="shared" si="7"/>
        <v>2.0696919736754138E-2</v>
      </c>
      <c r="O41" s="65">
        <v>380439075</v>
      </c>
      <c r="P41" s="66">
        <f t="shared" si="8"/>
        <v>-9.7005797909064384E-2</v>
      </c>
      <c r="Q41" s="65">
        <v>421308436</v>
      </c>
      <c r="R41" s="66">
        <f t="shared" si="9"/>
        <v>0.32296015592592964</v>
      </c>
      <c r="S41" s="67">
        <v>318458900</v>
      </c>
      <c r="T41" s="66">
        <f t="shared" si="0"/>
        <v>0.10149125538269854</v>
      </c>
      <c r="U41" s="67">
        <v>289116140</v>
      </c>
      <c r="V41" s="66">
        <f t="shared" si="1"/>
        <v>-0.13918153453521798</v>
      </c>
      <c r="W41" s="67">
        <v>335861917</v>
      </c>
      <c r="X41" s="66">
        <f t="shared" si="2"/>
        <v>12.301996773335642</v>
      </c>
      <c r="Y41" s="71">
        <v>25248985</v>
      </c>
      <c r="Z41" s="66">
        <f t="shared" si="10"/>
        <v>-0.38548822112448833</v>
      </c>
      <c r="AA41" s="75">
        <v>41087878</v>
      </c>
      <c r="AC41" s="24"/>
    </row>
    <row r="42" spans="1:29" ht="14.25" customHeight="1" x14ac:dyDescent="0.2">
      <c r="A42" s="51" t="s">
        <v>30</v>
      </c>
      <c r="B42" s="45" t="s">
        <v>133</v>
      </c>
      <c r="C42" s="43">
        <v>128008462</v>
      </c>
      <c r="D42" s="102">
        <f t="shared" si="4"/>
        <v>1.1004722369892797</v>
      </c>
      <c r="E42" s="43">
        <v>60942706</v>
      </c>
      <c r="F42" s="102">
        <f t="shared" si="5"/>
        <v>0.27243941967562924</v>
      </c>
      <c r="G42" s="43">
        <v>47894387</v>
      </c>
      <c r="H42" s="102">
        <f t="shared" si="5"/>
        <v>0.44285577815929744</v>
      </c>
      <c r="I42" s="65">
        <v>33194161</v>
      </c>
      <c r="J42" s="66">
        <f t="shared" si="3"/>
        <v>0.28559252576846439</v>
      </c>
      <c r="K42" s="65">
        <v>25820126</v>
      </c>
      <c r="L42" s="66">
        <f t="shared" si="6"/>
        <v>0.33657716578279762</v>
      </c>
      <c r="M42" s="65">
        <v>19318096</v>
      </c>
      <c r="N42" s="66">
        <f t="shared" si="7"/>
        <v>3.673110721505557E-2</v>
      </c>
      <c r="O42" s="65">
        <v>18633661</v>
      </c>
      <c r="P42" s="66">
        <f t="shared" si="8"/>
        <v>-0.28818222713703168</v>
      </c>
      <c r="Q42" s="65">
        <v>26177572</v>
      </c>
      <c r="R42" s="66">
        <f t="shared" si="9"/>
        <v>1.2257648439039763</v>
      </c>
      <c r="S42" s="67">
        <v>11761158</v>
      </c>
      <c r="T42" s="66">
        <f t="shared" si="0"/>
        <v>9.6965224263799747</v>
      </c>
      <c r="U42" s="67">
        <v>1099531</v>
      </c>
      <c r="V42" s="66">
        <f t="shared" si="1"/>
        <v>-0.4010574211496214</v>
      </c>
      <c r="W42" s="67">
        <v>1835787</v>
      </c>
      <c r="X42" s="66">
        <f t="shared" si="2"/>
        <v>0.12818213774760201</v>
      </c>
      <c r="Y42" s="71">
        <v>1627208</v>
      </c>
      <c r="Z42" s="66">
        <f t="shared" si="10"/>
        <v>-0.13758595213286373</v>
      </c>
      <c r="AA42" s="75">
        <v>1886806</v>
      </c>
      <c r="AC42" s="24"/>
    </row>
    <row r="43" spans="1:29" ht="14.25" customHeight="1" x14ac:dyDescent="0.2">
      <c r="A43" s="51" t="s">
        <v>29</v>
      </c>
      <c r="B43" s="45" t="s">
        <v>133</v>
      </c>
      <c r="C43" s="43">
        <v>10988497</v>
      </c>
      <c r="D43" s="102">
        <f t="shared" si="4"/>
        <v>0.57290412990329398</v>
      </c>
      <c r="E43" s="43">
        <v>6986120</v>
      </c>
      <c r="F43" s="102">
        <f t="shared" si="5"/>
        <v>-0.34761307153263377</v>
      </c>
      <c r="G43" s="43">
        <v>10708553</v>
      </c>
      <c r="H43" s="102">
        <f t="shared" si="5"/>
        <v>-0.28518001979738161</v>
      </c>
      <c r="I43" s="65">
        <v>14980769</v>
      </c>
      <c r="J43" s="66">
        <f t="shared" si="3"/>
        <v>-0.21860927832465071</v>
      </c>
      <c r="K43" s="65">
        <v>19171931</v>
      </c>
      <c r="L43" s="66">
        <f t="shared" si="6"/>
        <v>-0.1603722386495906</v>
      </c>
      <c r="M43" s="65">
        <v>22833846</v>
      </c>
      <c r="N43" s="66">
        <f t="shared" si="7"/>
        <v>0.70291756179699361</v>
      </c>
      <c r="O43" s="65">
        <v>13408662</v>
      </c>
      <c r="P43" s="66">
        <f t="shared" si="8"/>
        <v>-0.10259097998544731</v>
      </c>
      <c r="Q43" s="65">
        <v>14941528</v>
      </c>
      <c r="R43" s="66">
        <f t="shared" si="9"/>
        <v>-7.9103626795787751E-2</v>
      </c>
      <c r="S43" s="67">
        <v>16224983</v>
      </c>
      <c r="T43" s="66">
        <f t="shared" si="0"/>
        <v>-8.4368801847494512E-2</v>
      </c>
      <c r="U43" s="67">
        <v>17719998</v>
      </c>
      <c r="V43" s="66">
        <f t="shared" si="1"/>
        <v>27.482789770626717</v>
      </c>
      <c r="W43" s="67">
        <v>622130</v>
      </c>
      <c r="X43" s="66">
        <f t="shared" si="2"/>
        <v>-0.18728829168947314</v>
      </c>
      <c r="Y43" s="71">
        <v>765499</v>
      </c>
      <c r="Z43" s="66">
        <f t="shared" si="10"/>
        <v>20.207895830447431</v>
      </c>
      <c r="AA43" s="75">
        <v>36095</v>
      </c>
      <c r="AC43" s="24"/>
    </row>
    <row r="44" spans="1:29" ht="14.25" customHeight="1" x14ac:dyDescent="0.2">
      <c r="A44" s="51" t="s">
        <v>28</v>
      </c>
      <c r="B44" s="45" t="s">
        <v>133</v>
      </c>
      <c r="C44" s="43">
        <v>15787505</v>
      </c>
      <c r="D44" s="102">
        <f t="shared" si="4"/>
        <v>6.0413421058181704E-2</v>
      </c>
      <c r="E44" s="43">
        <v>14888066</v>
      </c>
      <c r="F44" s="102">
        <f t="shared" si="5"/>
        <v>1.786728433132946</v>
      </c>
      <c r="G44" s="43">
        <v>5342489</v>
      </c>
      <c r="H44" s="102">
        <f t="shared" si="5"/>
        <v>-8.807996441413557E-2</v>
      </c>
      <c r="I44" s="65">
        <v>5858506</v>
      </c>
      <c r="J44" s="66">
        <f t="shared" si="3"/>
        <v>-4.8935339520076893E-2</v>
      </c>
      <c r="K44" s="65">
        <v>6159945</v>
      </c>
      <c r="L44" s="66">
        <f t="shared" si="6"/>
        <v>0.29452191680899187</v>
      </c>
      <c r="M44" s="65">
        <v>4758471</v>
      </c>
      <c r="N44" s="66">
        <f t="shared" si="7"/>
        <v>-0.35527690473580686</v>
      </c>
      <c r="O44" s="65">
        <v>7380643</v>
      </c>
      <c r="P44" s="66">
        <f t="shared" si="8"/>
        <v>0.89823394749654262</v>
      </c>
      <c r="Q44" s="65">
        <v>3888163</v>
      </c>
      <c r="R44" s="66">
        <f t="shared" si="9"/>
        <v>0.43597051361123329</v>
      </c>
      <c r="S44" s="67">
        <v>2707690</v>
      </c>
      <c r="T44" s="66">
        <f t="shared" si="0"/>
        <v>-0.29604931338751361</v>
      </c>
      <c r="U44" s="67">
        <v>3846420</v>
      </c>
      <c r="V44" s="66">
        <f t="shared" si="1"/>
        <v>-7.1341034132095693E-2</v>
      </c>
      <c r="W44" s="67">
        <v>4141908</v>
      </c>
      <c r="X44" s="66">
        <f t="shared" si="2"/>
        <v>0.10109159892578701</v>
      </c>
      <c r="Y44" s="71">
        <v>3761638</v>
      </c>
      <c r="Z44" s="66">
        <f t="shared" si="10"/>
        <v>1.0166083302194946</v>
      </c>
      <c r="AA44" s="75">
        <v>1865329</v>
      </c>
      <c r="AC44" s="24"/>
    </row>
    <row r="45" spans="1:29" ht="14.25" customHeight="1" x14ac:dyDescent="0.2">
      <c r="A45" s="51" t="s">
        <v>27</v>
      </c>
      <c r="B45" s="45" t="s">
        <v>132</v>
      </c>
      <c r="C45" s="43">
        <v>802152365</v>
      </c>
      <c r="D45" s="102">
        <f t="shared" si="4"/>
        <v>-4.285085557831958E-2</v>
      </c>
      <c r="E45" s="43">
        <v>838064130</v>
      </c>
      <c r="F45" s="102">
        <f t="shared" si="5"/>
        <v>-0.17976365929158955</v>
      </c>
      <c r="G45" s="43">
        <v>1021734942</v>
      </c>
      <c r="H45" s="102">
        <f t="shared" si="5"/>
        <v>9.015223684210727E-2</v>
      </c>
      <c r="I45" s="65">
        <v>937240605</v>
      </c>
      <c r="J45" s="66">
        <f t="shared" si="3"/>
        <v>-2.2010466470122059E-2</v>
      </c>
      <c r="K45" s="65">
        <v>958333983</v>
      </c>
      <c r="L45" s="66">
        <f t="shared" si="6"/>
        <v>-4.3224472299601135E-2</v>
      </c>
      <c r="M45" s="65">
        <v>1001628862</v>
      </c>
      <c r="N45" s="66">
        <f t="shared" si="7"/>
        <v>9.3520425531211426E-2</v>
      </c>
      <c r="O45" s="65">
        <v>915967218</v>
      </c>
      <c r="P45" s="66">
        <f t="shared" si="8"/>
        <v>0.69033282770519522</v>
      </c>
      <c r="Q45" s="65">
        <v>541885718</v>
      </c>
      <c r="R45" s="66">
        <f t="shared" si="9"/>
        <v>2.9110655679816939</v>
      </c>
      <c r="S45" s="67">
        <v>138551939</v>
      </c>
      <c r="T45" s="66">
        <f t="shared" si="0"/>
        <v>1.333272679758251</v>
      </c>
      <c r="U45" s="67">
        <v>59380946</v>
      </c>
      <c r="V45" s="66">
        <f t="shared" si="1"/>
        <v>0.7722723073015112</v>
      </c>
      <c r="W45" s="67">
        <v>33505543</v>
      </c>
      <c r="X45" s="66">
        <f t="shared" si="2"/>
        <v>0.9997393606846452</v>
      </c>
      <c r="Y45" s="71">
        <v>16754955</v>
      </c>
      <c r="Z45" s="66">
        <f t="shared" si="10"/>
        <v>-0.6948434635649493</v>
      </c>
      <c r="AA45" s="75">
        <v>54906099</v>
      </c>
      <c r="AC45" s="24"/>
    </row>
    <row r="46" spans="1:29" ht="14.25" customHeight="1" x14ac:dyDescent="0.2">
      <c r="A46" s="51" t="s">
        <v>26</v>
      </c>
      <c r="B46" s="45" t="s">
        <v>132</v>
      </c>
      <c r="C46" s="43">
        <v>784580653</v>
      </c>
      <c r="D46" s="102">
        <f t="shared" si="4"/>
        <v>0.3069696293863966</v>
      </c>
      <c r="E46" s="43">
        <v>600305191</v>
      </c>
      <c r="F46" s="102">
        <f t="shared" si="5"/>
        <v>0.15893421747801173</v>
      </c>
      <c r="G46" s="43">
        <v>517980384</v>
      </c>
      <c r="H46" s="102">
        <f t="shared" si="5"/>
        <v>0.26041289580382987</v>
      </c>
      <c r="I46" s="65">
        <v>410960873</v>
      </c>
      <c r="J46" s="66">
        <f t="shared" si="3"/>
        <v>0.34867458905631921</v>
      </c>
      <c r="K46" s="65">
        <v>304714626</v>
      </c>
      <c r="L46" s="66">
        <f t="shared" si="6"/>
        <v>-0.1329953824105089</v>
      </c>
      <c r="M46" s="65">
        <v>351456751</v>
      </c>
      <c r="N46" s="66">
        <f t="shared" si="7"/>
        <v>0.53574674324164895</v>
      </c>
      <c r="O46" s="65">
        <v>228850722</v>
      </c>
      <c r="P46" s="66">
        <f t="shared" si="8"/>
        <v>-0.13257131704361103</v>
      </c>
      <c r="Q46" s="65">
        <v>263826556</v>
      </c>
      <c r="R46" s="66">
        <f t="shared" si="9"/>
        <v>0.61515385868281425</v>
      </c>
      <c r="S46" s="67">
        <v>163344535</v>
      </c>
      <c r="T46" s="66">
        <f t="shared" si="0"/>
        <v>0.29997893860199776</v>
      </c>
      <c r="U46" s="67">
        <v>125651678</v>
      </c>
      <c r="V46" s="66">
        <f t="shared" si="1"/>
        <v>5.2841444112168734E-2</v>
      </c>
      <c r="W46" s="67">
        <v>119345300</v>
      </c>
      <c r="X46" s="66">
        <f t="shared" si="2"/>
        <v>-0.21410412233865406</v>
      </c>
      <c r="Y46" s="71">
        <v>151858921</v>
      </c>
      <c r="Z46" s="66">
        <f t="shared" si="10"/>
        <v>0.15929832531349852</v>
      </c>
      <c r="AA46" s="75">
        <v>130992099</v>
      </c>
      <c r="AC46" s="24"/>
    </row>
    <row r="47" spans="1:29" ht="14.25" customHeight="1" x14ac:dyDescent="0.2">
      <c r="A47" s="51" t="s">
        <v>25</v>
      </c>
      <c r="B47" s="45" t="s">
        <v>132</v>
      </c>
      <c r="C47" s="43">
        <v>652871819</v>
      </c>
      <c r="D47" s="102">
        <f t="shared" si="4"/>
        <v>4.3817173080036742E-2</v>
      </c>
      <c r="E47" s="43">
        <v>625465681</v>
      </c>
      <c r="F47" s="102">
        <f t="shared" si="5"/>
        <v>-0.13991654367520323</v>
      </c>
      <c r="G47" s="43">
        <v>727215105</v>
      </c>
      <c r="H47" s="102">
        <f t="shared" si="5"/>
        <v>5.2754200762839876E-2</v>
      </c>
      <c r="I47" s="65">
        <v>690773881</v>
      </c>
      <c r="J47" s="66">
        <f t="shared" si="3"/>
        <v>-0.23490981872879557</v>
      </c>
      <c r="K47" s="65">
        <v>902865960</v>
      </c>
      <c r="L47" s="66">
        <f t="shared" si="6"/>
        <v>0.21453287046420777</v>
      </c>
      <c r="M47" s="65">
        <v>743385364</v>
      </c>
      <c r="N47" s="66">
        <f t="shared" si="7"/>
        <v>0.10572159078130006</v>
      </c>
      <c r="O47" s="65">
        <v>672307903</v>
      </c>
      <c r="P47" s="66">
        <f t="shared" si="8"/>
        <v>0.8611823469380786</v>
      </c>
      <c r="Q47" s="65">
        <v>361226241</v>
      </c>
      <c r="R47" s="66">
        <f t="shared" si="9"/>
        <v>1.6006543064646297</v>
      </c>
      <c r="S47" s="67">
        <v>138898215</v>
      </c>
      <c r="T47" s="66">
        <f t="shared" si="0"/>
        <v>0.45824421507663105</v>
      </c>
      <c r="U47" s="67">
        <v>95250311</v>
      </c>
      <c r="V47" s="66">
        <f t="shared" si="1"/>
        <v>1.2427146388629038</v>
      </c>
      <c r="W47" s="67">
        <v>42470990</v>
      </c>
      <c r="X47" s="66">
        <f t="shared" si="2"/>
        <v>0.9308359497361518</v>
      </c>
      <c r="Y47" s="71">
        <v>21996167</v>
      </c>
      <c r="Z47" s="66">
        <f t="shared" si="10"/>
        <v>3.7671930059160337</v>
      </c>
      <c r="AA47" s="75">
        <v>4614071</v>
      </c>
      <c r="AC47" s="24"/>
    </row>
    <row r="48" spans="1:29" ht="14.25" customHeight="1" x14ac:dyDescent="0.2">
      <c r="A48" s="51" t="s">
        <v>24</v>
      </c>
      <c r="B48" s="45" t="s">
        <v>132</v>
      </c>
      <c r="C48" s="43">
        <v>1693085652</v>
      </c>
      <c r="D48" s="102">
        <f t="shared" si="4"/>
        <v>-0.12104934119045085</v>
      </c>
      <c r="E48" s="43">
        <v>1926257902</v>
      </c>
      <c r="F48" s="102">
        <f t="shared" si="5"/>
        <v>6.042995147738095E-3</v>
      </c>
      <c r="G48" s="43">
        <v>1914687455</v>
      </c>
      <c r="H48" s="102">
        <f t="shared" si="5"/>
        <v>-4.212757721092264E-2</v>
      </c>
      <c r="I48" s="65">
        <v>1998896105</v>
      </c>
      <c r="J48" s="66">
        <f t="shared" si="3"/>
        <v>-7.5975230880951816E-2</v>
      </c>
      <c r="K48" s="65">
        <v>2163249484</v>
      </c>
      <c r="L48" s="66">
        <f t="shared" si="6"/>
        <v>0.19537937820600959</v>
      </c>
      <c r="M48" s="65">
        <v>1809676094</v>
      </c>
      <c r="N48" s="66">
        <f t="shared" si="7"/>
        <v>8.370443239926062E-2</v>
      </c>
      <c r="O48" s="65">
        <v>1669898212</v>
      </c>
      <c r="P48" s="66">
        <f t="shared" si="8"/>
        <v>0.17955067143590475</v>
      </c>
      <c r="Q48" s="65">
        <v>1415707059</v>
      </c>
      <c r="R48" s="66">
        <f t="shared" si="9"/>
        <v>0.51088236976226087</v>
      </c>
      <c r="S48" s="67">
        <v>937006803</v>
      </c>
      <c r="T48" s="66">
        <f t="shared" si="0"/>
        <v>0.69902806218763103</v>
      </c>
      <c r="U48" s="67">
        <v>551495778</v>
      </c>
      <c r="V48" s="66">
        <f t="shared" si="1"/>
        <v>-9.8968924520405177E-2</v>
      </c>
      <c r="W48" s="67">
        <v>612071873</v>
      </c>
      <c r="X48" s="66">
        <f t="shared" si="2"/>
        <v>4.9749695063409725</v>
      </c>
      <c r="Y48" s="71">
        <v>102439330</v>
      </c>
      <c r="Z48" s="66">
        <f t="shared" si="10"/>
        <v>-0.26016141254454506</v>
      </c>
      <c r="AA48" s="75">
        <v>138461729</v>
      </c>
      <c r="AC48" s="24"/>
    </row>
    <row r="49" spans="1:29" ht="14.25" customHeight="1" x14ac:dyDescent="0.2">
      <c r="A49" s="51" t="s">
        <v>23</v>
      </c>
      <c r="B49" s="45" t="s">
        <v>132</v>
      </c>
      <c r="C49" s="43">
        <v>684897663</v>
      </c>
      <c r="D49" s="102">
        <f t="shared" si="4"/>
        <v>8.450604784248017E-2</v>
      </c>
      <c r="E49" s="43">
        <v>631529593</v>
      </c>
      <c r="F49" s="102">
        <f t="shared" si="5"/>
        <v>0.11270092089226447</v>
      </c>
      <c r="G49" s="43">
        <v>567564546</v>
      </c>
      <c r="H49" s="102">
        <f t="shared" si="5"/>
        <v>0.12414509723440492</v>
      </c>
      <c r="I49" s="65">
        <v>504885488</v>
      </c>
      <c r="J49" s="66">
        <f t="shared" si="3"/>
        <v>0.85525625040530917</v>
      </c>
      <c r="K49" s="65">
        <v>272137872</v>
      </c>
      <c r="L49" s="66">
        <f t="shared" si="6"/>
        <v>8.3427258434002116E-2</v>
      </c>
      <c r="M49" s="65">
        <v>251182412</v>
      </c>
      <c r="N49" s="66">
        <f t="shared" si="7"/>
        <v>0.38843431831533848</v>
      </c>
      <c r="O49" s="65">
        <v>180910547</v>
      </c>
      <c r="P49" s="66">
        <f t="shared" si="8"/>
        <v>0.41622798059252952</v>
      </c>
      <c r="Q49" s="65">
        <v>127741119</v>
      </c>
      <c r="R49" s="66">
        <f t="shared" si="9"/>
        <v>0.58121064616063789</v>
      </c>
      <c r="S49" s="67">
        <v>80786908</v>
      </c>
      <c r="T49" s="66">
        <f t="shared" si="0"/>
        <v>1.6862233695348401</v>
      </c>
      <c r="U49" s="67">
        <v>30074531</v>
      </c>
      <c r="V49" s="66">
        <f t="shared" si="1"/>
        <v>0.72363852211925517</v>
      </c>
      <c r="W49" s="67">
        <v>17448282</v>
      </c>
      <c r="X49" s="66">
        <f t="shared" si="2"/>
        <v>3.1932007141554308E-2</v>
      </c>
      <c r="Y49" s="71">
        <v>16908364</v>
      </c>
      <c r="Z49" s="66">
        <f t="shared" si="10"/>
        <v>-0.24623055406523209</v>
      </c>
      <c r="AA49" s="75">
        <v>22431745</v>
      </c>
      <c r="AC49" s="24"/>
    </row>
    <row r="50" spans="1:29" ht="14.25" customHeight="1" x14ac:dyDescent="0.2">
      <c r="A50" s="51" t="s">
        <v>22</v>
      </c>
      <c r="B50" s="45" t="s">
        <v>132</v>
      </c>
      <c r="C50" s="43">
        <v>477116742</v>
      </c>
      <c r="D50" s="102">
        <f t="shared" si="4"/>
        <v>4.8032495010636556E-2</v>
      </c>
      <c r="E50" s="43">
        <v>455249951</v>
      </c>
      <c r="F50" s="102">
        <f t="shared" si="5"/>
        <v>0.18487087421573145</v>
      </c>
      <c r="G50" s="43">
        <v>384219041</v>
      </c>
      <c r="H50" s="102">
        <f t="shared" si="5"/>
        <v>0.30000605883780129</v>
      </c>
      <c r="I50" s="65">
        <v>295551731</v>
      </c>
      <c r="J50" s="66">
        <f t="shared" si="3"/>
        <v>1.4222233076837054</v>
      </c>
      <c r="K50" s="65">
        <v>122016715</v>
      </c>
      <c r="L50" s="66">
        <f t="shared" si="6"/>
        <v>3.8040707264197282E-2</v>
      </c>
      <c r="M50" s="65">
        <v>117545212</v>
      </c>
      <c r="N50" s="66">
        <f t="shared" si="7"/>
        <v>2.8606029444987913E-2</v>
      </c>
      <c r="O50" s="65">
        <v>114276223</v>
      </c>
      <c r="P50" s="66">
        <f t="shared" si="8"/>
        <v>0.42042308254848781</v>
      </c>
      <c r="Q50" s="65">
        <v>80452243</v>
      </c>
      <c r="R50" s="66">
        <f t="shared" si="9"/>
        <v>0.52585598513552356</v>
      </c>
      <c r="S50" s="67">
        <v>52725974</v>
      </c>
      <c r="T50" s="66">
        <f t="shared" si="0"/>
        <v>-1.1229339247482262E-2</v>
      </c>
      <c r="U50" s="67">
        <v>53324776</v>
      </c>
      <c r="V50" s="66">
        <f t="shared" si="1"/>
        <v>3.0849624338635806E-3</v>
      </c>
      <c r="W50" s="67">
        <v>53160777</v>
      </c>
      <c r="X50" s="66">
        <f t="shared" si="2"/>
        <v>0.16391043669320715</v>
      </c>
      <c r="Y50" s="71">
        <v>45674285</v>
      </c>
      <c r="Z50" s="66">
        <f t="shared" si="10"/>
        <v>1.6212188505515721</v>
      </c>
      <c r="AA50" s="75">
        <v>17424827</v>
      </c>
      <c r="AC50" s="24"/>
    </row>
    <row r="51" spans="1:29" ht="14.25" customHeight="1" x14ac:dyDescent="0.2">
      <c r="A51" s="51" t="s">
        <v>21</v>
      </c>
      <c r="B51" s="45" t="s">
        <v>132</v>
      </c>
      <c r="C51" s="43">
        <v>245789976</v>
      </c>
      <c r="D51" s="102">
        <f t="shared" si="4"/>
        <v>0.62589527856145244</v>
      </c>
      <c r="E51" s="43">
        <v>151172083</v>
      </c>
      <c r="F51" s="102">
        <f t="shared" si="5"/>
        <v>-3.7358226175137066E-2</v>
      </c>
      <c r="G51" s="43">
        <v>157038773</v>
      </c>
      <c r="H51" s="102">
        <f t="shared" si="5"/>
        <v>-5.2238963831269691E-2</v>
      </c>
      <c r="I51" s="65">
        <v>165694481</v>
      </c>
      <c r="J51" s="66">
        <f t="shared" si="3"/>
        <v>0.30569158888881387</v>
      </c>
      <c r="K51" s="65">
        <v>126901699</v>
      </c>
      <c r="L51" s="66">
        <f t="shared" si="6"/>
        <v>0.7890932723183155</v>
      </c>
      <c r="M51" s="65">
        <v>70930734</v>
      </c>
      <c r="N51" s="66">
        <f t="shared" si="7"/>
        <v>8.5406631611338435E-2</v>
      </c>
      <c r="O51" s="65">
        <v>65349457</v>
      </c>
      <c r="P51" s="66">
        <f t="shared" si="8"/>
        <v>0.62848967553886514</v>
      </c>
      <c r="Q51" s="65">
        <v>40128874</v>
      </c>
      <c r="R51" s="66">
        <f t="shared" si="9"/>
        <v>2.3622638012527108</v>
      </c>
      <c r="S51" s="67">
        <v>11935076</v>
      </c>
      <c r="T51" s="66">
        <f t="shared" si="0"/>
        <v>0.33611383550220486</v>
      </c>
      <c r="U51" s="67">
        <v>8932679</v>
      </c>
      <c r="V51" s="66">
        <f t="shared" si="1"/>
        <v>-0.36355801594817194</v>
      </c>
      <c r="W51" s="67">
        <v>14035339</v>
      </c>
      <c r="X51" s="66">
        <f t="shared" si="2"/>
        <v>-5.6755343635856548E-2</v>
      </c>
      <c r="Y51" s="71">
        <v>14879850</v>
      </c>
      <c r="Z51" s="66">
        <f t="shared" si="10"/>
        <v>0.48122572265978669</v>
      </c>
      <c r="AA51" s="75">
        <v>10045633</v>
      </c>
      <c r="AC51" s="24"/>
    </row>
    <row r="52" spans="1:29" ht="14.25" customHeight="1" x14ac:dyDescent="0.2">
      <c r="A52" s="51" t="s">
        <v>20</v>
      </c>
      <c r="B52" s="45" t="s">
        <v>132</v>
      </c>
      <c r="C52" s="43">
        <v>6334193129</v>
      </c>
      <c r="D52" s="102">
        <f t="shared" si="4"/>
        <v>-0.25450610830278153</v>
      </c>
      <c r="E52" s="43">
        <v>8496639878</v>
      </c>
      <c r="F52" s="102">
        <f t="shared" si="5"/>
        <v>-9.2167941375825069E-2</v>
      </c>
      <c r="G52" s="43">
        <v>9359263971</v>
      </c>
      <c r="H52" s="102">
        <f t="shared" si="5"/>
        <v>6.3822171274590778E-2</v>
      </c>
      <c r="I52" s="65">
        <v>8797771116</v>
      </c>
      <c r="J52" s="66">
        <f t="shared" si="3"/>
        <v>9.3606107776129654E-2</v>
      </c>
      <c r="K52" s="65">
        <v>8044734803</v>
      </c>
      <c r="L52" s="66">
        <f t="shared" si="6"/>
        <v>2.1492052917311266E-3</v>
      </c>
      <c r="M52" s="65">
        <v>8027482096</v>
      </c>
      <c r="N52" s="66">
        <f t="shared" si="7"/>
        <v>-7.0654861681116343E-2</v>
      </c>
      <c r="O52" s="65">
        <v>8637783494</v>
      </c>
      <c r="P52" s="66">
        <f t="shared" si="8"/>
        <v>3.6147180145893492</v>
      </c>
      <c r="Q52" s="65">
        <v>1871790100</v>
      </c>
      <c r="R52" s="66">
        <f t="shared" si="9"/>
        <v>1.3356279970336344</v>
      </c>
      <c r="S52" s="67">
        <v>801407631</v>
      </c>
      <c r="T52" s="66">
        <f t="shared" si="0"/>
        <v>0.3687459137841067</v>
      </c>
      <c r="U52" s="67">
        <v>585505040</v>
      </c>
      <c r="V52" s="66">
        <f t="shared" si="1"/>
        <v>1.2787860174208596</v>
      </c>
      <c r="W52" s="67">
        <v>256937262</v>
      </c>
      <c r="X52" s="66">
        <f t="shared" si="2"/>
        <v>0.37764983869706081</v>
      </c>
      <c r="Y52" s="71">
        <v>186504041</v>
      </c>
      <c r="Z52" s="66">
        <f t="shared" si="10"/>
        <v>-0.23808915363993144</v>
      </c>
      <c r="AA52" s="75">
        <v>244784599</v>
      </c>
      <c r="AC52" s="24"/>
    </row>
    <row r="53" spans="1:29" ht="14.25" customHeight="1" x14ac:dyDescent="0.2">
      <c r="A53" s="51" t="s">
        <v>19</v>
      </c>
      <c r="B53" s="45" t="s">
        <v>132</v>
      </c>
      <c r="C53" s="43">
        <v>744968398</v>
      </c>
      <c r="D53" s="102">
        <f t="shared" si="4"/>
        <v>-0.23380846344312045</v>
      </c>
      <c r="E53" s="43">
        <v>972300479</v>
      </c>
      <c r="F53" s="102">
        <f t="shared" si="5"/>
        <v>-6.8822459185980844E-2</v>
      </c>
      <c r="G53" s="43">
        <v>1044162296</v>
      </c>
      <c r="H53" s="102">
        <f t="shared" si="5"/>
        <v>0.65419387540500229</v>
      </c>
      <c r="I53" s="65">
        <v>631221232</v>
      </c>
      <c r="J53" s="66">
        <f t="shared" si="3"/>
        <v>0.65242918186438503</v>
      </c>
      <c r="K53" s="65">
        <v>381995936</v>
      </c>
      <c r="L53" s="66">
        <f t="shared" si="6"/>
        <v>0.1555607086447981</v>
      </c>
      <c r="M53" s="65">
        <v>330571932</v>
      </c>
      <c r="N53" s="66">
        <f t="shared" si="7"/>
        <v>-0.33694695698120469</v>
      </c>
      <c r="O53" s="65">
        <v>498560312</v>
      </c>
      <c r="P53" s="66">
        <f t="shared" si="8"/>
        <v>0.17710975518805094</v>
      </c>
      <c r="Q53" s="65">
        <v>423546156</v>
      </c>
      <c r="R53" s="66">
        <f t="shared" si="9"/>
        <v>1.4439674960394155</v>
      </c>
      <c r="S53" s="67">
        <v>173302696</v>
      </c>
      <c r="T53" s="66">
        <f t="shared" si="0"/>
        <v>2.025724579053708</v>
      </c>
      <c r="U53" s="67">
        <v>57276428</v>
      </c>
      <c r="V53" s="66">
        <f t="shared" si="1"/>
        <v>0.13293205494707094</v>
      </c>
      <c r="W53" s="67">
        <v>50555925</v>
      </c>
      <c r="X53" s="66">
        <f t="shared" si="2"/>
        <v>6.8408961789478973E-3</v>
      </c>
      <c r="Y53" s="71">
        <v>50212427</v>
      </c>
      <c r="Z53" s="66">
        <f t="shared" si="10"/>
        <v>-0.57173663029754029</v>
      </c>
      <c r="AA53" s="75">
        <v>117246607</v>
      </c>
      <c r="AC53" s="24"/>
    </row>
    <row r="54" spans="1:29" ht="14.25" customHeight="1" x14ac:dyDescent="0.2">
      <c r="A54" s="51" t="s">
        <v>18</v>
      </c>
      <c r="B54" s="45" t="s">
        <v>132</v>
      </c>
      <c r="C54" s="43">
        <v>5336991014</v>
      </c>
      <c r="D54" s="102">
        <f t="shared" si="4"/>
        <v>0.25719697488782978</v>
      </c>
      <c r="E54" s="43">
        <v>4245151015</v>
      </c>
      <c r="F54" s="102">
        <f t="shared" si="5"/>
        <v>-0.1957349353836666</v>
      </c>
      <c r="G54" s="43">
        <v>5278298414</v>
      </c>
      <c r="H54" s="102">
        <f t="shared" si="5"/>
        <v>-0.12267466831401341</v>
      </c>
      <c r="I54" s="65">
        <v>6016352456</v>
      </c>
      <c r="J54" s="66">
        <f t="shared" si="3"/>
        <v>-0.13322060510539346</v>
      </c>
      <c r="K54" s="65">
        <v>6941042313</v>
      </c>
      <c r="L54" s="66">
        <f t="shared" si="6"/>
        <v>-5.2336632793989368E-2</v>
      </c>
      <c r="M54" s="65">
        <v>7324375462</v>
      </c>
      <c r="N54" s="66">
        <f t="shared" si="7"/>
        <v>0.13093972030131851</v>
      </c>
      <c r="O54" s="65">
        <v>6476362383</v>
      </c>
      <c r="P54" s="66">
        <f t="shared" si="8"/>
        <v>0.55230302285915034</v>
      </c>
      <c r="Q54" s="65">
        <v>4172099318</v>
      </c>
      <c r="R54" s="66">
        <f t="shared" si="9"/>
        <v>1.396691731218239</v>
      </c>
      <c r="S54" s="67">
        <v>1740774278</v>
      </c>
      <c r="T54" s="66">
        <f t="shared" si="0"/>
        <v>0.97565820341111786</v>
      </c>
      <c r="U54" s="67">
        <v>881111052</v>
      </c>
      <c r="V54" s="66">
        <f t="shared" si="1"/>
        <v>0.2765411625705283</v>
      </c>
      <c r="W54" s="67">
        <v>690233169</v>
      </c>
      <c r="X54" s="66">
        <f t="shared" si="2"/>
        <v>0.62829134242060247</v>
      </c>
      <c r="Y54" s="71">
        <v>423900288</v>
      </c>
      <c r="Z54" s="66">
        <f t="shared" si="10"/>
        <v>-0.19911163005770438</v>
      </c>
      <c r="AA54" s="75">
        <v>529287606</v>
      </c>
      <c r="AC54" s="24"/>
    </row>
    <row r="55" spans="1:29" ht="14.25" customHeight="1" x14ac:dyDescent="0.2">
      <c r="A55" s="51" t="s">
        <v>17</v>
      </c>
      <c r="B55" s="45" t="s">
        <v>132</v>
      </c>
      <c r="C55" s="43">
        <v>1400643647</v>
      </c>
      <c r="D55" s="102">
        <f t="shared" si="4"/>
        <v>0.60674459180985574</v>
      </c>
      <c r="E55" s="43">
        <v>871727625</v>
      </c>
      <c r="F55" s="102">
        <f t="shared" si="5"/>
        <v>-2.6127739090226698E-2</v>
      </c>
      <c r="G55" s="43">
        <v>895114955</v>
      </c>
      <c r="H55" s="102">
        <f t="shared" si="5"/>
        <v>9.9465176550988632E-2</v>
      </c>
      <c r="I55" s="65">
        <v>814136704</v>
      </c>
      <c r="J55" s="66">
        <f t="shared" si="3"/>
        <v>0.78713119229668749</v>
      </c>
      <c r="K55" s="65">
        <v>455555086</v>
      </c>
      <c r="L55" s="66">
        <f t="shared" si="6"/>
        <v>0.571601752482501</v>
      </c>
      <c r="M55" s="65">
        <v>289866746</v>
      </c>
      <c r="N55" s="66">
        <f t="shared" si="7"/>
        <v>0.33341134768933656</v>
      </c>
      <c r="O55" s="65">
        <v>217387340</v>
      </c>
      <c r="P55" s="66">
        <f t="shared" si="8"/>
        <v>-1.4685115295150042E-2</v>
      </c>
      <c r="Q55" s="65">
        <v>220627277</v>
      </c>
      <c r="R55" s="66">
        <f t="shared" si="9"/>
        <v>0.73593881060798139</v>
      </c>
      <c r="S55" s="67">
        <v>127093925</v>
      </c>
      <c r="T55" s="66">
        <f t="shared" si="0"/>
        <v>0.40227315260879304</v>
      </c>
      <c r="U55" s="67">
        <v>90634214</v>
      </c>
      <c r="V55" s="66">
        <f t="shared" si="1"/>
        <v>0.99908738393651486</v>
      </c>
      <c r="W55" s="67">
        <v>45337795</v>
      </c>
      <c r="X55" s="66">
        <f t="shared" si="2"/>
        <v>1.3726305379204469</v>
      </c>
      <c r="Y55" s="71">
        <v>19108662</v>
      </c>
      <c r="Z55" s="66">
        <f t="shared" si="10"/>
        <v>0.94477193738800369</v>
      </c>
      <c r="AA55" s="75">
        <v>9825657</v>
      </c>
      <c r="AC55" s="24"/>
    </row>
    <row r="56" spans="1:29" ht="14.25" customHeight="1" x14ac:dyDescent="0.2">
      <c r="A56" s="51" t="s">
        <v>16</v>
      </c>
      <c r="B56" s="45" t="s">
        <v>132</v>
      </c>
      <c r="C56" s="43">
        <v>4029521966</v>
      </c>
      <c r="D56" s="102">
        <f t="shared" si="4"/>
        <v>0.26558816388927675</v>
      </c>
      <c r="E56" s="43">
        <v>3183912493</v>
      </c>
      <c r="F56" s="102">
        <f t="shared" si="5"/>
        <v>3.7265325020549689E-2</v>
      </c>
      <c r="G56" s="43">
        <v>3069525623</v>
      </c>
      <c r="H56" s="102">
        <f t="shared" si="5"/>
        <v>8.3865992348255203E-2</v>
      </c>
      <c r="I56" s="65">
        <v>2832015807</v>
      </c>
      <c r="J56" s="66">
        <f t="shared" si="3"/>
        <v>0.1289072609069295</v>
      </c>
      <c r="K56" s="65">
        <v>2508634593</v>
      </c>
      <c r="L56" s="66">
        <f t="shared" si="6"/>
        <v>0.17139371077564713</v>
      </c>
      <c r="M56" s="65">
        <v>2141581067</v>
      </c>
      <c r="N56" s="66">
        <f t="shared" si="7"/>
        <v>0.16408553547838367</v>
      </c>
      <c r="O56" s="65">
        <v>1839711088</v>
      </c>
      <c r="P56" s="66">
        <f t="shared" si="8"/>
        <v>0.46551748165094664</v>
      </c>
      <c r="Q56" s="65">
        <v>1255332066</v>
      </c>
      <c r="R56" s="66">
        <f t="shared" si="9"/>
        <v>1.7582379126519148</v>
      </c>
      <c r="S56" s="67">
        <v>455121025</v>
      </c>
      <c r="T56" s="66">
        <f t="shared" si="0"/>
        <v>1.6041857041146796</v>
      </c>
      <c r="U56" s="67">
        <v>174765196</v>
      </c>
      <c r="V56" s="66">
        <f t="shared" si="1"/>
        <v>0.13367128308936027</v>
      </c>
      <c r="W56" s="67">
        <v>154158616</v>
      </c>
      <c r="X56" s="66">
        <f t="shared" si="2"/>
        <v>3.0510676666818028</v>
      </c>
      <c r="Y56" s="71">
        <v>38053824</v>
      </c>
      <c r="Z56" s="66">
        <f t="shared" si="10"/>
        <v>-0.32356131416927136</v>
      </c>
      <c r="AA56" s="75">
        <v>56256132</v>
      </c>
      <c r="AC56" s="24"/>
    </row>
    <row r="57" spans="1:29" ht="14.25" customHeight="1" x14ac:dyDescent="0.2">
      <c r="A57" s="51" t="s">
        <v>15</v>
      </c>
      <c r="B57" s="45" t="s">
        <v>132</v>
      </c>
      <c r="C57" s="43">
        <v>1798437739</v>
      </c>
      <c r="D57" s="102">
        <f t="shared" si="4"/>
        <v>-6.129868139884187E-2</v>
      </c>
      <c r="E57" s="43">
        <v>1915878569</v>
      </c>
      <c r="F57" s="102">
        <f t="shared" si="5"/>
        <v>0.31220455555861926</v>
      </c>
      <c r="G57" s="43">
        <v>1460045662</v>
      </c>
      <c r="H57" s="102">
        <f t="shared" si="5"/>
        <v>9.2754199564050843E-2</v>
      </c>
      <c r="I57" s="65">
        <v>1336115352</v>
      </c>
      <c r="J57" s="66">
        <f t="shared" si="3"/>
        <v>0.34229678574708933</v>
      </c>
      <c r="K57" s="65">
        <v>995394883</v>
      </c>
      <c r="L57" s="66">
        <f t="shared" si="6"/>
        <v>0.3442753030227379</v>
      </c>
      <c r="M57" s="65">
        <v>740469516</v>
      </c>
      <c r="N57" s="66">
        <f t="shared" si="7"/>
        <v>9.7189590745274002E-2</v>
      </c>
      <c r="O57" s="65">
        <v>674878364</v>
      </c>
      <c r="P57" s="66">
        <f t="shared" si="8"/>
        <v>-0.15974326184967846</v>
      </c>
      <c r="Q57" s="65">
        <v>803181139</v>
      </c>
      <c r="R57" s="66">
        <f t="shared" si="9"/>
        <v>0.29393267423206959</v>
      </c>
      <c r="S57" s="67">
        <v>620728694</v>
      </c>
      <c r="T57" s="66">
        <f t="shared" si="0"/>
        <v>0.50015472606116052</v>
      </c>
      <c r="U57" s="67">
        <v>413776448</v>
      </c>
      <c r="V57" s="66">
        <f t="shared" si="1"/>
        <v>1.0067183983950927</v>
      </c>
      <c r="W57" s="67">
        <v>206195572</v>
      </c>
      <c r="X57" s="66">
        <f t="shared" si="2"/>
        <v>4.4882296802362553E-2</v>
      </c>
      <c r="Y57" s="71">
        <v>197338564</v>
      </c>
      <c r="Z57" s="66">
        <f t="shared" si="10"/>
        <v>0.73049858636774423</v>
      </c>
      <c r="AA57" s="75">
        <v>114035669</v>
      </c>
      <c r="AC57" s="24"/>
    </row>
    <row r="58" spans="1:29" ht="14.25" customHeight="1" x14ac:dyDescent="0.2">
      <c r="A58" s="51" t="s">
        <v>14</v>
      </c>
      <c r="B58" s="45" t="s">
        <v>132</v>
      </c>
      <c r="C58" s="43">
        <v>116055857</v>
      </c>
      <c r="D58" s="102">
        <f t="shared" si="4"/>
        <v>0.34412754773438792</v>
      </c>
      <c r="E58" s="43">
        <v>86342890</v>
      </c>
      <c r="F58" s="102">
        <f t="shared" si="5"/>
        <v>-1.9843831407339141E-2</v>
      </c>
      <c r="G58" s="43">
        <v>88090952</v>
      </c>
      <c r="H58" s="102">
        <f t="shared" si="5"/>
        <v>0.31059665379977863</v>
      </c>
      <c r="I58" s="65">
        <v>67214388</v>
      </c>
      <c r="J58" s="66">
        <f t="shared" si="3"/>
        <v>9.5034300471741551E-2</v>
      </c>
      <c r="K58" s="65">
        <v>61381080</v>
      </c>
      <c r="L58" s="66">
        <f t="shared" si="6"/>
        <v>0.92129309953024618</v>
      </c>
      <c r="M58" s="65">
        <v>31947796</v>
      </c>
      <c r="N58" s="66">
        <f t="shared" si="7"/>
        <v>9.3373225443205143E-2</v>
      </c>
      <c r="O58" s="65">
        <v>29219479</v>
      </c>
      <c r="P58" s="66">
        <f t="shared" si="8"/>
        <v>-9.7608561370614355E-2</v>
      </c>
      <c r="Q58" s="65">
        <v>32380049</v>
      </c>
      <c r="R58" s="66">
        <f t="shared" si="9"/>
        <v>-0.12397205188296079</v>
      </c>
      <c r="S58" s="67">
        <v>36962347</v>
      </c>
      <c r="T58" s="66">
        <f t="shared" si="0"/>
        <v>0.35351640164733289</v>
      </c>
      <c r="U58" s="67">
        <v>27308385</v>
      </c>
      <c r="V58" s="66">
        <f t="shared" si="1"/>
        <v>-9.4719904050133419E-4</v>
      </c>
      <c r="W58" s="67">
        <v>27334276</v>
      </c>
      <c r="X58" s="66">
        <f t="shared" si="2"/>
        <v>0.31240352366273183</v>
      </c>
      <c r="Y58" s="71">
        <v>20827646</v>
      </c>
      <c r="Z58" s="66">
        <f t="shared" si="10"/>
        <v>0.14544676895531317</v>
      </c>
      <c r="AA58" s="75">
        <v>18182989</v>
      </c>
      <c r="AC58" s="24"/>
    </row>
    <row r="59" spans="1:29" ht="14.25" customHeight="1" x14ac:dyDescent="0.2">
      <c r="A59" s="51" t="s">
        <v>13</v>
      </c>
      <c r="B59" s="45" t="s">
        <v>132</v>
      </c>
      <c r="C59" s="43">
        <v>750808250</v>
      </c>
      <c r="D59" s="102">
        <f t="shared" si="4"/>
        <v>-0.15392191316734927</v>
      </c>
      <c r="E59" s="43">
        <v>887398293</v>
      </c>
      <c r="F59" s="102">
        <f t="shared" si="5"/>
        <v>0.11383830857897603</v>
      </c>
      <c r="G59" s="43">
        <v>796702974</v>
      </c>
      <c r="H59" s="102">
        <f t="shared" si="5"/>
        <v>0.32734585574873276</v>
      </c>
      <c r="I59" s="65">
        <v>600222595</v>
      </c>
      <c r="J59" s="66">
        <f t="shared" si="3"/>
        <v>0.24338149814857579</v>
      </c>
      <c r="K59" s="65">
        <v>482734057</v>
      </c>
      <c r="L59" s="66">
        <f t="shared" si="6"/>
        <v>-0.13788842996329598</v>
      </c>
      <c r="M59" s="65">
        <v>559943833</v>
      </c>
      <c r="N59" s="66">
        <f t="shared" si="7"/>
        <v>8.0516484888003337E-2</v>
      </c>
      <c r="O59" s="65">
        <v>518218686</v>
      </c>
      <c r="P59" s="66">
        <f t="shared" si="8"/>
        <v>1.7073936390016469</v>
      </c>
      <c r="Q59" s="65">
        <v>191408696</v>
      </c>
      <c r="R59" s="66">
        <f t="shared" si="9"/>
        <v>0.70851821876947829</v>
      </c>
      <c r="S59" s="67">
        <v>112031990</v>
      </c>
      <c r="T59" s="66">
        <f t="shared" si="0"/>
        <v>2.5703614337957341</v>
      </c>
      <c r="U59" s="67">
        <v>31378333</v>
      </c>
      <c r="V59" s="66">
        <f t="shared" si="1"/>
        <v>-2.1585567713976017E-2</v>
      </c>
      <c r="W59" s="67">
        <v>32070595</v>
      </c>
      <c r="X59" s="66">
        <f t="shared" si="2"/>
        <v>1.1983307223785822E-2</v>
      </c>
      <c r="Y59" s="71">
        <v>31690834</v>
      </c>
      <c r="Z59" s="66">
        <f t="shared" si="10"/>
        <v>0.76063553659025485</v>
      </c>
      <c r="AA59" s="75">
        <v>17999656</v>
      </c>
      <c r="AC59" s="24"/>
    </row>
    <row r="60" spans="1:29" ht="14.25" customHeight="1" x14ac:dyDescent="0.2">
      <c r="A60" s="51" t="s">
        <v>12</v>
      </c>
      <c r="B60" s="45" t="s">
        <v>132</v>
      </c>
      <c r="C60" s="43">
        <v>1404660180</v>
      </c>
      <c r="D60" s="102">
        <f t="shared" si="4"/>
        <v>0.34995427651074928</v>
      </c>
      <c r="E60" s="43">
        <v>1040524264</v>
      </c>
      <c r="F60" s="102">
        <f t="shared" si="5"/>
        <v>-0.18713380230804322</v>
      </c>
      <c r="G60" s="43">
        <v>1280068315</v>
      </c>
      <c r="H60" s="102">
        <f t="shared" si="5"/>
        <v>6.079976639386131E-2</v>
      </c>
      <c r="I60" s="65">
        <v>1206701166</v>
      </c>
      <c r="J60" s="66">
        <f t="shared" si="3"/>
        <v>0.11180596219067152</v>
      </c>
      <c r="K60" s="65">
        <v>1085352307</v>
      </c>
      <c r="L60" s="66">
        <f t="shared" si="6"/>
        <v>0.11544954739051771</v>
      </c>
      <c r="M60" s="65">
        <v>973017838</v>
      </c>
      <c r="N60" s="66">
        <f t="shared" si="7"/>
        <v>0.69127086881138422</v>
      </c>
      <c r="O60" s="65">
        <v>575317565</v>
      </c>
      <c r="P60" s="66">
        <f t="shared" si="8"/>
        <v>0.59488119422388319</v>
      </c>
      <c r="Q60" s="65">
        <v>360727537</v>
      </c>
      <c r="R60" s="66">
        <f t="shared" si="9"/>
        <v>0.73021437691002133</v>
      </c>
      <c r="S60" s="67">
        <v>208487192</v>
      </c>
      <c r="T60" s="66">
        <f t="shared" si="0"/>
        <v>1.1377119849938611E-2</v>
      </c>
      <c r="U60" s="67">
        <v>206141891</v>
      </c>
      <c r="V60" s="66">
        <f t="shared" si="1"/>
        <v>-7.6595987219693296E-2</v>
      </c>
      <c r="W60" s="67">
        <v>223241277</v>
      </c>
      <c r="X60" s="66">
        <f t="shared" si="2"/>
        <v>1.0321332555476062</v>
      </c>
      <c r="Y60" s="71">
        <v>109855629</v>
      </c>
      <c r="Z60" s="66">
        <f t="shared" si="10"/>
        <v>1.187145582608407</v>
      </c>
      <c r="AA60" s="75">
        <v>50227854</v>
      </c>
      <c r="AC60" s="24"/>
    </row>
    <row r="61" spans="1:29" ht="14.25" customHeight="1" x14ac:dyDescent="0.2">
      <c r="A61" s="51" t="s">
        <v>11</v>
      </c>
      <c r="B61" s="45" t="s">
        <v>132</v>
      </c>
      <c r="C61" s="43">
        <v>315723911</v>
      </c>
      <c r="D61" s="102">
        <f t="shared" si="4"/>
        <v>0.65423609290747997</v>
      </c>
      <c r="E61" s="43">
        <v>190857830</v>
      </c>
      <c r="F61" s="102">
        <f t="shared" si="5"/>
        <v>0.17046911244015583</v>
      </c>
      <c r="G61" s="43">
        <v>163060971</v>
      </c>
      <c r="H61" s="102">
        <f t="shared" si="5"/>
        <v>0.63279976800082172</v>
      </c>
      <c r="I61" s="65">
        <v>99865871</v>
      </c>
      <c r="J61" s="66">
        <f t="shared" si="3"/>
        <v>0.31036881013264672</v>
      </c>
      <c r="K61" s="65">
        <v>76212033</v>
      </c>
      <c r="L61" s="66">
        <f t="shared" si="6"/>
        <v>-0.10970072876078119</v>
      </c>
      <c r="M61" s="65">
        <v>85602713</v>
      </c>
      <c r="N61" s="66">
        <f t="shared" si="7"/>
        <v>-4.0291221574251246E-2</v>
      </c>
      <c r="O61" s="65">
        <v>89196551</v>
      </c>
      <c r="P61" s="66">
        <f t="shared" si="8"/>
        <v>1.0451353371344516</v>
      </c>
      <c r="Q61" s="65">
        <v>43614009</v>
      </c>
      <c r="R61" s="66">
        <f t="shared" si="9"/>
        <v>1.1472868415516411</v>
      </c>
      <c r="S61" s="67">
        <v>20311217</v>
      </c>
      <c r="T61" s="66">
        <f t="shared" si="0"/>
        <v>0.5690420973259207</v>
      </c>
      <c r="U61" s="67">
        <v>12944979</v>
      </c>
      <c r="V61" s="66">
        <f t="shared" si="1"/>
        <v>-0.41955842426334922</v>
      </c>
      <c r="W61" s="67">
        <v>22301950</v>
      </c>
      <c r="X61" s="66">
        <f t="shared" si="2"/>
        <v>-0.21664843923648236</v>
      </c>
      <c r="Y61" s="71">
        <v>28469912</v>
      </c>
      <c r="Z61" s="66">
        <f t="shared" si="10"/>
        <v>2.4074409548619795</v>
      </c>
      <c r="AA61" s="75">
        <v>8355218</v>
      </c>
      <c r="AC61" s="24"/>
    </row>
    <row r="62" spans="1:29" ht="14.25" customHeight="1" x14ac:dyDescent="0.2">
      <c r="A62" s="51" t="s">
        <v>10</v>
      </c>
      <c r="B62" s="45" t="s">
        <v>132</v>
      </c>
      <c r="C62" s="43">
        <v>2472646063</v>
      </c>
      <c r="D62" s="102">
        <f t="shared" si="4"/>
        <v>0.20713400730715392</v>
      </c>
      <c r="E62" s="43">
        <v>2048360868</v>
      </c>
      <c r="F62" s="102">
        <f t="shared" si="5"/>
        <v>7.148958636678393E-2</v>
      </c>
      <c r="G62" s="43">
        <v>1911694611</v>
      </c>
      <c r="H62" s="102">
        <f t="shared" si="5"/>
        <v>-0.16109350273331879</v>
      </c>
      <c r="I62" s="65">
        <v>2278793426</v>
      </c>
      <c r="J62" s="66">
        <f t="shared" si="3"/>
        <v>-6.7534473768968484E-2</v>
      </c>
      <c r="K62" s="65">
        <v>2443836648</v>
      </c>
      <c r="L62" s="66">
        <f t="shared" si="6"/>
        <v>-0.10798116485396259</v>
      </c>
      <c r="M62" s="65">
        <v>2739669334</v>
      </c>
      <c r="N62" s="66">
        <f t="shared" si="7"/>
        <v>0.532758343778855</v>
      </c>
      <c r="O62" s="65">
        <v>1787411137</v>
      </c>
      <c r="P62" s="66">
        <f t="shared" si="8"/>
        <v>0.50927696545546119</v>
      </c>
      <c r="Q62" s="65">
        <v>1184283056</v>
      </c>
      <c r="R62" s="66">
        <f t="shared" si="9"/>
        <v>0.95012948457178914</v>
      </c>
      <c r="S62" s="67">
        <v>607284319</v>
      </c>
      <c r="T62" s="66">
        <f t="shared" si="0"/>
        <v>0.83740969301331591</v>
      </c>
      <c r="U62" s="67">
        <v>330511111</v>
      </c>
      <c r="V62" s="66">
        <f t="shared" si="1"/>
        <v>2.0008652915272584</v>
      </c>
      <c r="W62" s="67">
        <v>110138603</v>
      </c>
      <c r="X62" s="66">
        <f t="shared" si="2"/>
        <v>0.33270665639999231</v>
      </c>
      <c r="Y62" s="71">
        <v>82642795</v>
      </c>
      <c r="Z62" s="66">
        <f t="shared" si="10"/>
        <v>-0.36687981783548174</v>
      </c>
      <c r="AA62" s="75">
        <v>130532555</v>
      </c>
      <c r="AC62" s="24"/>
    </row>
    <row r="63" spans="1:29" ht="14.25" customHeight="1" x14ac:dyDescent="0.2">
      <c r="A63" s="51" t="s">
        <v>9</v>
      </c>
      <c r="B63" s="45" t="s">
        <v>132</v>
      </c>
      <c r="C63" s="43">
        <v>1302601190</v>
      </c>
      <c r="D63" s="102">
        <f t="shared" si="4"/>
        <v>9.8301038613086034E-2</v>
      </c>
      <c r="E63" s="43">
        <v>1186014712</v>
      </c>
      <c r="F63" s="102">
        <f t="shared" si="5"/>
        <v>-7.6149270637036914E-2</v>
      </c>
      <c r="G63" s="43">
        <v>1283773097</v>
      </c>
      <c r="H63" s="102">
        <f t="shared" si="5"/>
        <v>0.13426670377882255</v>
      </c>
      <c r="I63" s="65">
        <v>1131808853</v>
      </c>
      <c r="J63" s="66">
        <f t="shared" si="3"/>
        <v>7.0384818074050948E-2</v>
      </c>
      <c r="K63" s="65">
        <v>1057385002</v>
      </c>
      <c r="L63" s="66">
        <f t="shared" si="6"/>
        <v>6.5538710930550526E-2</v>
      </c>
      <c r="M63" s="65">
        <v>992347806</v>
      </c>
      <c r="N63" s="66">
        <f t="shared" si="7"/>
        <v>-3.4470207844692458E-2</v>
      </c>
      <c r="O63" s="65">
        <v>1027775439</v>
      </c>
      <c r="P63" s="66">
        <f t="shared" si="8"/>
        <v>1.4199807041601527</v>
      </c>
      <c r="Q63" s="65">
        <v>424703981</v>
      </c>
      <c r="R63" s="66">
        <f t="shared" si="9"/>
        <v>0.83887234130972699</v>
      </c>
      <c r="S63" s="67">
        <v>230958926</v>
      </c>
      <c r="T63" s="66">
        <f t="shared" si="0"/>
        <v>0.14729965407681589</v>
      </c>
      <c r="U63" s="67">
        <v>201306542</v>
      </c>
      <c r="V63" s="66">
        <f t="shared" si="1"/>
        <v>3.7395303515852056</v>
      </c>
      <c r="W63" s="67">
        <v>42473943</v>
      </c>
      <c r="X63" s="66">
        <f t="shared" si="2"/>
        <v>1.4323560336356289E-2</v>
      </c>
      <c r="Y63" s="71">
        <v>41874156</v>
      </c>
      <c r="Z63" s="66">
        <f t="shared" si="10"/>
        <v>-2.6170913833121534E-2</v>
      </c>
      <c r="AA63" s="75">
        <v>42999492</v>
      </c>
      <c r="AC63" s="24"/>
    </row>
    <row r="64" spans="1:29" ht="14.25" customHeight="1" x14ac:dyDescent="0.2">
      <c r="A64" s="51" t="s">
        <v>8</v>
      </c>
      <c r="B64" s="45" t="s">
        <v>132</v>
      </c>
      <c r="C64" s="43">
        <v>280443997</v>
      </c>
      <c r="D64" s="102">
        <f t="shared" si="4"/>
        <v>4.840133113220535E-2</v>
      </c>
      <c r="E64" s="43">
        <v>267496796</v>
      </c>
      <c r="F64" s="102">
        <f t="shared" si="5"/>
        <v>-0.32593178246127275</v>
      </c>
      <c r="G64" s="43">
        <v>396839354</v>
      </c>
      <c r="H64" s="102">
        <f t="shared" si="5"/>
        <v>3.4181481665429025</v>
      </c>
      <c r="I64" s="65">
        <v>89820291</v>
      </c>
      <c r="J64" s="66">
        <f t="shared" si="3"/>
        <v>0.19463020649000518</v>
      </c>
      <c r="K64" s="65">
        <v>75186690</v>
      </c>
      <c r="L64" s="66">
        <f t="shared" si="6"/>
        <v>0.97279692655196937</v>
      </c>
      <c r="M64" s="65">
        <v>38111723</v>
      </c>
      <c r="N64" s="66">
        <f t="shared" si="7"/>
        <v>-0.36297103496229977</v>
      </c>
      <c r="O64" s="65">
        <v>59827300</v>
      </c>
      <c r="P64" s="66">
        <f t="shared" si="8"/>
        <v>-0.19649892483400433</v>
      </c>
      <c r="Q64" s="65">
        <v>74458270</v>
      </c>
      <c r="R64" s="66">
        <f t="shared" si="9"/>
        <v>7.5892939334827592</v>
      </c>
      <c r="S64" s="67">
        <v>8668730</v>
      </c>
      <c r="T64" s="66">
        <f t="shared" si="0"/>
        <v>0.40030077762808891</v>
      </c>
      <c r="U64" s="67">
        <v>6190620</v>
      </c>
      <c r="V64" s="66">
        <f t="shared" si="1"/>
        <v>-0.2653526221258613</v>
      </c>
      <c r="W64" s="67">
        <v>8426655</v>
      </c>
      <c r="X64" s="66">
        <f t="shared" si="2"/>
        <v>4.9518976291025592</v>
      </c>
      <c r="Y64" s="71">
        <v>1415793</v>
      </c>
      <c r="Z64" s="66">
        <f t="shared" si="10"/>
        <v>-0.69799089787250834</v>
      </c>
      <c r="AA64" s="75">
        <v>4687915</v>
      </c>
      <c r="AC64" s="24"/>
    </row>
    <row r="65" spans="1:29" ht="14.25" customHeight="1" x14ac:dyDescent="0.2">
      <c r="A65" s="51" t="s">
        <v>7</v>
      </c>
      <c r="B65" s="45" t="s">
        <v>133</v>
      </c>
      <c r="C65" s="43">
        <v>29049515</v>
      </c>
      <c r="D65" s="102">
        <f t="shared" si="4"/>
        <v>1.3656737050366887</v>
      </c>
      <c r="E65" s="43">
        <v>12279595</v>
      </c>
      <c r="F65" s="102">
        <f t="shared" si="5"/>
        <v>0.96234584769584552</v>
      </c>
      <c r="G65" s="43">
        <v>6257610</v>
      </c>
      <c r="H65" s="102">
        <f t="shared" si="5"/>
        <v>-0.4537341709000251</v>
      </c>
      <c r="I65" s="65">
        <v>11455247</v>
      </c>
      <c r="J65" s="66">
        <f t="shared" si="3"/>
        <v>0.14618857242114625</v>
      </c>
      <c r="K65" s="65">
        <v>9994208</v>
      </c>
      <c r="L65" s="66">
        <f t="shared" si="6"/>
        <v>1.0341218155940259</v>
      </c>
      <c r="M65" s="65">
        <v>4913279</v>
      </c>
      <c r="N65" s="66">
        <f t="shared" si="7"/>
        <v>0.8087178711277947</v>
      </c>
      <c r="O65" s="65">
        <v>2716443</v>
      </c>
      <c r="P65" s="66">
        <f t="shared" si="8"/>
        <v>0.65757953528219715</v>
      </c>
      <c r="Q65" s="65">
        <v>1638801</v>
      </c>
      <c r="R65" s="66">
        <f t="shared" si="9"/>
        <v>0.68187896595500552</v>
      </c>
      <c r="S65" s="67">
        <v>974387</v>
      </c>
      <c r="T65" s="66">
        <f t="shared" si="0"/>
        <v>0.31259918042282853</v>
      </c>
      <c r="U65" s="67">
        <v>742334</v>
      </c>
      <c r="V65" s="66">
        <f t="shared" si="1"/>
        <v>-0.15756730471334424</v>
      </c>
      <c r="W65" s="67">
        <v>881179</v>
      </c>
      <c r="X65" s="66">
        <f t="shared" si="2"/>
        <v>11.912371964890172</v>
      </c>
      <c r="Y65" s="71">
        <v>68243</v>
      </c>
      <c r="Z65" s="66">
        <f t="shared" si="10"/>
        <v>-0.89477879694773244</v>
      </c>
      <c r="AA65" s="75">
        <v>648567</v>
      </c>
      <c r="AC65" s="24"/>
    </row>
    <row r="66" spans="1:29" ht="14.25" customHeight="1" x14ac:dyDescent="0.2">
      <c r="A66" s="51" t="s">
        <v>6</v>
      </c>
      <c r="B66" s="45" t="s">
        <v>133</v>
      </c>
      <c r="C66" s="43">
        <v>80314584</v>
      </c>
      <c r="D66" s="102">
        <f t="shared" si="4"/>
        <v>2.4382910780732643</v>
      </c>
      <c r="E66" s="43">
        <v>23358867</v>
      </c>
      <c r="F66" s="102">
        <f t="shared" si="5"/>
        <v>-0.2434785236259579</v>
      </c>
      <c r="G66" s="43">
        <v>30876674</v>
      </c>
      <c r="H66" s="102">
        <f t="shared" si="5"/>
        <v>0.20985598106653547</v>
      </c>
      <c r="I66" s="65">
        <v>25520950</v>
      </c>
      <c r="J66" s="66">
        <f t="shared" si="3"/>
        <v>0.23402732698210071</v>
      </c>
      <c r="K66" s="65">
        <v>20681025</v>
      </c>
      <c r="L66" s="66">
        <f t="shared" si="6"/>
        <v>-2.5766297152806095E-3</v>
      </c>
      <c r="M66" s="65">
        <v>20734450</v>
      </c>
      <c r="N66" s="66">
        <f t="shared" si="7"/>
        <v>0.77072352307407455</v>
      </c>
      <c r="O66" s="65">
        <v>11709592</v>
      </c>
      <c r="P66" s="66">
        <f t="shared" si="8"/>
        <v>0.2692369809794255</v>
      </c>
      <c r="Q66" s="65">
        <v>9225694</v>
      </c>
      <c r="R66" s="66">
        <f t="shared" si="9"/>
        <v>-0.1070525251719654</v>
      </c>
      <c r="S66" s="67">
        <v>10331732</v>
      </c>
      <c r="T66" s="66">
        <f t="shared" si="0"/>
        <v>-0.16283398580281294</v>
      </c>
      <c r="U66" s="67">
        <v>12341318</v>
      </c>
      <c r="V66" s="66">
        <f t="shared" si="1"/>
        <v>1.2869026174455729</v>
      </c>
      <c r="W66" s="67">
        <v>5396521</v>
      </c>
      <c r="X66" s="66">
        <f t="shared" si="2"/>
        <v>-0.26640176666460491</v>
      </c>
      <c r="Y66" s="71">
        <v>7356235</v>
      </c>
      <c r="Z66" s="66">
        <f t="shared" si="10"/>
        <v>8.488096481121965E-2</v>
      </c>
      <c r="AA66" s="75">
        <v>6780684</v>
      </c>
      <c r="AC66" s="24"/>
    </row>
    <row r="67" spans="1:29" ht="14.25" customHeight="1" x14ac:dyDescent="0.2">
      <c r="A67" s="51" t="s">
        <v>5</v>
      </c>
      <c r="B67" s="45" t="s">
        <v>133</v>
      </c>
      <c r="C67" s="43">
        <v>1650986</v>
      </c>
      <c r="D67" s="102">
        <f t="shared" si="4"/>
        <v>6.9054652402123384E-2</v>
      </c>
      <c r="E67" s="43">
        <v>1544342</v>
      </c>
      <c r="F67" s="102">
        <f t="shared" si="5"/>
        <v>-0.14639792262462092</v>
      </c>
      <c r="G67" s="43">
        <v>1809206</v>
      </c>
      <c r="H67" s="102">
        <f t="shared" si="5"/>
        <v>0.12466089957654414</v>
      </c>
      <c r="I67" s="65">
        <v>1608668</v>
      </c>
      <c r="J67" s="66">
        <f t="shared" si="3"/>
        <v>3.6254013926382278E-3</v>
      </c>
      <c r="K67" s="65">
        <v>1602857</v>
      </c>
      <c r="L67" s="66">
        <f t="shared" si="6"/>
        <v>-9.9583794208172538E-2</v>
      </c>
      <c r="M67" s="65">
        <v>1780129</v>
      </c>
      <c r="N67" s="66">
        <f t="shared" si="7"/>
        <v>0.15959268675743399</v>
      </c>
      <c r="O67" s="65">
        <v>1535133</v>
      </c>
      <c r="P67" s="66">
        <f t="shared" si="8"/>
        <v>0.55911056132257997</v>
      </c>
      <c r="Q67" s="65">
        <v>984621</v>
      </c>
      <c r="R67" s="66">
        <f t="shared" si="9"/>
        <v>-9.2592148868482993E-2</v>
      </c>
      <c r="S67" s="67">
        <v>1085092</v>
      </c>
      <c r="T67" s="66">
        <f t="shared" si="0"/>
        <v>-0.33452189298670076</v>
      </c>
      <c r="U67" s="67">
        <v>1630545</v>
      </c>
      <c r="V67" s="66">
        <f t="shared" si="1"/>
        <v>0.23081179251976947</v>
      </c>
      <c r="W67" s="67">
        <v>1324772</v>
      </c>
      <c r="X67" s="66">
        <f t="shared" si="2"/>
        <v>-7.4401576233528499E-2</v>
      </c>
      <c r="Y67" s="71">
        <v>1431260</v>
      </c>
      <c r="Z67" s="66"/>
      <c r="AA67" s="75">
        <v>0</v>
      </c>
      <c r="AC67" s="24"/>
    </row>
    <row r="68" spans="1:29" ht="14.25" customHeight="1" x14ac:dyDescent="0.2">
      <c r="A68" s="51" t="s">
        <v>4</v>
      </c>
      <c r="B68" s="45" t="s">
        <v>132</v>
      </c>
      <c r="C68" s="43">
        <v>1307913554</v>
      </c>
      <c r="D68" s="102">
        <f t="shared" si="4"/>
        <v>-8.4915307004706952E-2</v>
      </c>
      <c r="E68" s="43">
        <v>1429281425</v>
      </c>
      <c r="F68" s="102">
        <f t="shared" si="5"/>
        <v>3.3440259216012791E-2</v>
      </c>
      <c r="G68" s="43">
        <v>1383032461</v>
      </c>
      <c r="H68" s="102">
        <f t="shared" si="5"/>
        <v>6.1586094076051978E-2</v>
      </c>
      <c r="I68" s="65">
        <v>1302798208</v>
      </c>
      <c r="J68" s="66">
        <f t="shared" si="3"/>
        <v>0.2218455392458345</v>
      </c>
      <c r="K68" s="65">
        <v>1066254421</v>
      </c>
      <c r="L68" s="66">
        <f t="shared" si="6"/>
        <v>0.18420780274412385</v>
      </c>
      <c r="M68" s="65">
        <v>900394693</v>
      </c>
      <c r="N68" s="66">
        <f t="shared" si="7"/>
        <v>0.12005789190917615</v>
      </c>
      <c r="O68" s="65">
        <v>803882281</v>
      </c>
      <c r="P68" s="66">
        <f t="shared" si="8"/>
        <v>0.17504150488191539</v>
      </c>
      <c r="Q68" s="65">
        <v>684130967</v>
      </c>
      <c r="R68" s="66">
        <f t="shared" si="9"/>
        <v>1.0098299680316067</v>
      </c>
      <c r="S68" s="67">
        <v>340392460</v>
      </c>
      <c r="T68" s="66">
        <f t="shared" si="0"/>
        <v>0.48154502419306944</v>
      </c>
      <c r="U68" s="67">
        <v>229755056</v>
      </c>
      <c r="V68" s="66">
        <f t="shared" si="1"/>
        <v>1.1784506956865504</v>
      </c>
      <c r="W68" s="67">
        <v>105467182</v>
      </c>
      <c r="X68" s="66">
        <f t="shared" si="2"/>
        <v>0.36523402797257654</v>
      </c>
      <c r="Y68" s="71">
        <v>77252090</v>
      </c>
      <c r="Z68" s="66">
        <f t="shared" si="10"/>
        <v>-7.4687292592575671E-2</v>
      </c>
      <c r="AA68" s="75">
        <v>83487549</v>
      </c>
      <c r="AC68" s="24"/>
    </row>
    <row r="69" spans="1:29" ht="14.25" customHeight="1" x14ac:dyDescent="0.2">
      <c r="A69" s="51" t="s">
        <v>3</v>
      </c>
      <c r="B69" s="45" t="s">
        <v>133</v>
      </c>
      <c r="C69" s="43">
        <v>147502407</v>
      </c>
      <c r="D69" s="102">
        <f t="shared" si="4"/>
        <v>-9.6403570920509107E-2</v>
      </c>
      <c r="E69" s="43">
        <v>163239254</v>
      </c>
      <c r="F69" s="102">
        <f t="shared" si="5"/>
        <v>-0.15029122438690734</v>
      </c>
      <c r="G69" s="43">
        <v>192112002</v>
      </c>
      <c r="H69" s="102">
        <f t="shared" si="5"/>
        <v>-5.8166881715749019E-2</v>
      </c>
      <c r="I69" s="65">
        <v>203976690</v>
      </c>
      <c r="J69" s="66">
        <f t="shared" si="3"/>
        <v>-0.11969523508130886</v>
      </c>
      <c r="K69" s="65">
        <v>231711446</v>
      </c>
      <c r="L69" s="66">
        <f t="shared" si="6"/>
        <v>-2.1762579641616875E-2</v>
      </c>
      <c r="M69" s="65">
        <v>236866267</v>
      </c>
      <c r="N69" s="66">
        <f t="shared" si="7"/>
        <v>-7.5505055426212997E-2</v>
      </c>
      <c r="O69" s="65">
        <v>256211533</v>
      </c>
      <c r="P69" s="66">
        <f t="shared" si="8"/>
        <v>-6.1716650839432674E-2</v>
      </c>
      <c r="Q69" s="65">
        <v>273064137</v>
      </c>
      <c r="R69" s="66">
        <f t="shared" si="9"/>
        <v>-4.9952494691238525E-2</v>
      </c>
      <c r="S69" s="67">
        <v>287421561</v>
      </c>
      <c r="T69" s="66">
        <f>S69/U69-1</f>
        <v>-4.5282536173935961E-2</v>
      </c>
      <c r="U69" s="67">
        <v>301054052</v>
      </c>
      <c r="V69" s="66">
        <f>U69/W69-1</f>
        <v>7.9645859995210611</v>
      </c>
      <c r="W69" s="67">
        <v>33582594</v>
      </c>
      <c r="X69" s="66">
        <f>W69/Y69-1</f>
        <v>0.19458771907857519</v>
      </c>
      <c r="Y69" s="71">
        <v>28112288</v>
      </c>
      <c r="Z69" s="66">
        <f t="shared" si="10"/>
        <v>-9.8431054851108035E-3</v>
      </c>
      <c r="AA69" s="75">
        <v>28391751</v>
      </c>
      <c r="AC69" s="24"/>
    </row>
    <row r="70" spans="1:29" ht="14.25" customHeight="1" x14ac:dyDescent="0.2">
      <c r="A70" s="51" t="s">
        <v>2</v>
      </c>
      <c r="B70" s="45" t="s">
        <v>133</v>
      </c>
      <c r="C70" s="43">
        <v>1488300924</v>
      </c>
      <c r="D70" s="102">
        <f t="shared" si="4"/>
        <v>0.58110837432112294</v>
      </c>
      <c r="E70" s="43">
        <v>941302284</v>
      </c>
      <c r="F70" s="102">
        <f t="shared" si="5"/>
        <v>-0.14298644024199381</v>
      </c>
      <c r="G70" s="43">
        <v>1098351681</v>
      </c>
      <c r="H70" s="102">
        <f t="shared" si="5"/>
        <v>5.2524444494583822E-3</v>
      </c>
      <c r="I70" s="65">
        <v>1092612793</v>
      </c>
      <c r="J70" s="66">
        <f>I70/K70-1</f>
        <v>-8.3518848623799991E-2</v>
      </c>
      <c r="K70" s="65">
        <v>1192182503</v>
      </c>
      <c r="L70" s="66">
        <f t="shared" si="6"/>
        <v>-1.0067792352964178E-2</v>
      </c>
      <c r="M70" s="65">
        <v>1204307218</v>
      </c>
      <c r="N70" s="66">
        <f t="shared" si="7"/>
        <v>0.30779828842949275</v>
      </c>
      <c r="O70" s="65">
        <v>920866183</v>
      </c>
      <c r="P70" s="66">
        <f t="shared" si="8"/>
        <v>0.60101252487371837</v>
      </c>
      <c r="Q70" s="65">
        <v>575177376</v>
      </c>
      <c r="R70" s="66">
        <f t="shared" si="9"/>
        <v>1.9550053152114923</v>
      </c>
      <c r="S70" s="67">
        <v>194645124</v>
      </c>
      <c r="T70" s="66">
        <f>S70/U70-1</f>
        <v>2.8316666986554382</v>
      </c>
      <c r="U70" s="67">
        <v>50799075</v>
      </c>
      <c r="V70" s="66">
        <f>U70/W70-1</f>
        <v>0.978911470575758</v>
      </c>
      <c r="W70" s="67">
        <v>25670211</v>
      </c>
      <c r="X70" s="66">
        <f>W70/Y70-1</f>
        <v>-3.5481840305060297E-2</v>
      </c>
      <c r="Y70" s="71">
        <v>26614544</v>
      </c>
      <c r="Z70" s="66">
        <f t="shared" si="10"/>
        <v>0.16055046311618915</v>
      </c>
      <c r="AA70" s="75">
        <v>22932690</v>
      </c>
      <c r="AC70" s="24"/>
    </row>
    <row r="71" spans="1:29" ht="14.25" customHeight="1" x14ac:dyDescent="0.2">
      <c r="A71" s="51" t="s">
        <v>1</v>
      </c>
      <c r="B71" s="45" t="s">
        <v>133</v>
      </c>
      <c r="C71" s="43">
        <v>14446749</v>
      </c>
      <c r="D71" s="102">
        <f>C71/E71-1</f>
        <v>1.5282344839534736</v>
      </c>
      <c r="E71" s="43">
        <v>5714165</v>
      </c>
      <c r="F71" s="102">
        <f>E71/G71-1</f>
        <v>0.60543759554311483</v>
      </c>
      <c r="G71" s="43">
        <v>3559257</v>
      </c>
      <c r="H71" s="102">
        <f>G71/I71-1</f>
        <v>8.9634403387878425E-2</v>
      </c>
      <c r="I71" s="65">
        <v>3266469</v>
      </c>
      <c r="J71" s="66">
        <f>I71/K71-1</f>
        <v>0.39549634685366319</v>
      </c>
      <c r="K71" s="65">
        <v>2340722</v>
      </c>
      <c r="L71" s="66">
        <f>K71/M71-1</f>
        <v>6.3669618878401835E-2</v>
      </c>
      <c r="M71" s="65">
        <v>2200610</v>
      </c>
      <c r="N71" s="66">
        <f>M71/O71-1</f>
        <v>0.40530367857608129</v>
      </c>
      <c r="O71" s="65">
        <v>1565932</v>
      </c>
      <c r="P71" s="66">
        <f>O71/Q71-1</f>
        <v>-1.8625000078337894E-2</v>
      </c>
      <c r="Q71" s="65">
        <v>1595651</v>
      </c>
      <c r="R71" s="66">
        <f>Q71/S71-1</f>
        <v>5.9441281434143844E-2</v>
      </c>
      <c r="S71" s="67">
        <v>1506125</v>
      </c>
      <c r="T71" s="66">
        <f>S71/U71-1</f>
        <v>-4.5682419837006494E-2</v>
      </c>
      <c r="U71" s="67">
        <v>1578222</v>
      </c>
      <c r="V71" s="66">
        <f>U71/W71-1</f>
        <v>-0.17110102006409666</v>
      </c>
      <c r="W71" s="67">
        <v>1903998</v>
      </c>
      <c r="X71" s="66">
        <f>W71/Y71-1</f>
        <v>-0.64416101058379149</v>
      </c>
      <c r="Y71" s="71">
        <v>5350729</v>
      </c>
      <c r="Z71" s="66">
        <f>Y71/AA71-1</f>
        <v>2.4494571874315039</v>
      </c>
      <c r="AA71" s="75">
        <v>1551180</v>
      </c>
      <c r="AC71" s="24"/>
    </row>
    <row r="72" spans="1:29" ht="14.25" customHeight="1" x14ac:dyDescent="0.2">
      <c r="A72" s="51"/>
      <c r="B72" s="45"/>
      <c r="C72" s="45"/>
      <c r="D72" s="45"/>
      <c r="E72" s="45"/>
      <c r="F72" s="45"/>
      <c r="G72" s="45"/>
      <c r="H72" s="45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8"/>
      <c r="Z72" s="66"/>
      <c r="AA72" s="76"/>
    </row>
    <row r="73" spans="1:29" ht="14.25" customHeight="1" thickBot="1" x14ac:dyDescent="0.25">
      <c r="A73" s="53" t="s">
        <v>0</v>
      </c>
      <c r="B73" s="77"/>
      <c r="C73" s="78">
        <f>SUM(C5:C71)</f>
        <v>82697686688</v>
      </c>
      <c r="D73" s="79">
        <f>C73/E73-1</f>
        <v>8.5722624935730352E-2</v>
      </c>
      <c r="E73" s="78">
        <f>SUM(E5:E71)</f>
        <v>76168336911</v>
      </c>
      <c r="F73" s="79">
        <f>E73/G73-1</f>
        <v>-7.8457525542627193E-2</v>
      </c>
      <c r="G73" s="78">
        <f>SUM(G5:G71)</f>
        <v>82653094157</v>
      </c>
      <c r="H73" s="79">
        <f>G73/I73-1</f>
        <v>3.1777569487021262E-2</v>
      </c>
      <c r="I73" s="78">
        <f>SUM(I5:I71)</f>
        <v>80107473356</v>
      </c>
      <c r="J73" s="79">
        <f>I73/K73-1</f>
        <v>-6.0359490402281946E-3</v>
      </c>
      <c r="K73" s="78">
        <f>SUM(K5:K71)</f>
        <v>80593934236</v>
      </c>
      <c r="L73" s="79">
        <f>K73/M73-1</f>
        <v>8.67978694915994E-3</v>
      </c>
      <c r="M73" s="78">
        <f>SUM(M5:M71)</f>
        <v>79900415651</v>
      </c>
      <c r="N73" s="79">
        <f>M73/O73-1</f>
        <v>0.15026678426169515</v>
      </c>
      <c r="O73" s="78">
        <f>SUM(O5:O71)</f>
        <v>69462507954</v>
      </c>
      <c r="P73" s="79">
        <f>O73/Q73-1</f>
        <v>0.5730165811300918</v>
      </c>
      <c r="Q73" s="78">
        <f>SUM(Q5:Q71)</f>
        <v>44158789416</v>
      </c>
      <c r="R73" s="79">
        <f>Q73/S73-1</f>
        <v>0.93336970972136535</v>
      </c>
      <c r="S73" s="78">
        <f>SUM(S5:S71)</f>
        <v>22840323397</v>
      </c>
      <c r="T73" s="79">
        <f>S73/U73-1</f>
        <v>0.56273099186819664</v>
      </c>
      <c r="U73" s="78">
        <f>SUM(U5:U71)</f>
        <v>14615646273</v>
      </c>
      <c r="V73" s="79">
        <f>U73/W73-1</f>
        <v>0.50552876763122945</v>
      </c>
      <c r="W73" s="78">
        <f>SUM(W5:W71)</f>
        <v>9707982064</v>
      </c>
      <c r="X73" s="79">
        <f>W73/Y73-1</f>
        <v>0.2654746576149758</v>
      </c>
      <c r="Y73" s="78">
        <f>SUM(Y5:Y71)</f>
        <v>7671415627</v>
      </c>
      <c r="Z73" s="79">
        <f>Y73/AA73-1</f>
        <v>6.4695672154033934E-2</v>
      </c>
      <c r="AA73" s="80">
        <f>SUM(AA5:AA71)</f>
        <v>7205266094</v>
      </c>
    </row>
    <row r="75" spans="1:29" x14ac:dyDescent="0.2">
      <c r="A75" s="25" t="s">
        <v>134</v>
      </c>
      <c r="B75" s="46"/>
      <c r="C75" s="46"/>
      <c r="D75" s="46"/>
      <c r="E75" s="46"/>
      <c r="F75" s="46"/>
      <c r="G75" s="46"/>
      <c r="H75" s="46"/>
      <c r="I75" s="26"/>
      <c r="J75" s="26"/>
      <c r="K75" s="26"/>
      <c r="L75" s="26"/>
      <c r="M75" s="26"/>
      <c r="N75" s="26"/>
      <c r="O75" s="26"/>
      <c r="P75" s="25"/>
      <c r="Q75" s="25"/>
      <c r="R75" s="26"/>
      <c r="S75" s="26"/>
      <c r="T75" s="26"/>
      <c r="U75" s="26"/>
    </row>
  </sheetData>
  <phoneticPr fontId="2" type="noConversion"/>
  <conditionalFormatting sqref="M4:AA73 A4:B73 G72:H72 G4:H4">
    <cfRule type="expression" dxfId="50" priority="20" stopIfTrue="1">
      <formula>MOD(ROW(),3)=1</formula>
    </cfRule>
  </conditionalFormatting>
  <conditionalFormatting sqref="K4:L73">
    <cfRule type="expression" dxfId="49" priority="19" stopIfTrue="1">
      <formula>MOD(ROW(),3)=1</formula>
    </cfRule>
  </conditionalFormatting>
  <conditionalFormatting sqref="I4:J4 I72:J72 I5:I71">
    <cfRule type="expression" dxfId="48" priority="18" stopIfTrue="1">
      <formula>MOD(ROW(),3)=1</formula>
    </cfRule>
  </conditionalFormatting>
  <conditionalFormatting sqref="J5:J71">
    <cfRule type="expression" dxfId="47" priority="17" stopIfTrue="1">
      <formula>MOD(ROW(),3)=1</formula>
    </cfRule>
  </conditionalFormatting>
  <conditionalFormatting sqref="I73:J73">
    <cfRule type="expression" dxfId="46" priority="16" stopIfTrue="1">
      <formula>MOD(ROW(),3)=1</formula>
    </cfRule>
  </conditionalFormatting>
  <conditionalFormatting sqref="H5:H71">
    <cfRule type="expression" dxfId="45" priority="15" stopIfTrue="1">
      <formula>MOD(ROW(),3)=1</formula>
    </cfRule>
  </conditionalFormatting>
  <conditionalFormatting sqref="G73:H73">
    <cfRule type="expression" dxfId="44" priority="14" stopIfTrue="1">
      <formula>MOD(ROW(),3)=1</formula>
    </cfRule>
  </conditionalFormatting>
  <conditionalFormatting sqref="G5:G71">
    <cfRule type="expression" dxfId="43" priority="13" stopIfTrue="1">
      <formula>MOD(ROW(),3)=1</formula>
    </cfRule>
  </conditionalFormatting>
  <conditionalFormatting sqref="E72:F72 E4:F4">
    <cfRule type="expression" dxfId="42" priority="12" stopIfTrue="1">
      <formula>MOD(ROW(),3)=1</formula>
    </cfRule>
  </conditionalFormatting>
  <conditionalFormatting sqref="E5:E71">
    <cfRule type="expression" dxfId="41" priority="9" stopIfTrue="1">
      <formula>MOD(ROW(),3)=1</formula>
    </cfRule>
  </conditionalFormatting>
  <conditionalFormatting sqref="F5:F71">
    <cfRule type="expression" dxfId="40" priority="8" stopIfTrue="1">
      <formula>MOD(ROW(),3)=1</formula>
    </cfRule>
  </conditionalFormatting>
  <conditionalFormatting sqref="F73">
    <cfRule type="expression" dxfId="39" priority="7" stopIfTrue="1">
      <formula>MOD(ROW(),3)=1</formula>
    </cfRule>
  </conditionalFormatting>
  <conditionalFormatting sqref="E73">
    <cfRule type="expression" dxfId="38" priority="6" stopIfTrue="1">
      <formula>MOD(ROW(),3)=1</formula>
    </cfRule>
  </conditionalFormatting>
  <conditionalFormatting sqref="C72:D72 C4:D4">
    <cfRule type="expression" dxfId="37" priority="5" stopIfTrue="1">
      <formula>MOD(ROW(),3)=1</formula>
    </cfRule>
  </conditionalFormatting>
  <conditionalFormatting sqref="C5:C71">
    <cfRule type="expression" dxfId="36" priority="4" stopIfTrue="1">
      <formula>MOD(ROW(),3)=1</formula>
    </cfRule>
  </conditionalFormatting>
  <conditionalFormatting sqref="D5:D71">
    <cfRule type="expression" dxfId="35" priority="3" stopIfTrue="1">
      <formula>MOD(ROW(),3)=1</formula>
    </cfRule>
  </conditionalFormatting>
  <conditionalFormatting sqref="D73">
    <cfRule type="expression" dxfId="34" priority="2" stopIfTrue="1">
      <formula>MOD(ROW(),3)=1</formula>
    </cfRule>
  </conditionalFormatting>
  <conditionalFormatting sqref="C73">
    <cfRule type="expression" dxfId="33" priority="1" stopIfTrue="1">
      <formula>MOD(ROW(),3)=1</formula>
    </cfRule>
  </conditionalFormatting>
  <pageMargins left="0.75" right="0.75" top="1" bottom="1" header="0.5" footer="0.5"/>
  <pageSetup orientation="portrait" r:id="rId1"/>
  <headerFooter alignWithMargins="0"/>
  <ignoredErrors>
    <ignoredError sqref="W73:Z73 U73:V73 S73:T73 Q73:R73 P73 N7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Y75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3" customWidth="1"/>
    <col min="2" max="2" width="9.28515625" style="47" bestFit="1" customWidth="1"/>
    <col min="3" max="3" width="15.42578125" style="23" customWidth="1"/>
    <col min="4" max="4" width="16.42578125" style="23" customWidth="1"/>
    <col min="5" max="5" width="15.42578125" style="23" customWidth="1"/>
    <col min="6" max="6" width="16.42578125" style="23" customWidth="1"/>
    <col min="7" max="7" width="15.42578125" style="23" customWidth="1"/>
    <col min="8" max="8" width="16.42578125" style="23" customWidth="1"/>
    <col min="9" max="9" width="15.42578125" style="23" customWidth="1"/>
    <col min="10" max="10" width="16.42578125" style="23" customWidth="1"/>
    <col min="11" max="11" width="15.42578125" style="23" bestFit="1" customWidth="1"/>
    <col min="12" max="12" width="16.42578125" style="23" bestFit="1" customWidth="1"/>
    <col min="13" max="13" width="15.42578125" style="23" bestFit="1" customWidth="1"/>
    <col min="14" max="14" width="16.42578125" style="23" bestFit="1" customWidth="1"/>
    <col min="15" max="15" width="15.42578125" style="23" bestFit="1" customWidth="1"/>
    <col min="16" max="16" width="16.42578125" style="23" bestFit="1" customWidth="1"/>
    <col min="17" max="17" width="15.42578125" style="23" bestFit="1" customWidth="1"/>
    <col min="18" max="18" width="16.42578125" style="23" bestFit="1" customWidth="1"/>
    <col min="19" max="19" width="15.42578125" style="23" bestFit="1" customWidth="1"/>
    <col min="20" max="20" width="16.42578125" style="23" bestFit="1" customWidth="1"/>
    <col min="21" max="21" width="14.28515625" style="23" bestFit="1" customWidth="1"/>
    <col min="22" max="22" width="16.42578125" style="23" bestFit="1" customWidth="1"/>
    <col min="23" max="23" width="14.28515625" style="23" bestFit="1" customWidth="1"/>
    <col min="24" max="16384" width="9.140625" style="2"/>
  </cols>
  <sheetData>
    <row r="1" spans="1:25" ht="23.25" x14ac:dyDescent="0.2">
      <c r="A1" s="14" t="s">
        <v>100</v>
      </c>
      <c r="B1" s="40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5" ht="15" x14ac:dyDescent="0.2">
      <c r="A2" s="95" t="s">
        <v>142</v>
      </c>
      <c r="B2" s="4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5" ht="15.75" thickBot="1" x14ac:dyDescent="0.25">
      <c r="A3" s="22"/>
      <c r="B3" s="40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25" s="62" customFormat="1" ht="28.5" customHeight="1" x14ac:dyDescent="0.2">
      <c r="A4" s="72" t="s">
        <v>68</v>
      </c>
      <c r="B4" s="73" t="s">
        <v>67</v>
      </c>
      <c r="C4" s="73" t="s">
        <v>140</v>
      </c>
      <c r="D4" s="73" t="s">
        <v>141</v>
      </c>
      <c r="E4" s="73" t="s">
        <v>128</v>
      </c>
      <c r="F4" s="73" t="s">
        <v>129</v>
      </c>
      <c r="G4" s="73" t="s">
        <v>124</v>
      </c>
      <c r="H4" s="73" t="s">
        <v>123</v>
      </c>
      <c r="I4" s="73" t="s">
        <v>119</v>
      </c>
      <c r="J4" s="73" t="s">
        <v>120</v>
      </c>
      <c r="K4" s="73" t="s">
        <v>116</v>
      </c>
      <c r="L4" s="73" t="s">
        <v>112</v>
      </c>
      <c r="M4" s="73" t="s">
        <v>113</v>
      </c>
      <c r="N4" s="73" t="s">
        <v>112</v>
      </c>
      <c r="O4" s="73" t="s">
        <v>103</v>
      </c>
      <c r="P4" s="73" t="s">
        <v>104</v>
      </c>
      <c r="Q4" s="73" t="s">
        <v>101</v>
      </c>
      <c r="R4" s="73" t="s">
        <v>102</v>
      </c>
      <c r="S4" s="73" t="s">
        <v>94</v>
      </c>
      <c r="T4" s="73" t="s">
        <v>95</v>
      </c>
      <c r="U4" s="73" t="s">
        <v>91</v>
      </c>
      <c r="V4" s="73" t="s">
        <v>92</v>
      </c>
      <c r="W4" s="73" t="s">
        <v>89</v>
      </c>
      <c r="X4" s="73" t="s">
        <v>90</v>
      </c>
      <c r="Y4" s="74" t="s">
        <v>70</v>
      </c>
    </row>
    <row r="5" spans="1:25" ht="14.25" customHeight="1" x14ac:dyDescent="0.2">
      <c r="A5" s="51" t="s">
        <v>66</v>
      </c>
      <c r="B5" s="45" t="s">
        <v>132</v>
      </c>
      <c r="C5" s="43">
        <v>913175487</v>
      </c>
      <c r="D5" s="102">
        <f>C5/E5-1</f>
        <v>0.45365080477968878</v>
      </c>
      <c r="E5" s="65">
        <v>628194532</v>
      </c>
      <c r="F5" s="66">
        <v>-0.22064870036267559</v>
      </c>
      <c r="G5" s="65">
        <v>837669117</v>
      </c>
      <c r="H5" s="66">
        <v>6.7500780790853199E-2</v>
      </c>
      <c r="I5" s="65">
        <v>784701175</v>
      </c>
      <c r="J5" s="66">
        <v>0.44373189044404793</v>
      </c>
      <c r="K5" s="65">
        <v>543522783</v>
      </c>
      <c r="L5" s="66">
        <v>1.5658625071355488</v>
      </c>
      <c r="M5" s="65">
        <v>211828491</v>
      </c>
      <c r="N5" s="66">
        <v>1.2113532496778938</v>
      </c>
      <c r="O5" s="65">
        <v>95791340</v>
      </c>
      <c r="P5" s="66">
        <v>0.1530855893161176</v>
      </c>
      <c r="Q5" s="65">
        <v>83073920</v>
      </c>
      <c r="R5" s="66">
        <v>-0.55136133026240697</v>
      </c>
      <c r="S5" s="67">
        <v>185168880</v>
      </c>
      <c r="T5" s="66">
        <v>11.985586521893717</v>
      </c>
      <c r="U5" s="67">
        <v>14259570</v>
      </c>
      <c r="V5" s="66">
        <v>0.21482005893673639</v>
      </c>
      <c r="W5" s="67">
        <v>11738010</v>
      </c>
      <c r="X5" s="66">
        <v>-0.1207981031186548</v>
      </c>
      <c r="Y5" s="83">
        <v>13350756</v>
      </c>
    </row>
    <row r="6" spans="1:25" ht="14.25" customHeight="1" x14ac:dyDescent="0.2">
      <c r="A6" s="51" t="s">
        <v>65</v>
      </c>
      <c r="B6" s="45" t="s">
        <v>133</v>
      </c>
      <c r="C6" s="43">
        <v>11025225</v>
      </c>
      <c r="D6" s="102">
        <f>C6/E6-1</f>
        <v>-8.7733354493626181E-2</v>
      </c>
      <c r="E6" s="65">
        <v>12085529</v>
      </c>
      <c r="F6" s="66">
        <v>1.6156543686874536</v>
      </c>
      <c r="G6" s="65">
        <v>4620461</v>
      </c>
      <c r="H6" s="66">
        <v>0.49290279555314442</v>
      </c>
      <c r="I6" s="65">
        <v>3094951</v>
      </c>
      <c r="J6" s="66">
        <v>0.56076384336238738</v>
      </c>
      <c r="K6" s="65">
        <v>1982972</v>
      </c>
      <c r="L6" s="66">
        <v>2.3005832711679552E-2</v>
      </c>
      <c r="M6" s="65">
        <v>1938378</v>
      </c>
      <c r="N6" s="66">
        <v>2.1078293047387557</v>
      </c>
      <c r="O6" s="65">
        <v>623708</v>
      </c>
      <c r="P6" s="66">
        <v>-0.65210959885187036</v>
      </c>
      <c r="Q6" s="65">
        <v>1792829</v>
      </c>
      <c r="R6" s="66">
        <v>2.350374593777389</v>
      </c>
      <c r="S6" s="67">
        <v>535113</v>
      </c>
      <c r="T6" s="66">
        <v>1.6932054959987921</v>
      </c>
      <c r="U6" s="67">
        <v>198690</v>
      </c>
      <c r="V6" s="66">
        <v>-0.77700912322128612</v>
      </c>
      <c r="W6" s="67">
        <v>891023</v>
      </c>
      <c r="X6" s="66">
        <v>-0.96989575720537935</v>
      </c>
      <c r="Y6" s="83">
        <v>29597921</v>
      </c>
    </row>
    <row r="7" spans="1:25" ht="14.25" customHeight="1" x14ac:dyDescent="0.2">
      <c r="A7" s="51" t="s">
        <v>64</v>
      </c>
      <c r="B7" s="45" t="s">
        <v>132</v>
      </c>
      <c r="C7" s="43">
        <v>696253689</v>
      </c>
      <c r="D7" s="102">
        <f t="shared" ref="D7:D70" si="0">C7/E7-1</f>
        <v>0.43363206278542554</v>
      </c>
      <c r="E7" s="65">
        <v>485657169</v>
      </c>
      <c r="F7" s="66">
        <v>0.61723906678935925</v>
      </c>
      <c r="G7" s="65">
        <v>300165030</v>
      </c>
      <c r="H7" s="66">
        <v>0.19625708048898582</v>
      </c>
      <c r="I7" s="65">
        <v>250920170</v>
      </c>
      <c r="J7" s="66">
        <v>0.18464626770628789</v>
      </c>
      <c r="K7" s="65">
        <v>211810206</v>
      </c>
      <c r="L7" s="66">
        <v>0.35334127502348323</v>
      </c>
      <c r="M7" s="65">
        <v>156509086</v>
      </c>
      <c r="N7" s="66">
        <v>-0.12632337507912383</v>
      </c>
      <c r="O7" s="65">
        <v>179138461</v>
      </c>
      <c r="P7" s="66">
        <v>9.1906140541206272E-2</v>
      </c>
      <c r="Q7" s="65">
        <v>164060311</v>
      </c>
      <c r="R7" s="66">
        <v>0.65172945693320439</v>
      </c>
      <c r="S7" s="67">
        <v>99326382</v>
      </c>
      <c r="T7" s="66">
        <v>0.11619386704589352</v>
      </c>
      <c r="U7" s="67">
        <v>88986676</v>
      </c>
      <c r="V7" s="66">
        <v>0.21253386899563975</v>
      </c>
      <c r="W7" s="67">
        <v>73389023</v>
      </c>
      <c r="X7" s="66">
        <v>-0.29341276022655194</v>
      </c>
      <c r="Y7" s="83">
        <v>103864065</v>
      </c>
    </row>
    <row r="8" spans="1:25" ht="14.25" customHeight="1" x14ac:dyDescent="0.2">
      <c r="A8" s="51" t="s">
        <v>63</v>
      </c>
      <c r="B8" s="45" t="s">
        <v>133</v>
      </c>
      <c r="C8" s="43">
        <v>5480518</v>
      </c>
      <c r="D8" s="102">
        <f t="shared" si="0"/>
        <v>1.5816635364599598</v>
      </c>
      <c r="E8" s="65">
        <v>2122863</v>
      </c>
      <c r="F8" s="66">
        <v>7.8367805570385585E-2</v>
      </c>
      <c r="G8" s="65">
        <v>1968589</v>
      </c>
      <c r="H8" s="66">
        <v>-0.18916299537697578</v>
      </c>
      <c r="I8" s="65">
        <v>2427848</v>
      </c>
      <c r="J8" s="66">
        <v>-0.29232815876626539</v>
      </c>
      <c r="K8" s="65">
        <v>3430754</v>
      </c>
      <c r="L8" s="66">
        <v>8.6642430047326746E-2</v>
      </c>
      <c r="M8" s="65">
        <v>3157206</v>
      </c>
      <c r="N8" s="66">
        <v>-0.12906848407391702</v>
      </c>
      <c r="O8" s="65">
        <v>3625091</v>
      </c>
      <c r="P8" s="66">
        <v>-0.35333266141080544</v>
      </c>
      <c r="Q8" s="65">
        <v>5605805</v>
      </c>
      <c r="R8" s="66">
        <v>4.109405789889113</v>
      </c>
      <c r="S8" s="67">
        <v>1097154</v>
      </c>
      <c r="T8" s="66">
        <v>2.4124185893169279</v>
      </c>
      <c r="U8" s="67">
        <v>321518</v>
      </c>
      <c r="V8" s="66">
        <v>-0.59882361455284128</v>
      </c>
      <c r="W8" s="67">
        <v>801438</v>
      </c>
      <c r="X8" s="66">
        <v>0.50203535444404457</v>
      </c>
      <c r="Y8" s="83">
        <v>533568</v>
      </c>
    </row>
    <row r="9" spans="1:25" ht="14.25" customHeight="1" x14ac:dyDescent="0.2">
      <c r="A9" s="51" t="s">
        <v>62</v>
      </c>
      <c r="B9" s="45" t="s">
        <v>132</v>
      </c>
      <c r="C9" s="43">
        <v>904489170</v>
      </c>
      <c r="D9" s="102">
        <f t="shared" si="0"/>
        <v>-0.20775828954674691</v>
      </c>
      <c r="E9" s="65">
        <v>1141683350</v>
      </c>
      <c r="F9" s="66">
        <v>9.1011883088183199E-2</v>
      </c>
      <c r="G9" s="65">
        <v>1048010400</v>
      </c>
      <c r="H9" s="66">
        <v>-1.9503848984583239E-2</v>
      </c>
      <c r="I9" s="65">
        <v>1068857230</v>
      </c>
      <c r="J9" s="66">
        <v>0.19763240258516546</v>
      </c>
      <c r="K9" s="65">
        <v>892475210</v>
      </c>
      <c r="L9" s="66">
        <v>0.23356551040242524</v>
      </c>
      <c r="M9" s="65">
        <v>723492350</v>
      </c>
      <c r="N9" s="66">
        <v>0.42615816996602529</v>
      </c>
      <c r="O9" s="65">
        <v>507301620</v>
      </c>
      <c r="P9" s="66">
        <v>0.47214016285016114</v>
      </c>
      <c r="Q9" s="65">
        <v>344601440</v>
      </c>
      <c r="R9" s="66">
        <v>1.3264552639239722</v>
      </c>
      <c r="S9" s="67">
        <v>148122960</v>
      </c>
      <c r="T9" s="66">
        <v>1.9812086172355174</v>
      </c>
      <c r="U9" s="67">
        <v>49685540</v>
      </c>
      <c r="V9" s="66">
        <v>14.295435585012884</v>
      </c>
      <c r="W9" s="67">
        <v>3248390</v>
      </c>
      <c r="X9" s="66">
        <v>-0.2115156355056933</v>
      </c>
      <c r="Y9" s="83">
        <v>4119790</v>
      </c>
    </row>
    <row r="10" spans="1:25" ht="14.25" customHeight="1" x14ac:dyDescent="0.2">
      <c r="A10" s="51" t="s">
        <v>61</v>
      </c>
      <c r="B10" s="45" t="s">
        <v>132</v>
      </c>
      <c r="C10" s="43">
        <v>5403724590</v>
      </c>
      <c r="D10" s="102">
        <f t="shared" si="0"/>
        <v>1.9183925903438315E-2</v>
      </c>
      <c r="E10" s="65">
        <v>5302011200</v>
      </c>
      <c r="F10" s="66">
        <v>-7.7837410369497095E-2</v>
      </c>
      <c r="G10" s="65">
        <v>6184317640</v>
      </c>
      <c r="H10" s="66">
        <v>1.3582406383701784E-2</v>
      </c>
      <c r="I10" s="65">
        <v>6101445330</v>
      </c>
      <c r="J10" s="66">
        <v>-8.1736189517009117E-2</v>
      </c>
      <c r="K10" s="65">
        <v>6644545130</v>
      </c>
      <c r="L10" s="66">
        <v>-5.3907140690337085E-2</v>
      </c>
      <c r="M10" s="65">
        <v>7023142670</v>
      </c>
      <c r="N10" s="66">
        <v>0.24408262913820655</v>
      </c>
      <c r="O10" s="65">
        <v>5645238110</v>
      </c>
      <c r="P10" s="66">
        <v>0.31473488749790857</v>
      </c>
      <c r="Q10" s="65">
        <v>4293822400</v>
      </c>
      <c r="R10" s="66">
        <v>1.5413953848671036</v>
      </c>
      <c r="S10" s="67">
        <v>1689553080</v>
      </c>
      <c r="T10" s="66">
        <v>0.38316286458233551</v>
      </c>
      <c r="U10" s="67">
        <v>1221514200</v>
      </c>
      <c r="V10" s="66">
        <v>0.47484591691692479</v>
      </c>
      <c r="W10" s="67">
        <v>828231740</v>
      </c>
      <c r="X10" s="66">
        <v>1.3156835724287976</v>
      </c>
      <c r="Y10" s="83">
        <v>357661880</v>
      </c>
    </row>
    <row r="11" spans="1:25" ht="14.25" customHeight="1" x14ac:dyDescent="0.2">
      <c r="A11" s="51" t="s">
        <v>60</v>
      </c>
      <c r="B11" s="45" t="s">
        <v>133</v>
      </c>
      <c r="C11" s="43">
        <v>1939440</v>
      </c>
      <c r="D11" s="102">
        <f t="shared" si="0"/>
        <v>-1.5191752845343465E-2</v>
      </c>
      <c r="E11" s="65">
        <v>1969358</v>
      </c>
      <c r="F11" s="66">
        <v>4.7910541684187624</v>
      </c>
      <c r="G11" s="65">
        <v>340069</v>
      </c>
      <c r="H11" s="66">
        <v>-0.19267812672856466</v>
      </c>
      <c r="I11" s="65">
        <v>421231</v>
      </c>
      <c r="J11" s="66">
        <v>0.14029279437800146</v>
      </c>
      <c r="K11" s="65">
        <v>369406</v>
      </c>
      <c r="L11" s="66">
        <v>-0.36905337339170152</v>
      </c>
      <c r="M11" s="65">
        <v>585479</v>
      </c>
      <c r="N11" s="66">
        <v>-0.31459514006525335</v>
      </c>
      <c r="O11" s="65">
        <v>854209</v>
      </c>
      <c r="P11" s="66">
        <v>-8.0462455124306387E-2</v>
      </c>
      <c r="Q11" s="65">
        <v>928955</v>
      </c>
      <c r="R11" s="66">
        <v>-7.3187789829913252E-2</v>
      </c>
      <c r="S11" s="67">
        <v>1002312</v>
      </c>
      <c r="T11" s="66">
        <v>0.22014883129815321</v>
      </c>
      <c r="U11" s="67">
        <v>821467</v>
      </c>
      <c r="V11" s="66">
        <v>0.23960964685927788</v>
      </c>
      <c r="W11" s="67">
        <v>662682</v>
      </c>
      <c r="X11" s="66">
        <v>5.8472321163312913E-2</v>
      </c>
      <c r="Y11" s="83">
        <v>626074</v>
      </c>
    </row>
    <row r="12" spans="1:25" ht="14.25" customHeight="1" x14ac:dyDescent="0.2">
      <c r="A12" s="51" t="s">
        <v>59</v>
      </c>
      <c r="B12" s="45" t="s">
        <v>132</v>
      </c>
      <c r="C12" s="43">
        <v>614961651</v>
      </c>
      <c r="D12" s="102">
        <f t="shared" si="0"/>
        <v>0.35553921219488971</v>
      </c>
      <c r="E12" s="65">
        <v>453665704</v>
      </c>
      <c r="F12" s="66">
        <v>-0.23838132713330229</v>
      </c>
      <c r="G12" s="65">
        <v>597425397</v>
      </c>
      <c r="H12" s="66">
        <v>-0.21196561302365446</v>
      </c>
      <c r="I12" s="65">
        <v>758120974</v>
      </c>
      <c r="J12" s="66">
        <v>3.6676441913655822E-2</v>
      </c>
      <c r="K12" s="65">
        <v>731299510</v>
      </c>
      <c r="L12" s="66">
        <v>5.5975427884403572E-2</v>
      </c>
      <c r="M12" s="65">
        <v>692534590</v>
      </c>
      <c r="N12" s="66">
        <v>0.16461364868843242</v>
      </c>
      <c r="O12" s="65">
        <v>594647496</v>
      </c>
      <c r="P12" s="66">
        <v>0.18993671535109513</v>
      </c>
      <c r="Q12" s="65">
        <v>499730354</v>
      </c>
      <c r="R12" s="66">
        <v>0.88240800317967127</v>
      </c>
      <c r="S12" s="67">
        <v>265473985</v>
      </c>
      <c r="T12" s="66">
        <v>1.3111473712901893</v>
      </c>
      <c r="U12" s="67">
        <v>114866749</v>
      </c>
      <c r="V12" s="66">
        <v>0.45298327019564755</v>
      </c>
      <c r="W12" s="67">
        <v>79055796</v>
      </c>
      <c r="X12" s="66">
        <v>-0.18195522848948853</v>
      </c>
      <c r="Y12" s="83">
        <v>96639938</v>
      </c>
    </row>
    <row r="13" spans="1:25" ht="14.25" customHeight="1" x14ac:dyDescent="0.2">
      <c r="A13" s="51" t="s">
        <v>58</v>
      </c>
      <c r="B13" s="45" t="s">
        <v>132</v>
      </c>
      <c r="C13" s="43">
        <v>197434602</v>
      </c>
      <c r="D13" s="102">
        <f t="shared" si="0"/>
        <v>0.13729911460191158</v>
      </c>
      <c r="E13" s="65">
        <v>173599539</v>
      </c>
      <c r="F13" s="66">
        <v>-0.11804490745903062</v>
      </c>
      <c r="G13" s="65">
        <v>197953351</v>
      </c>
      <c r="H13" s="66">
        <v>0.19223087814499706</v>
      </c>
      <c r="I13" s="65">
        <v>166036088</v>
      </c>
      <c r="J13" s="66">
        <v>0.5150085645988538</v>
      </c>
      <c r="K13" s="65">
        <v>109594158</v>
      </c>
      <c r="L13" s="66">
        <v>5.7019949151543958E-2</v>
      </c>
      <c r="M13" s="65">
        <v>103682204</v>
      </c>
      <c r="N13" s="66">
        <v>0.74106220000564216</v>
      </c>
      <c r="O13" s="65">
        <v>59551120</v>
      </c>
      <c r="P13" s="66">
        <v>1.6839770843597117</v>
      </c>
      <c r="Q13" s="65">
        <v>22187641</v>
      </c>
      <c r="R13" s="66">
        <v>-0.28124228403310325</v>
      </c>
      <c r="S13" s="67">
        <v>30869430</v>
      </c>
      <c r="T13" s="66">
        <v>1.2095576909201893</v>
      </c>
      <c r="U13" s="67">
        <v>13970864</v>
      </c>
      <c r="V13" s="66">
        <v>0.25889861023305039</v>
      </c>
      <c r="W13" s="67">
        <v>11097688</v>
      </c>
      <c r="X13" s="66">
        <v>-8.3024175113759702E-2</v>
      </c>
      <c r="Y13" s="83">
        <v>12102487</v>
      </c>
    </row>
    <row r="14" spans="1:25" ht="14.25" customHeight="1" x14ac:dyDescent="0.2">
      <c r="A14" s="51" t="s">
        <v>57</v>
      </c>
      <c r="B14" s="45" t="s">
        <v>132</v>
      </c>
      <c r="C14" s="43">
        <v>112559547</v>
      </c>
      <c r="D14" s="102">
        <f t="shared" si="0"/>
        <v>0.18685268766487728</v>
      </c>
      <c r="E14" s="65">
        <v>94838684</v>
      </c>
      <c r="F14" s="66">
        <v>-0.13874876370110767</v>
      </c>
      <c r="G14" s="65">
        <v>98458189</v>
      </c>
      <c r="H14" s="66">
        <v>-0.10588658828188791</v>
      </c>
      <c r="I14" s="65">
        <v>110118233</v>
      </c>
      <c r="J14" s="66">
        <v>0.47212636009272524</v>
      </c>
      <c r="K14" s="65">
        <v>74802161</v>
      </c>
      <c r="L14" s="66">
        <v>0.13225432210085231</v>
      </c>
      <c r="M14" s="65">
        <v>66064805</v>
      </c>
      <c r="N14" s="66">
        <v>0.67201710344535748</v>
      </c>
      <c r="O14" s="65">
        <v>39512039</v>
      </c>
      <c r="P14" s="66">
        <v>8.0696157783233691E-2</v>
      </c>
      <c r="Q14" s="65">
        <v>36561654</v>
      </c>
      <c r="R14" s="66">
        <v>0.91972852402185312</v>
      </c>
      <c r="S14" s="67">
        <v>19045221</v>
      </c>
      <c r="T14" s="66">
        <v>0.42225748513592021</v>
      </c>
      <c r="U14" s="67">
        <v>13390839</v>
      </c>
      <c r="V14" s="66">
        <v>-0.13859387702773163</v>
      </c>
      <c r="W14" s="67">
        <v>15545326</v>
      </c>
      <c r="X14" s="66">
        <v>4.8514334556346572E-3</v>
      </c>
      <c r="Y14" s="83">
        <v>15470273</v>
      </c>
    </row>
    <row r="15" spans="1:25" ht="14.25" customHeight="1" x14ac:dyDescent="0.2">
      <c r="A15" s="51" t="s">
        <v>56</v>
      </c>
      <c r="B15" s="45" t="s">
        <v>132</v>
      </c>
      <c r="C15" s="43">
        <v>2433168066</v>
      </c>
      <c r="D15" s="102">
        <f t="shared" si="0"/>
        <v>-8.1899214067641557E-2</v>
      </c>
      <c r="E15" s="65">
        <v>2650218912</v>
      </c>
      <c r="F15" s="66">
        <v>-6.4681049685683667E-2</v>
      </c>
      <c r="G15" s="65">
        <v>2837368563</v>
      </c>
      <c r="H15" s="66">
        <v>0.32341765220804075</v>
      </c>
      <c r="I15" s="65">
        <v>2143970619</v>
      </c>
      <c r="J15" s="66">
        <v>-0.31118241104137401</v>
      </c>
      <c r="K15" s="65">
        <v>3112537562</v>
      </c>
      <c r="L15" s="66">
        <v>-0.12034668904658563</v>
      </c>
      <c r="M15" s="65">
        <v>3538368495</v>
      </c>
      <c r="N15" s="66">
        <v>0.37696593650996824</v>
      </c>
      <c r="O15" s="65">
        <v>2569684842</v>
      </c>
      <c r="P15" s="66">
        <v>0.87959687249268881</v>
      </c>
      <c r="Q15" s="65">
        <v>1367146796</v>
      </c>
      <c r="R15" s="66">
        <v>1.8836924069101402</v>
      </c>
      <c r="S15" s="67">
        <v>474095917</v>
      </c>
      <c r="T15" s="66">
        <v>0.72099074148375775</v>
      </c>
      <c r="U15" s="67">
        <v>275478482</v>
      </c>
      <c r="V15" s="66">
        <v>-0.20430638527656686</v>
      </c>
      <c r="W15" s="67">
        <v>346211754</v>
      </c>
      <c r="X15" s="66">
        <v>6.3412288728430299E-2</v>
      </c>
      <c r="Y15" s="83">
        <v>325566817</v>
      </c>
    </row>
    <row r="16" spans="1:25" ht="14.25" customHeight="1" x14ac:dyDescent="0.2">
      <c r="A16" s="51" t="s">
        <v>55</v>
      </c>
      <c r="B16" s="45" t="s">
        <v>133</v>
      </c>
      <c r="C16" s="43">
        <v>19350006</v>
      </c>
      <c r="D16" s="102">
        <f t="shared" si="0"/>
        <v>0.9906776645315154</v>
      </c>
      <c r="E16" s="65">
        <v>9720311</v>
      </c>
      <c r="F16" s="66">
        <v>-0.3919718709665474</v>
      </c>
      <c r="G16" s="65">
        <v>15986614</v>
      </c>
      <c r="H16" s="66">
        <v>0.85089080395227468</v>
      </c>
      <c r="I16" s="65">
        <v>8637254</v>
      </c>
      <c r="J16" s="66">
        <v>0.38350374473672955</v>
      </c>
      <c r="K16" s="65">
        <v>6243029</v>
      </c>
      <c r="L16" s="66">
        <v>3.6586880454176685E-2</v>
      </c>
      <c r="M16" s="65">
        <v>6022678</v>
      </c>
      <c r="N16" s="66">
        <v>0.10638813024370686</v>
      </c>
      <c r="O16" s="65">
        <v>5443549</v>
      </c>
      <c r="P16" s="66">
        <v>-0.23263783848704922</v>
      </c>
      <c r="Q16" s="65">
        <v>7093846</v>
      </c>
      <c r="R16" s="66">
        <v>1.123747660728287</v>
      </c>
      <c r="S16" s="67">
        <v>3340249</v>
      </c>
      <c r="T16" s="66">
        <v>0.67596355703270183</v>
      </c>
      <c r="U16" s="67">
        <v>1993032</v>
      </c>
      <c r="V16" s="66">
        <v>-0.45474496946702925</v>
      </c>
      <c r="W16" s="67">
        <v>3655229</v>
      </c>
      <c r="X16" s="66">
        <v>0.10722708940805981</v>
      </c>
      <c r="Y16" s="83">
        <v>3301246</v>
      </c>
    </row>
    <row r="17" spans="1:25" ht="14.25" customHeight="1" x14ac:dyDescent="0.2">
      <c r="A17" s="51" t="s">
        <v>93</v>
      </c>
      <c r="B17" s="45" t="s">
        <v>132</v>
      </c>
      <c r="C17" s="43">
        <v>15814023414</v>
      </c>
      <c r="D17" s="102">
        <f t="shared" si="0"/>
        <v>0.22635045129630949</v>
      </c>
      <c r="E17" s="65">
        <v>12895191091</v>
      </c>
      <c r="F17" s="66">
        <v>8.912279109637633E-2</v>
      </c>
      <c r="G17" s="65">
        <v>15168728059</v>
      </c>
      <c r="H17" s="66">
        <v>-8.2718713138465239E-2</v>
      </c>
      <c r="I17" s="65">
        <v>16536615623</v>
      </c>
      <c r="J17" s="66">
        <v>-6.0596461738649077E-2</v>
      </c>
      <c r="K17" s="65">
        <v>17603314177</v>
      </c>
      <c r="L17" s="66">
        <v>-0.12152565180952835</v>
      </c>
      <c r="M17" s="65">
        <v>20038506774</v>
      </c>
      <c r="N17" s="66">
        <v>9.3208106430082482E-2</v>
      </c>
      <c r="O17" s="65">
        <v>18330001997</v>
      </c>
      <c r="P17" s="66">
        <v>0.49533009982138143</v>
      </c>
      <c r="Q17" s="65">
        <v>12258164267</v>
      </c>
      <c r="R17" s="66">
        <v>0.99854613260516545</v>
      </c>
      <c r="S17" s="67">
        <v>6133540811</v>
      </c>
      <c r="T17" s="66">
        <v>0.35379377353480246</v>
      </c>
      <c r="U17" s="67">
        <v>4530631571</v>
      </c>
      <c r="V17" s="66">
        <v>1.4733015039091435</v>
      </c>
      <c r="W17" s="67">
        <v>1831815314</v>
      </c>
      <c r="X17" s="66">
        <v>2.5998527637548143</v>
      </c>
      <c r="Y17" s="83">
        <v>508858399</v>
      </c>
    </row>
    <row r="18" spans="1:25" ht="14.25" customHeight="1" x14ac:dyDescent="0.2">
      <c r="A18" s="51" t="s">
        <v>54</v>
      </c>
      <c r="B18" s="45" t="s">
        <v>132</v>
      </c>
      <c r="C18" s="43">
        <v>47070172</v>
      </c>
      <c r="D18" s="102">
        <f t="shared" si="0"/>
        <v>2.2118547164659663E-2</v>
      </c>
      <c r="E18" s="65">
        <v>46051578</v>
      </c>
      <c r="F18" s="66">
        <v>-0.20314013387842211</v>
      </c>
      <c r="G18" s="65">
        <v>57683082</v>
      </c>
      <c r="H18" s="66">
        <v>1.110840890585278</v>
      </c>
      <c r="I18" s="65">
        <v>27327063</v>
      </c>
      <c r="J18" s="66">
        <v>0.60113952685665573</v>
      </c>
      <c r="K18" s="65">
        <v>17067259</v>
      </c>
      <c r="L18" s="66">
        <v>1.3570960884289152</v>
      </c>
      <c r="M18" s="65">
        <v>7240799</v>
      </c>
      <c r="N18" s="66">
        <v>0.69781341541965003</v>
      </c>
      <c r="O18" s="65">
        <v>4264779</v>
      </c>
      <c r="P18" s="66">
        <v>0.46086594618665111</v>
      </c>
      <c r="Q18" s="65">
        <v>2919350</v>
      </c>
      <c r="R18" s="66">
        <v>1.2436449210091887</v>
      </c>
      <c r="S18" s="67">
        <v>1301164</v>
      </c>
      <c r="T18" s="66">
        <v>-0.18398939382631885</v>
      </c>
      <c r="U18" s="67">
        <v>1594543</v>
      </c>
      <c r="V18" s="66">
        <v>-0.36911346709587156</v>
      </c>
      <c r="W18" s="67">
        <v>2527464</v>
      </c>
      <c r="X18" s="66">
        <v>-0.188941854886715</v>
      </c>
      <c r="Y18" s="83">
        <v>3116255</v>
      </c>
    </row>
    <row r="19" spans="1:25" ht="14.25" customHeight="1" x14ac:dyDescent="0.2">
      <c r="A19" s="51" t="s">
        <v>53</v>
      </c>
      <c r="B19" s="45" t="s">
        <v>133</v>
      </c>
      <c r="C19" s="43">
        <v>3910553</v>
      </c>
      <c r="D19" s="102">
        <f t="shared" si="0"/>
        <v>-0.10893312907773489</v>
      </c>
      <c r="E19" s="65">
        <v>4388619</v>
      </c>
      <c r="F19" s="66">
        <v>2.8775843971330421</v>
      </c>
      <c r="G19" s="65">
        <v>1131792</v>
      </c>
      <c r="H19" s="66">
        <v>-0.38974025224751119</v>
      </c>
      <c r="I19" s="65">
        <v>1854607</v>
      </c>
      <c r="J19" s="66">
        <v>0.26492708588390079</v>
      </c>
      <c r="K19" s="65">
        <v>1466177</v>
      </c>
      <c r="L19" s="66">
        <v>-0.37072922219332327</v>
      </c>
      <c r="M19" s="65">
        <v>2329962</v>
      </c>
      <c r="N19" s="66">
        <v>0.17166004810421809</v>
      </c>
      <c r="O19" s="65">
        <v>1988599</v>
      </c>
      <c r="P19" s="66">
        <v>9.7610435859634359E-2</v>
      </c>
      <c r="Q19" s="65">
        <v>1811753</v>
      </c>
      <c r="R19" s="66">
        <v>-0.3940528142257802</v>
      </c>
      <c r="S19" s="67">
        <v>2989952</v>
      </c>
      <c r="T19" s="66">
        <v>0.42316995968413695</v>
      </c>
      <c r="U19" s="67">
        <v>2100910</v>
      </c>
      <c r="V19" s="66">
        <v>-0.13262310797632837</v>
      </c>
      <c r="W19" s="67">
        <v>2422142</v>
      </c>
      <c r="X19" s="66">
        <v>0.26051665663134971</v>
      </c>
      <c r="Y19" s="83">
        <v>1921547</v>
      </c>
    </row>
    <row r="20" spans="1:25" ht="14.25" customHeight="1" x14ac:dyDescent="0.2">
      <c r="A20" s="51" t="s">
        <v>52</v>
      </c>
      <c r="B20" s="45" t="s">
        <v>132</v>
      </c>
      <c r="C20" s="43">
        <v>2039577686</v>
      </c>
      <c r="D20" s="102">
        <f t="shared" si="0"/>
        <v>0.18250256669813858</v>
      </c>
      <c r="E20" s="65">
        <v>1724797682</v>
      </c>
      <c r="F20" s="66">
        <v>-0.18137621394651837</v>
      </c>
      <c r="G20" s="65">
        <v>2240076238</v>
      </c>
      <c r="H20" s="66">
        <v>0.43299953485202725</v>
      </c>
      <c r="I20" s="65">
        <v>1563207931</v>
      </c>
      <c r="J20" s="66">
        <v>0.12490275922710703</v>
      </c>
      <c r="K20" s="65">
        <v>1389638276</v>
      </c>
      <c r="L20" s="66">
        <v>0.22273898816407089</v>
      </c>
      <c r="M20" s="65">
        <v>1136496251</v>
      </c>
      <c r="N20" s="66">
        <v>-2.718999827703783E-2</v>
      </c>
      <c r="O20" s="65">
        <v>1168261273</v>
      </c>
      <c r="P20" s="66">
        <v>6.4977020861819224E-2</v>
      </c>
      <c r="Q20" s="65">
        <v>1096982611</v>
      </c>
      <c r="R20" s="66">
        <v>1.3943455753332241</v>
      </c>
      <c r="S20" s="67">
        <v>458155507</v>
      </c>
      <c r="T20" s="66">
        <v>0.45446711689218855</v>
      </c>
      <c r="U20" s="67">
        <v>314998876</v>
      </c>
      <c r="V20" s="66">
        <v>0.61775190251127254</v>
      </c>
      <c r="W20" s="67">
        <v>194713958</v>
      </c>
      <c r="X20" s="66">
        <v>2.281668481357646E-2</v>
      </c>
      <c r="Y20" s="83">
        <v>190370338</v>
      </c>
    </row>
    <row r="21" spans="1:25" ht="14.25" customHeight="1" x14ac:dyDescent="0.2">
      <c r="A21" s="51" t="s">
        <v>51</v>
      </c>
      <c r="B21" s="45" t="s">
        <v>132</v>
      </c>
      <c r="C21" s="43">
        <v>332526082</v>
      </c>
      <c r="D21" s="102">
        <f t="shared" si="0"/>
        <v>0.35558417002122633</v>
      </c>
      <c r="E21" s="65">
        <v>245300948</v>
      </c>
      <c r="F21" s="66">
        <v>-0.21410926171078692</v>
      </c>
      <c r="G21" s="65">
        <v>312750567</v>
      </c>
      <c r="H21" s="66">
        <v>-0.22398954447464925</v>
      </c>
      <c r="I21" s="65">
        <v>403023651</v>
      </c>
      <c r="J21" s="66">
        <v>1.3455278355912905</v>
      </c>
      <c r="K21" s="65">
        <v>171826420</v>
      </c>
      <c r="L21" s="66">
        <v>2.959597945029091E-2</v>
      </c>
      <c r="M21" s="65">
        <v>166887229</v>
      </c>
      <c r="N21" s="66">
        <v>0.5652804636360993</v>
      </c>
      <c r="O21" s="65">
        <v>106618100</v>
      </c>
      <c r="P21" s="66">
        <v>0.24616856531346376</v>
      </c>
      <c r="Q21" s="65">
        <v>85556724</v>
      </c>
      <c r="R21" s="66">
        <v>0.9113775396005519</v>
      </c>
      <c r="S21" s="67">
        <v>44761813</v>
      </c>
      <c r="T21" s="66">
        <v>0.86017166411713797</v>
      </c>
      <c r="U21" s="67">
        <v>24063270</v>
      </c>
      <c r="V21" s="66">
        <v>-0.16923182408171167</v>
      </c>
      <c r="W21" s="67">
        <v>28965084</v>
      </c>
      <c r="X21" s="66">
        <v>-0.92418345563310489</v>
      </c>
      <c r="Y21" s="83">
        <v>382041733</v>
      </c>
    </row>
    <row r="22" spans="1:25" ht="14.25" customHeight="1" x14ac:dyDescent="0.2">
      <c r="A22" s="51" t="s">
        <v>50</v>
      </c>
      <c r="B22" s="45" t="s">
        <v>132</v>
      </c>
      <c r="C22" s="43">
        <v>298734088</v>
      </c>
      <c r="D22" s="102">
        <f t="shared" si="0"/>
        <v>0.58444719893346786</v>
      </c>
      <c r="E22" s="65">
        <v>188541523</v>
      </c>
      <c r="F22" s="66">
        <v>-0.21925352543897769</v>
      </c>
      <c r="G22" s="65">
        <v>241488792</v>
      </c>
      <c r="H22" s="66">
        <v>0.31989823358265546</v>
      </c>
      <c r="I22" s="65">
        <v>182960160</v>
      </c>
      <c r="J22" s="66">
        <v>0.16641766620888943</v>
      </c>
      <c r="K22" s="65">
        <v>156856472</v>
      </c>
      <c r="L22" s="66">
        <v>-4.0832699708752362E-2</v>
      </c>
      <c r="M22" s="65">
        <v>163534007</v>
      </c>
      <c r="N22" s="66">
        <v>5.535870988182312E-2</v>
      </c>
      <c r="O22" s="65">
        <v>154955851</v>
      </c>
      <c r="P22" s="66">
        <v>0.43260570867242065</v>
      </c>
      <c r="Q22" s="65">
        <v>108163642</v>
      </c>
      <c r="R22" s="66">
        <v>5.8038231216519849</v>
      </c>
      <c r="S22" s="67">
        <v>15897480</v>
      </c>
      <c r="T22" s="66">
        <v>0.54961921575083794</v>
      </c>
      <c r="U22" s="67">
        <v>10258959</v>
      </c>
      <c r="V22" s="66">
        <v>-7.5633885762704689E-2</v>
      </c>
      <c r="W22" s="67">
        <v>11098372</v>
      </c>
      <c r="X22" s="66">
        <v>-0.15312521270358115</v>
      </c>
      <c r="Y22" s="83">
        <v>13105092</v>
      </c>
    </row>
    <row r="23" spans="1:25" ht="14.25" customHeight="1" x14ac:dyDescent="0.2">
      <c r="A23" s="51" t="s">
        <v>49</v>
      </c>
      <c r="B23" s="45" t="s">
        <v>133</v>
      </c>
      <c r="C23" s="43">
        <v>126054609</v>
      </c>
      <c r="D23" s="102">
        <f t="shared" si="0"/>
        <v>0.21055721913722558</v>
      </c>
      <c r="E23" s="65">
        <v>104129410</v>
      </c>
      <c r="F23" s="66">
        <v>-0.20157236771149256</v>
      </c>
      <c r="G23" s="65">
        <v>130418094</v>
      </c>
      <c r="H23" s="66">
        <v>0.64276492739589619</v>
      </c>
      <c r="I23" s="65">
        <v>79389383</v>
      </c>
      <c r="J23" s="66">
        <v>0.17805838739573687</v>
      </c>
      <c r="K23" s="65">
        <v>67390024</v>
      </c>
      <c r="L23" s="66">
        <v>-0.1061148118513614</v>
      </c>
      <c r="M23" s="65">
        <v>75390022</v>
      </c>
      <c r="N23" s="66">
        <v>0.23074101868268881</v>
      </c>
      <c r="O23" s="65">
        <v>61255797</v>
      </c>
      <c r="P23" s="66">
        <v>0.35912302371705929</v>
      </c>
      <c r="Q23" s="65">
        <v>45070090</v>
      </c>
      <c r="R23" s="66">
        <v>0.36781542498186215</v>
      </c>
      <c r="S23" s="67">
        <v>32950418</v>
      </c>
      <c r="T23" s="66">
        <v>2.3415342366009471</v>
      </c>
      <c r="U23" s="67">
        <v>9860865</v>
      </c>
      <c r="V23" s="66">
        <v>-0.12561046720936719</v>
      </c>
      <c r="W23" s="67">
        <v>11277428</v>
      </c>
      <c r="X23" s="66">
        <v>9.6916271707822244E-2</v>
      </c>
      <c r="Y23" s="83">
        <v>10281029</v>
      </c>
    </row>
    <row r="24" spans="1:25" ht="14.25" customHeight="1" x14ac:dyDescent="0.2">
      <c r="A24" s="51" t="s">
        <v>48</v>
      </c>
      <c r="B24" s="45" t="s">
        <v>133</v>
      </c>
      <c r="C24" s="43">
        <v>39203405</v>
      </c>
      <c r="D24" s="102">
        <f t="shared" si="0"/>
        <v>0.32131480570472615</v>
      </c>
      <c r="E24" s="65">
        <v>29669996</v>
      </c>
      <c r="F24" s="66">
        <v>0.60399078583665666</v>
      </c>
      <c r="G24" s="65">
        <v>18497610</v>
      </c>
      <c r="H24" s="66">
        <v>1.0307805100245142</v>
      </c>
      <c r="I24" s="65">
        <v>9108621</v>
      </c>
      <c r="J24" s="66">
        <v>7.7947268208912845E-2</v>
      </c>
      <c r="K24" s="65">
        <v>8449969</v>
      </c>
      <c r="L24" s="66">
        <v>0.11743697367864248</v>
      </c>
      <c r="M24" s="65">
        <v>7561920</v>
      </c>
      <c r="N24" s="66">
        <v>-0.18436404368584636</v>
      </c>
      <c r="O24" s="65">
        <v>9271195</v>
      </c>
      <c r="P24" s="66">
        <v>9.5853939016201206E-2</v>
      </c>
      <c r="Q24" s="65">
        <v>8460247</v>
      </c>
      <c r="R24" s="66">
        <v>-0.1260762454521912</v>
      </c>
      <c r="S24" s="67">
        <v>9680761</v>
      </c>
      <c r="T24" s="66">
        <v>1.7963463753765239</v>
      </c>
      <c r="U24" s="67">
        <v>3461932</v>
      </c>
      <c r="V24" s="66">
        <v>-0.50995364285563638</v>
      </c>
      <c r="W24" s="67">
        <v>7064499</v>
      </c>
      <c r="X24" s="66">
        <v>0.16106407358759234</v>
      </c>
      <c r="Y24" s="83">
        <v>6084504</v>
      </c>
    </row>
    <row r="25" spans="1:25" ht="14.25" customHeight="1" x14ac:dyDescent="0.2">
      <c r="A25" s="51" t="s">
        <v>47</v>
      </c>
      <c r="B25" s="45" t="s">
        <v>133</v>
      </c>
      <c r="C25" s="43">
        <v>21703560</v>
      </c>
      <c r="D25" s="102">
        <f t="shared" si="0"/>
        <v>2.0661735599047582</v>
      </c>
      <c r="E25" s="65">
        <v>7078386</v>
      </c>
      <c r="F25" s="66">
        <v>1.137111246908332</v>
      </c>
      <c r="G25" s="65">
        <v>3312128</v>
      </c>
      <c r="H25" s="66">
        <v>3.7553798311972697E-2</v>
      </c>
      <c r="I25" s="65">
        <v>3192247</v>
      </c>
      <c r="J25" s="66">
        <v>0.69316379667906736</v>
      </c>
      <c r="K25" s="65">
        <v>1885374</v>
      </c>
      <c r="L25" s="66">
        <v>-0.16437791523287293</v>
      </c>
      <c r="M25" s="65">
        <v>2256252</v>
      </c>
      <c r="N25" s="66">
        <v>-0.15965576551055272</v>
      </c>
      <c r="O25" s="65">
        <v>2684914</v>
      </c>
      <c r="P25" s="66">
        <v>-0.21752075239319546</v>
      </c>
      <c r="Q25" s="65">
        <v>3431291</v>
      </c>
      <c r="R25" s="66">
        <v>0.23279532303252704</v>
      </c>
      <c r="S25" s="67">
        <v>2783342</v>
      </c>
      <c r="T25" s="66">
        <v>-0.42241793085845381</v>
      </c>
      <c r="U25" s="67">
        <v>4818955</v>
      </c>
      <c r="V25" s="66">
        <v>0.28531070055821783</v>
      </c>
      <c r="W25" s="67">
        <v>3749253</v>
      </c>
      <c r="X25" s="66">
        <v>-0.32000969950047931</v>
      </c>
      <c r="Y25" s="83">
        <v>5513686</v>
      </c>
    </row>
    <row r="26" spans="1:25" ht="14.25" customHeight="1" x14ac:dyDescent="0.2">
      <c r="A26" s="51" t="s">
        <v>46</v>
      </c>
      <c r="B26" s="45" t="s">
        <v>132</v>
      </c>
      <c r="C26" s="43">
        <v>30795188</v>
      </c>
      <c r="D26" s="102">
        <f t="shared" si="0"/>
        <v>1.8453946097957115</v>
      </c>
      <c r="E26" s="65">
        <v>10822818</v>
      </c>
      <c r="F26" s="66">
        <v>-8.0144374630868098E-2</v>
      </c>
      <c r="G26" s="65">
        <v>11765779</v>
      </c>
      <c r="H26" s="66">
        <v>0.70899791375164911</v>
      </c>
      <c r="I26" s="65">
        <v>6884607</v>
      </c>
      <c r="J26" s="66">
        <v>-0.12840145398785741</v>
      </c>
      <c r="K26" s="65">
        <v>7898828</v>
      </c>
      <c r="L26" s="66">
        <v>1.7004549403264755</v>
      </c>
      <c r="M26" s="65">
        <v>2924999</v>
      </c>
      <c r="N26" s="66">
        <v>0.38775303965464158</v>
      </c>
      <c r="O26" s="65">
        <v>2107723</v>
      </c>
      <c r="P26" s="66">
        <v>-0.26343387663971274</v>
      </c>
      <c r="Q26" s="65">
        <v>2861553</v>
      </c>
      <c r="R26" s="66">
        <v>0.30306148888240236</v>
      </c>
      <c r="S26" s="67">
        <v>2196023</v>
      </c>
      <c r="T26" s="66">
        <v>0.83604291747173853</v>
      </c>
      <c r="U26" s="67">
        <v>1196063</v>
      </c>
      <c r="V26" s="66">
        <v>1.0435530663641366</v>
      </c>
      <c r="W26" s="67">
        <v>585286</v>
      </c>
      <c r="X26" s="66">
        <v>-0.82213011950358128</v>
      </c>
      <c r="Y26" s="83">
        <v>3290529</v>
      </c>
    </row>
    <row r="27" spans="1:25" ht="14.25" customHeight="1" x14ac:dyDescent="0.2">
      <c r="A27" s="51" t="s">
        <v>45</v>
      </c>
      <c r="B27" s="45" t="s">
        <v>133</v>
      </c>
      <c r="C27" s="43">
        <v>207322416</v>
      </c>
      <c r="D27" s="102">
        <f t="shared" si="0"/>
        <v>0.21652174058972551</v>
      </c>
      <c r="E27" s="65">
        <v>170422286</v>
      </c>
      <c r="F27" s="66">
        <v>1.6458253094372446</v>
      </c>
      <c r="G27" s="65">
        <v>64411768</v>
      </c>
      <c r="H27" s="66">
        <v>-0.57619824945139042</v>
      </c>
      <c r="I27" s="65">
        <v>151985611</v>
      </c>
      <c r="J27" s="66">
        <v>2.8611423880323006E-2</v>
      </c>
      <c r="K27" s="65">
        <v>147758043</v>
      </c>
      <c r="L27" s="66">
        <v>1.4200678001390608</v>
      </c>
      <c r="M27" s="65">
        <v>61055332</v>
      </c>
      <c r="N27" s="66">
        <v>2.5199301448568336</v>
      </c>
      <c r="O27" s="65">
        <v>17345609</v>
      </c>
      <c r="P27" s="66">
        <v>0.91561654734195308</v>
      </c>
      <c r="Q27" s="65">
        <v>9054844</v>
      </c>
      <c r="R27" s="66">
        <v>1.011369598585464</v>
      </c>
      <c r="S27" s="67">
        <v>4501830</v>
      </c>
      <c r="T27" s="66">
        <v>0.73345121144013192</v>
      </c>
      <c r="U27" s="67">
        <v>2597033</v>
      </c>
      <c r="V27" s="66">
        <v>-0.53002525019005953</v>
      </c>
      <c r="W27" s="67">
        <v>5525899</v>
      </c>
      <c r="X27" s="66">
        <v>-0.38341994176414296</v>
      </c>
      <c r="Y27" s="83">
        <v>8962176</v>
      </c>
    </row>
    <row r="28" spans="1:25" ht="14.25" customHeight="1" x14ac:dyDescent="0.2">
      <c r="A28" s="51" t="s">
        <v>44</v>
      </c>
      <c r="B28" s="45" t="s">
        <v>133</v>
      </c>
      <c r="C28" s="43">
        <v>8937757</v>
      </c>
      <c r="D28" s="102">
        <f t="shared" si="0"/>
        <v>0.40568078445977496</v>
      </c>
      <c r="E28" s="65">
        <v>6358312</v>
      </c>
      <c r="F28" s="66">
        <v>-0.15292192955928252</v>
      </c>
      <c r="G28" s="65">
        <v>7506170</v>
      </c>
      <c r="H28" s="66">
        <v>0.8795017755455965</v>
      </c>
      <c r="I28" s="65">
        <v>3993702</v>
      </c>
      <c r="J28" s="66">
        <v>6.8971756590298527E-2</v>
      </c>
      <c r="K28" s="65">
        <v>3736022</v>
      </c>
      <c r="L28" s="66">
        <v>-9.2279807475041498E-2</v>
      </c>
      <c r="M28" s="65">
        <v>4115830</v>
      </c>
      <c r="N28" s="66">
        <v>-0.14495945660718534</v>
      </c>
      <c r="O28" s="65">
        <v>4813608</v>
      </c>
      <c r="P28" s="66">
        <v>-0.35641230136101676</v>
      </c>
      <c r="Q28" s="65">
        <v>7479335</v>
      </c>
      <c r="R28" s="66">
        <v>3.3741717284076245</v>
      </c>
      <c r="S28" s="67">
        <v>1709886</v>
      </c>
      <c r="T28" s="66">
        <v>-0.21125298740549969</v>
      </c>
      <c r="U28" s="67">
        <v>2167851</v>
      </c>
      <c r="V28" s="66">
        <v>-0.29725521697439794</v>
      </c>
      <c r="W28" s="67">
        <v>3084834</v>
      </c>
      <c r="X28" s="66">
        <v>-0.1094453812370686</v>
      </c>
      <c r="Y28" s="83">
        <v>3463947</v>
      </c>
    </row>
    <row r="29" spans="1:25" ht="14.25" customHeight="1" x14ac:dyDescent="0.2">
      <c r="A29" s="51" t="s">
        <v>43</v>
      </c>
      <c r="B29" s="45" t="s">
        <v>132</v>
      </c>
      <c r="C29" s="43">
        <v>62279412</v>
      </c>
      <c r="D29" s="102">
        <f t="shared" si="0"/>
        <v>-5.7940389571646489E-2</v>
      </c>
      <c r="E29" s="65">
        <v>66109842</v>
      </c>
      <c r="F29" s="66">
        <v>1.718376339870384</v>
      </c>
      <c r="G29" s="65">
        <v>24420086</v>
      </c>
      <c r="H29" s="66">
        <v>0.46227228048702718</v>
      </c>
      <c r="I29" s="65">
        <v>16700095</v>
      </c>
      <c r="J29" s="66">
        <v>2.0548108607237334</v>
      </c>
      <c r="K29" s="65">
        <v>5466818</v>
      </c>
      <c r="L29" s="66">
        <v>-0.18528625988042813</v>
      </c>
      <c r="M29" s="65">
        <v>6710109</v>
      </c>
      <c r="N29" s="66">
        <v>0.76814326628990814</v>
      </c>
      <c r="O29" s="65">
        <v>3795003</v>
      </c>
      <c r="P29" s="66">
        <v>10.057926589411789</v>
      </c>
      <c r="Q29" s="65">
        <v>343193</v>
      </c>
      <c r="R29" s="66">
        <v>-0.25930793950891462</v>
      </c>
      <c r="S29" s="67">
        <v>463341</v>
      </c>
      <c r="T29" s="66">
        <v>-0.61171131912611354</v>
      </c>
      <c r="U29" s="67">
        <v>1193290</v>
      </c>
      <c r="V29" s="66">
        <v>-0.30061745218188907</v>
      </c>
      <c r="W29" s="67">
        <v>1706205</v>
      </c>
      <c r="X29" s="66">
        <v>1.1871815283562346</v>
      </c>
      <c r="Y29" s="83">
        <v>780093</v>
      </c>
    </row>
    <row r="30" spans="1:25" ht="14.25" customHeight="1" x14ac:dyDescent="0.2">
      <c r="A30" s="51" t="s">
        <v>42</v>
      </c>
      <c r="B30" s="45" t="s">
        <v>132</v>
      </c>
      <c r="C30" s="43">
        <v>156546844</v>
      </c>
      <c r="D30" s="102">
        <f t="shared" si="0"/>
        <v>1.7948622914755035</v>
      </c>
      <c r="E30" s="65">
        <v>56012364</v>
      </c>
      <c r="F30" s="66">
        <v>0.53076971413802232</v>
      </c>
      <c r="G30" s="65">
        <v>36713487</v>
      </c>
      <c r="H30" s="66">
        <v>2.9967987337450319E-2</v>
      </c>
      <c r="I30" s="65">
        <v>35645270</v>
      </c>
      <c r="J30" s="66">
        <v>0.60537523025441708</v>
      </c>
      <c r="K30" s="65">
        <v>22203700</v>
      </c>
      <c r="L30" s="66">
        <v>0.55840810574072419</v>
      </c>
      <c r="M30" s="65">
        <v>14247680</v>
      </c>
      <c r="N30" s="66">
        <v>1.2832005300284388E-2</v>
      </c>
      <c r="O30" s="65">
        <v>14067170</v>
      </c>
      <c r="P30" s="66">
        <v>0.45124257339431084</v>
      </c>
      <c r="Q30" s="65">
        <v>9693190</v>
      </c>
      <c r="R30" s="66">
        <v>0.29526109161657921</v>
      </c>
      <c r="S30" s="67">
        <v>7483580</v>
      </c>
      <c r="T30" s="66">
        <v>1.9762057212852011</v>
      </c>
      <c r="U30" s="67">
        <v>2514470</v>
      </c>
      <c r="V30" s="66">
        <v>3.2368234818359509</v>
      </c>
      <c r="W30" s="67">
        <v>593480</v>
      </c>
      <c r="X30" s="66">
        <v>2.9944899995661522E-2</v>
      </c>
      <c r="Y30" s="83">
        <v>576225</v>
      </c>
    </row>
    <row r="31" spans="1:25" ht="14.25" customHeight="1" x14ac:dyDescent="0.2">
      <c r="A31" s="51" t="s">
        <v>41</v>
      </c>
      <c r="B31" s="45" t="s">
        <v>132</v>
      </c>
      <c r="C31" s="43">
        <v>266371879</v>
      </c>
      <c r="D31" s="102">
        <f t="shared" si="0"/>
        <v>5.371439874171946E-2</v>
      </c>
      <c r="E31" s="65">
        <v>252793242</v>
      </c>
      <c r="F31" s="66">
        <v>0.274984991611672</v>
      </c>
      <c r="G31" s="65">
        <v>199090331</v>
      </c>
      <c r="H31" s="66">
        <v>0.5878548186452528</v>
      </c>
      <c r="I31" s="65">
        <v>125383208</v>
      </c>
      <c r="J31" s="66">
        <v>0.33868866276517262</v>
      </c>
      <c r="K31" s="65">
        <v>93661216</v>
      </c>
      <c r="L31" s="66">
        <v>1.8409914743456279</v>
      </c>
      <c r="M31" s="65">
        <v>32967792</v>
      </c>
      <c r="N31" s="66">
        <v>-0.21447944066618507</v>
      </c>
      <c r="O31" s="65">
        <v>41969356</v>
      </c>
      <c r="P31" s="66">
        <v>0.1707936264219454</v>
      </c>
      <c r="Q31" s="65">
        <v>35846929</v>
      </c>
      <c r="R31" s="66">
        <v>0.58462591976959466</v>
      </c>
      <c r="S31" s="67">
        <v>22621698</v>
      </c>
      <c r="T31" s="66">
        <v>-0.22612982124359127</v>
      </c>
      <c r="U31" s="67">
        <v>29231903</v>
      </c>
      <c r="V31" s="66">
        <v>0.61843770525013486</v>
      </c>
      <c r="W31" s="67">
        <v>18061803</v>
      </c>
      <c r="X31" s="66">
        <v>-3.056216331322803E-3</v>
      </c>
      <c r="Y31" s="83">
        <v>18117173</v>
      </c>
    </row>
    <row r="32" spans="1:25" ht="14.25" customHeight="1" x14ac:dyDescent="0.2">
      <c r="A32" s="51" t="s">
        <v>40</v>
      </c>
      <c r="B32" s="45" t="s">
        <v>132</v>
      </c>
      <c r="C32" s="43">
        <v>134581106</v>
      </c>
      <c r="D32" s="102">
        <f t="shared" si="0"/>
        <v>0.68411076822813111</v>
      </c>
      <c r="E32" s="65">
        <v>79912265</v>
      </c>
      <c r="F32" s="66">
        <v>0.20919953515209433</v>
      </c>
      <c r="G32" s="65">
        <v>66304698</v>
      </c>
      <c r="H32" s="66">
        <v>-0.24033335980711934</v>
      </c>
      <c r="I32" s="65">
        <v>87281308</v>
      </c>
      <c r="J32" s="66">
        <v>9.8501014122247321E-2</v>
      </c>
      <c r="K32" s="65">
        <v>79454918</v>
      </c>
      <c r="L32" s="66">
        <v>0.22049723497298768</v>
      </c>
      <c r="M32" s="65">
        <v>65100449</v>
      </c>
      <c r="N32" s="66">
        <v>7.2099545832480505</v>
      </c>
      <c r="O32" s="65">
        <v>7929453</v>
      </c>
      <c r="P32" s="66">
        <v>-0.19821039945324892</v>
      </c>
      <c r="Q32" s="65">
        <v>9889693</v>
      </c>
      <c r="R32" s="66">
        <v>-0.1367066948073522</v>
      </c>
      <c r="S32" s="67">
        <v>11455774</v>
      </c>
      <c r="T32" s="66">
        <v>1.2776429111936349</v>
      </c>
      <c r="U32" s="67">
        <v>5029662</v>
      </c>
      <c r="V32" s="66">
        <v>2.6717473884819043E-2</v>
      </c>
      <c r="W32" s="67">
        <v>4898779</v>
      </c>
      <c r="X32" s="66">
        <v>0.15853268609608184</v>
      </c>
      <c r="Y32" s="83">
        <v>4228434</v>
      </c>
    </row>
    <row r="33" spans="1:25" ht="14.25" customHeight="1" x14ac:dyDescent="0.2">
      <c r="A33" s="51" t="s">
        <v>39</v>
      </c>
      <c r="B33" s="45" t="s">
        <v>132</v>
      </c>
      <c r="C33" s="43">
        <v>3221141522</v>
      </c>
      <c r="D33" s="102">
        <f t="shared" si="0"/>
        <v>0.30413830170878264</v>
      </c>
      <c r="E33" s="65">
        <v>2469938593</v>
      </c>
      <c r="F33" s="66">
        <v>-0.17518280490788718</v>
      </c>
      <c r="G33" s="65">
        <v>3027079149</v>
      </c>
      <c r="H33" s="66">
        <v>3.9784736002842935E-2</v>
      </c>
      <c r="I33" s="65">
        <v>2911255613</v>
      </c>
      <c r="J33" s="66">
        <v>0.28236801996858718</v>
      </c>
      <c r="K33" s="65">
        <v>2270218508</v>
      </c>
      <c r="L33" s="66">
        <v>9.8603820699142197E-2</v>
      </c>
      <c r="M33" s="65">
        <v>2066457867</v>
      </c>
      <c r="N33" s="66">
        <v>0.18903155767099356</v>
      </c>
      <c r="O33" s="65">
        <v>1737933576</v>
      </c>
      <c r="P33" s="66">
        <v>0.38119716438285511</v>
      </c>
      <c r="Q33" s="65">
        <v>1258280585</v>
      </c>
      <c r="R33" s="66">
        <v>0.44094821893120439</v>
      </c>
      <c r="S33" s="67">
        <v>873230952</v>
      </c>
      <c r="T33" s="66">
        <v>2.423402258708347</v>
      </c>
      <c r="U33" s="67">
        <v>255076934</v>
      </c>
      <c r="V33" s="66">
        <v>0.55223086577709091</v>
      </c>
      <c r="W33" s="67">
        <v>164329250</v>
      </c>
      <c r="X33" s="66">
        <v>0.36228273768831465</v>
      </c>
      <c r="Y33" s="83">
        <v>120627859</v>
      </c>
    </row>
    <row r="34" spans="1:25" ht="14.25" customHeight="1" x14ac:dyDescent="0.2">
      <c r="A34" s="51" t="s">
        <v>38</v>
      </c>
      <c r="B34" s="45" t="s">
        <v>133</v>
      </c>
      <c r="C34" s="43">
        <v>1020958</v>
      </c>
      <c r="D34" s="102">
        <f t="shared" si="0"/>
        <v>-9.8037864532259045E-2</v>
      </c>
      <c r="E34" s="65">
        <v>1131930</v>
      </c>
      <c r="F34" s="66">
        <v>1.3098599743129657E-2</v>
      </c>
      <c r="G34" s="65">
        <v>1117295</v>
      </c>
      <c r="H34" s="66">
        <v>-0.37500419537233654</v>
      </c>
      <c r="I34" s="65">
        <v>1787684</v>
      </c>
      <c r="J34" s="66">
        <v>3.4638310835443287</v>
      </c>
      <c r="K34" s="65">
        <v>400482</v>
      </c>
      <c r="L34" s="66">
        <v>-0.52046009162557572</v>
      </c>
      <c r="M34" s="65">
        <v>835138</v>
      </c>
      <c r="N34" s="66">
        <v>-0.41872752291470761</v>
      </c>
      <c r="O34" s="65">
        <v>1436741</v>
      </c>
      <c r="P34" s="66">
        <v>-0.35108923295940841</v>
      </c>
      <c r="Q34" s="65">
        <v>2214081</v>
      </c>
      <c r="R34" s="66">
        <v>4.0619714445752697</v>
      </c>
      <c r="S34" s="67">
        <v>437395</v>
      </c>
      <c r="T34" s="66">
        <v>-2.9959814062416878E-2</v>
      </c>
      <c r="U34" s="67">
        <v>450904</v>
      </c>
      <c r="V34" s="66">
        <v>-0.32422820471702218</v>
      </c>
      <c r="W34" s="67">
        <v>667243</v>
      </c>
      <c r="X34" s="66">
        <v>-7.6458546429466145E-2</v>
      </c>
      <c r="Y34" s="83">
        <v>722483</v>
      </c>
    </row>
    <row r="35" spans="1:25" ht="14.25" customHeight="1" x14ac:dyDescent="0.2">
      <c r="A35" s="51" t="s">
        <v>37</v>
      </c>
      <c r="B35" s="45" t="s">
        <v>132</v>
      </c>
      <c r="C35" s="43">
        <v>309216896</v>
      </c>
      <c r="D35" s="102">
        <f t="shared" si="0"/>
        <v>5.1455984813942424E-2</v>
      </c>
      <c r="E35" s="65">
        <v>294084489</v>
      </c>
      <c r="F35" s="66">
        <v>-0.25268130600118721</v>
      </c>
      <c r="G35" s="65">
        <v>393816763</v>
      </c>
      <c r="H35" s="66">
        <v>-0.20292111794245793</v>
      </c>
      <c r="I35" s="65">
        <v>494075018</v>
      </c>
      <c r="J35" s="66">
        <v>-1.5931515966432164E-2</v>
      </c>
      <c r="K35" s="65">
        <v>502073815</v>
      </c>
      <c r="L35" s="66">
        <v>0.21870500996897357</v>
      </c>
      <c r="M35" s="65">
        <v>411973210</v>
      </c>
      <c r="N35" s="66">
        <v>0.51278381780080684</v>
      </c>
      <c r="O35" s="65">
        <v>272327880</v>
      </c>
      <c r="P35" s="66">
        <v>1.0576487660735934</v>
      </c>
      <c r="Q35" s="65">
        <v>132349060</v>
      </c>
      <c r="R35" s="66">
        <v>0.6829789409326783</v>
      </c>
      <c r="S35" s="67">
        <v>78639760</v>
      </c>
      <c r="T35" s="66">
        <v>0.90846985584019291</v>
      </c>
      <c r="U35" s="67">
        <v>41205660</v>
      </c>
      <c r="V35" s="66">
        <v>1.8801169222768812</v>
      </c>
      <c r="W35" s="67">
        <v>14306940</v>
      </c>
      <c r="X35" s="66">
        <v>1.534903573330725</v>
      </c>
      <c r="Y35" s="83">
        <v>5643978</v>
      </c>
    </row>
    <row r="36" spans="1:25" ht="14.25" customHeight="1" x14ac:dyDescent="0.2">
      <c r="A36" s="51" t="s">
        <v>36</v>
      </c>
      <c r="B36" s="45" t="s">
        <v>133</v>
      </c>
      <c r="C36" s="43">
        <v>27453666</v>
      </c>
      <c r="D36" s="102">
        <f t="shared" si="0"/>
        <v>2.1156458416108221</v>
      </c>
      <c r="E36" s="65">
        <v>8811549</v>
      </c>
      <c r="F36" s="66">
        <v>0.47593278969594754</v>
      </c>
      <c r="G36" s="65">
        <v>5970156</v>
      </c>
      <c r="H36" s="66">
        <v>-0.27766332004849326</v>
      </c>
      <c r="I36" s="65">
        <v>8265060</v>
      </c>
      <c r="J36" s="66">
        <v>-0.19223306208589419</v>
      </c>
      <c r="K36" s="65">
        <v>10231986</v>
      </c>
      <c r="L36" s="66">
        <v>-0.14549118206157052</v>
      </c>
      <c r="M36" s="65">
        <v>11974114</v>
      </c>
      <c r="N36" s="66">
        <v>1.2653460408942716</v>
      </c>
      <c r="O36" s="65">
        <v>5285777</v>
      </c>
      <c r="P36" s="66">
        <v>2.2196880021396304E-2</v>
      </c>
      <c r="Q36" s="65">
        <v>5170997</v>
      </c>
      <c r="R36" s="66">
        <v>-4.5210975999533276E-2</v>
      </c>
      <c r="S36" s="67">
        <v>5415853</v>
      </c>
      <c r="T36" s="66">
        <v>-0.1124122098421998</v>
      </c>
      <c r="U36" s="67">
        <v>6101766</v>
      </c>
      <c r="V36" s="66">
        <v>0.44937262704231129</v>
      </c>
      <c r="W36" s="67">
        <v>4209936</v>
      </c>
      <c r="X36" s="66">
        <v>6.7325968080637288E-2</v>
      </c>
      <c r="Y36" s="83">
        <v>3944377</v>
      </c>
    </row>
    <row r="37" spans="1:25" ht="14.25" customHeight="1" x14ac:dyDescent="0.2">
      <c r="A37" s="51" t="s">
        <v>35</v>
      </c>
      <c r="B37" s="45" t="s">
        <v>133</v>
      </c>
      <c r="C37" s="43">
        <v>22092080</v>
      </c>
      <c r="D37" s="102">
        <f t="shared" si="0"/>
        <v>0.20027308667372457</v>
      </c>
      <c r="E37" s="65">
        <v>18405878</v>
      </c>
      <c r="F37" s="66">
        <v>0.17068118119117703</v>
      </c>
      <c r="G37" s="65">
        <v>15722366</v>
      </c>
      <c r="H37" s="66">
        <v>0.18431361087548503</v>
      </c>
      <c r="I37" s="65">
        <v>13275509</v>
      </c>
      <c r="J37" s="66">
        <v>0.89500828989731662</v>
      </c>
      <c r="K37" s="65">
        <v>7005515</v>
      </c>
      <c r="L37" s="66">
        <v>0.33303224178609003</v>
      </c>
      <c r="M37" s="65">
        <v>5255323</v>
      </c>
      <c r="N37" s="66">
        <v>0.70507737915053759</v>
      </c>
      <c r="O37" s="65">
        <v>3082161</v>
      </c>
      <c r="P37" s="66">
        <v>0.87313714026645539</v>
      </c>
      <c r="Q37" s="65">
        <v>1645454</v>
      </c>
      <c r="R37" s="66">
        <v>1.4377374960854006E-2</v>
      </c>
      <c r="S37" s="67">
        <v>1622132</v>
      </c>
      <c r="T37" s="66">
        <v>-8.9699400776891203E-2</v>
      </c>
      <c r="U37" s="67">
        <v>1781974</v>
      </c>
      <c r="V37" s="66">
        <v>-0.4435970259795895</v>
      </c>
      <c r="W37" s="67">
        <v>3202668</v>
      </c>
      <c r="X37" s="66">
        <v>1.3613811124489317</v>
      </c>
      <c r="Y37" s="83">
        <v>1356269</v>
      </c>
    </row>
    <row r="38" spans="1:25" ht="14.25" customHeight="1" x14ac:dyDescent="0.2">
      <c r="A38" s="51" t="s">
        <v>34</v>
      </c>
      <c r="B38" s="45" t="s">
        <v>133</v>
      </c>
      <c r="C38" s="43">
        <v>1182437</v>
      </c>
      <c r="D38" s="102">
        <f t="shared" si="0"/>
        <v>1.0858020314060024</v>
      </c>
      <c r="E38" s="65">
        <v>566898</v>
      </c>
      <c r="F38" s="66">
        <v>-0.33633421994118418</v>
      </c>
      <c r="G38" s="65">
        <v>854192</v>
      </c>
      <c r="H38" s="66">
        <v>-0.34510750396373913</v>
      </c>
      <c r="I38" s="65">
        <v>1304324</v>
      </c>
      <c r="J38" s="66">
        <v>-1.7174766257860297E-3</v>
      </c>
      <c r="K38" s="65">
        <v>1306568</v>
      </c>
      <c r="L38" s="66">
        <v>4.2563805477776704</v>
      </c>
      <c r="M38" s="65">
        <v>248568</v>
      </c>
      <c r="N38" s="66">
        <v>5.1909838107098381</v>
      </c>
      <c r="O38" s="65">
        <v>40150</v>
      </c>
      <c r="P38" s="66">
        <v>-0.82201436297544106</v>
      </c>
      <c r="Q38" s="65">
        <v>225580</v>
      </c>
      <c r="R38" s="66">
        <v>-0.45160388481688118</v>
      </c>
      <c r="S38" s="67">
        <v>411345</v>
      </c>
      <c r="T38" s="66">
        <v>-0.35478026812982033</v>
      </c>
      <c r="U38" s="67">
        <v>637527</v>
      </c>
      <c r="V38" s="66">
        <v>2.6648539581620745</v>
      </c>
      <c r="W38" s="67">
        <v>173957</v>
      </c>
      <c r="X38" s="66">
        <v>2.0374890867819104</v>
      </c>
      <c r="Y38" s="83">
        <v>57270</v>
      </c>
    </row>
    <row r="39" spans="1:25" ht="14.25" customHeight="1" x14ac:dyDescent="0.2">
      <c r="A39" s="51" t="s">
        <v>33</v>
      </c>
      <c r="B39" s="45" t="s">
        <v>132</v>
      </c>
      <c r="C39" s="43">
        <v>586429661</v>
      </c>
      <c r="D39" s="102">
        <f t="shared" si="0"/>
        <v>9.8130161125091542E-2</v>
      </c>
      <c r="E39" s="65">
        <v>534025639</v>
      </c>
      <c r="F39" s="66">
        <v>-2.2484922965989584E-3</v>
      </c>
      <c r="G39" s="65">
        <v>538810385</v>
      </c>
      <c r="H39" s="66">
        <v>0.26185195256491101</v>
      </c>
      <c r="I39" s="65">
        <v>426999684</v>
      </c>
      <c r="J39" s="66">
        <v>0.25999236727337549</v>
      </c>
      <c r="K39" s="65">
        <v>338890691</v>
      </c>
      <c r="L39" s="66">
        <v>1.1617742184304931</v>
      </c>
      <c r="M39" s="65">
        <v>156765072</v>
      </c>
      <c r="N39" s="66">
        <v>0.15950715735447574</v>
      </c>
      <c r="O39" s="65">
        <v>135199745</v>
      </c>
      <c r="P39" s="66">
        <v>0.33115067204725612</v>
      </c>
      <c r="Q39" s="65">
        <v>101566072</v>
      </c>
      <c r="R39" s="66">
        <v>1.2321742662132844</v>
      </c>
      <c r="S39" s="67">
        <v>45500960</v>
      </c>
      <c r="T39" s="66">
        <v>1.5852950384405373</v>
      </c>
      <c r="U39" s="67">
        <v>17599910</v>
      </c>
      <c r="V39" s="66">
        <v>-3.6348148169238259E-2</v>
      </c>
      <c r="W39" s="67">
        <v>18263764</v>
      </c>
      <c r="X39" s="66">
        <v>-0.19292397646863968</v>
      </c>
      <c r="Y39" s="83">
        <v>22629546</v>
      </c>
    </row>
    <row r="40" spans="1:25" ht="14.25" customHeight="1" x14ac:dyDescent="0.2">
      <c r="A40" s="51" t="s">
        <v>32</v>
      </c>
      <c r="B40" s="45" t="s">
        <v>132</v>
      </c>
      <c r="C40" s="43">
        <v>4106149929</v>
      </c>
      <c r="D40" s="102">
        <f t="shared" si="0"/>
        <v>0.36998583440995292</v>
      </c>
      <c r="E40" s="65">
        <v>2997220720</v>
      </c>
      <c r="F40" s="66">
        <v>-4.8151056309924001E-2</v>
      </c>
      <c r="G40" s="65">
        <v>3149115401</v>
      </c>
      <c r="H40" s="66">
        <v>-8.6733602156975342E-2</v>
      </c>
      <c r="I40" s="65">
        <v>3448189278</v>
      </c>
      <c r="J40" s="66">
        <v>-0.15501792558883132</v>
      </c>
      <c r="K40" s="65">
        <v>4080783939</v>
      </c>
      <c r="L40" s="66">
        <v>-4.5125472720704884E-2</v>
      </c>
      <c r="M40" s="65">
        <v>4273633679</v>
      </c>
      <c r="N40" s="66">
        <v>0.40033420998372038</v>
      </c>
      <c r="O40" s="65">
        <v>3051866939</v>
      </c>
      <c r="P40" s="66">
        <v>0.13796212401765406</v>
      </c>
      <c r="Q40" s="65">
        <v>2681870402</v>
      </c>
      <c r="R40" s="66">
        <v>0.65372695184809904</v>
      </c>
      <c r="S40" s="67">
        <v>1621712943</v>
      </c>
      <c r="T40" s="66">
        <v>0.65983508922327938</v>
      </c>
      <c r="U40" s="67">
        <v>977032570</v>
      </c>
      <c r="V40" s="66">
        <v>0.83165120119693392</v>
      </c>
      <c r="W40" s="67">
        <v>533416280</v>
      </c>
      <c r="X40" s="66">
        <v>1.6562997846485867</v>
      </c>
      <c r="Y40" s="83">
        <v>200811777</v>
      </c>
    </row>
    <row r="41" spans="1:25" ht="14.25" customHeight="1" x14ac:dyDescent="0.2">
      <c r="A41" s="51" t="s">
        <v>31</v>
      </c>
      <c r="B41" s="45" t="s">
        <v>132</v>
      </c>
      <c r="C41" s="43">
        <v>123397547</v>
      </c>
      <c r="D41" s="102">
        <f t="shared" si="0"/>
        <v>0.27162594912945792</v>
      </c>
      <c r="E41" s="65">
        <v>97039186</v>
      </c>
      <c r="F41" s="66">
        <v>-0.20185850376902359</v>
      </c>
      <c r="G41" s="65">
        <v>122635210</v>
      </c>
      <c r="H41" s="66">
        <v>-0.24763546990812979</v>
      </c>
      <c r="I41" s="65">
        <v>162999723</v>
      </c>
      <c r="J41" s="66">
        <v>0.60550325491221302</v>
      </c>
      <c r="K41" s="65">
        <v>101525626</v>
      </c>
      <c r="L41" s="66">
        <v>-0.20931561195665993</v>
      </c>
      <c r="M41" s="65">
        <v>128402214</v>
      </c>
      <c r="N41" s="66">
        <v>-7.5652439907214375E-2</v>
      </c>
      <c r="O41" s="65">
        <v>138911184</v>
      </c>
      <c r="P41" s="66">
        <v>4.8932475458711933E-2</v>
      </c>
      <c r="Q41" s="65">
        <v>132431007</v>
      </c>
      <c r="R41" s="66">
        <v>0.98226350917726535</v>
      </c>
      <c r="S41" s="67">
        <v>66807973</v>
      </c>
      <c r="T41" s="66">
        <v>0.42629570011638296</v>
      </c>
      <c r="U41" s="67">
        <v>46840198</v>
      </c>
      <c r="V41" s="66">
        <v>-0.10436787272532344</v>
      </c>
      <c r="W41" s="67">
        <v>52298479</v>
      </c>
      <c r="X41" s="66">
        <v>1.7250554301773597</v>
      </c>
      <c r="Y41" s="83">
        <v>19191712</v>
      </c>
    </row>
    <row r="42" spans="1:25" ht="14.25" customHeight="1" x14ac:dyDescent="0.2">
      <c r="A42" s="51" t="s">
        <v>30</v>
      </c>
      <c r="B42" s="45" t="s">
        <v>133</v>
      </c>
      <c r="C42" s="43">
        <v>94552486</v>
      </c>
      <c r="D42" s="102">
        <f t="shared" si="0"/>
        <v>1.6542152110239305</v>
      </c>
      <c r="E42" s="65">
        <v>35623519</v>
      </c>
      <c r="F42" s="66">
        <v>6.2169319899520792E-2</v>
      </c>
      <c r="G42" s="65">
        <v>33538456</v>
      </c>
      <c r="H42" s="66">
        <v>0.62554997519153077</v>
      </c>
      <c r="I42" s="65">
        <v>20632067</v>
      </c>
      <c r="J42" s="66">
        <v>0.48795937405231427</v>
      </c>
      <c r="K42" s="65">
        <v>13866015</v>
      </c>
      <c r="L42" s="66">
        <v>0.71949142989582993</v>
      </c>
      <c r="M42" s="65">
        <v>8064021</v>
      </c>
      <c r="N42" s="66">
        <v>-5.1011416312346403E-2</v>
      </c>
      <c r="O42" s="65">
        <v>8497490</v>
      </c>
      <c r="P42" s="66">
        <v>-0.1114496035790089</v>
      </c>
      <c r="Q42" s="65">
        <v>9563318</v>
      </c>
      <c r="R42" s="66">
        <v>4.2278965672945619</v>
      </c>
      <c r="S42" s="67">
        <v>1829286</v>
      </c>
      <c r="T42" s="66">
        <v>10.608249516134149</v>
      </c>
      <c r="U42" s="67">
        <v>157585</v>
      </c>
      <c r="V42" s="66">
        <v>-0.58708793296352879</v>
      </c>
      <c r="W42" s="67">
        <v>381643</v>
      </c>
      <c r="X42" s="66">
        <v>-0.42718350426336982</v>
      </c>
      <c r="Y42" s="83">
        <v>666257</v>
      </c>
    </row>
    <row r="43" spans="1:25" ht="14.25" customHeight="1" x14ac:dyDescent="0.2">
      <c r="A43" s="51" t="s">
        <v>29</v>
      </c>
      <c r="B43" s="45" t="s">
        <v>133</v>
      </c>
      <c r="C43" s="43">
        <v>2369322</v>
      </c>
      <c r="D43" s="102">
        <f t="shared" si="0"/>
        <v>0.4371730178169464</v>
      </c>
      <c r="E43" s="65">
        <v>1648599</v>
      </c>
      <c r="F43" s="66">
        <v>-0.23104417324138449</v>
      </c>
      <c r="G43" s="65">
        <v>2143945</v>
      </c>
      <c r="H43" s="66">
        <v>-0.36181134730915021</v>
      </c>
      <c r="I43" s="65">
        <v>3359422</v>
      </c>
      <c r="J43" s="66">
        <v>0.50616333026967641</v>
      </c>
      <c r="K43" s="65">
        <v>2230450</v>
      </c>
      <c r="L43" s="66">
        <v>-0.29522680428984416</v>
      </c>
      <c r="M43" s="65">
        <v>3164777</v>
      </c>
      <c r="N43" s="66">
        <v>5.6794503258703948</v>
      </c>
      <c r="O43" s="65">
        <v>473808</v>
      </c>
      <c r="P43" s="66">
        <v>-0.40346508164131201</v>
      </c>
      <c r="Q43" s="65">
        <v>794267</v>
      </c>
      <c r="R43" s="66">
        <v>-0.18514737821586746</v>
      </c>
      <c r="S43" s="67">
        <v>974737</v>
      </c>
      <c r="T43" s="66">
        <v>-0.17715382173777972</v>
      </c>
      <c r="U43" s="67">
        <v>1184592</v>
      </c>
      <c r="V43" s="66">
        <v>0.92268626047494529</v>
      </c>
      <c r="W43" s="67">
        <v>616113</v>
      </c>
      <c r="X43" s="66">
        <v>-9.3670241795616005E-2</v>
      </c>
      <c r="Y43" s="83">
        <v>679789</v>
      </c>
    </row>
    <row r="44" spans="1:25" ht="14.25" customHeight="1" x14ac:dyDescent="0.2">
      <c r="A44" s="51" t="s">
        <v>28</v>
      </c>
      <c r="B44" s="45" t="s">
        <v>133</v>
      </c>
      <c r="C44" s="43">
        <v>14152683</v>
      </c>
      <c r="D44" s="102">
        <f t="shared" si="0"/>
        <v>4.9871925070417156E-2</v>
      </c>
      <c r="E44" s="65">
        <v>13480390</v>
      </c>
      <c r="F44" s="66">
        <v>2.348386561535007</v>
      </c>
      <c r="G44" s="65">
        <v>4025936</v>
      </c>
      <c r="H44" s="66">
        <v>-0.13251169867295454</v>
      </c>
      <c r="I44" s="65">
        <v>4640911</v>
      </c>
      <c r="J44" s="66">
        <v>-3.8049888050157521E-2</v>
      </c>
      <c r="K44" s="65">
        <v>4824482</v>
      </c>
      <c r="L44" s="66">
        <v>0.53240665450350422</v>
      </c>
      <c r="M44" s="65">
        <v>3148304</v>
      </c>
      <c r="N44" s="66">
        <v>-0.47140551421249632</v>
      </c>
      <c r="O44" s="65">
        <v>5955991</v>
      </c>
      <c r="P44" s="66">
        <v>1.4388978589179811</v>
      </c>
      <c r="Q44" s="65">
        <v>2442083</v>
      </c>
      <c r="R44" s="66">
        <v>0.90048031801223671</v>
      </c>
      <c r="S44" s="67">
        <v>1284982</v>
      </c>
      <c r="T44" s="66">
        <v>-0.41567477776004313</v>
      </c>
      <c r="U44" s="67">
        <v>2199087</v>
      </c>
      <c r="V44" s="66">
        <v>-0.10328054220225424</v>
      </c>
      <c r="W44" s="67">
        <v>2452369</v>
      </c>
      <c r="X44" s="66">
        <v>0.26521185756435894</v>
      </c>
      <c r="Y44" s="83">
        <v>1938307</v>
      </c>
    </row>
    <row r="45" spans="1:25" ht="14.25" customHeight="1" x14ac:dyDescent="0.2">
      <c r="A45" s="51" t="s">
        <v>27</v>
      </c>
      <c r="B45" s="45" t="s">
        <v>132</v>
      </c>
      <c r="C45" s="43">
        <v>570918996</v>
      </c>
      <c r="D45" s="102">
        <f t="shared" si="0"/>
        <v>-7.3245579714365183E-2</v>
      </c>
      <c r="E45" s="65">
        <v>616041298</v>
      </c>
      <c r="F45" s="66">
        <v>-0.27740210466935811</v>
      </c>
      <c r="G45" s="65">
        <v>864540928</v>
      </c>
      <c r="H45" s="66">
        <v>7.7155612870229762E-2</v>
      </c>
      <c r="I45" s="65">
        <v>802614699</v>
      </c>
      <c r="J45" s="66">
        <v>-1.9599390801994021E-2</v>
      </c>
      <c r="K45" s="65">
        <v>818659935</v>
      </c>
      <c r="L45" s="66">
        <v>-1.1456478427957495E-2</v>
      </c>
      <c r="M45" s="65">
        <v>828147590</v>
      </c>
      <c r="N45" s="66">
        <v>0.14265659348053261</v>
      </c>
      <c r="O45" s="65">
        <v>724756322</v>
      </c>
      <c r="P45" s="66">
        <v>1.0873796485643683</v>
      </c>
      <c r="Q45" s="65">
        <v>347208675</v>
      </c>
      <c r="R45" s="66">
        <v>1.6567871571669031</v>
      </c>
      <c r="S45" s="67">
        <v>130687426</v>
      </c>
      <c r="T45" s="66">
        <v>1.3557428938902141</v>
      </c>
      <c r="U45" s="67">
        <v>55476099</v>
      </c>
      <c r="V45" s="66">
        <v>1.1441073232868324</v>
      </c>
      <c r="W45" s="67">
        <v>25873751</v>
      </c>
      <c r="X45" s="66">
        <v>1.5454041849350251</v>
      </c>
      <c r="Y45" s="83">
        <v>10164889</v>
      </c>
    </row>
    <row r="46" spans="1:25" ht="14.25" customHeight="1" x14ac:dyDescent="0.2">
      <c r="A46" s="51" t="s">
        <v>26</v>
      </c>
      <c r="B46" s="45" t="s">
        <v>132</v>
      </c>
      <c r="C46" s="43">
        <v>597401647</v>
      </c>
      <c r="D46" s="102">
        <f t="shared" si="0"/>
        <v>0.48817196386958606</v>
      </c>
      <c r="E46" s="65">
        <v>401433209</v>
      </c>
      <c r="F46" s="66">
        <v>0.13064867431280924</v>
      </c>
      <c r="G46" s="65">
        <v>357947903</v>
      </c>
      <c r="H46" s="66">
        <v>0.27033619560085187</v>
      </c>
      <c r="I46" s="65">
        <v>281774151</v>
      </c>
      <c r="J46" s="66">
        <v>0.71867111430590169</v>
      </c>
      <c r="K46" s="65">
        <v>163948849</v>
      </c>
      <c r="L46" s="66">
        <v>9.3867537375771359E-2</v>
      </c>
      <c r="M46" s="65">
        <v>149879984</v>
      </c>
      <c r="N46" s="66">
        <v>0.32099770945071815</v>
      </c>
      <c r="O46" s="65">
        <v>113459685</v>
      </c>
      <c r="P46" s="66">
        <v>2.1021124928130686E-2</v>
      </c>
      <c r="Q46" s="65">
        <v>111123739</v>
      </c>
      <c r="R46" s="66">
        <v>1.2776155798749018</v>
      </c>
      <c r="S46" s="67">
        <v>48789506</v>
      </c>
      <c r="T46" s="66">
        <v>0.21758462554626212</v>
      </c>
      <c r="U46" s="67">
        <v>40070731</v>
      </c>
      <c r="V46" s="66">
        <v>0.68906015233299556</v>
      </c>
      <c r="W46" s="67">
        <v>23723685</v>
      </c>
      <c r="X46" s="66">
        <v>-0.24179288385495978</v>
      </c>
      <c r="Y46" s="83">
        <v>31289188</v>
      </c>
    </row>
    <row r="47" spans="1:25" ht="14.25" customHeight="1" x14ac:dyDescent="0.2">
      <c r="A47" s="51" t="s">
        <v>25</v>
      </c>
      <c r="B47" s="45" t="s">
        <v>132</v>
      </c>
      <c r="C47" s="43">
        <v>401591375</v>
      </c>
      <c r="D47" s="102">
        <f t="shared" si="0"/>
        <v>0.15375776488326198</v>
      </c>
      <c r="E47" s="65">
        <v>348072522</v>
      </c>
      <c r="F47" s="66">
        <v>-0.19887829451094508</v>
      </c>
      <c r="G47" s="65">
        <v>433378284</v>
      </c>
      <c r="H47" s="66">
        <v>-5.7826699037832885E-2</v>
      </c>
      <c r="I47" s="65">
        <v>459977250</v>
      </c>
      <c r="J47" s="66">
        <v>-0.25419320250810307</v>
      </c>
      <c r="K47" s="65">
        <v>616751217</v>
      </c>
      <c r="L47" s="66">
        <v>6.7694171500266354E-2</v>
      </c>
      <c r="M47" s="65">
        <v>577647826</v>
      </c>
      <c r="N47" s="66">
        <v>3.898646771914982E-2</v>
      </c>
      <c r="O47" s="65">
        <v>555972425</v>
      </c>
      <c r="P47" s="66">
        <v>0.83121385507677936</v>
      </c>
      <c r="Q47" s="65">
        <v>303608682</v>
      </c>
      <c r="R47" s="66">
        <v>1.2562557975142346</v>
      </c>
      <c r="S47" s="67">
        <v>134563059</v>
      </c>
      <c r="T47" s="66">
        <v>0.53191207926198847</v>
      </c>
      <c r="U47" s="67">
        <v>87839936</v>
      </c>
      <c r="V47" s="66">
        <v>1.0550080482025135</v>
      </c>
      <c r="W47" s="67">
        <v>42744327</v>
      </c>
      <c r="X47" s="66">
        <v>0.67882752091929799</v>
      </c>
      <c r="Y47" s="83">
        <v>25460821</v>
      </c>
    </row>
    <row r="48" spans="1:25" ht="14.25" customHeight="1" x14ac:dyDescent="0.2">
      <c r="A48" s="51" t="s">
        <v>24</v>
      </c>
      <c r="B48" s="45" t="s">
        <v>132</v>
      </c>
      <c r="C48" s="43">
        <v>1621420037</v>
      </c>
      <c r="D48" s="102">
        <f t="shared" si="0"/>
        <v>-0.11742986763169994</v>
      </c>
      <c r="E48" s="65">
        <v>1837157159</v>
      </c>
      <c r="F48" s="66">
        <v>9.6810043668706269E-2</v>
      </c>
      <c r="G48" s="65">
        <v>1854138736</v>
      </c>
      <c r="H48" s="66">
        <v>-1.9731446836883548E-2</v>
      </c>
      <c r="I48" s="65">
        <v>1891459978</v>
      </c>
      <c r="J48" s="66">
        <v>-8.9864180562795548E-2</v>
      </c>
      <c r="K48" s="65">
        <v>2078217270</v>
      </c>
      <c r="L48" s="66">
        <v>0.21378452145371507</v>
      </c>
      <c r="M48" s="65">
        <v>1712179743</v>
      </c>
      <c r="N48" s="66">
        <v>8.2846491619435136E-2</v>
      </c>
      <c r="O48" s="65">
        <v>1581184181</v>
      </c>
      <c r="P48" s="66">
        <v>0.20662734888737799</v>
      </c>
      <c r="Q48" s="65">
        <v>1310416329</v>
      </c>
      <c r="R48" s="66">
        <v>0.59642401116153532</v>
      </c>
      <c r="S48" s="67">
        <v>820844788</v>
      </c>
      <c r="T48" s="66">
        <v>1.0761470993591251</v>
      </c>
      <c r="U48" s="67">
        <v>395369282</v>
      </c>
      <c r="V48" s="66">
        <v>0.1041439964787525</v>
      </c>
      <c r="W48" s="67">
        <v>358077645</v>
      </c>
      <c r="X48" s="66">
        <v>4.0778305166773325</v>
      </c>
      <c r="Y48" s="83">
        <v>70517841</v>
      </c>
    </row>
    <row r="49" spans="1:25" ht="14.25" customHeight="1" x14ac:dyDescent="0.2">
      <c r="A49" s="51" t="s">
        <v>23</v>
      </c>
      <c r="B49" s="45" t="s">
        <v>132</v>
      </c>
      <c r="C49" s="43">
        <v>319376867</v>
      </c>
      <c r="D49" s="102">
        <f t="shared" si="0"/>
        <v>0.42735305893413478</v>
      </c>
      <c r="E49" s="65">
        <v>223754638</v>
      </c>
      <c r="F49" s="66">
        <v>0.12841227773871577</v>
      </c>
      <c r="G49" s="65">
        <v>198347241</v>
      </c>
      <c r="H49" s="66">
        <v>0.10988592586539325</v>
      </c>
      <c r="I49" s="65">
        <v>178709574</v>
      </c>
      <c r="J49" s="66">
        <v>4.0721422285629805E-2</v>
      </c>
      <c r="K49" s="65">
        <v>171717013</v>
      </c>
      <c r="L49" s="66">
        <v>0.11336378849924089</v>
      </c>
      <c r="M49" s="65">
        <v>154232619</v>
      </c>
      <c r="N49" s="66">
        <v>0.55945005885577825</v>
      </c>
      <c r="O49" s="65">
        <v>98901929</v>
      </c>
      <c r="P49" s="66">
        <v>0.17711712048823913</v>
      </c>
      <c r="Q49" s="65">
        <v>84020466</v>
      </c>
      <c r="R49" s="66">
        <v>0.59406730220309045</v>
      </c>
      <c r="S49" s="67">
        <v>52708230</v>
      </c>
      <c r="T49" s="66">
        <v>1.2939541333036226</v>
      </c>
      <c r="U49" s="67">
        <v>22977020</v>
      </c>
      <c r="V49" s="66">
        <v>0.65009700783818736</v>
      </c>
      <c r="W49" s="67">
        <v>13924648</v>
      </c>
      <c r="X49" s="66">
        <v>0.13911912493151823</v>
      </c>
      <c r="Y49" s="83">
        <v>12224049</v>
      </c>
    </row>
    <row r="50" spans="1:25" ht="14.25" customHeight="1" x14ac:dyDescent="0.2">
      <c r="A50" s="51" t="s">
        <v>22</v>
      </c>
      <c r="B50" s="45" t="s">
        <v>132</v>
      </c>
      <c r="C50" s="43">
        <v>350919857</v>
      </c>
      <c r="D50" s="102">
        <f t="shared" si="0"/>
        <v>0.10975630643502243</v>
      </c>
      <c r="E50" s="65">
        <v>316213438</v>
      </c>
      <c r="F50" s="66">
        <v>-0.10073425898828914</v>
      </c>
      <c r="G50" s="65">
        <v>351729981</v>
      </c>
      <c r="H50" s="66">
        <v>0.31133720062439085</v>
      </c>
      <c r="I50" s="65">
        <v>268222377</v>
      </c>
      <c r="J50" s="66">
        <v>1.673703665687809</v>
      </c>
      <c r="K50" s="65">
        <v>100318663</v>
      </c>
      <c r="L50" s="66">
        <v>5.9505092025493589E-3</v>
      </c>
      <c r="M50" s="65">
        <v>99725247</v>
      </c>
      <c r="N50" s="66">
        <v>7.1046272950781253E-2</v>
      </c>
      <c r="O50" s="65">
        <v>93110120</v>
      </c>
      <c r="P50" s="66">
        <v>0.4409045359031365</v>
      </c>
      <c r="Q50" s="65">
        <v>64619215</v>
      </c>
      <c r="R50" s="66">
        <v>0.8768381045401068</v>
      </c>
      <c r="S50" s="67">
        <v>34429829</v>
      </c>
      <c r="T50" s="66">
        <v>0.30383892150816627</v>
      </c>
      <c r="U50" s="67">
        <v>26406505</v>
      </c>
      <c r="V50" s="66">
        <v>0.25215095228938988</v>
      </c>
      <c r="W50" s="67">
        <v>21088915</v>
      </c>
      <c r="X50" s="66">
        <v>-0.14673091100609081</v>
      </c>
      <c r="Y50" s="83">
        <v>24715433</v>
      </c>
    </row>
    <row r="51" spans="1:25" ht="14.25" customHeight="1" x14ac:dyDescent="0.2">
      <c r="A51" s="51" t="s">
        <v>21</v>
      </c>
      <c r="B51" s="45" t="s">
        <v>132</v>
      </c>
      <c r="C51" s="43">
        <v>83468442</v>
      </c>
      <c r="D51" s="102">
        <f t="shared" si="0"/>
        <v>0.33798829008364817</v>
      </c>
      <c r="E51" s="65">
        <v>62383537</v>
      </c>
      <c r="F51" s="66">
        <v>-7.1185013229937755E-2</v>
      </c>
      <c r="G51" s="65">
        <v>67426243</v>
      </c>
      <c r="H51" s="66">
        <v>-2.9394419068252797E-2</v>
      </c>
      <c r="I51" s="65">
        <v>69468221</v>
      </c>
      <c r="J51" s="66">
        <v>0.93662561428176283</v>
      </c>
      <c r="K51" s="65">
        <v>35870754</v>
      </c>
      <c r="L51" s="66">
        <v>-6.2796806887554069E-2</v>
      </c>
      <c r="M51" s="65">
        <v>38274255</v>
      </c>
      <c r="N51" s="66">
        <v>5.8087640278474684E-2</v>
      </c>
      <c r="O51" s="65">
        <v>36173048</v>
      </c>
      <c r="P51" s="66">
        <v>0.31620286402277609</v>
      </c>
      <c r="Q51" s="65">
        <v>27482882</v>
      </c>
      <c r="R51" s="66">
        <v>3.4807836440504838</v>
      </c>
      <c r="S51" s="67">
        <v>6133499</v>
      </c>
      <c r="T51" s="66">
        <v>0.95238609089809456</v>
      </c>
      <c r="U51" s="67">
        <v>3141540</v>
      </c>
      <c r="V51" s="66">
        <v>-0.49354277272249492</v>
      </c>
      <c r="W51" s="67">
        <v>6202972</v>
      </c>
      <c r="X51" s="66">
        <v>0.8384563654356787</v>
      </c>
      <c r="Y51" s="83">
        <v>3374011</v>
      </c>
    </row>
    <row r="52" spans="1:25" ht="14.25" customHeight="1" x14ac:dyDescent="0.2">
      <c r="A52" s="51" t="s">
        <v>20</v>
      </c>
      <c r="B52" s="45" t="s">
        <v>132</v>
      </c>
      <c r="C52" s="43">
        <v>4697043883</v>
      </c>
      <c r="D52" s="102">
        <f t="shared" si="0"/>
        <v>-0.27489160490298814</v>
      </c>
      <c r="E52" s="65">
        <v>6477712732</v>
      </c>
      <c r="F52" s="66">
        <v>-6.3020081156903163E-2</v>
      </c>
      <c r="G52" s="65">
        <v>6985840242</v>
      </c>
      <c r="H52" s="66">
        <v>-2.4936675055052815E-3</v>
      </c>
      <c r="I52" s="65">
        <v>7003304154</v>
      </c>
      <c r="J52" s="66">
        <v>1.3590082075689347E-2</v>
      </c>
      <c r="K52" s="65">
        <v>6909404776</v>
      </c>
      <c r="L52" s="66">
        <v>-3.4988314036955681E-2</v>
      </c>
      <c r="M52" s="65">
        <v>7159918244</v>
      </c>
      <c r="N52" s="66">
        <v>-7.7624428041967786E-2</v>
      </c>
      <c r="O52" s="65">
        <v>7762476004</v>
      </c>
      <c r="P52" s="66">
        <v>4.0404312496311627</v>
      </c>
      <c r="Q52" s="65">
        <v>1540042036</v>
      </c>
      <c r="R52" s="66">
        <v>1.9532318602694012</v>
      </c>
      <c r="S52" s="67">
        <v>521476846</v>
      </c>
      <c r="T52" s="66">
        <v>0.13417628695124173</v>
      </c>
      <c r="U52" s="67">
        <v>459784649</v>
      </c>
      <c r="V52" s="66">
        <v>1.2992240179899133</v>
      </c>
      <c r="W52" s="67">
        <v>199973837</v>
      </c>
      <c r="X52" s="66">
        <v>0.74324033977932835</v>
      </c>
      <c r="Y52" s="83">
        <v>114713865</v>
      </c>
    </row>
    <row r="53" spans="1:25" ht="14.25" customHeight="1" x14ac:dyDescent="0.2">
      <c r="A53" s="51" t="s">
        <v>19</v>
      </c>
      <c r="B53" s="45" t="s">
        <v>132</v>
      </c>
      <c r="C53" s="43">
        <v>652098973</v>
      </c>
      <c r="D53" s="102">
        <f t="shared" si="0"/>
        <v>-0.24284487160688595</v>
      </c>
      <c r="E53" s="65">
        <v>861248836</v>
      </c>
      <c r="F53" s="66">
        <v>-6.6382989683307803E-2</v>
      </c>
      <c r="G53" s="65">
        <v>932295823</v>
      </c>
      <c r="H53" s="66">
        <v>0.70093009784900095</v>
      </c>
      <c r="I53" s="65">
        <v>548109428</v>
      </c>
      <c r="J53" s="66">
        <v>0.56436071866300086</v>
      </c>
      <c r="K53" s="65">
        <v>350372789</v>
      </c>
      <c r="L53" s="66">
        <v>0.17436672040470858</v>
      </c>
      <c r="M53" s="65">
        <v>298350407</v>
      </c>
      <c r="N53" s="66">
        <v>-0.32841625227481097</v>
      </c>
      <c r="O53" s="65">
        <v>444248998</v>
      </c>
      <c r="P53" s="66">
        <v>0.21257475253613545</v>
      </c>
      <c r="Q53" s="65">
        <v>366368339</v>
      </c>
      <c r="R53" s="66">
        <v>1.7170256330360254</v>
      </c>
      <c r="S53" s="67">
        <v>134841694</v>
      </c>
      <c r="T53" s="66">
        <v>6.3786201858104086</v>
      </c>
      <c r="U53" s="67">
        <v>18274649</v>
      </c>
      <c r="V53" s="66">
        <v>0.12028520219804495</v>
      </c>
      <c r="W53" s="67">
        <v>16312497</v>
      </c>
      <c r="X53" s="66">
        <v>-0.60663880957560323</v>
      </c>
      <c r="Y53" s="83">
        <v>41469513</v>
      </c>
    </row>
    <row r="54" spans="1:25" ht="14.25" customHeight="1" x14ac:dyDescent="0.2">
      <c r="A54" s="51" t="s">
        <v>18</v>
      </c>
      <c r="B54" s="45" t="s">
        <v>132</v>
      </c>
      <c r="C54" s="43">
        <v>4387975383</v>
      </c>
      <c r="D54" s="102">
        <f t="shared" si="0"/>
        <v>0.28838488044671817</v>
      </c>
      <c r="E54" s="65">
        <v>3405795465</v>
      </c>
      <c r="F54" s="66">
        <v>-0.22174888939682935</v>
      </c>
      <c r="G54" s="65">
        <v>4399863407</v>
      </c>
      <c r="H54" s="66">
        <v>-0.1313042331054125</v>
      </c>
      <c r="I54" s="65">
        <v>5064907157</v>
      </c>
      <c r="J54" s="66">
        <v>-0.1335509888014399</v>
      </c>
      <c r="K54" s="65">
        <v>5845591710</v>
      </c>
      <c r="L54" s="66">
        <v>-7.3958394866819988E-2</v>
      </c>
      <c r="M54" s="65">
        <v>6312450410</v>
      </c>
      <c r="N54" s="66">
        <v>0.14241361370124306</v>
      </c>
      <c r="O54" s="65">
        <v>5525538504</v>
      </c>
      <c r="P54" s="66">
        <v>0.54599451055267312</v>
      </c>
      <c r="Q54" s="65">
        <v>3574099692</v>
      </c>
      <c r="R54" s="66">
        <v>1.5273121687765698</v>
      </c>
      <c r="S54" s="67">
        <v>1414190038</v>
      </c>
      <c r="T54" s="66">
        <v>1.2216552058356602</v>
      </c>
      <c r="U54" s="67">
        <v>636547937</v>
      </c>
      <c r="V54" s="66">
        <v>0.37734228059336439</v>
      </c>
      <c r="W54" s="67">
        <v>462156681</v>
      </c>
      <c r="X54" s="66">
        <v>2.5781297789000934</v>
      </c>
      <c r="Y54" s="83">
        <v>129161520</v>
      </c>
    </row>
    <row r="55" spans="1:25" ht="14.25" customHeight="1" x14ac:dyDescent="0.2">
      <c r="A55" s="51" t="s">
        <v>17</v>
      </c>
      <c r="B55" s="45" t="s">
        <v>132</v>
      </c>
      <c r="C55" s="43">
        <v>1365882576</v>
      </c>
      <c r="D55" s="102">
        <f t="shared" si="0"/>
        <v>1.1396116024839849</v>
      </c>
      <c r="E55" s="65">
        <v>638378748</v>
      </c>
      <c r="F55" s="66">
        <v>-0.19051928852843769</v>
      </c>
      <c r="G55" s="65">
        <v>788650158</v>
      </c>
      <c r="H55" s="66">
        <v>1.2295564214529042E-2</v>
      </c>
      <c r="I55" s="65">
        <v>779071040</v>
      </c>
      <c r="J55" s="66">
        <v>0.7747314934292846</v>
      </c>
      <c r="K55" s="65">
        <v>438979667</v>
      </c>
      <c r="L55" s="66">
        <v>0.59757861880209084</v>
      </c>
      <c r="M55" s="65">
        <v>274778131</v>
      </c>
      <c r="N55" s="66">
        <v>0.30889296116563236</v>
      </c>
      <c r="O55" s="65">
        <v>209931705</v>
      </c>
      <c r="P55" s="66">
        <v>-5.441610990151946E-3</v>
      </c>
      <c r="Q55" s="65">
        <v>211080322</v>
      </c>
      <c r="R55" s="66">
        <v>0.78940824864740855</v>
      </c>
      <c r="S55" s="67">
        <v>117960964</v>
      </c>
      <c r="T55" s="66">
        <v>0.51904832528930678</v>
      </c>
      <c r="U55" s="67">
        <v>77654517</v>
      </c>
      <c r="V55" s="66">
        <v>0.73980136903313087</v>
      </c>
      <c r="W55" s="67">
        <v>44634128</v>
      </c>
      <c r="X55" s="66">
        <v>1.3283346148509283</v>
      </c>
      <c r="Y55" s="83">
        <v>19169980</v>
      </c>
    </row>
    <row r="56" spans="1:25" ht="14.25" customHeight="1" x14ac:dyDescent="0.2">
      <c r="A56" s="51" t="s">
        <v>16</v>
      </c>
      <c r="B56" s="45" t="s">
        <v>132</v>
      </c>
      <c r="C56" s="43">
        <v>3032758151</v>
      </c>
      <c r="D56" s="102">
        <f t="shared" si="0"/>
        <v>0.16699488363266624</v>
      </c>
      <c r="E56" s="65">
        <v>2598775876</v>
      </c>
      <c r="F56" s="66">
        <v>4.413582428033358E-4</v>
      </c>
      <c r="G56" s="65">
        <v>2603402154</v>
      </c>
      <c r="H56" s="66">
        <v>6.4834869875268097E-2</v>
      </c>
      <c r="I56" s="65">
        <v>2444888149</v>
      </c>
      <c r="J56" s="66">
        <v>6.6259387797826808E-2</v>
      </c>
      <c r="K56" s="65">
        <v>2292958146</v>
      </c>
      <c r="L56" s="66">
        <v>0.13282263110157477</v>
      </c>
      <c r="M56" s="65">
        <v>2024110468</v>
      </c>
      <c r="N56" s="66">
        <v>0.15693487889309354</v>
      </c>
      <c r="O56" s="65">
        <v>1749545722</v>
      </c>
      <c r="P56" s="66">
        <v>0.45927684761993226</v>
      </c>
      <c r="Q56" s="65">
        <v>1198912821</v>
      </c>
      <c r="R56" s="66">
        <v>1.8484453428076932</v>
      </c>
      <c r="S56" s="67">
        <v>420900764</v>
      </c>
      <c r="T56" s="66">
        <v>2.1709213852870795</v>
      </c>
      <c r="U56" s="67">
        <v>132737685</v>
      </c>
      <c r="V56" s="66">
        <v>0.19085736640664663</v>
      </c>
      <c r="W56" s="67">
        <v>111463966</v>
      </c>
      <c r="X56" s="66">
        <v>3.0182580177094831</v>
      </c>
      <c r="Y56" s="83">
        <v>27739375</v>
      </c>
    </row>
    <row r="57" spans="1:25" ht="14.25" customHeight="1" x14ac:dyDescent="0.2">
      <c r="A57" s="51" t="s">
        <v>15</v>
      </c>
      <c r="B57" s="45" t="s">
        <v>132</v>
      </c>
      <c r="C57" s="43">
        <v>1507210310</v>
      </c>
      <c r="D57" s="102">
        <f t="shared" si="0"/>
        <v>-5.9281774611948612E-2</v>
      </c>
      <c r="E57" s="65">
        <v>1602191038</v>
      </c>
      <c r="F57" s="66">
        <v>0.43431090139888573</v>
      </c>
      <c r="G57" s="65">
        <v>1147302583</v>
      </c>
      <c r="H57" s="66">
        <v>5.8465872557593501E-2</v>
      </c>
      <c r="I57" s="65">
        <v>1083929688</v>
      </c>
      <c r="J57" s="66">
        <v>0.15778075493898114</v>
      </c>
      <c r="K57" s="65">
        <v>936213254</v>
      </c>
      <c r="L57" s="66">
        <v>0.34301448301262427</v>
      </c>
      <c r="M57" s="65">
        <v>697098405</v>
      </c>
      <c r="N57" s="66">
        <v>9.3248229025561402E-2</v>
      </c>
      <c r="O57" s="65">
        <v>637639638</v>
      </c>
      <c r="P57" s="66">
        <v>-4.6067809048847552E-3</v>
      </c>
      <c r="Q57" s="65">
        <v>640590699</v>
      </c>
      <c r="R57" s="66">
        <v>0.40279712172071069</v>
      </c>
      <c r="S57" s="67">
        <v>456652419</v>
      </c>
      <c r="T57" s="66">
        <v>0.85680460920341495</v>
      </c>
      <c r="U57" s="67">
        <v>245934557</v>
      </c>
      <c r="V57" s="66">
        <v>4.4101666968338051</v>
      </c>
      <c r="W57" s="67">
        <v>45457852</v>
      </c>
      <c r="X57" s="66">
        <v>-0.19701641998838215</v>
      </c>
      <c r="Y57" s="83">
        <v>56611185</v>
      </c>
    </row>
    <row r="58" spans="1:25" ht="14.25" customHeight="1" x14ac:dyDescent="0.2">
      <c r="A58" s="51" t="s">
        <v>14</v>
      </c>
      <c r="B58" s="45" t="s">
        <v>132</v>
      </c>
      <c r="C58" s="43">
        <v>97636606</v>
      </c>
      <c r="D58" s="102">
        <f t="shared" si="0"/>
        <v>0.38466544864627861</v>
      </c>
      <c r="E58" s="65">
        <v>70512777</v>
      </c>
      <c r="F58" s="66">
        <v>4.2350102785122523E-3</v>
      </c>
      <c r="G58" s="65">
        <v>70215414</v>
      </c>
      <c r="H58" s="66">
        <v>0.19168686587896722</v>
      </c>
      <c r="I58" s="65">
        <v>58921027</v>
      </c>
      <c r="J58" s="66">
        <v>7.5704310689391541E-2</v>
      </c>
      <c r="K58" s="65">
        <v>54774371</v>
      </c>
      <c r="L58" s="66">
        <v>0.86636588442293894</v>
      </c>
      <c r="M58" s="65">
        <v>29348142</v>
      </c>
      <c r="N58" s="66">
        <v>4.6150865427141419E-3</v>
      </c>
      <c r="O58" s="65">
        <v>29213320</v>
      </c>
      <c r="P58" s="66">
        <v>-9.7054888218301105E-2</v>
      </c>
      <c r="Q58" s="65">
        <v>32353373</v>
      </c>
      <c r="R58" s="66">
        <v>-0.12376186715085224</v>
      </c>
      <c r="S58" s="67">
        <v>36923037</v>
      </c>
      <c r="T58" s="66">
        <v>0.35378240698406271</v>
      </c>
      <c r="U58" s="67">
        <v>27273982</v>
      </c>
      <c r="V58" s="66">
        <v>1.8914409750831362E-2</v>
      </c>
      <c r="W58" s="67">
        <v>26767687</v>
      </c>
      <c r="X58" s="66">
        <v>0.29206498321039231</v>
      </c>
      <c r="Y58" s="83">
        <v>20716982</v>
      </c>
    </row>
    <row r="59" spans="1:25" ht="14.25" customHeight="1" x14ac:dyDescent="0.2">
      <c r="A59" s="51" t="s">
        <v>13</v>
      </c>
      <c r="B59" s="45" t="s">
        <v>132</v>
      </c>
      <c r="C59" s="43">
        <v>492131488</v>
      </c>
      <c r="D59" s="102">
        <f t="shared" si="0"/>
        <v>-0.13670577656182026</v>
      </c>
      <c r="E59" s="65">
        <v>570062297</v>
      </c>
      <c r="F59" s="66">
        <v>7.8756579119173109E-2</v>
      </c>
      <c r="G59" s="65">
        <v>530207374</v>
      </c>
      <c r="H59" s="66">
        <v>0.11266303877946315</v>
      </c>
      <c r="I59" s="65">
        <v>476521063</v>
      </c>
      <c r="J59" s="66">
        <v>0.16664786198313353</v>
      </c>
      <c r="K59" s="65">
        <v>408453209</v>
      </c>
      <c r="L59" s="66">
        <v>3.8813165499000268E-2</v>
      </c>
      <c r="M59" s="65">
        <v>393192176</v>
      </c>
      <c r="N59" s="66">
        <v>0.1414861543756214</v>
      </c>
      <c r="O59" s="65">
        <v>344456369</v>
      </c>
      <c r="P59" s="66">
        <v>0.9443607949804369</v>
      </c>
      <c r="Q59" s="65">
        <v>177156611</v>
      </c>
      <c r="R59" s="66">
        <v>0.83574207417497326</v>
      </c>
      <c r="S59" s="67">
        <v>96504086</v>
      </c>
      <c r="T59" s="66">
        <v>3.3842655598492781</v>
      </c>
      <c r="U59" s="67">
        <v>22011460</v>
      </c>
      <c r="V59" s="66">
        <v>3.5184874530135524E-2</v>
      </c>
      <c r="W59" s="67">
        <v>21263313</v>
      </c>
      <c r="X59" s="66">
        <v>0.45051690659908283</v>
      </c>
      <c r="Y59" s="83">
        <v>14659128</v>
      </c>
    </row>
    <row r="60" spans="1:25" ht="14.25" customHeight="1" x14ac:dyDescent="0.2">
      <c r="A60" s="51" t="s">
        <v>12</v>
      </c>
      <c r="B60" s="45" t="s">
        <v>132</v>
      </c>
      <c r="C60" s="43">
        <v>1201510013</v>
      </c>
      <c r="D60" s="102">
        <f t="shared" si="0"/>
        <v>0.40697944517355067</v>
      </c>
      <c r="E60" s="65">
        <v>853964155</v>
      </c>
      <c r="F60" s="66">
        <v>-0.19887213178385155</v>
      </c>
      <c r="G60" s="65">
        <v>1077069628</v>
      </c>
      <c r="H60" s="66">
        <v>8.5139257406590119E-2</v>
      </c>
      <c r="I60" s="65">
        <v>992563508</v>
      </c>
      <c r="J60" s="66">
        <v>0.13771939359899021</v>
      </c>
      <c r="K60" s="65">
        <v>872415038</v>
      </c>
      <c r="L60" s="66">
        <v>0.1722605962838577</v>
      </c>
      <c r="M60" s="65">
        <v>744215954</v>
      </c>
      <c r="N60" s="66">
        <v>1.205285247205695</v>
      </c>
      <c r="O60" s="65">
        <v>337469248</v>
      </c>
      <c r="P60" s="66">
        <v>0.87965703376169424</v>
      </c>
      <c r="Q60" s="65">
        <v>179537672</v>
      </c>
      <c r="R60" s="66">
        <v>2.9162791018276746</v>
      </c>
      <c r="S60" s="67">
        <v>45843942</v>
      </c>
      <c r="T60" s="66">
        <v>0.21311579782337464</v>
      </c>
      <c r="U60" s="67">
        <v>37790244</v>
      </c>
      <c r="V60" s="66">
        <v>-0.18508840881894695</v>
      </c>
      <c r="W60" s="67">
        <v>46373428</v>
      </c>
      <c r="X60" s="66">
        <v>-0.18539722818036886</v>
      </c>
      <c r="Y60" s="83">
        <v>56927658</v>
      </c>
    </row>
    <row r="61" spans="1:25" ht="14.25" customHeight="1" x14ac:dyDescent="0.2">
      <c r="A61" s="51" t="s">
        <v>11</v>
      </c>
      <c r="B61" s="45" t="s">
        <v>132</v>
      </c>
      <c r="C61" s="43">
        <v>282857529</v>
      </c>
      <c r="D61" s="102">
        <f t="shared" si="0"/>
        <v>0.64804794368681806</v>
      </c>
      <c r="E61" s="65">
        <v>171631857</v>
      </c>
      <c r="F61" s="66">
        <v>0.24374116657485145</v>
      </c>
      <c r="G61" s="65">
        <v>137996443</v>
      </c>
      <c r="H61" s="66">
        <v>0.64255636875036415</v>
      </c>
      <c r="I61" s="65">
        <v>84013216</v>
      </c>
      <c r="J61" s="66">
        <v>0.33734571567351512</v>
      </c>
      <c r="K61" s="65">
        <v>62820866</v>
      </c>
      <c r="L61" s="66">
        <v>-7.6941154457985883E-2</v>
      </c>
      <c r="M61" s="65">
        <v>68057271</v>
      </c>
      <c r="N61" s="66">
        <v>0.46281212038519448</v>
      </c>
      <c r="O61" s="65">
        <v>46524957</v>
      </c>
      <c r="P61" s="66">
        <v>0.26905017923151164</v>
      </c>
      <c r="Q61" s="65">
        <v>36661243</v>
      </c>
      <c r="R61" s="66">
        <v>1.5635065538864583</v>
      </c>
      <c r="S61" s="67">
        <v>14301209</v>
      </c>
      <c r="T61" s="66">
        <v>0.71657793229140654</v>
      </c>
      <c r="U61" s="67">
        <v>8331232</v>
      </c>
      <c r="V61" s="66">
        <v>-0.51806408186677955</v>
      </c>
      <c r="W61" s="67">
        <v>17287012</v>
      </c>
      <c r="X61" s="66">
        <v>0.56458683650029129</v>
      </c>
      <c r="Y61" s="83">
        <v>11048931</v>
      </c>
    </row>
    <row r="62" spans="1:25" ht="14.25" customHeight="1" x14ac:dyDescent="0.2">
      <c r="A62" s="51" t="s">
        <v>10</v>
      </c>
      <c r="B62" s="45" t="s">
        <v>132</v>
      </c>
      <c r="C62" s="43">
        <v>1445077021</v>
      </c>
      <c r="D62" s="102">
        <f t="shared" si="0"/>
        <v>0.55290548228196501</v>
      </c>
      <c r="E62" s="65">
        <v>930563410</v>
      </c>
      <c r="F62" s="66">
        <v>-0.19122782969846031</v>
      </c>
      <c r="G62" s="65">
        <v>1239451906</v>
      </c>
      <c r="H62" s="66">
        <v>-0.20095185380174208</v>
      </c>
      <c r="I62" s="65">
        <v>1551160480</v>
      </c>
      <c r="J62" s="66">
        <v>-7.0256317150267367E-2</v>
      </c>
      <c r="K62" s="65">
        <v>1668374315</v>
      </c>
      <c r="L62" s="66">
        <v>-0.13218572130249473</v>
      </c>
      <c r="M62" s="65">
        <v>1922501572</v>
      </c>
      <c r="N62" s="66">
        <v>0.41482617084922158</v>
      </c>
      <c r="O62" s="65">
        <v>1358825283</v>
      </c>
      <c r="P62" s="66">
        <v>0.23134901880889225</v>
      </c>
      <c r="Q62" s="65">
        <v>1103525696</v>
      </c>
      <c r="R62" s="66">
        <v>1.0167210664887603</v>
      </c>
      <c r="S62" s="67">
        <v>547188064</v>
      </c>
      <c r="T62" s="66">
        <v>1.3240558894627728</v>
      </c>
      <c r="U62" s="67">
        <v>235445312</v>
      </c>
      <c r="V62" s="66">
        <v>2.5291338158022874</v>
      </c>
      <c r="W62" s="67">
        <v>66714759</v>
      </c>
      <c r="X62" s="66">
        <v>-2.0041102164334079E-2</v>
      </c>
      <c r="Y62" s="83">
        <v>68079140</v>
      </c>
    </row>
    <row r="63" spans="1:25" ht="14.25" customHeight="1" x14ac:dyDescent="0.2">
      <c r="A63" s="51" t="s">
        <v>9</v>
      </c>
      <c r="B63" s="45" t="s">
        <v>132</v>
      </c>
      <c r="C63" s="43">
        <v>551458878</v>
      </c>
      <c r="D63" s="102">
        <f t="shared" si="0"/>
        <v>3.5969178161626925E-2</v>
      </c>
      <c r="E63" s="65">
        <v>532312051</v>
      </c>
      <c r="F63" s="66">
        <v>-0.14685524627378654</v>
      </c>
      <c r="G63" s="65">
        <v>628118677</v>
      </c>
      <c r="H63" s="66">
        <v>0.15511140281440028</v>
      </c>
      <c r="I63" s="65">
        <v>543773246</v>
      </c>
      <c r="J63" s="66">
        <v>7.7028471052026593E-2</v>
      </c>
      <c r="K63" s="65">
        <v>504882889</v>
      </c>
      <c r="L63" s="66">
        <v>0.22668753724300617</v>
      </c>
      <c r="M63" s="65">
        <v>411582309</v>
      </c>
      <c r="N63" s="66">
        <v>-2.7702304006609002E-2</v>
      </c>
      <c r="O63" s="65">
        <v>423308942</v>
      </c>
      <c r="P63" s="66">
        <v>8.2993869598754211E-2</v>
      </c>
      <c r="Q63" s="65">
        <v>390869195</v>
      </c>
      <c r="R63" s="66">
        <v>0.94867833176259353</v>
      </c>
      <c r="S63" s="67">
        <v>200581691</v>
      </c>
      <c r="T63" s="66">
        <v>0.15095793516604972</v>
      </c>
      <c r="U63" s="67">
        <v>174273694</v>
      </c>
      <c r="V63" s="66">
        <v>6.8196093356268337</v>
      </c>
      <c r="W63" s="67">
        <v>22286752</v>
      </c>
      <c r="X63" s="66">
        <v>-6.4778382279814251E-2</v>
      </c>
      <c r="Y63" s="83">
        <v>23830450</v>
      </c>
    </row>
    <row r="64" spans="1:25" ht="14.25" customHeight="1" x14ac:dyDescent="0.2">
      <c r="A64" s="51" t="s">
        <v>8</v>
      </c>
      <c r="B64" s="45" t="s">
        <v>132</v>
      </c>
      <c r="C64" s="43">
        <v>249245903</v>
      </c>
      <c r="D64" s="102">
        <f t="shared" si="0"/>
        <v>4.2181327855334683E-2</v>
      </c>
      <c r="E64" s="65">
        <v>239157905</v>
      </c>
      <c r="F64" s="66">
        <v>-0.33885005260622836</v>
      </c>
      <c r="G64" s="65">
        <v>361755644</v>
      </c>
      <c r="H64" s="66">
        <v>3.1709467714671939</v>
      </c>
      <c r="I64" s="65">
        <v>86732261</v>
      </c>
      <c r="J64" s="66">
        <v>0.17075977804603903</v>
      </c>
      <c r="K64" s="65">
        <v>74082030</v>
      </c>
      <c r="L64" s="66">
        <v>0.98888034796290869</v>
      </c>
      <c r="M64" s="65">
        <v>37248108</v>
      </c>
      <c r="N64" s="66">
        <v>-0.36581445393340151</v>
      </c>
      <c r="O64" s="65">
        <v>58733770</v>
      </c>
      <c r="P64" s="66">
        <v>-0.20813272208105493</v>
      </c>
      <c r="Q64" s="65">
        <v>74171230</v>
      </c>
      <c r="R64" s="66">
        <v>7.699886458804956</v>
      </c>
      <c r="S64" s="67">
        <v>8525540</v>
      </c>
      <c r="T64" s="66">
        <v>0.38218080535911736</v>
      </c>
      <c r="U64" s="67">
        <v>6168180</v>
      </c>
      <c r="V64" s="66">
        <v>-0.20456131056821913</v>
      </c>
      <c r="W64" s="67">
        <v>7754438</v>
      </c>
      <c r="X64" s="66">
        <v>5.6607438584435661</v>
      </c>
      <c r="Y64" s="83">
        <v>1164200</v>
      </c>
    </row>
    <row r="65" spans="1:25" ht="14.25" customHeight="1" x14ac:dyDescent="0.2">
      <c r="A65" s="51" t="s">
        <v>7</v>
      </c>
      <c r="B65" s="45" t="s">
        <v>133</v>
      </c>
      <c r="C65" s="43">
        <v>22668956</v>
      </c>
      <c r="D65" s="102">
        <f t="shared" si="0"/>
        <v>1.1896669234757788</v>
      </c>
      <c r="E65" s="65">
        <v>10352696</v>
      </c>
      <c r="F65" s="66">
        <v>0.51731271966908632</v>
      </c>
      <c r="G65" s="65">
        <v>6823047</v>
      </c>
      <c r="H65" s="66">
        <v>-0.40400742194760964</v>
      </c>
      <c r="I65" s="65">
        <v>11448208</v>
      </c>
      <c r="J65" s="66">
        <v>0.14548426448599039</v>
      </c>
      <c r="K65" s="65">
        <v>9994208</v>
      </c>
      <c r="L65" s="66">
        <v>1.1075351988378221</v>
      </c>
      <c r="M65" s="65">
        <v>4742131</v>
      </c>
      <c r="N65" s="66">
        <v>0.92259829833263196</v>
      </c>
      <c r="O65" s="65">
        <v>2466522</v>
      </c>
      <c r="P65" s="66">
        <v>3.0912252998518781</v>
      </c>
      <c r="Q65" s="65">
        <v>602881</v>
      </c>
      <c r="R65" s="66">
        <v>-0.30997269104252456</v>
      </c>
      <c r="S65" s="67">
        <v>873706</v>
      </c>
      <c r="T65" s="66">
        <v>0.17697155188904179</v>
      </c>
      <c r="U65" s="67">
        <v>742334</v>
      </c>
      <c r="V65" s="66">
        <v>0.10405087652240641</v>
      </c>
      <c r="W65" s="67">
        <v>672373</v>
      </c>
      <c r="X65" s="66">
        <v>-0.73591212951979945</v>
      </c>
      <c r="Y65" s="83">
        <v>2546020</v>
      </c>
    </row>
    <row r="66" spans="1:25" ht="14.25" customHeight="1" x14ac:dyDescent="0.2">
      <c r="A66" s="51" t="s">
        <v>6</v>
      </c>
      <c r="B66" s="45" t="s">
        <v>133</v>
      </c>
      <c r="C66" s="43">
        <v>71844878</v>
      </c>
      <c r="D66" s="102">
        <f t="shared" si="0"/>
        <v>3.2313387455533178</v>
      </c>
      <c r="E66" s="65">
        <v>16979231</v>
      </c>
      <c r="F66" s="66">
        <v>-0.28537843844628452</v>
      </c>
      <c r="G66" s="65">
        <v>23882880</v>
      </c>
      <c r="H66" s="66">
        <v>0.29681617892602041</v>
      </c>
      <c r="I66" s="65">
        <v>18416550</v>
      </c>
      <c r="J66" s="66">
        <v>0.41840440277569502</v>
      </c>
      <c r="K66" s="65">
        <v>12983991</v>
      </c>
      <c r="L66" s="66">
        <v>0.15840679699049565</v>
      </c>
      <c r="M66" s="65">
        <v>11208490</v>
      </c>
      <c r="N66" s="66">
        <v>4.3441556336228437</v>
      </c>
      <c r="O66" s="65">
        <v>2097336</v>
      </c>
      <c r="P66" s="66">
        <v>-0.12881792428534633</v>
      </c>
      <c r="Q66" s="65">
        <v>2407460</v>
      </c>
      <c r="R66" s="66">
        <v>7.5195246642499214E-2</v>
      </c>
      <c r="S66" s="67">
        <v>2239091</v>
      </c>
      <c r="T66" s="66">
        <v>-0.25761329889117335</v>
      </c>
      <c r="U66" s="67">
        <v>3016071</v>
      </c>
      <c r="V66" s="66">
        <v>-0.43987977012582913</v>
      </c>
      <c r="W66" s="67">
        <v>5384685</v>
      </c>
      <c r="X66" s="66">
        <v>4.4739987638306609</v>
      </c>
      <c r="Y66" s="83">
        <v>983684</v>
      </c>
    </row>
    <row r="67" spans="1:25" ht="14.25" customHeight="1" x14ac:dyDescent="0.2">
      <c r="A67" s="51" t="s">
        <v>5</v>
      </c>
      <c r="B67" s="45" t="s">
        <v>133</v>
      </c>
      <c r="C67" s="43">
        <v>1273690</v>
      </c>
      <c r="D67" s="102">
        <f t="shared" si="0"/>
        <v>0.47287072702820532</v>
      </c>
      <c r="E67" s="65">
        <v>864767</v>
      </c>
      <c r="F67" s="66">
        <v>-0.10651089937118619</v>
      </c>
      <c r="G67" s="65">
        <v>967854</v>
      </c>
      <c r="H67" s="66">
        <v>0.20976154852838058</v>
      </c>
      <c r="I67" s="65">
        <v>800037</v>
      </c>
      <c r="J67" s="66">
        <v>0.71518338750203658</v>
      </c>
      <c r="K67" s="65">
        <v>466444</v>
      </c>
      <c r="L67" s="66">
        <v>-3.1588738090640889E-2</v>
      </c>
      <c r="M67" s="65">
        <v>481659</v>
      </c>
      <c r="N67" s="66">
        <v>-0.11659483153898353</v>
      </c>
      <c r="O67" s="65">
        <v>545230</v>
      </c>
      <c r="P67" s="66">
        <v>1.867850492851808</v>
      </c>
      <c r="Q67" s="65">
        <v>190118</v>
      </c>
      <c r="R67" s="66">
        <v>-0.45782964173375429</v>
      </c>
      <c r="S67" s="67">
        <v>350661</v>
      </c>
      <c r="T67" s="66">
        <v>-1.8729416854766923E-3</v>
      </c>
      <c r="U67" s="67">
        <v>351319</v>
      </c>
      <c r="V67" s="66">
        <v>0.32406325612247211</v>
      </c>
      <c r="W67" s="67">
        <v>265334</v>
      </c>
      <c r="X67" s="66">
        <v>9.3115040456140941E-2</v>
      </c>
      <c r="Y67" s="83">
        <v>242732</v>
      </c>
    </row>
    <row r="68" spans="1:25" ht="14.25" customHeight="1" x14ac:dyDescent="0.2">
      <c r="A68" s="51" t="s">
        <v>4</v>
      </c>
      <c r="B68" s="45" t="s">
        <v>132</v>
      </c>
      <c r="C68" s="43">
        <v>1154778830</v>
      </c>
      <c r="D68" s="102">
        <f t="shared" si="0"/>
        <v>-8.4388707217651682E-2</v>
      </c>
      <c r="E68" s="65">
        <v>1261210777</v>
      </c>
      <c r="F68" s="66">
        <v>7.5144558598290834E-2</v>
      </c>
      <c r="G68" s="65">
        <v>1174760630</v>
      </c>
      <c r="H68" s="66">
        <v>0.1089204237758139</v>
      </c>
      <c r="I68" s="65">
        <v>1059373247</v>
      </c>
      <c r="J68" s="66">
        <v>0.26292233751574634</v>
      </c>
      <c r="K68" s="65">
        <v>838826914</v>
      </c>
      <c r="L68" s="66">
        <v>0.13164609262339133</v>
      </c>
      <c r="M68" s="65">
        <v>741244917</v>
      </c>
      <c r="N68" s="66">
        <v>0.12935809670337117</v>
      </c>
      <c r="O68" s="65">
        <v>656341792</v>
      </c>
      <c r="P68" s="66">
        <v>0.18351872467425778</v>
      </c>
      <c r="Q68" s="65">
        <v>554568152</v>
      </c>
      <c r="R68" s="66">
        <v>1.2091545523373011</v>
      </c>
      <c r="S68" s="67">
        <v>251031849</v>
      </c>
      <c r="T68" s="66">
        <v>0.46697333116124162</v>
      </c>
      <c r="U68" s="67">
        <v>171122299</v>
      </c>
      <c r="V68" s="66">
        <v>1.5715797310724575</v>
      </c>
      <c r="W68" s="67">
        <v>66543649</v>
      </c>
      <c r="X68" s="66">
        <v>0.84345741064285895</v>
      </c>
      <c r="Y68" s="83">
        <v>36097199</v>
      </c>
    </row>
    <row r="69" spans="1:25" ht="14.25" customHeight="1" x14ac:dyDescent="0.2">
      <c r="A69" s="51" t="s">
        <v>3</v>
      </c>
      <c r="B69" s="45" t="s">
        <v>133</v>
      </c>
      <c r="C69" s="43">
        <v>33235384</v>
      </c>
      <c r="D69" s="102">
        <f t="shared" si="0"/>
        <v>0.51524086284071435</v>
      </c>
      <c r="E69" s="65">
        <v>21934060</v>
      </c>
      <c r="F69" s="66">
        <v>-0.16305986673556316</v>
      </c>
      <c r="G69" s="65">
        <v>26207442</v>
      </c>
      <c r="H69" s="66">
        <v>0.7287941318432809</v>
      </c>
      <c r="I69" s="65">
        <v>15159377</v>
      </c>
      <c r="J69" s="66">
        <v>-0.29011213879458708</v>
      </c>
      <c r="K69" s="65">
        <v>21354608</v>
      </c>
      <c r="L69" s="66">
        <v>2.0438392162016465</v>
      </c>
      <c r="M69" s="65">
        <v>7015682</v>
      </c>
      <c r="N69" s="66">
        <v>-0.17630327502385734</v>
      </c>
      <c r="O69" s="65">
        <v>8517312</v>
      </c>
      <c r="P69" s="66">
        <v>-5.8869598202562212E-3</v>
      </c>
      <c r="Q69" s="65">
        <v>8567750</v>
      </c>
      <c r="R69" s="66">
        <v>8.3718015124176537E-2</v>
      </c>
      <c r="S69" s="67">
        <v>7905885</v>
      </c>
      <c r="T69" s="66">
        <v>0.19154688728339031</v>
      </c>
      <c r="U69" s="67">
        <v>6634976</v>
      </c>
      <c r="V69" s="66">
        <v>-0.23627608483432194</v>
      </c>
      <c r="W69" s="67">
        <v>8687663</v>
      </c>
      <c r="X69" s="66">
        <v>5.589367827198144E-2</v>
      </c>
      <c r="Y69" s="83">
        <v>8227782</v>
      </c>
    </row>
    <row r="70" spans="1:25" ht="14.25" customHeight="1" x14ac:dyDescent="0.2">
      <c r="A70" s="51" t="s">
        <v>2</v>
      </c>
      <c r="B70" s="45" t="s">
        <v>133</v>
      </c>
      <c r="C70" s="43">
        <v>1283545862</v>
      </c>
      <c r="D70" s="102">
        <f t="shared" si="0"/>
        <v>0.70423597805205196</v>
      </c>
      <c r="E70" s="65">
        <v>753150314</v>
      </c>
      <c r="F70" s="66">
        <v>-0.15317475086426169</v>
      </c>
      <c r="G70" s="65">
        <v>889381032</v>
      </c>
      <c r="H70" s="66">
        <v>-2.764271093973425E-2</v>
      </c>
      <c r="I70" s="65">
        <v>914664848</v>
      </c>
      <c r="J70" s="66">
        <v>-0.1091409850356474</v>
      </c>
      <c r="K70" s="65">
        <v>1026722335</v>
      </c>
      <c r="L70" s="66">
        <v>-2.8617405248093308E-2</v>
      </c>
      <c r="M70" s="65">
        <v>1056970076</v>
      </c>
      <c r="N70" s="66">
        <v>0.18425948161453554</v>
      </c>
      <c r="O70" s="65">
        <v>892515612</v>
      </c>
      <c r="P70" s="66">
        <v>0.57524763306813242</v>
      </c>
      <c r="Q70" s="65">
        <v>566587496</v>
      </c>
      <c r="R70" s="66">
        <v>1.96478896845599</v>
      </c>
      <c r="S70" s="67">
        <v>191105506</v>
      </c>
      <c r="T70" s="66">
        <v>2.9823152372015129</v>
      </c>
      <c r="U70" s="67">
        <v>47988543</v>
      </c>
      <c r="V70" s="66">
        <v>1.1922424786075134</v>
      </c>
      <c r="W70" s="67">
        <v>21890162</v>
      </c>
      <c r="X70" s="66">
        <v>-8.8212744009062649E-2</v>
      </c>
      <c r="Y70" s="83">
        <v>24007971</v>
      </c>
    </row>
    <row r="71" spans="1:25" ht="14.25" customHeight="1" x14ac:dyDescent="0.2">
      <c r="A71" s="51" t="s">
        <v>1</v>
      </c>
      <c r="B71" s="45" t="s">
        <v>133</v>
      </c>
      <c r="C71" s="43">
        <v>13177010</v>
      </c>
      <c r="D71" s="102">
        <f>C71/E71-1</f>
        <v>1.564493747871357</v>
      </c>
      <c r="E71" s="65">
        <v>5138250</v>
      </c>
      <c r="F71" s="66">
        <v>0.94203874666358245</v>
      </c>
      <c r="G71" s="65">
        <v>2645802</v>
      </c>
      <c r="H71" s="66">
        <v>0.25277444489794765</v>
      </c>
      <c r="I71" s="65">
        <v>2111954</v>
      </c>
      <c r="J71" s="66">
        <v>0.32744142662835096</v>
      </c>
      <c r="K71" s="65">
        <v>1590996</v>
      </c>
      <c r="L71" s="66">
        <v>7.5960572810117144E-2</v>
      </c>
      <c r="M71" s="65">
        <v>1478675</v>
      </c>
      <c r="N71" s="66">
        <v>0.17563320450734587</v>
      </c>
      <c r="O71" s="65">
        <v>1257769</v>
      </c>
      <c r="P71" s="66">
        <v>1.9979908560849857E-3</v>
      </c>
      <c r="Q71" s="65">
        <v>1255261</v>
      </c>
      <c r="R71" s="66">
        <v>0.19791901270007295</v>
      </c>
      <c r="S71" s="67">
        <v>1047868</v>
      </c>
      <c r="T71" s="66">
        <v>0.23310649004035167</v>
      </c>
      <c r="U71" s="67">
        <v>849779</v>
      </c>
      <c r="V71" s="66">
        <v>-0.16351278189567764</v>
      </c>
      <c r="W71" s="67">
        <v>1015890</v>
      </c>
      <c r="X71" s="66">
        <v>-0.76287671031436943</v>
      </c>
      <c r="Y71" s="83">
        <v>4284227</v>
      </c>
    </row>
    <row r="72" spans="1:25" ht="14.25" customHeight="1" x14ac:dyDescent="0.2">
      <c r="A72" s="51"/>
      <c r="B72" s="45"/>
      <c r="C72" s="45"/>
      <c r="D72" s="45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76"/>
    </row>
    <row r="73" spans="1:25" ht="14.25" customHeight="1" thickBot="1" x14ac:dyDescent="0.25">
      <c r="A73" s="53" t="s">
        <v>0</v>
      </c>
      <c r="B73" s="77"/>
      <c r="C73" s="78">
        <f>SUM(C5:C71)</f>
        <v>65900867894</v>
      </c>
      <c r="D73" s="79">
        <f>C73/E73-1</f>
        <v>4.9805408378909899E-2</v>
      </c>
      <c r="E73" s="78">
        <v>62774365009</v>
      </c>
      <c r="F73" s="82">
        <v>-3.657881801787255E-2</v>
      </c>
      <c r="G73" s="81">
        <v>65157758811</v>
      </c>
      <c r="H73" s="82">
        <v>5.1768611075531101E-3</v>
      </c>
      <c r="I73" s="81">
        <v>64822183371</v>
      </c>
      <c r="J73" s="82">
        <v>-1.4273057304209136E-2</v>
      </c>
      <c r="K73" s="81">
        <v>65760790908</v>
      </c>
      <c r="L73" s="82">
        <v>-2.0551835797124052E-2</v>
      </c>
      <c r="M73" s="81">
        <v>67140654617</v>
      </c>
      <c r="N73" s="82">
        <v>0.14400815198615957</v>
      </c>
      <c r="O73" s="81">
        <v>58688965197</v>
      </c>
      <c r="P73" s="82">
        <v>0.5547192351872785</v>
      </c>
      <c r="Q73" s="81">
        <v>37748915604</v>
      </c>
      <c r="R73" s="82">
        <v>1.0894318257077251</v>
      </c>
      <c r="S73" s="78">
        <v>18066593578</v>
      </c>
      <c r="T73" s="79">
        <v>0.6371057822201609</v>
      </c>
      <c r="U73" s="78">
        <v>11035691019</v>
      </c>
      <c r="V73" s="79">
        <v>0.84497709938304744</v>
      </c>
      <c r="W73" s="78">
        <v>5981478590</v>
      </c>
      <c r="X73" s="79">
        <v>0.79019542196036263</v>
      </c>
      <c r="Y73" s="80">
        <v>3341243373</v>
      </c>
    </row>
    <row r="75" spans="1:25" x14ac:dyDescent="0.2">
      <c r="A75" s="25" t="s">
        <v>134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5"/>
      <c r="O75" s="25"/>
      <c r="P75" s="26"/>
      <c r="Q75" s="26"/>
      <c r="R75" s="26"/>
      <c r="S75" s="26"/>
    </row>
  </sheetData>
  <conditionalFormatting sqref="M4:Y73 A4:B73">
    <cfRule type="expression" dxfId="32" priority="21" stopIfTrue="1">
      <formula>MOD(ROW(),3)=1</formula>
    </cfRule>
  </conditionalFormatting>
  <conditionalFormatting sqref="K4:L73">
    <cfRule type="expression" dxfId="31" priority="20" stopIfTrue="1">
      <formula>MOD(ROW(),3)=1</formula>
    </cfRule>
  </conditionalFormatting>
  <conditionalFormatting sqref="I4:J4 I72:J72 I5:I71">
    <cfRule type="expression" dxfId="30" priority="19" stopIfTrue="1">
      <formula>MOD(ROW(),3)=1</formula>
    </cfRule>
  </conditionalFormatting>
  <conditionalFormatting sqref="I73:J73">
    <cfRule type="expression" dxfId="29" priority="18" stopIfTrue="1">
      <formula>MOD(ROW(),3)=1</formula>
    </cfRule>
  </conditionalFormatting>
  <conditionalFormatting sqref="J5:J71">
    <cfRule type="expression" dxfId="28" priority="17" stopIfTrue="1">
      <formula>MOD(ROW(),3)=1</formula>
    </cfRule>
  </conditionalFormatting>
  <conditionalFormatting sqref="G4:H4 G72:H72 G5:G71">
    <cfRule type="expression" dxfId="27" priority="14" stopIfTrue="1">
      <formula>MOD(ROW(),3)=1</formula>
    </cfRule>
  </conditionalFormatting>
  <conditionalFormatting sqref="G73:H73">
    <cfRule type="expression" dxfId="26" priority="13" stopIfTrue="1">
      <formula>MOD(ROW(),3)=1</formula>
    </cfRule>
  </conditionalFormatting>
  <conditionalFormatting sqref="H5:H71">
    <cfRule type="expression" dxfId="25" priority="12" stopIfTrue="1">
      <formula>MOD(ROW(),3)=1</formula>
    </cfRule>
  </conditionalFormatting>
  <conditionalFormatting sqref="E4:F4 E72:F72 E5:E71">
    <cfRule type="expression" dxfId="24" priority="11" stopIfTrue="1">
      <formula>MOD(ROW(),3)=1</formula>
    </cfRule>
  </conditionalFormatting>
  <conditionalFormatting sqref="E73">
    <cfRule type="expression" dxfId="23" priority="8" stopIfTrue="1">
      <formula>MOD(ROW(),3)=1</formula>
    </cfRule>
  </conditionalFormatting>
  <conditionalFormatting sqref="F5:F71">
    <cfRule type="expression" dxfId="22" priority="7" stopIfTrue="1">
      <formula>MOD(ROW(),3)=1</formula>
    </cfRule>
  </conditionalFormatting>
  <conditionalFormatting sqref="F73">
    <cfRule type="expression" dxfId="21" priority="6" stopIfTrue="1">
      <formula>MOD(ROW(),3)=1</formula>
    </cfRule>
  </conditionalFormatting>
  <conditionalFormatting sqref="C72:D72 C4:D4">
    <cfRule type="expression" dxfId="20" priority="5" stopIfTrue="1">
      <formula>MOD(ROW(),3)=1</formula>
    </cfRule>
  </conditionalFormatting>
  <conditionalFormatting sqref="C5:C71">
    <cfRule type="expression" dxfId="19" priority="4" stopIfTrue="1">
      <formula>MOD(ROW(),3)=1</formula>
    </cfRule>
  </conditionalFormatting>
  <conditionalFormatting sqref="D5:D71">
    <cfRule type="expression" dxfId="18" priority="3" stopIfTrue="1">
      <formula>MOD(ROW(),3)=1</formula>
    </cfRule>
  </conditionalFormatting>
  <conditionalFormatting sqref="D73">
    <cfRule type="expression" dxfId="17" priority="2" stopIfTrue="1">
      <formula>MOD(ROW(),3)=1</formula>
    </cfRule>
  </conditionalFormatting>
  <conditionalFormatting sqref="C73">
    <cfRule type="expression" dxfId="16" priority="1" stopIfTrue="1">
      <formula>MOD(ROW(),3)=1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C75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45.28515625" style="23" customWidth="1"/>
    <col min="2" max="2" width="9.28515625" style="47" bestFit="1" customWidth="1"/>
    <col min="3" max="3" width="15.42578125" style="23" customWidth="1"/>
    <col min="4" max="4" width="16.42578125" style="23" customWidth="1"/>
    <col min="5" max="5" width="14.28515625" style="47" bestFit="1" customWidth="1"/>
    <col min="6" max="6" width="16.42578125" style="47" bestFit="1" customWidth="1"/>
    <col min="7" max="7" width="14.28515625" style="47" bestFit="1" customWidth="1"/>
    <col min="8" max="8" width="16.42578125" style="47" bestFit="1" customWidth="1"/>
    <col min="9" max="9" width="14.28515625" style="23" customWidth="1"/>
    <col min="10" max="10" width="16.42578125" style="23" customWidth="1"/>
    <col min="11" max="11" width="14.28515625" style="23" customWidth="1"/>
    <col min="12" max="12" width="16.42578125" style="23" customWidth="1"/>
    <col min="13" max="13" width="14.28515625" style="23" bestFit="1" customWidth="1"/>
    <col min="14" max="14" width="16.42578125" style="23" bestFit="1" customWidth="1"/>
    <col min="15" max="15" width="14.28515625" style="23" bestFit="1" customWidth="1"/>
    <col min="16" max="16" width="16.42578125" style="23" bestFit="1" customWidth="1"/>
    <col min="17" max="17" width="12.42578125" style="23" bestFit="1" customWidth="1"/>
    <col min="18" max="18" width="16.42578125" style="23" bestFit="1" customWidth="1"/>
    <col min="19" max="19" width="12.42578125" style="23" bestFit="1" customWidth="1"/>
    <col min="20" max="20" width="16.42578125" style="23" bestFit="1" customWidth="1"/>
    <col min="21" max="21" width="12.42578125" style="23" bestFit="1" customWidth="1"/>
    <col min="22" max="22" width="16.42578125" style="23" bestFit="1" customWidth="1"/>
    <col min="23" max="23" width="12.42578125" style="23" bestFit="1" customWidth="1"/>
    <col min="24" max="24" width="16.42578125" style="23" bestFit="1" customWidth="1"/>
    <col min="25" max="25" width="14.28515625" style="23" bestFit="1" customWidth="1"/>
    <col min="26" max="26" width="16.42578125" style="23" bestFit="1" customWidth="1"/>
    <col min="27" max="27" width="14.28515625" style="23" bestFit="1" customWidth="1"/>
    <col min="28" max="16384" width="9.140625" style="2"/>
  </cols>
  <sheetData>
    <row r="1" spans="1:29" ht="23.25" x14ac:dyDescent="0.2">
      <c r="A1" s="14" t="s">
        <v>77</v>
      </c>
      <c r="B1" s="40"/>
      <c r="C1" s="21"/>
      <c r="D1" s="21"/>
      <c r="E1" s="40"/>
      <c r="F1" s="40"/>
      <c r="G1" s="40"/>
      <c r="H1" s="40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9" ht="15" x14ac:dyDescent="0.2">
      <c r="A2" s="21" t="s">
        <v>139</v>
      </c>
      <c r="B2" s="40"/>
      <c r="C2" s="21"/>
      <c r="D2" s="21"/>
      <c r="E2" s="40"/>
      <c r="F2" s="40"/>
      <c r="G2" s="40"/>
      <c r="H2" s="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9" ht="15.75" thickBot="1" x14ac:dyDescent="0.25">
      <c r="A3" s="22"/>
      <c r="B3" s="40"/>
      <c r="C3" s="22"/>
      <c r="D3" s="22"/>
      <c r="E3" s="40"/>
      <c r="F3" s="40"/>
      <c r="G3" s="40"/>
      <c r="H3" s="40"/>
      <c r="I3" s="22"/>
      <c r="J3" s="22"/>
      <c r="K3" s="22"/>
      <c r="L3" s="22"/>
      <c r="M3" s="22"/>
      <c r="N3" s="22"/>
      <c r="P3" s="22"/>
      <c r="R3" s="22"/>
    </row>
    <row r="4" spans="1:29" s="62" customFormat="1" ht="28.5" customHeight="1" x14ac:dyDescent="0.2">
      <c r="A4" s="72" t="s">
        <v>68</v>
      </c>
      <c r="B4" s="73" t="s">
        <v>67</v>
      </c>
      <c r="C4" s="73" t="s">
        <v>140</v>
      </c>
      <c r="D4" s="73" t="s">
        <v>138</v>
      </c>
      <c r="E4" s="73" t="s">
        <v>128</v>
      </c>
      <c r="F4" s="73" t="s">
        <v>131</v>
      </c>
      <c r="G4" s="73" t="s">
        <v>122</v>
      </c>
      <c r="H4" s="73" t="s">
        <v>123</v>
      </c>
      <c r="I4" s="73" t="s">
        <v>119</v>
      </c>
      <c r="J4" s="73" t="s">
        <v>120</v>
      </c>
      <c r="K4" s="73" t="s">
        <v>116</v>
      </c>
      <c r="L4" s="73" t="s">
        <v>117</v>
      </c>
      <c r="M4" s="73" t="s">
        <v>113</v>
      </c>
      <c r="N4" s="73" t="s">
        <v>112</v>
      </c>
      <c r="O4" s="73" t="s">
        <v>103</v>
      </c>
      <c r="P4" s="73" t="s">
        <v>104</v>
      </c>
      <c r="Q4" s="73" t="s">
        <v>101</v>
      </c>
      <c r="R4" s="73" t="s">
        <v>102</v>
      </c>
      <c r="S4" s="73" t="s">
        <v>96</v>
      </c>
      <c r="T4" s="73" t="s">
        <v>95</v>
      </c>
      <c r="U4" s="73" t="s">
        <v>91</v>
      </c>
      <c r="V4" s="73" t="s">
        <v>92</v>
      </c>
      <c r="W4" s="73" t="s">
        <v>89</v>
      </c>
      <c r="X4" s="73" t="s">
        <v>90</v>
      </c>
      <c r="Y4" s="73" t="s">
        <v>70</v>
      </c>
      <c r="Z4" s="73" t="s">
        <v>71</v>
      </c>
      <c r="AA4" s="74" t="s">
        <v>72</v>
      </c>
    </row>
    <row r="5" spans="1:29" ht="14.25" customHeight="1" x14ac:dyDescent="0.2">
      <c r="A5" s="51" t="s">
        <v>66</v>
      </c>
      <c r="B5" s="45" t="s">
        <v>132</v>
      </c>
      <c r="C5" s="43">
        <v>37574945</v>
      </c>
      <c r="D5" s="102">
        <f>C5/E5-1</f>
        <v>-3.1901538303622079E-2</v>
      </c>
      <c r="E5" s="52">
        <v>38813144</v>
      </c>
      <c r="F5" s="101">
        <f>E5/G5-1</f>
        <v>0.12629604961824525</v>
      </c>
      <c r="G5" s="52">
        <v>34460872</v>
      </c>
      <c r="H5" s="101">
        <f>G5/I5-1</f>
        <v>0.15500901259618405</v>
      </c>
      <c r="I5" s="67">
        <v>29836020</v>
      </c>
      <c r="J5" s="66">
        <f>I5/K5-1</f>
        <v>0.6507062357881459</v>
      </c>
      <c r="K5" s="67">
        <v>18074700</v>
      </c>
      <c r="L5" s="66">
        <f>K5/M5-1</f>
        <v>0.35529271396790474</v>
      </c>
      <c r="M5" s="67">
        <v>13336381</v>
      </c>
      <c r="N5" s="66">
        <f>M5/O5-1</f>
        <v>1.3230754089565444</v>
      </c>
      <c r="O5" s="67">
        <v>5740830</v>
      </c>
      <c r="P5" s="66">
        <f>O5/Q5-1</f>
        <v>0.19293196491541598</v>
      </c>
      <c r="Q5" s="67">
        <v>4812370</v>
      </c>
      <c r="R5" s="66">
        <f>Q5/S5-1</f>
        <v>-3.7441294833945427E-2</v>
      </c>
      <c r="S5" s="67">
        <v>4999560</v>
      </c>
      <c r="T5" s="66">
        <f>S5/U5-1</f>
        <v>2.5651756480637999E-2</v>
      </c>
      <c r="U5" s="67">
        <v>4874520</v>
      </c>
      <c r="V5" s="66">
        <f>U5/W5-1</f>
        <v>-0.47710570155725207</v>
      </c>
      <c r="W5" s="67">
        <v>9322190</v>
      </c>
      <c r="X5" s="66">
        <f>W5/Y5-1</f>
        <v>-0.39050177641377559</v>
      </c>
      <c r="Y5" s="67">
        <v>15294860</v>
      </c>
      <c r="Z5" s="66">
        <f>Y5/AA5-1</f>
        <v>-0.40964835253907572</v>
      </c>
      <c r="AA5" s="75">
        <v>25908050</v>
      </c>
      <c r="AC5" s="24"/>
    </row>
    <row r="6" spans="1:29" ht="14.25" customHeight="1" x14ac:dyDescent="0.2">
      <c r="A6" s="51" t="s">
        <v>65</v>
      </c>
      <c r="B6" s="45" t="s">
        <v>133</v>
      </c>
      <c r="C6" s="43">
        <v>4243407</v>
      </c>
      <c r="D6" s="102">
        <f>C6/E6-1</f>
        <v>0.62335408716609764</v>
      </c>
      <c r="E6" s="52">
        <v>2613975</v>
      </c>
      <c r="F6" s="101">
        <f t="shared" ref="F6:H69" si="0">E6/G6-1</f>
        <v>5.3851776386157013E-2</v>
      </c>
      <c r="G6" s="52">
        <v>2480401</v>
      </c>
      <c r="H6" s="101">
        <f t="shared" si="0"/>
        <v>0.65392373310253271</v>
      </c>
      <c r="I6" s="67">
        <v>1499707</v>
      </c>
      <c r="J6" s="66">
        <f t="shared" ref="J6:J69" si="1">I6/K6-1</f>
        <v>0.37933771496579505</v>
      </c>
      <c r="K6" s="67">
        <v>1087266</v>
      </c>
      <c r="L6" s="66">
        <f>K6/M6-1</f>
        <v>0.49467163760537125</v>
      </c>
      <c r="M6" s="67">
        <v>727428</v>
      </c>
      <c r="N6" s="66">
        <f>M6/O6-1</f>
        <v>0.68993234955209459</v>
      </c>
      <c r="O6" s="67">
        <v>430448</v>
      </c>
      <c r="P6" s="66">
        <f>O6/Q6-1</f>
        <v>0.2896352333158565</v>
      </c>
      <c r="Q6" s="67">
        <v>333775</v>
      </c>
      <c r="R6" s="66">
        <f>Q6/S6-1</f>
        <v>-5.5756413303006624E-2</v>
      </c>
      <c r="S6" s="67">
        <v>353484</v>
      </c>
      <c r="T6" s="66">
        <f t="shared" ref="T6:T69" si="2">S6/U6-1</f>
        <v>-0.21369019548524293</v>
      </c>
      <c r="U6" s="67">
        <v>449548</v>
      </c>
      <c r="V6" s="66">
        <f t="shared" ref="V6:V69" si="3">U6/W6-1</f>
        <v>-0.61981776880961115</v>
      </c>
      <c r="W6" s="67">
        <v>1182454</v>
      </c>
      <c r="X6" s="66">
        <f t="shared" ref="X6:X69" si="4">W6/Y6-1</f>
        <v>1.9264635528680518E-2</v>
      </c>
      <c r="Y6" s="67">
        <v>1160105</v>
      </c>
      <c r="Z6" s="66">
        <f>Y6/AA6-1</f>
        <v>-0.58732938414840852</v>
      </c>
      <c r="AA6" s="75">
        <v>2811213</v>
      </c>
      <c r="AC6" s="24"/>
    </row>
    <row r="7" spans="1:29" ht="14.25" customHeight="1" x14ac:dyDescent="0.2">
      <c r="A7" s="51" t="s">
        <v>64</v>
      </c>
      <c r="B7" s="45" t="s">
        <v>132</v>
      </c>
      <c r="C7" s="43">
        <v>13361081</v>
      </c>
      <c r="D7" s="102">
        <f t="shared" ref="D7:D70" si="5">C7/E7-1</f>
        <v>0.35158332357999389</v>
      </c>
      <c r="E7" s="52">
        <v>9885503</v>
      </c>
      <c r="F7" s="101">
        <f t="shared" si="0"/>
        <v>0.20647945971021309</v>
      </c>
      <c r="G7" s="52">
        <v>8193677</v>
      </c>
      <c r="H7" s="101">
        <f t="shared" si="0"/>
        <v>-0.1382428084505597</v>
      </c>
      <c r="I7" s="67">
        <v>9508104</v>
      </c>
      <c r="J7" s="66">
        <f t="shared" si="1"/>
        <v>0.16845242454912834</v>
      </c>
      <c r="K7" s="67">
        <v>8137348</v>
      </c>
      <c r="L7" s="66">
        <f t="shared" ref="L7:L70" si="6">K7/M7-1</f>
        <v>0.23856812609627687</v>
      </c>
      <c r="M7" s="67">
        <v>6569964</v>
      </c>
      <c r="N7" s="66">
        <f t="shared" ref="N7:N70" si="7">M7/O7-1</f>
        <v>0.36607012531734795</v>
      </c>
      <c r="O7" s="67">
        <v>4809390</v>
      </c>
      <c r="P7" s="66">
        <f t="shared" ref="P7:P70" si="8">O7/Q7-1</f>
        <v>2.7573222275827147E-2</v>
      </c>
      <c r="Q7" s="67">
        <v>4680338</v>
      </c>
      <c r="R7" s="66">
        <f t="shared" ref="R7:R70" si="9">Q7/S7-1</f>
        <v>2.1780695415636098E-2</v>
      </c>
      <c r="S7" s="67">
        <v>4580570</v>
      </c>
      <c r="T7" s="66">
        <f t="shared" si="2"/>
        <v>8.6569607116382397E-2</v>
      </c>
      <c r="U7" s="67">
        <v>4215625</v>
      </c>
      <c r="V7" s="66">
        <f t="shared" si="3"/>
        <v>-0.36946135602995744</v>
      </c>
      <c r="W7" s="67">
        <v>6685752</v>
      </c>
      <c r="X7" s="66">
        <f t="shared" si="4"/>
        <v>-0.25905294454815186</v>
      </c>
      <c r="Y7" s="67">
        <v>9023252</v>
      </c>
      <c r="Z7" s="66">
        <f t="shared" ref="Z7:Z70" si="10">Y7/AA7-1</f>
        <v>-0.45803752115940088</v>
      </c>
      <c r="AA7" s="75">
        <v>16649219</v>
      </c>
      <c r="AC7" s="24"/>
    </row>
    <row r="8" spans="1:29" ht="14.25" customHeight="1" x14ac:dyDescent="0.2">
      <c r="A8" s="51" t="s">
        <v>63</v>
      </c>
      <c r="B8" s="45" t="s">
        <v>133</v>
      </c>
      <c r="C8" s="43">
        <v>1884073</v>
      </c>
      <c r="D8" s="102">
        <f t="shared" si="5"/>
        <v>-7.4585335496479943E-2</v>
      </c>
      <c r="E8" s="52">
        <v>2035923</v>
      </c>
      <c r="F8" s="101">
        <f t="shared" si="0"/>
        <v>0.2939623821502706</v>
      </c>
      <c r="G8" s="52">
        <v>1573402</v>
      </c>
      <c r="H8" s="101">
        <f t="shared" si="0"/>
        <v>5.3085931408278109E-2</v>
      </c>
      <c r="I8" s="67">
        <v>1494087</v>
      </c>
      <c r="J8" s="66">
        <f t="shared" si="1"/>
        <v>0.6324716191558406</v>
      </c>
      <c r="K8" s="67">
        <v>915230</v>
      </c>
      <c r="L8" s="66">
        <f t="shared" si="6"/>
        <v>-0.15392323806037345</v>
      </c>
      <c r="M8" s="67">
        <v>1081734</v>
      </c>
      <c r="N8" s="66">
        <f t="shared" si="7"/>
        <v>0.66659066048346105</v>
      </c>
      <c r="O8" s="67">
        <v>649070</v>
      </c>
      <c r="P8" s="66">
        <f t="shared" si="8"/>
        <v>1.0810662631094639</v>
      </c>
      <c r="Q8" s="67">
        <v>311893</v>
      </c>
      <c r="R8" s="66">
        <f t="shared" si="9"/>
        <v>0.53861674313058061</v>
      </c>
      <c r="S8" s="67">
        <v>202710</v>
      </c>
      <c r="T8" s="66">
        <f t="shared" si="2"/>
        <v>7.092479594262624E-2</v>
      </c>
      <c r="U8" s="67">
        <v>189285</v>
      </c>
      <c r="V8" s="66">
        <f t="shared" si="3"/>
        <v>-0.77836829607564884</v>
      </c>
      <c r="W8" s="67">
        <v>854052</v>
      </c>
      <c r="X8" s="66">
        <f t="shared" si="4"/>
        <v>-0.21283788765834455</v>
      </c>
      <c r="Y8" s="67">
        <v>1084976</v>
      </c>
      <c r="Z8" s="66">
        <f t="shared" si="10"/>
        <v>-0.46180037461506718</v>
      </c>
      <c r="AA8" s="75">
        <v>2015936</v>
      </c>
      <c r="AC8" s="24"/>
    </row>
    <row r="9" spans="1:29" ht="14.25" customHeight="1" x14ac:dyDescent="0.2">
      <c r="A9" s="51" t="s">
        <v>62</v>
      </c>
      <c r="B9" s="45" t="s">
        <v>132</v>
      </c>
      <c r="C9" s="43">
        <v>223885880</v>
      </c>
      <c r="D9" s="102">
        <f t="shared" si="5"/>
        <v>9.0312973648263961E-2</v>
      </c>
      <c r="E9" s="52">
        <v>205340930</v>
      </c>
      <c r="F9" s="101">
        <f t="shared" si="0"/>
        <v>6.2771721353219956E-2</v>
      </c>
      <c r="G9" s="52">
        <v>193212640</v>
      </c>
      <c r="H9" s="101">
        <f t="shared" si="0"/>
        <v>0.21379400461425146</v>
      </c>
      <c r="I9" s="67">
        <v>159180750</v>
      </c>
      <c r="J9" s="66">
        <f t="shared" si="1"/>
        <v>0.27653971954110235</v>
      </c>
      <c r="K9" s="67">
        <v>124697060</v>
      </c>
      <c r="L9" s="66">
        <f t="shared" si="6"/>
        <v>0.34373685326694159</v>
      </c>
      <c r="M9" s="67">
        <v>92798720</v>
      </c>
      <c r="N9" s="66">
        <f t="shared" si="7"/>
        <v>0.67983314392712035</v>
      </c>
      <c r="O9" s="67">
        <v>55242820</v>
      </c>
      <c r="P9" s="66">
        <f t="shared" si="8"/>
        <v>1.0848376936320592</v>
      </c>
      <c r="Q9" s="67">
        <v>26497420</v>
      </c>
      <c r="R9" s="66">
        <f t="shared" si="9"/>
        <v>2.7994198509622072</v>
      </c>
      <c r="S9" s="67">
        <v>6974070</v>
      </c>
      <c r="T9" s="66">
        <f t="shared" si="2"/>
        <v>-0.16165254008075658</v>
      </c>
      <c r="U9" s="67">
        <v>8318830</v>
      </c>
      <c r="V9" s="66">
        <f t="shared" si="3"/>
        <v>-0.52395196045498738</v>
      </c>
      <c r="W9" s="67">
        <v>17474770</v>
      </c>
      <c r="X9" s="66">
        <f t="shared" si="4"/>
        <v>-0.48921550946271775</v>
      </c>
      <c r="Y9" s="67">
        <v>34211630</v>
      </c>
      <c r="Z9" s="66">
        <f t="shared" si="10"/>
        <v>-0.48635566816523756</v>
      </c>
      <c r="AA9" s="75">
        <v>66605680</v>
      </c>
      <c r="AC9" s="24"/>
    </row>
    <row r="10" spans="1:29" ht="14.25" customHeight="1" x14ac:dyDescent="0.2">
      <c r="A10" s="51" t="s">
        <v>61</v>
      </c>
      <c r="B10" s="45" t="s">
        <v>132</v>
      </c>
      <c r="C10" s="43">
        <v>504816830</v>
      </c>
      <c r="D10" s="102">
        <f t="shared" si="5"/>
        <v>-5.6178838574793777E-2</v>
      </c>
      <c r="E10" s="52">
        <v>534864920</v>
      </c>
      <c r="F10" s="101">
        <f t="shared" si="0"/>
        <v>4.2161967189950467E-2</v>
      </c>
      <c r="G10" s="52">
        <v>513226290</v>
      </c>
      <c r="H10" s="101">
        <f t="shared" si="0"/>
        <v>8.5400806331970003E-2</v>
      </c>
      <c r="I10" s="67">
        <v>472844950</v>
      </c>
      <c r="J10" s="66">
        <f t="shared" si="1"/>
        <v>0.13680274281924754</v>
      </c>
      <c r="K10" s="67">
        <v>415942830</v>
      </c>
      <c r="L10" s="66">
        <f t="shared" si="6"/>
        <v>0.13111907009885582</v>
      </c>
      <c r="M10" s="67">
        <v>367726830</v>
      </c>
      <c r="N10" s="66">
        <f t="shared" si="7"/>
        <v>0.56073094431169079</v>
      </c>
      <c r="O10" s="67">
        <v>235611930</v>
      </c>
      <c r="P10" s="66">
        <f t="shared" si="8"/>
        <v>0.87730272666804554</v>
      </c>
      <c r="Q10" s="67">
        <v>125505560</v>
      </c>
      <c r="R10" s="66">
        <f t="shared" si="9"/>
        <v>0.66107366250781374</v>
      </c>
      <c r="S10" s="67">
        <v>75556890</v>
      </c>
      <c r="T10" s="66">
        <f t="shared" si="2"/>
        <v>9.2802508747408252E-2</v>
      </c>
      <c r="U10" s="67">
        <v>69140480</v>
      </c>
      <c r="V10" s="66">
        <f t="shared" si="3"/>
        <v>0.15170079574076878</v>
      </c>
      <c r="W10" s="67">
        <v>60033370</v>
      </c>
      <c r="X10" s="66">
        <f t="shared" si="4"/>
        <v>-0.53432028929319486</v>
      </c>
      <c r="Y10" s="67">
        <v>128915580</v>
      </c>
      <c r="Z10" s="66">
        <f t="shared" si="10"/>
        <v>-0.49101388795612366</v>
      </c>
      <c r="AA10" s="75">
        <v>253279170</v>
      </c>
      <c r="AC10" s="24"/>
    </row>
    <row r="11" spans="1:29" ht="14.25" customHeight="1" x14ac:dyDescent="0.2">
      <c r="A11" s="51" t="s">
        <v>60</v>
      </c>
      <c r="B11" s="45" t="s">
        <v>133</v>
      </c>
      <c r="C11" s="43">
        <v>369819</v>
      </c>
      <c r="D11" s="102">
        <f t="shared" si="5"/>
        <v>3.4304026451667005</v>
      </c>
      <c r="E11" s="52">
        <v>83473</v>
      </c>
      <c r="F11" s="101">
        <f t="shared" si="0"/>
        <v>-0.28878645615888621</v>
      </c>
      <c r="G11" s="52">
        <v>117367</v>
      </c>
      <c r="H11" s="101">
        <f t="shared" si="0"/>
        <v>-0.52190915349238876</v>
      </c>
      <c r="I11" s="67">
        <v>245491</v>
      </c>
      <c r="J11" s="66">
        <f t="shared" si="1"/>
        <v>0.15850648645842669</v>
      </c>
      <c r="K11" s="67">
        <v>211903</v>
      </c>
      <c r="L11" s="66">
        <f t="shared" si="6"/>
        <v>0.43741012074345398</v>
      </c>
      <c r="M11" s="67">
        <v>147420</v>
      </c>
      <c r="N11" s="66">
        <f t="shared" si="7"/>
        <v>3.3329828619493185E-2</v>
      </c>
      <c r="O11" s="67">
        <v>142665</v>
      </c>
      <c r="P11" s="66">
        <f t="shared" si="8"/>
        <v>0.13131016763675007</v>
      </c>
      <c r="Q11" s="67">
        <v>126106</v>
      </c>
      <c r="R11" s="66">
        <f t="shared" si="9"/>
        <v>4.2948235508175392E-2</v>
      </c>
      <c r="S11" s="67">
        <v>120913</v>
      </c>
      <c r="T11" s="66">
        <f t="shared" si="2"/>
        <v>-0.67723482179084715</v>
      </c>
      <c r="U11" s="67">
        <v>374616</v>
      </c>
      <c r="V11" s="66">
        <f t="shared" si="3"/>
        <v>0.53743489984117399</v>
      </c>
      <c r="W11" s="67">
        <v>243663</v>
      </c>
      <c r="X11" s="66">
        <f t="shared" si="4"/>
        <v>-0.48691940653018939</v>
      </c>
      <c r="Y11" s="67">
        <v>474902</v>
      </c>
      <c r="Z11" s="66">
        <f t="shared" si="10"/>
        <v>-0.16273009839510721</v>
      </c>
      <c r="AA11" s="75">
        <v>567203</v>
      </c>
      <c r="AC11" s="24"/>
    </row>
    <row r="12" spans="1:29" ht="14.25" customHeight="1" x14ac:dyDescent="0.2">
      <c r="A12" s="51" t="s">
        <v>59</v>
      </c>
      <c r="B12" s="45" t="s">
        <v>132</v>
      </c>
      <c r="C12" s="43">
        <v>74225362</v>
      </c>
      <c r="D12" s="102">
        <f t="shared" si="5"/>
        <v>8.2057931342450763E-2</v>
      </c>
      <c r="E12" s="52">
        <v>68596477</v>
      </c>
      <c r="F12" s="101">
        <f t="shared" si="0"/>
        <v>0.18258808212375444</v>
      </c>
      <c r="G12" s="52">
        <v>58005385</v>
      </c>
      <c r="H12" s="101">
        <f t="shared" si="0"/>
        <v>0.21803334644697481</v>
      </c>
      <c r="I12" s="67">
        <v>47622165</v>
      </c>
      <c r="J12" s="66">
        <f t="shared" si="1"/>
        <v>0.18541461177382801</v>
      </c>
      <c r="K12" s="67">
        <v>40173425</v>
      </c>
      <c r="L12" s="66">
        <f t="shared" si="6"/>
        <v>0.25921291014180214</v>
      </c>
      <c r="M12" s="67">
        <v>31903600</v>
      </c>
      <c r="N12" s="66">
        <f t="shared" si="7"/>
        <v>0.96215763290365075</v>
      </c>
      <c r="O12" s="67">
        <v>16259448</v>
      </c>
      <c r="P12" s="66">
        <f t="shared" si="8"/>
        <v>0.82522936536775737</v>
      </c>
      <c r="Q12" s="67">
        <v>8908167</v>
      </c>
      <c r="R12" s="66">
        <f t="shared" si="9"/>
        <v>1.4651349613951274</v>
      </c>
      <c r="S12" s="67">
        <v>3613663</v>
      </c>
      <c r="T12" s="66">
        <f t="shared" si="2"/>
        <v>0.2435581192234022</v>
      </c>
      <c r="U12" s="67">
        <v>2905906</v>
      </c>
      <c r="V12" s="66">
        <f t="shared" si="3"/>
        <v>-7.2449288689867219E-2</v>
      </c>
      <c r="W12" s="67">
        <v>3132881</v>
      </c>
      <c r="X12" s="66">
        <f t="shared" si="4"/>
        <v>-0.48551361174459551</v>
      </c>
      <c r="Y12" s="67">
        <v>6089337</v>
      </c>
      <c r="Z12" s="66">
        <f t="shared" si="10"/>
        <v>-0.60765915953374783</v>
      </c>
      <c r="AA12" s="75">
        <v>15520528</v>
      </c>
      <c r="AC12" s="24"/>
    </row>
    <row r="13" spans="1:29" ht="14.25" customHeight="1" x14ac:dyDescent="0.2">
      <c r="A13" s="51" t="s">
        <v>58</v>
      </c>
      <c r="B13" s="45" t="s">
        <v>132</v>
      </c>
      <c r="C13" s="43">
        <v>58669156</v>
      </c>
      <c r="D13" s="102">
        <f t="shared" si="5"/>
        <v>0.28439018982364783</v>
      </c>
      <c r="E13" s="52">
        <v>45678608</v>
      </c>
      <c r="F13" s="101">
        <f t="shared" si="0"/>
        <v>0.12086497292788123</v>
      </c>
      <c r="G13" s="52">
        <v>40752998</v>
      </c>
      <c r="H13" s="101">
        <f t="shared" si="0"/>
        <v>0.60222536859972298</v>
      </c>
      <c r="I13" s="67">
        <v>25435247</v>
      </c>
      <c r="J13" s="66">
        <f t="shared" si="1"/>
        <v>0.39459056539996018</v>
      </c>
      <c r="K13" s="67">
        <v>18238505</v>
      </c>
      <c r="L13" s="66">
        <f t="shared" si="6"/>
        <v>0.77420315065552159</v>
      </c>
      <c r="M13" s="67">
        <v>10279829</v>
      </c>
      <c r="N13" s="66">
        <f t="shared" si="7"/>
        <v>1.0849444428106247</v>
      </c>
      <c r="O13" s="67">
        <v>4930505</v>
      </c>
      <c r="P13" s="66">
        <f t="shared" si="8"/>
        <v>0.39268196576838932</v>
      </c>
      <c r="Q13" s="67">
        <v>3540295</v>
      </c>
      <c r="R13" s="66">
        <f t="shared" si="9"/>
        <v>0.48966076434268091</v>
      </c>
      <c r="S13" s="67">
        <v>2376578</v>
      </c>
      <c r="T13" s="66">
        <f t="shared" si="2"/>
        <v>-0.19145642615396963</v>
      </c>
      <c r="U13" s="67">
        <v>2939332</v>
      </c>
      <c r="V13" s="66">
        <f t="shared" si="3"/>
        <v>-0.44265641022529378</v>
      </c>
      <c r="W13" s="67">
        <v>5273824</v>
      </c>
      <c r="X13" s="66">
        <f t="shared" si="4"/>
        <v>-0.31198448482368979</v>
      </c>
      <c r="Y13" s="67">
        <v>7665269</v>
      </c>
      <c r="Z13" s="66">
        <f t="shared" si="10"/>
        <v>-0.86005344511040516</v>
      </c>
      <c r="AA13" s="75">
        <v>54772831</v>
      </c>
      <c r="AC13" s="24"/>
    </row>
    <row r="14" spans="1:29" ht="14.25" customHeight="1" x14ac:dyDescent="0.2">
      <c r="A14" s="51" t="s">
        <v>57</v>
      </c>
      <c r="B14" s="45" t="s">
        <v>132</v>
      </c>
      <c r="C14" s="43">
        <v>42734026</v>
      </c>
      <c r="D14" s="102">
        <f t="shared" si="5"/>
        <v>8.6834609224268444E-2</v>
      </c>
      <c r="E14" s="52">
        <v>39319714</v>
      </c>
      <c r="F14" s="101">
        <f t="shared" si="0"/>
        <v>0.18653894964647555</v>
      </c>
      <c r="G14" s="52">
        <v>33138157</v>
      </c>
      <c r="H14" s="101">
        <f t="shared" si="0"/>
        <v>0.25257491411787125</v>
      </c>
      <c r="I14" s="67">
        <v>26456028</v>
      </c>
      <c r="J14" s="66">
        <f t="shared" si="1"/>
        <v>0.26370608069540058</v>
      </c>
      <c r="K14" s="67">
        <v>20935270</v>
      </c>
      <c r="L14" s="66">
        <f t="shared" si="6"/>
        <v>0.52002339070551984</v>
      </c>
      <c r="M14" s="67">
        <v>13772992</v>
      </c>
      <c r="N14" s="66">
        <f t="shared" si="7"/>
        <v>0.71221793079716567</v>
      </c>
      <c r="O14" s="67">
        <v>8043948</v>
      </c>
      <c r="P14" s="66">
        <f t="shared" si="8"/>
        <v>1.3388233816394779</v>
      </c>
      <c r="Q14" s="67">
        <v>3439314</v>
      </c>
      <c r="R14" s="66">
        <f t="shared" si="9"/>
        <v>0.42487406613811518</v>
      </c>
      <c r="S14" s="67">
        <v>2413767</v>
      </c>
      <c r="T14" s="66">
        <f t="shared" si="2"/>
        <v>-0.44173642743896724</v>
      </c>
      <c r="U14" s="67">
        <v>4323705</v>
      </c>
      <c r="V14" s="66">
        <f t="shared" si="3"/>
        <v>-0.14804043813098378</v>
      </c>
      <c r="W14" s="67">
        <v>5075012</v>
      </c>
      <c r="X14" s="66">
        <f t="shared" si="4"/>
        <v>-0.48131019406516018</v>
      </c>
      <c r="Y14" s="67">
        <v>9784291</v>
      </c>
      <c r="Z14" s="66">
        <f t="shared" si="10"/>
        <v>-0.47549204394842826</v>
      </c>
      <c r="AA14" s="75">
        <v>18654228</v>
      </c>
      <c r="AC14" s="24"/>
    </row>
    <row r="15" spans="1:29" ht="14.25" customHeight="1" x14ac:dyDescent="0.2">
      <c r="A15" s="51" t="s">
        <v>56</v>
      </c>
      <c r="B15" s="45" t="s">
        <v>132</v>
      </c>
      <c r="C15" s="43">
        <v>186873635</v>
      </c>
      <c r="D15" s="102">
        <f t="shared" si="5"/>
        <v>0.16145086736385927</v>
      </c>
      <c r="E15" s="52">
        <v>160896720</v>
      </c>
      <c r="F15" s="101">
        <f t="shared" si="0"/>
        <v>-1.3354116480612022E-2</v>
      </c>
      <c r="G15" s="52">
        <v>163074435</v>
      </c>
      <c r="H15" s="101">
        <f t="shared" si="0"/>
        <v>-0.10432880172575387</v>
      </c>
      <c r="I15" s="67">
        <v>182069531</v>
      </c>
      <c r="J15" s="66">
        <f t="shared" si="1"/>
        <v>2.9431474747981357E-2</v>
      </c>
      <c r="K15" s="67">
        <v>176864158</v>
      </c>
      <c r="L15" s="66">
        <f t="shared" si="6"/>
        <v>0.1818335459126994</v>
      </c>
      <c r="M15" s="67">
        <v>149652342</v>
      </c>
      <c r="N15" s="66">
        <f t="shared" si="7"/>
        <v>0.57820399926348109</v>
      </c>
      <c r="O15" s="67">
        <v>94824460</v>
      </c>
      <c r="P15" s="66">
        <f t="shared" si="8"/>
        <v>0.94252928073564357</v>
      </c>
      <c r="Q15" s="67">
        <v>48814945</v>
      </c>
      <c r="R15" s="66">
        <f t="shared" si="9"/>
        <v>0.76301501296647256</v>
      </c>
      <c r="S15" s="67">
        <v>27688332</v>
      </c>
      <c r="T15" s="66">
        <f t="shared" si="2"/>
        <v>0.36279845989082871</v>
      </c>
      <c r="U15" s="67">
        <v>20317261</v>
      </c>
      <c r="V15" s="66">
        <f t="shared" si="3"/>
        <v>-8.0508737294986199E-2</v>
      </c>
      <c r="W15" s="67">
        <v>22096198</v>
      </c>
      <c r="X15" s="66">
        <f t="shared" si="4"/>
        <v>-0.44004097882068249</v>
      </c>
      <c r="Y15" s="67">
        <v>39460384</v>
      </c>
      <c r="Z15" s="66">
        <f t="shared" si="10"/>
        <v>-0.46536914945814956</v>
      </c>
      <c r="AA15" s="75">
        <v>73808655</v>
      </c>
      <c r="AC15" s="24"/>
    </row>
    <row r="16" spans="1:29" ht="14.25" customHeight="1" x14ac:dyDescent="0.2">
      <c r="A16" s="51" t="s">
        <v>55</v>
      </c>
      <c r="B16" s="45" t="s">
        <v>133</v>
      </c>
      <c r="C16" s="43">
        <v>9768934</v>
      </c>
      <c r="D16" s="102">
        <f t="shared" si="5"/>
        <v>0.28143501753081579</v>
      </c>
      <c r="E16" s="52">
        <v>7623433</v>
      </c>
      <c r="F16" s="101">
        <f t="shared" si="0"/>
        <v>0.23817711959806265</v>
      </c>
      <c r="G16" s="52">
        <v>6156981</v>
      </c>
      <c r="H16" s="101">
        <f t="shared" si="0"/>
        <v>0.5788482911100592</v>
      </c>
      <c r="I16" s="67">
        <v>3899666</v>
      </c>
      <c r="J16" s="66">
        <f t="shared" si="1"/>
        <v>0.3287160471196251</v>
      </c>
      <c r="K16" s="67">
        <v>2934913</v>
      </c>
      <c r="L16" s="66">
        <f t="shared" si="6"/>
        <v>8.4771391050795897E-2</v>
      </c>
      <c r="M16" s="67">
        <v>2705559</v>
      </c>
      <c r="N16" s="66">
        <f t="shared" si="7"/>
        <v>0.94400901891298816</v>
      </c>
      <c r="O16" s="67">
        <v>1391742</v>
      </c>
      <c r="P16" s="66">
        <f t="shared" si="8"/>
        <v>0.5986799256108446</v>
      </c>
      <c r="Q16" s="67">
        <v>870557</v>
      </c>
      <c r="R16" s="66">
        <f t="shared" si="9"/>
        <v>6.1845233230835239E-2</v>
      </c>
      <c r="S16" s="67">
        <v>819853</v>
      </c>
      <c r="T16" s="66">
        <f t="shared" si="2"/>
        <v>-0.44395182402938627</v>
      </c>
      <c r="U16" s="67">
        <v>1474428</v>
      </c>
      <c r="V16" s="66">
        <f t="shared" si="3"/>
        <v>-0.1376015319799051</v>
      </c>
      <c r="W16" s="67">
        <v>1709683</v>
      </c>
      <c r="X16" s="66">
        <f t="shared" si="4"/>
        <v>-0.52091160244991275</v>
      </c>
      <c r="Y16" s="67">
        <v>3568617</v>
      </c>
      <c r="Z16" s="66">
        <f t="shared" si="10"/>
        <v>-0.53177992843034583</v>
      </c>
      <c r="AA16" s="75">
        <v>7621666</v>
      </c>
      <c r="AC16" s="24"/>
    </row>
    <row r="17" spans="1:29" ht="14.25" customHeight="1" x14ac:dyDescent="0.2">
      <c r="A17" s="51" t="s">
        <v>93</v>
      </c>
      <c r="B17" s="45" t="s">
        <v>132</v>
      </c>
      <c r="C17" s="43">
        <v>347429284</v>
      </c>
      <c r="D17" s="102">
        <f t="shared" si="5"/>
        <v>-1.8162432904625381E-2</v>
      </c>
      <c r="E17" s="52">
        <v>353856173</v>
      </c>
      <c r="F17" s="101">
        <f t="shared" si="0"/>
        <v>-8.3492868881747229E-2</v>
      </c>
      <c r="G17" s="52">
        <v>386092111</v>
      </c>
      <c r="H17" s="101">
        <f t="shared" si="0"/>
        <v>0.12990388158154653</v>
      </c>
      <c r="I17" s="67">
        <v>341703500</v>
      </c>
      <c r="J17" s="66">
        <f t="shared" si="1"/>
        <v>1.8715775566268578E-2</v>
      </c>
      <c r="K17" s="67">
        <v>335425747</v>
      </c>
      <c r="L17" s="66">
        <f t="shared" si="6"/>
        <v>0.1645910616469719</v>
      </c>
      <c r="M17" s="67">
        <v>288020197</v>
      </c>
      <c r="N17" s="66">
        <f t="shared" si="7"/>
        <v>0.42635074275547202</v>
      </c>
      <c r="O17" s="67">
        <v>201928031</v>
      </c>
      <c r="P17" s="66">
        <f t="shared" si="8"/>
        <v>0.56880125680595484</v>
      </c>
      <c r="Q17" s="67">
        <v>128714858</v>
      </c>
      <c r="R17" s="66">
        <f t="shared" si="9"/>
        <v>0.3649448395823518</v>
      </c>
      <c r="S17" s="67">
        <v>94300410</v>
      </c>
      <c r="T17" s="66">
        <f t="shared" si="2"/>
        <v>0.4817788427822669</v>
      </c>
      <c r="U17" s="67">
        <v>63640003</v>
      </c>
      <c r="V17" s="66">
        <f t="shared" si="3"/>
        <v>-5.1461193854375087E-2</v>
      </c>
      <c r="W17" s="67">
        <v>67092672</v>
      </c>
      <c r="X17" s="66">
        <f t="shared" si="4"/>
        <v>-0.46700477031195786</v>
      </c>
      <c r="Y17" s="67">
        <v>125878560</v>
      </c>
      <c r="Z17" s="66">
        <f t="shared" si="10"/>
        <v>-0.44398992903533308</v>
      </c>
      <c r="AA17" s="75">
        <v>226396187</v>
      </c>
      <c r="AC17" s="24"/>
    </row>
    <row r="18" spans="1:29" ht="14.25" customHeight="1" x14ac:dyDescent="0.2">
      <c r="A18" s="51" t="s">
        <v>54</v>
      </c>
      <c r="B18" s="45" t="s">
        <v>132</v>
      </c>
      <c r="C18" s="43">
        <v>5063759</v>
      </c>
      <c r="D18" s="102">
        <f t="shared" si="5"/>
        <v>0.37276674189591263</v>
      </c>
      <c r="E18" s="52">
        <v>3688725</v>
      </c>
      <c r="F18" s="101">
        <f t="shared" si="0"/>
        <v>0.11943695619121497</v>
      </c>
      <c r="G18" s="52">
        <v>3295161</v>
      </c>
      <c r="H18" s="101">
        <f t="shared" si="0"/>
        <v>0.30164544436478269</v>
      </c>
      <c r="I18" s="67">
        <v>2531535</v>
      </c>
      <c r="J18" s="66">
        <f t="shared" si="1"/>
        <v>5.9449286498077791E-2</v>
      </c>
      <c r="K18" s="67">
        <v>2389482</v>
      </c>
      <c r="L18" s="66">
        <f t="shared" si="6"/>
        <v>0.71880325219158947</v>
      </c>
      <c r="M18" s="67">
        <v>1390201</v>
      </c>
      <c r="N18" s="66">
        <f t="shared" si="7"/>
        <v>1.2961639785612236</v>
      </c>
      <c r="O18" s="67">
        <v>605445</v>
      </c>
      <c r="P18" s="66">
        <f t="shared" si="8"/>
        <v>0.41491840402336044</v>
      </c>
      <c r="Q18" s="67">
        <v>427901</v>
      </c>
      <c r="R18" s="66">
        <f t="shared" si="9"/>
        <v>4.2096010324214426</v>
      </c>
      <c r="S18" s="67">
        <v>82137</v>
      </c>
      <c r="T18" s="66">
        <f t="shared" si="2"/>
        <v>-0.50465271956433899</v>
      </c>
      <c r="U18" s="67">
        <v>165817</v>
      </c>
      <c r="V18" s="66">
        <f t="shared" si="3"/>
        <v>-0.71005691604228049</v>
      </c>
      <c r="W18" s="67">
        <v>571895</v>
      </c>
      <c r="X18" s="66">
        <f t="shared" si="4"/>
        <v>-0.5615667207909194</v>
      </c>
      <c r="Y18" s="67">
        <v>1304406</v>
      </c>
      <c r="Z18" s="66">
        <f t="shared" si="10"/>
        <v>-0.52850142291138558</v>
      </c>
      <c r="AA18" s="75">
        <v>2766511</v>
      </c>
      <c r="AC18" s="24"/>
    </row>
    <row r="19" spans="1:29" ht="14.25" customHeight="1" x14ac:dyDescent="0.2">
      <c r="A19" s="51" t="s">
        <v>53</v>
      </c>
      <c r="B19" s="45" t="s">
        <v>133</v>
      </c>
      <c r="C19" s="43">
        <v>1509366</v>
      </c>
      <c r="D19" s="102">
        <f t="shared" si="5"/>
        <v>0.84819798474045172</v>
      </c>
      <c r="E19" s="52">
        <v>816669</v>
      </c>
      <c r="F19" s="101">
        <f t="shared" si="0"/>
        <v>0.12480786500140484</v>
      </c>
      <c r="G19" s="52">
        <v>726052</v>
      </c>
      <c r="H19" s="101">
        <f t="shared" si="0"/>
        <v>0.48165410956108623</v>
      </c>
      <c r="I19" s="67">
        <v>490028</v>
      </c>
      <c r="J19" s="66">
        <f t="shared" si="1"/>
        <v>0.50692994406226655</v>
      </c>
      <c r="K19" s="67">
        <v>325183</v>
      </c>
      <c r="L19" s="66">
        <f t="shared" si="6"/>
        <v>8.3683249353488476E-2</v>
      </c>
      <c r="M19" s="67">
        <v>300072</v>
      </c>
      <c r="N19" s="66">
        <f t="shared" si="7"/>
        <v>0.33021251695614007</v>
      </c>
      <c r="O19" s="67">
        <v>225582</v>
      </c>
      <c r="P19" s="66">
        <f t="shared" si="8"/>
        <v>0.28690741057675861</v>
      </c>
      <c r="Q19" s="67">
        <v>175290</v>
      </c>
      <c r="R19" s="66">
        <f t="shared" si="9"/>
        <v>-0.55316561855551849</v>
      </c>
      <c r="S19" s="67">
        <v>392293</v>
      </c>
      <c r="T19" s="66">
        <f t="shared" si="2"/>
        <v>0.29158037869035436</v>
      </c>
      <c r="U19" s="67">
        <v>303731</v>
      </c>
      <c r="V19" s="66">
        <f t="shared" si="3"/>
        <v>-0.35295295593839937</v>
      </c>
      <c r="W19" s="67">
        <v>469411</v>
      </c>
      <c r="X19" s="66">
        <f t="shared" si="4"/>
        <v>0.1754994002439092</v>
      </c>
      <c r="Y19" s="67">
        <v>399329</v>
      </c>
      <c r="Z19" s="66">
        <f t="shared" si="10"/>
        <v>-0.45562723056663545</v>
      </c>
      <c r="AA19" s="75">
        <v>733558</v>
      </c>
      <c r="AC19" s="24"/>
    </row>
    <row r="20" spans="1:29" ht="14.25" customHeight="1" x14ac:dyDescent="0.2">
      <c r="A20" s="51" t="s">
        <v>52</v>
      </c>
      <c r="B20" s="45" t="s">
        <v>132</v>
      </c>
      <c r="C20" s="43">
        <v>165640027</v>
      </c>
      <c r="D20" s="102">
        <f t="shared" si="5"/>
        <v>0.2157513955266257</v>
      </c>
      <c r="E20" s="52">
        <v>136244982</v>
      </c>
      <c r="F20" s="101">
        <f t="shared" si="0"/>
        <v>9.7440378358861102E-2</v>
      </c>
      <c r="G20" s="52">
        <v>124147958</v>
      </c>
      <c r="H20" s="101">
        <f t="shared" si="0"/>
        <v>0.20193352703547296</v>
      </c>
      <c r="I20" s="67">
        <v>103290203</v>
      </c>
      <c r="J20" s="66">
        <f t="shared" si="1"/>
        <v>0.12849237604329344</v>
      </c>
      <c r="K20" s="67">
        <v>91529376</v>
      </c>
      <c r="L20" s="66">
        <f t="shared" si="6"/>
        <v>0.21126531267552329</v>
      </c>
      <c r="M20" s="67">
        <v>75565093</v>
      </c>
      <c r="N20" s="66">
        <f t="shared" si="7"/>
        <v>0.80598298374884991</v>
      </c>
      <c r="O20" s="67">
        <v>41841531</v>
      </c>
      <c r="P20" s="66">
        <f t="shared" si="8"/>
        <v>1.0114435122095298</v>
      </c>
      <c r="Q20" s="67">
        <v>20801743</v>
      </c>
      <c r="R20" s="66">
        <f t="shared" si="9"/>
        <v>0.32424832923147839</v>
      </c>
      <c r="S20" s="67">
        <v>15708340</v>
      </c>
      <c r="T20" s="66">
        <f t="shared" si="2"/>
        <v>-0.19965215071505726</v>
      </c>
      <c r="U20" s="67">
        <v>19626891</v>
      </c>
      <c r="V20" s="66">
        <f t="shared" si="3"/>
        <v>-0.41295605143917791</v>
      </c>
      <c r="W20" s="67">
        <v>33433427</v>
      </c>
      <c r="X20" s="66">
        <f t="shared" si="4"/>
        <v>-0.26406981036232735</v>
      </c>
      <c r="Y20" s="67">
        <v>45430161</v>
      </c>
      <c r="Z20" s="66">
        <f t="shared" si="10"/>
        <v>-0.48727438262377576</v>
      </c>
      <c r="AA20" s="75">
        <v>88605210</v>
      </c>
      <c r="AC20" s="24"/>
    </row>
    <row r="21" spans="1:29" ht="14.25" customHeight="1" x14ac:dyDescent="0.2">
      <c r="A21" s="51" t="s">
        <v>51</v>
      </c>
      <c r="B21" s="45" t="s">
        <v>132</v>
      </c>
      <c r="C21" s="43">
        <v>39324489</v>
      </c>
      <c r="D21" s="102">
        <f t="shared" si="5"/>
        <v>7.5714958994963721E-2</v>
      </c>
      <c r="E21" s="52">
        <v>36556607</v>
      </c>
      <c r="F21" s="101">
        <f t="shared" si="0"/>
        <v>0.26037073508844055</v>
      </c>
      <c r="G21" s="52">
        <v>29004646</v>
      </c>
      <c r="H21" s="101">
        <f t="shared" si="0"/>
        <v>0.37028695023503988</v>
      </c>
      <c r="I21" s="67">
        <v>21166841</v>
      </c>
      <c r="J21" s="66">
        <f t="shared" si="1"/>
        <v>0.26048832781541753</v>
      </c>
      <c r="K21" s="67">
        <v>16792572</v>
      </c>
      <c r="L21" s="66">
        <f t="shared" si="6"/>
        <v>0.20601776043408271</v>
      </c>
      <c r="M21" s="67">
        <v>13923984</v>
      </c>
      <c r="N21" s="66">
        <f t="shared" si="7"/>
        <v>0.70710970816163421</v>
      </c>
      <c r="O21" s="67">
        <v>8156467</v>
      </c>
      <c r="P21" s="66">
        <f t="shared" si="8"/>
        <v>1.0118084619376582</v>
      </c>
      <c r="Q21" s="67">
        <v>4054296</v>
      </c>
      <c r="R21" s="66">
        <f t="shared" si="9"/>
        <v>0.61564551165080705</v>
      </c>
      <c r="S21" s="67">
        <v>2509397</v>
      </c>
      <c r="T21" s="66">
        <f t="shared" si="2"/>
        <v>-0.52877881571500307</v>
      </c>
      <c r="U21" s="67">
        <v>5325306</v>
      </c>
      <c r="V21" s="66">
        <f t="shared" si="3"/>
        <v>-0.12262060554976073</v>
      </c>
      <c r="W21" s="67">
        <v>6069559</v>
      </c>
      <c r="X21" s="66">
        <f t="shared" si="4"/>
        <v>-0.25028270842265432</v>
      </c>
      <c r="Y21" s="67">
        <v>8095797</v>
      </c>
      <c r="Z21" s="66">
        <f t="shared" si="10"/>
        <v>-0.35355099525379863</v>
      </c>
      <c r="AA21" s="75">
        <v>12523489</v>
      </c>
      <c r="AC21" s="24"/>
    </row>
    <row r="22" spans="1:29" ht="14.25" customHeight="1" x14ac:dyDescent="0.2">
      <c r="A22" s="51" t="s">
        <v>50</v>
      </c>
      <c r="B22" s="45" t="s">
        <v>132</v>
      </c>
      <c r="C22" s="43">
        <v>58315953</v>
      </c>
      <c r="D22" s="102">
        <f t="shared" si="5"/>
        <v>0.28107504681454798</v>
      </c>
      <c r="E22" s="52">
        <v>45521106</v>
      </c>
      <c r="F22" s="101">
        <f t="shared" si="0"/>
        <v>0.18057005261682213</v>
      </c>
      <c r="G22" s="52">
        <v>38558581</v>
      </c>
      <c r="H22" s="101">
        <f t="shared" si="0"/>
        <v>0.44613869010417684</v>
      </c>
      <c r="I22" s="67">
        <v>26663128</v>
      </c>
      <c r="J22" s="66">
        <f t="shared" si="1"/>
        <v>0.19660847520373737</v>
      </c>
      <c r="K22" s="67">
        <v>22282249</v>
      </c>
      <c r="L22" s="66">
        <f t="shared" si="6"/>
        <v>0.31835605995926652</v>
      </c>
      <c r="M22" s="67">
        <v>16901541</v>
      </c>
      <c r="N22" s="66">
        <f t="shared" si="7"/>
        <v>0.94460777788298933</v>
      </c>
      <c r="O22" s="67">
        <v>8691491</v>
      </c>
      <c r="P22" s="66">
        <f t="shared" si="8"/>
        <v>1.3108667347843301</v>
      </c>
      <c r="Q22" s="67">
        <v>3761139</v>
      </c>
      <c r="R22" s="66">
        <f t="shared" si="9"/>
        <v>0.91008217975946337</v>
      </c>
      <c r="S22" s="67">
        <v>1969098</v>
      </c>
      <c r="T22" s="66">
        <f t="shared" si="2"/>
        <v>0.65616413123837747</v>
      </c>
      <c r="U22" s="67">
        <v>1188951</v>
      </c>
      <c r="V22" s="66">
        <f t="shared" si="3"/>
        <v>-0.46714874736700573</v>
      </c>
      <c r="W22" s="67">
        <v>2231300</v>
      </c>
      <c r="X22" s="66">
        <f t="shared" si="4"/>
        <v>-0.54217375237577003</v>
      </c>
      <c r="Y22" s="67">
        <v>4873683</v>
      </c>
      <c r="Z22" s="66">
        <f t="shared" si="10"/>
        <v>-0.6012439804297387</v>
      </c>
      <c r="AA22" s="75">
        <v>12222218</v>
      </c>
      <c r="AC22" s="24"/>
    </row>
    <row r="23" spans="1:29" ht="14.25" customHeight="1" x14ac:dyDescent="0.2">
      <c r="A23" s="51" t="s">
        <v>49</v>
      </c>
      <c r="B23" s="45" t="s">
        <v>133</v>
      </c>
      <c r="C23" s="43">
        <v>1912115</v>
      </c>
      <c r="D23" s="102">
        <f t="shared" si="5"/>
        <v>0.99360978061185135</v>
      </c>
      <c r="E23" s="52">
        <v>959122</v>
      </c>
      <c r="F23" s="101">
        <f t="shared" si="0"/>
        <v>-0.31709230826191837</v>
      </c>
      <c r="G23" s="52">
        <v>1404468</v>
      </c>
      <c r="H23" s="101">
        <f t="shared" si="0"/>
        <v>0.45220037409616687</v>
      </c>
      <c r="I23" s="67">
        <v>967131</v>
      </c>
      <c r="J23" s="66">
        <f t="shared" si="1"/>
        <v>0.92007647500268019</v>
      </c>
      <c r="K23" s="67">
        <v>503694</v>
      </c>
      <c r="L23" s="66">
        <f t="shared" si="6"/>
        <v>0.32110914689481884</v>
      </c>
      <c r="M23" s="67">
        <v>381266</v>
      </c>
      <c r="N23" s="66">
        <f t="shared" si="7"/>
        <v>-0.5251394630222157</v>
      </c>
      <c r="O23" s="67">
        <v>802901</v>
      </c>
      <c r="P23" s="66">
        <f t="shared" si="8"/>
        <v>3.2279754820907627</v>
      </c>
      <c r="Q23" s="67">
        <v>189902</v>
      </c>
      <c r="R23" s="66">
        <f t="shared" si="9"/>
        <v>6.2899080624221337E-3</v>
      </c>
      <c r="S23" s="67">
        <v>188715</v>
      </c>
      <c r="T23" s="66">
        <f t="shared" si="2"/>
        <v>-0.49775912451496485</v>
      </c>
      <c r="U23" s="67">
        <v>375746</v>
      </c>
      <c r="V23" s="66">
        <f t="shared" si="3"/>
        <v>0.10641743667661929</v>
      </c>
      <c r="W23" s="67">
        <v>339606</v>
      </c>
      <c r="X23" s="66">
        <f t="shared" si="4"/>
        <v>-0.49624414816924478</v>
      </c>
      <c r="Y23" s="67">
        <v>674148</v>
      </c>
      <c r="Z23" s="66">
        <f t="shared" si="10"/>
        <v>-0.60433167568658908</v>
      </c>
      <c r="AA23" s="75">
        <v>1703821</v>
      </c>
      <c r="AC23" s="24"/>
    </row>
    <row r="24" spans="1:29" ht="14.25" customHeight="1" x14ac:dyDescent="0.2">
      <c r="A24" s="51" t="s">
        <v>48</v>
      </c>
      <c r="B24" s="45" t="s">
        <v>133</v>
      </c>
      <c r="C24" s="43">
        <v>1637545</v>
      </c>
      <c r="D24" s="102">
        <f t="shared" si="5"/>
        <v>-4.7639402858689839E-2</v>
      </c>
      <c r="E24" s="52">
        <v>1719459</v>
      </c>
      <c r="F24" s="101">
        <f t="shared" si="0"/>
        <v>0.24657012858211691</v>
      </c>
      <c r="G24" s="52">
        <v>1379352</v>
      </c>
      <c r="H24" s="101">
        <f t="shared" si="0"/>
        <v>-0.32931576546920838</v>
      </c>
      <c r="I24" s="70">
        <v>2056634</v>
      </c>
      <c r="J24" s="66">
        <f t="shared" si="1"/>
        <v>1.2500530612512826</v>
      </c>
      <c r="K24" s="70">
        <v>914038</v>
      </c>
      <c r="L24" s="66">
        <f t="shared" si="6"/>
        <v>-0.27553264762786434</v>
      </c>
      <c r="M24" s="70">
        <v>1261669</v>
      </c>
      <c r="N24" s="66">
        <f t="shared" si="7"/>
        <v>1.1074848704024483</v>
      </c>
      <c r="O24" s="70">
        <v>598661</v>
      </c>
      <c r="P24" s="66">
        <f t="shared" si="8"/>
        <v>0.73423889270309184</v>
      </c>
      <c r="Q24" s="70">
        <v>345201</v>
      </c>
      <c r="R24" s="66">
        <f t="shared" si="9"/>
        <v>3.2905052004165158E-2</v>
      </c>
      <c r="S24" s="70">
        <v>334204</v>
      </c>
      <c r="T24" s="66">
        <f t="shared" si="2"/>
        <v>-0.63299008470118479</v>
      </c>
      <c r="U24" s="67">
        <v>910613</v>
      </c>
      <c r="V24" s="66">
        <f t="shared" si="3"/>
        <v>3.5603037391946257E-2</v>
      </c>
      <c r="W24" s="67">
        <v>879307</v>
      </c>
      <c r="X24" s="66">
        <f t="shared" si="4"/>
        <v>-0.39372604881869566</v>
      </c>
      <c r="Y24" s="67">
        <v>1450346</v>
      </c>
      <c r="Z24" s="66">
        <f t="shared" si="10"/>
        <v>-0.4740927363062849</v>
      </c>
      <c r="AA24" s="75">
        <v>2757798</v>
      </c>
      <c r="AC24" s="24"/>
    </row>
    <row r="25" spans="1:29" ht="14.25" customHeight="1" x14ac:dyDescent="0.2">
      <c r="A25" s="51" t="s">
        <v>47</v>
      </c>
      <c r="B25" s="45" t="s">
        <v>133</v>
      </c>
      <c r="C25" s="43">
        <v>4251277</v>
      </c>
      <c r="D25" s="102">
        <f t="shared" si="5"/>
        <v>1.598090946203282</v>
      </c>
      <c r="E25" s="52">
        <v>1636308</v>
      </c>
      <c r="F25" s="101">
        <f t="shared" si="0"/>
        <v>-0.21972707986325857</v>
      </c>
      <c r="G25" s="52">
        <v>2097097</v>
      </c>
      <c r="H25" s="101">
        <f t="shared" si="0"/>
        <v>0.68400677104830798</v>
      </c>
      <c r="I25" s="67">
        <v>1245302</v>
      </c>
      <c r="J25" s="66">
        <f t="shared" si="1"/>
        <v>0.34579812952408129</v>
      </c>
      <c r="K25" s="67">
        <v>925326</v>
      </c>
      <c r="L25" s="66">
        <f t="shared" si="6"/>
        <v>-0.11847688365136377</v>
      </c>
      <c r="M25" s="67">
        <v>1049690</v>
      </c>
      <c r="N25" s="66">
        <f t="shared" si="7"/>
        <v>3.2040907871180657</v>
      </c>
      <c r="O25" s="67">
        <v>249683</v>
      </c>
      <c r="P25" s="66">
        <f t="shared" si="8"/>
        <v>-0.24697427112581538</v>
      </c>
      <c r="Q25" s="67">
        <v>331573</v>
      </c>
      <c r="R25" s="66">
        <f t="shared" si="9"/>
        <v>1.5438887226582581</v>
      </c>
      <c r="S25" s="67">
        <v>130341</v>
      </c>
      <c r="T25" s="66">
        <f t="shared" si="2"/>
        <v>-0.78244555756035106</v>
      </c>
      <c r="U25" s="67">
        <v>599119</v>
      </c>
      <c r="V25" s="66">
        <f t="shared" si="3"/>
        <v>0.28858314119549888</v>
      </c>
      <c r="W25" s="67">
        <v>464944</v>
      </c>
      <c r="X25" s="66">
        <f t="shared" si="4"/>
        <v>-0.72760991384992135</v>
      </c>
      <c r="Y25" s="67">
        <v>1706905</v>
      </c>
      <c r="Z25" s="66">
        <f t="shared" si="10"/>
        <v>-0.22789075335277809</v>
      </c>
      <c r="AA25" s="75">
        <v>2210704</v>
      </c>
      <c r="AC25" s="24"/>
    </row>
    <row r="26" spans="1:29" ht="14.25" customHeight="1" x14ac:dyDescent="0.2">
      <c r="A26" s="51" t="s">
        <v>46</v>
      </c>
      <c r="B26" s="45" t="s">
        <v>132</v>
      </c>
      <c r="C26" s="43">
        <v>1618631</v>
      </c>
      <c r="D26" s="102">
        <f t="shared" si="5"/>
        <v>1.9577650352308278</v>
      </c>
      <c r="E26" s="52">
        <v>547248</v>
      </c>
      <c r="F26" s="101">
        <f t="shared" si="0"/>
        <v>0.59718415914404033</v>
      </c>
      <c r="G26" s="52">
        <v>342633</v>
      </c>
      <c r="H26" s="101">
        <f t="shared" si="0"/>
        <v>-0.29779686026970531</v>
      </c>
      <c r="I26" s="67">
        <v>487940</v>
      </c>
      <c r="J26" s="66">
        <f t="shared" si="1"/>
        <v>0.1553141514973575</v>
      </c>
      <c r="K26" s="67">
        <v>422344</v>
      </c>
      <c r="L26" s="66">
        <f t="shared" si="6"/>
        <v>-0.19505687189339194</v>
      </c>
      <c r="M26" s="67">
        <v>524688</v>
      </c>
      <c r="N26" s="66">
        <f t="shared" si="7"/>
        <v>0.14796055668718178</v>
      </c>
      <c r="O26" s="67">
        <v>457061</v>
      </c>
      <c r="P26" s="66">
        <f t="shared" si="8"/>
        <v>1.5359029272731308</v>
      </c>
      <c r="Q26" s="67">
        <v>180236</v>
      </c>
      <c r="R26" s="66">
        <f t="shared" si="9"/>
        <v>0.34429237367145249</v>
      </c>
      <c r="S26" s="67">
        <v>134075</v>
      </c>
      <c r="T26" s="66">
        <f t="shared" si="2"/>
        <v>4.2935486418193305</v>
      </c>
      <c r="U26" s="67">
        <v>25328</v>
      </c>
      <c r="V26" s="66">
        <f t="shared" si="3"/>
        <v>-0.86666034924796398</v>
      </c>
      <c r="W26" s="67">
        <v>189951</v>
      </c>
      <c r="X26" s="66">
        <f t="shared" si="4"/>
        <v>-4.0229797941519707E-2</v>
      </c>
      <c r="Y26" s="67">
        <v>197913</v>
      </c>
      <c r="Z26" s="66">
        <f t="shared" si="10"/>
        <v>-0.68606964069310761</v>
      </c>
      <c r="AA26" s="75">
        <v>630436</v>
      </c>
      <c r="AC26" s="24"/>
    </row>
    <row r="27" spans="1:29" ht="14.25" customHeight="1" x14ac:dyDescent="0.2">
      <c r="A27" s="51" t="s">
        <v>45</v>
      </c>
      <c r="B27" s="45" t="s">
        <v>133</v>
      </c>
      <c r="C27" s="43">
        <v>3377916</v>
      </c>
      <c r="D27" s="102">
        <f t="shared" si="5"/>
        <v>1.8688646555238484</v>
      </c>
      <c r="E27" s="52">
        <v>1177440</v>
      </c>
      <c r="F27" s="101">
        <f t="shared" si="0"/>
        <v>-0.29102381378175424</v>
      </c>
      <c r="G27" s="52">
        <v>1660761</v>
      </c>
      <c r="H27" s="101">
        <f t="shared" si="0"/>
        <v>0.78482220677040404</v>
      </c>
      <c r="I27" s="67">
        <v>930491</v>
      </c>
      <c r="J27" s="66">
        <f t="shared" si="1"/>
        <v>8.2623046032685998E-3</v>
      </c>
      <c r="K27" s="67">
        <v>922866</v>
      </c>
      <c r="L27" s="66">
        <f t="shared" si="6"/>
        <v>1.4112275531239469</v>
      </c>
      <c r="M27" s="67">
        <v>382737</v>
      </c>
      <c r="N27" s="66">
        <f t="shared" si="7"/>
        <v>3.3393725694720011</v>
      </c>
      <c r="O27" s="67">
        <v>88201</v>
      </c>
      <c r="P27" s="66">
        <f t="shared" si="8"/>
        <v>-0.41934443281390921</v>
      </c>
      <c r="Q27" s="67">
        <v>151899</v>
      </c>
      <c r="R27" s="66">
        <f t="shared" si="9"/>
        <v>0.7467686292548299</v>
      </c>
      <c r="S27" s="67">
        <v>86960</v>
      </c>
      <c r="T27" s="66">
        <f t="shared" si="2"/>
        <v>-0.6726827891220476</v>
      </c>
      <c r="U27" s="67">
        <v>265675</v>
      </c>
      <c r="V27" s="66">
        <f t="shared" si="3"/>
        <v>-0.38729927377638584</v>
      </c>
      <c r="W27" s="67">
        <v>433613</v>
      </c>
      <c r="X27" s="66">
        <f t="shared" si="4"/>
        <v>-8.6876774177245042E-2</v>
      </c>
      <c r="Y27" s="67">
        <v>474868</v>
      </c>
      <c r="Z27" s="66">
        <f t="shared" si="10"/>
        <v>-0.37592093677307437</v>
      </c>
      <c r="AA27" s="75">
        <v>760910</v>
      </c>
      <c r="AC27" s="24"/>
    </row>
    <row r="28" spans="1:29" ht="14.25" customHeight="1" x14ac:dyDescent="0.2">
      <c r="A28" s="51" t="s">
        <v>44</v>
      </c>
      <c r="B28" s="45" t="s">
        <v>133</v>
      </c>
      <c r="C28" s="43">
        <v>767939</v>
      </c>
      <c r="D28" s="102">
        <f t="shared" si="5"/>
        <v>-0.19117148315965315</v>
      </c>
      <c r="E28" s="52">
        <v>949446</v>
      </c>
      <c r="F28" s="101">
        <f t="shared" si="0"/>
        <v>0.58672324268135556</v>
      </c>
      <c r="G28" s="52">
        <v>598369</v>
      </c>
      <c r="H28" s="101">
        <f t="shared" si="0"/>
        <v>1.7600428050203645</v>
      </c>
      <c r="I28" s="67">
        <v>216797</v>
      </c>
      <c r="J28" s="66">
        <f t="shared" si="1"/>
        <v>-0.26044196708784761</v>
      </c>
      <c r="K28" s="67">
        <v>293144</v>
      </c>
      <c r="L28" s="66">
        <f t="shared" si="6"/>
        <v>0.28080952838679796</v>
      </c>
      <c r="M28" s="67">
        <v>228874</v>
      </c>
      <c r="N28" s="66">
        <f t="shared" si="7"/>
        <v>0.30340495566552961</v>
      </c>
      <c r="O28" s="67">
        <v>175597</v>
      </c>
      <c r="P28" s="66">
        <f t="shared" si="8"/>
        <v>1.2820216249935021</v>
      </c>
      <c r="Q28" s="67">
        <v>76948</v>
      </c>
      <c r="R28" s="66">
        <f t="shared" si="9"/>
        <v>-0.33120681413237152</v>
      </c>
      <c r="S28" s="67">
        <v>115055</v>
      </c>
      <c r="T28" s="66">
        <f t="shared" si="2"/>
        <v>1.1787006002764682</v>
      </c>
      <c r="U28" s="67">
        <v>52809</v>
      </c>
      <c r="V28" s="66">
        <f t="shared" si="3"/>
        <v>-0.59420768722433115</v>
      </c>
      <c r="W28" s="67">
        <v>130138</v>
      </c>
      <c r="X28" s="66">
        <f t="shared" si="4"/>
        <v>-0.76088035014093103</v>
      </c>
      <c r="Y28" s="67">
        <v>544238</v>
      </c>
      <c r="Z28" s="66">
        <f t="shared" si="10"/>
        <v>-6.1122813191666236E-2</v>
      </c>
      <c r="AA28" s="75">
        <v>579669</v>
      </c>
      <c r="AC28" s="24"/>
    </row>
    <row r="29" spans="1:29" ht="14.25" customHeight="1" x14ac:dyDescent="0.2">
      <c r="A29" s="51" t="s">
        <v>43</v>
      </c>
      <c r="B29" s="45" t="s">
        <v>132</v>
      </c>
      <c r="C29" s="43">
        <v>1342765</v>
      </c>
      <c r="D29" s="102">
        <f t="shared" si="5"/>
        <v>-2.9477112467366506E-2</v>
      </c>
      <c r="E29" s="52">
        <v>1383548</v>
      </c>
      <c r="F29" s="101">
        <f t="shared" si="0"/>
        <v>0.81212925331338992</v>
      </c>
      <c r="G29" s="52">
        <v>763493</v>
      </c>
      <c r="H29" s="101">
        <f t="shared" si="0"/>
        <v>0.26576501151384235</v>
      </c>
      <c r="I29" s="67">
        <v>603187</v>
      </c>
      <c r="J29" s="66">
        <f t="shared" si="1"/>
        <v>-0.13898448796879037</v>
      </c>
      <c r="K29" s="67">
        <v>700553</v>
      </c>
      <c r="L29" s="66">
        <f t="shared" si="6"/>
        <v>0.45203767343334822</v>
      </c>
      <c r="M29" s="67">
        <v>482462</v>
      </c>
      <c r="N29" s="66">
        <f t="shared" si="7"/>
        <v>2.1532639669551124</v>
      </c>
      <c r="O29" s="67">
        <v>153004</v>
      </c>
      <c r="P29" s="66">
        <f t="shared" si="8"/>
        <v>0.11564486962608655</v>
      </c>
      <c r="Q29" s="67">
        <v>137144</v>
      </c>
      <c r="R29" s="66">
        <f t="shared" si="9"/>
        <v>1.0722250763047354</v>
      </c>
      <c r="S29" s="67">
        <v>66182</v>
      </c>
      <c r="T29" s="66">
        <f t="shared" si="2"/>
        <v>-0.2703197353914002</v>
      </c>
      <c r="U29" s="67">
        <v>90700</v>
      </c>
      <c r="V29" s="66">
        <f t="shared" si="3"/>
        <v>-0.82581207677327917</v>
      </c>
      <c r="W29" s="67">
        <v>520702</v>
      </c>
      <c r="X29" s="66">
        <f t="shared" si="4"/>
        <v>-0.19670413926415486</v>
      </c>
      <c r="Y29" s="67">
        <v>648207</v>
      </c>
      <c r="Z29" s="66">
        <f t="shared" si="10"/>
        <v>-0.66345982614528598</v>
      </c>
      <c r="AA29" s="75">
        <v>1926091</v>
      </c>
      <c r="AC29" s="24"/>
    </row>
    <row r="30" spans="1:29" ht="14.25" customHeight="1" x14ac:dyDescent="0.2">
      <c r="A30" s="51" t="s">
        <v>42</v>
      </c>
      <c r="B30" s="45" t="s">
        <v>132</v>
      </c>
      <c r="C30" s="43">
        <v>4946934</v>
      </c>
      <c r="D30" s="102">
        <f t="shared" si="5"/>
        <v>0.58555881838234303</v>
      </c>
      <c r="E30" s="52">
        <v>3119994</v>
      </c>
      <c r="F30" s="101">
        <f t="shared" si="0"/>
        <v>0.18832604530044716</v>
      </c>
      <c r="G30" s="52">
        <v>2625537</v>
      </c>
      <c r="H30" s="101">
        <f t="shared" si="0"/>
        <v>0.4687636881755981</v>
      </c>
      <c r="I30" s="67">
        <v>1787583</v>
      </c>
      <c r="J30" s="66">
        <f t="shared" si="1"/>
        <v>0.46184814822083964</v>
      </c>
      <c r="K30" s="67">
        <v>1222824</v>
      </c>
      <c r="L30" s="66">
        <f t="shared" si="6"/>
        <v>0.59091370360251361</v>
      </c>
      <c r="M30" s="67">
        <v>768630</v>
      </c>
      <c r="N30" s="66">
        <f t="shared" si="7"/>
        <v>9.2040650193010443E-3</v>
      </c>
      <c r="O30" s="67">
        <v>761620</v>
      </c>
      <c r="P30" s="66">
        <f t="shared" si="8"/>
        <v>1.4857860896243351</v>
      </c>
      <c r="Q30" s="67">
        <v>306390</v>
      </c>
      <c r="R30" s="66">
        <f t="shared" si="9"/>
        <v>-3.4536001260437987E-2</v>
      </c>
      <c r="S30" s="67">
        <v>317350</v>
      </c>
      <c r="T30" s="66">
        <f t="shared" si="2"/>
        <v>0.27209684531206157</v>
      </c>
      <c r="U30" s="67">
        <v>249470</v>
      </c>
      <c r="V30" s="66">
        <f t="shared" si="3"/>
        <v>-0.48849749856475022</v>
      </c>
      <c r="W30" s="67">
        <v>487720</v>
      </c>
      <c r="X30" s="66">
        <f t="shared" si="4"/>
        <v>-0.55773189332317707</v>
      </c>
      <c r="Y30" s="67">
        <v>1102770</v>
      </c>
      <c r="Z30" s="66">
        <f t="shared" si="10"/>
        <v>-0.48230649340894582</v>
      </c>
      <c r="AA30" s="75">
        <v>2130160</v>
      </c>
      <c r="AC30" s="24"/>
    </row>
    <row r="31" spans="1:29" ht="14.25" customHeight="1" x14ac:dyDescent="0.2">
      <c r="A31" s="51" t="s">
        <v>41</v>
      </c>
      <c r="B31" s="45" t="s">
        <v>132</v>
      </c>
      <c r="C31" s="43">
        <v>54058274</v>
      </c>
      <c r="D31" s="102">
        <f t="shared" si="5"/>
        <v>0.10513682607244523</v>
      </c>
      <c r="E31" s="52">
        <v>48915458</v>
      </c>
      <c r="F31" s="101">
        <f t="shared" si="0"/>
        <v>0.41788777599420635</v>
      </c>
      <c r="G31" s="52">
        <v>34498822</v>
      </c>
      <c r="H31" s="101">
        <f t="shared" si="0"/>
        <v>0.39875902727056944</v>
      </c>
      <c r="I31" s="67">
        <v>24663878</v>
      </c>
      <c r="J31" s="66">
        <f t="shared" si="1"/>
        <v>0.51543373422316563</v>
      </c>
      <c r="K31" s="67">
        <v>16275128</v>
      </c>
      <c r="L31" s="66">
        <f t="shared" si="6"/>
        <v>0.68094291531770557</v>
      </c>
      <c r="M31" s="67">
        <v>9682142</v>
      </c>
      <c r="N31" s="66">
        <f t="shared" si="7"/>
        <v>1.3984226428386881</v>
      </c>
      <c r="O31" s="67">
        <v>4036879</v>
      </c>
      <c r="P31" s="66">
        <f t="shared" si="8"/>
        <v>1.3792027752107576</v>
      </c>
      <c r="Q31" s="67">
        <v>1696736</v>
      </c>
      <c r="R31" s="66">
        <f t="shared" si="9"/>
        <v>0.12361934568292843</v>
      </c>
      <c r="S31" s="67">
        <v>1510063</v>
      </c>
      <c r="T31" s="66">
        <f t="shared" si="2"/>
        <v>-8.4087564854206209E-2</v>
      </c>
      <c r="U31" s="67">
        <v>1648698</v>
      </c>
      <c r="V31" s="66">
        <f t="shared" si="3"/>
        <v>-0.50949008566008724</v>
      </c>
      <c r="W31" s="67">
        <v>3361192</v>
      </c>
      <c r="X31" s="66">
        <f t="shared" si="4"/>
        <v>-0.54294357980516184</v>
      </c>
      <c r="Y31" s="67">
        <v>7353998</v>
      </c>
      <c r="Z31" s="66">
        <f t="shared" si="10"/>
        <v>-0.61019628006085047</v>
      </c>
      <c r="AA31" s="75">
        <v>18865900</v>
      </c>
      <c r="AC31" s="24"/>
    </row>
    <row r="32" spans="1:29" ht="14.25" customHeight="1" x14ac:dyDescent="0.2">
      <c r="A32" s="51" t="s">
        <v>40</v>
      </c>
      <c r="B32" s="45" t="s">
        <v>132</v>
      </c>
      <c r="C32" s="43">
        <v>25372683</v>
      </c>
      <c r="D32" s="102">
        <f t="shared" si="5"/>
        <v>0.32027622648861143</v>
      </c>
      <c r="E32" s="52">
        <v>19217708</v>
      </c>
      <c r="F32" s="101">
        <f t="shared" si="0"/>
        <v>0.13188304663396022</v>
      </c>
      <c r="G32" s="52">
        <v>16978528</v>
      </c>
      <c r="H32" s="101">
        <f t="shared" si="0"/>
        <v>0.1710843180697974</v>
      </c>
      <c r="I32" s="67">
        <v>14498126</v>
      </c>
      <c r="J32" s="66">
        <f t="shared" si="1"/>
        <v>0.2268299921024246</v>
      </c>
      <c r="K32" s="67">
        <v>11817551</v>
      </c>
      <c r="L32" s="66">
        <f t="shared" si="6"/>
        <v>0.77614453177545295</v>
      </c>
      <c r="M32" s="67">
        <v>6653485</v>
      </c>
      <c r="N32" s="66">
        <f t="shared" si="7"/>
        <v>0.91174188854722238</v>
      </c>
      <c r="O32" s="67">
        <v>3480326</v>
      </c>
      <c r="P32" s="66">
        <f t="shared" si="8"/>
        <v>0.94913022610592979</v>
      </c>
      <c r="Q32" s="67">
        <v>1785579</v>
      </c>
      <c r="R32" s="66">
        <f t="shared" si="9"/>
        <v>1.8436923670799299E-3</v>
      </c>
      <c r="S32" s="67">
        <v>1782293</v>
      </c>
      <c r="T32" s="66">
        <f t="shared" si="2"/>
        <v>3.5651467018877447E-2</v>
      </c>
      <c r="U32" s="67">
        <v>1720939</v>
      </c>
      <c r="V32" s="66">
        <f t="shared" si="3"/>
        <v>-0.45755800410833214</v>
      </c>
      <c r="W32" s="67">
        <v>3172577</v>
      </c>
      <c r="X32" s="66">
        <f t="shared" si="4"/>
        <v>-0.606980963598587</v>
      </c>
      <c r="Y32" s="67">
        <v>8072324</v>
      </c>
      <c r="Z32" s="66">
        <f t="shared" si="10"/>
        <v>-0.76743816745404736</v>
      </c>
      <c r="AA32" s="75">
        <v>34710442</v>
      </c>
      <c r="AC32" s="24"/>
    </row>
    <row r="33" spans="1:29" ht="14.25" customHeight="1" x14ac:dyDescent="0.2">
      <c r="A33" s="51" t="s">
        <v>39</v>
      </c>
      <c r="B33" s="45" t="s">
        <v>132</v>
      </c>
      <c r="C33" s="43">
        <v>327845710</v>
      </c>
      <c r="D33" s="102">
        <f t="shared" si="5"/>
        <v>3.4560209784354479E-2</v>
      </c>
      <c r="E33" s="52">
        <v>316893794</v>
      </c>
      <c r="F33" s="101">
        <f t="shared" si="0"/>
        <v>9.6976942003520916E-2</v>
      </c>
      <c r="G33" s="52">
        <v>288879175</v>
      </c>
      <c r="H33" s="101">
        <f t="shared" si="0"/>
        <v>0.19446445928827782</v>
      </c>
      <c r="I33" s="67">
        <v>241848280</v>
      </c>
      <c r="J33" s="66">
        <f t="shared" si="1"/>
        <v>0.22953827354903078</v>
      </c>
      <c r="K33" s="67">
        <v>196698456</v>
      </c>
      <c r="L33" s="66">
        <f t="shared" si="6"/>
        <v>0.33861757733959497</v>
      </c>
      <c r="M33" s="67">
        <v>146941486</v>
      </c>
      <c r="N33" s="66">
        <f t="shared" si="7"/>
        <v>0.64820128589807013</v>
      </c>
      <c r="O33" s="67">
        <v>89152634</v>
      </c>
      <c r="P33" s="66">
        <f t="shared" si="8"/>
        <v>0.9183647691992407</v>
      </c>
      <c r="Q33" s="67">
        <v>46473244</v>
      </c>
      <c r="R33" s="66">
        <f t="shared" si="9"/>
        <v>2.4166342818518438</v>
      </c>
      <c r="S33" s="67">
        <v>13602054</v>
      </c>
      <c r="T33" s="66">
        <f t="shared" si="2"/>
        <v>4.2022720325797458E-2</v>
      </c>
      <c r="U33" s="67">
        <v>13053510</v>
      </c>
      <c r="V33" s="66">
        <f t="shared" si="3"/>
        <v>-0.28674855396419097</v>
      </c>
      <c r="W33" s="67">
        <v>18301414</v>
      </c>
      <c r="X33" s="66">
        <f t="shared" si="4"/>
        <v>-0.41888390575355428</v>
      </c>
      <c r="Y33" s="67">
        <v>31493559</v>
      </c>
      <c r="Z33" s="66">
        <f t="shared" si="10"/>
        <v>-0.6571072795301709</v>
      </c>
      <c r="AA33" s="75">
        <v>91846683</v>
      </c>
      <c r="AC33" s="24"/>
    </row>
    <row r="34" spans="1:29" ht="14.25" customHeight="1" x14ac:dyDescent="0.2">
      <c r="A34" s="51" t="s">
        <v>38</v>
      </c>
      <c r="B34" s="45" t="s">
        <v>133</v>
      </c>
      <c r="C34" s="43">
        <v>212733</v>
      </c>
      <c r="D34" s="102">
        <f t="shared" si="5"/>
        <v>1194.129213483146</v>
      </c>
      <c r="E34" s="52">
        <v>178</v>
      </c>
      <c r="F34" s="101">
        <f t="shared" si="0"/>
        <v>-0.99945366596277563</v>
      </c>
      <c r="G34" s="52">
        <v>325808</v>
      </c>
      <c r="H34" s="101">
        <f t="shared" si="0"/>
        <v>1.8056421473227355</v>
      </c>
      <c r="I34" s="67">
        <v>116126</v>
      </c>
      <c r="J34" s="66">
        <f t="shared" si="1"/>
        <v>-0.49629790279554964</v>
      </c>
      <c r="K34" s="67">
        <v>230545</v>
      </c>
      <c r="L34" s="66">
        <f t="shared" si="6"/>
        <v>1.8786819333974303</v>
      </c>
      <c r="M34" s="67">
        <v>80087</v>
      </c>
      <c r="N34" s="66">
        <f t="shared" si="7"/>
        <v>1.3693677701843141</v>
      </c>
      <c r="O34" s="67">
        <v>33801</v>
      </c>
      <c r="P34" s="66">
        <f t="shared" si="8"/>
        <v>-0.64131922705519062</v>
      </c>
      <c r="Q34" s="67">
        <v>94237</v>
      </c>
      <c r="R34" s="66">
        <f t="shared" si="9"/>
        <v>-0.14013413020666998</v>
      </c>
      <c r="S34" s="67">
        <v>109595</v>
      </c>
      <c r="T34" s="66">
        <f t="shared" si="2"/>
        <v>-0.32177114920477756</v>
      </c>
      <c r="U34" s="67">
        <v>161590</v>
      </c>
      <c r="V34" s="66">
        <f t="shared" si="3"/>
        <v>0.44079962194502142</v>
      </c>
      <c r="W34" s="67">
        <v>112153</v>
      </c>
      <c r="X34" s="66">
        <f t="shared" si="4"/>
        <v>-0.29025623500971398</v>
      </c>
      <c r="Y34" s="67">
        <v>158019</v>
      </c>
      <c r="Z34" s="66">
        <f t="shared" si="10"/>
        <v>-0.59588930744267055</v>
      </c>
      <c r="AA34" s="75">
        <v>391029</v>
      </c>
      <c r="AC34" s="24"/>
    </row>
    <row r="35" spans="1:29" ht="14.25" customHeight="1" x14ac:dyDescent="0.2">
      <c r="A35" s="51" t="s">
        <v>37</v>
      </c>
      <c r="B35" s="45" t="s">
        <v>132</v>
      </c>
      <c r="C35" s="43">
        <v>93359114</v>
      </c>
      <c r="D35" s="102">
        <f t="shared" si="5"/>
        <v>4.0600733715190795E-2</v>
      </c>
      <c r="E35" s="52">
        <v>89716556</v>
      </c>
      <c r="F35" s="101">
        <f t="shared" si="0"/>
        <v>0.15160509324219706</v>
      </c>
      <c r="G35" s="52">
        <v>77905661</v>
      </c>
      <c r="H35" s="101">
        <f t="shared" si="0"/>
        <v>3.676151746370393E-2</v>
      </c>
      <c r="I35" s="67">
        <v>75143280</v>
      </c>
      <c r="J35" s="66">
        <f t="shared" si="1"/>
        <v>0.30700540318956615</v>
      </c>
      <c r="K35" s="67">
        <v>57492708</v>
      </c>
      <c r="L35" s="66">
        <f t="shared" si="6"/>
        <v>0.48578128541291998</v>
      </c>
      <c r="M35" s="67">
        <v>38695270</v>
      </c>
      <c r="N35" s="66">
        <f t="shared" si="7"/>
        <v>0.87944029546275826</v>
      </c>
      <c r="O35" s="67">
        <v>20588720</v>
      </c>
      <c r="P35" s="66">
        <f t="shared" si="8"/>
        <v>1.3441263971417867</v>
      </c>
      <c r="Q35" s="67">
        <v>8783110</v>
      </c>
      <c r="R35" s="66">
        <f t="shared" si="9"/>
        <v>0.26309166683444407</v>
      </c>
      <c r="S35" s="67">
        <v>6953660</v>
      </c>
      <c r="T35" s="66">
        <f t="shared" si="2"/>
        <v>0.11413647797734439</v>
      </c>
      <c r="U35" s="67">
        <v>6241300</v>
      </c>
      <c r="V35" s="66">
        <f t="shared" si="3"/>
        <v>-0.10526436511372528</v>
      </c>
      <c r="W35" s="67">
        <v>6975580</v>
      </c>
      <c r="X35" s="66">
        <f t="shared" si="4"/>
        <v>-0.45416288459732701</v>
      </c>
      <c r="Y35" s="67">
        <v>12779600</v>
      </c>
      <c r="Z35" s="66">
        <f t="shared" si="10"/>
        <v>-0.5127519623976099</v>
      </c>
      <c r="AA35" s="75">
        <v>26228120</v>
      </c>
      <c r="AC35" s="24"/>
    </row>
    <row r="36" spans="1:29" ht="14.25" customHeight="1" x14ac:dyDescent="0.2">
      <c r="A36" s="51" t="s">
        <v>36</v>
      </c>
      <c r="B36" s="45" t="s">
        <v>133</v>
      </c>
      <c r="C36" s="43">
        <v>964909</v>
      </c>
      <c r="D36" s="102">
        <f t="shared" si="5"/>
        <v>0.56153093012906097</v>
      </c>
      <c r="E36" s="52">
        <v>617925</v>
      </c>
      <c r="F36" s="101">
        <f t="shared" si="0"/>
        <v>0.15864051346379937</v>
      </c>
      <c r="G36" s="52">
        <v>533319</v>
      </c>
      <c r="H36" s="101">
        <f t="shared" si="0"/>
        <v>-0.18224180124261702</v>
      </c>
      <c r="I36" s="67">
        <v>652172</v>
      </c>
      <c r="J36" s="66">
        <f t="shared" si="1"/>
        <v>0.92691473582820705</v>
      </c>
      <c r="K36" s="67">
        <v>338454</v>
      </c>
      <c r="L36" s="66">
        <f t="shared" si="6"/>
        <v>-0.24150187353210106</v>
      </c>
      <c r="M36" s="67">
        <v>446216</v>
      </c>
      <c r="N36" s="66">
        <f t="shared" si="7"/>
        <v>0.28571387408984683</v>
      </c>
      <c r="O36" s="67">
        <v>347057</v>
      </c>
      <c r="P36" s="66">
        <f t="shared" si="8"/>
        <v>0.98178994192653168</v>
      </c>
      <c r="Q36" s="67">
        <v>175123</v>
      </c>
      <c r="R36" s="66">
        <f t="shared" si="9"/>
        <v>9.3363884397105634E-2</v>
      </c>
      <c r="S36" s="67">
        <v>160169</v>
      </c>
      <c r="T36" s="66">
        <f t="shared" si="2"/>
        <v>-0.47054020640367056</v>
      </c>
      <c r="U36" s="67">
        <v>302514</v>
      </c>
      <c r="V36" s="66">
        <f t="shared" si="3"/>
        <v>-0.41222096360213178</v>
      </c>
      <c r="W36" s="67">
        <v>514673</v>
      </c>
      <c r="X36" s="66">
        <f t="shared" si="4"/>
        <v>-6.4395915629425371E-2</v>
      </c>
      <c r="Y36" s="67">
        <v>550097</v>
      </c>
      <c r="Z36" s="66">
        <f t="shared" si="10"/>
        <v>-0.74135891453842584</v>
      </c>
      <c r="AA36" s="75">
        <v>2126874</v>
      </c>
      <c r="AC36" s="24"/>
    </row>
    <row r="37" spans="1:29" ht="14.25" customHeight="1" x14ac:dyDescent="0.2">
      <c r="A37" s="51" t="s">
        <v>35</v>
      </c>
      <c r="B37" s="45" t="s">
        <v>133</v>
      </c>
      <c r="C37" s="43">
        <v>2504080</v>
      </c>
      <c r="D37" s="102">
        <f t="shared" si="5"/>
        <v>0.1864961717294098</v>
      </c>
      <c r="E37" s="52">
        <v>2110483</v>
      </c>
      <c r="F37" s="101">
        <f t="shared" si="0"/>
        <v>0.21095103311795582</v>
      </c>
      <c r="G37" s="52">
        <v>1742831</v>
      </c>
      <c r="H37" s="101">
        <f t="shared" si="0"/>
        <v>0.16312179326325005</v>
      </c>
      <c r="I37" s="67">
        <v>1498408</v>
      </c>
      <c r="J37" s="66">
        <f t="shared" si="1"/>
        <v>2.3025022095173444</v>
      </c>
      <c r="K37" s="67">
        <v>453719</v>
      </c>
      <c r="L37" s="66">
        <f t="shared" si="6"/>
        <v>5.348713554981277E-2</v>
      </c>
      <c r="M37" s="67">
        <v>430683</v>
      </c>
      <c r="N37" s="66">
        <f t="shared" si="7"/>
        <v>0.37300552475619986</v>
      </c>
      <c r="O37" s="67">
        <v>313679</v>
      </c>
      <c r="P37" s="66">
        <f t="shared" si="8"/>
        <v>0.32462996980638081</v>
      </c>
      <c r="Q37" s="67">
        <v>236805</v>
      </c>
      <c r="R37" s="66">
        <f t="shared" si="9"/>
        <v>0.18111944616244036</v>
      </c>
      <c r="S37" s="67">
        <v>200492</v>
      </c>
      <c r="T37" s="66">
        <f t="shared" si="2"/>
        <v>-0.32311037286121347</v>
      </c>
      <c r="U37" s="67">
        <v>296196</v>
      </c>
      <c r="V37" s="66">
        <f t="shared" si="3"/>
        <v>-0.59988544843964031</v>
      </c>
      <c r="W37" s="67">
        <v>740278</v>
      </c>
      <c r="X37" s="66">
        <f t="shared" si="4"/>
        <v>4.7098927833884918E-2</v>
      </c>
      <c r="Y37" s="67">
        <v>706980</v>
      </c>
      <c r="Z37" s="66">
        <f t="shared" si="10"/>
        <v>-0.68876566341013312</v>
      </c>
      <c r="AA37" s="75">
        <v>2271536</v>
      </c>
      <c r="AC37" s="24"/>
    </row>
    <row r="38" spans="1:29" ht="14.25" customHeight="1" x14ac:dyDescent="0.2">
      <c r="A38" s="51" t="s">
        <v>34</v>
      </c>
      <c r="B38" s="45" t="s">
        <v>133</v>
      </c>
      <c r="C38" s="43">
        <v>747965</v>
      </c>
      <c r="D38" s="102">
        <f t="shared" si="5"/>
        <v>0.61430365868397874</v>
      </c>
      <c r="E38" s="52">
        <v>463336</v>
      </c>
      <c r="F38" s="101">
        <f t="shared" si="0"/>
        <v>0.53108188487211683</v>
      </c>
      <c r="G38" s="52">
        <v>302620</v>
      </c>
      <c r="H38" s="101">
        <f t="shared" si="0"/>
        <v>-8.6228814199053705E-2</v>
      </c>
      <c r="I38" s="67">
        <v>331177</v>
      </c>
      <c r="J38" s="66">
        <f t="shared" si="1"/>
        <v>9.6035530962175653E-2</v>
      </c>
      <c r="K38" s="67">
        <v>302159</v>
      </c>
      <c r="L38" s="66">
        <f t="shared" si="6"/>
        <v>-4.4695475124566841E-2</v>
      </c>
      <c r="M38" s="67">
        <v>316296</v>
      </c>
      <c r="N38" s="66">
        <f t="shared" si="7"/>
        <v>6.8452265793585836</v>
      </c>
      <c r="O38" s="67">
        <v>40317</v>
      </c>
      <c r="P38" s="66">
        <f t="shared" si="8"/>
        <v>-0.54091845913847481</v>
      </c>
      <c r="Q38" s="67">
        <v>87821</v>
      </c>
      <c r="R38" s="66">
        <f t="shared" si="9"/>
        <v>0.40282414580770887</v>
      </c>
      <c r="S38" s="67">
        <v>62603</v>
      </c>
      <c r="T38" s="66">
        <f t="shared" si="2"/>
        <v>-0.65941461291551051</v>
      </c>
      <c r="U38" s="67">
        <v>183810</v>
      </c>
      <c r="V38" s="66">
        <f t="shared" si="3"/>
        <v>-0.45146734946015143</v>
      </c>
      <c r="W38" s="67">
        <v>335094</v>
      </c>
      <c r="X38" s="66">
        <f t="shared" si="4"/>
        <v>-0.21144519198864797</v>
      </c>
      <c r="Y38" s="67">
        <v>424947</v>
      </c>
      <c r="Z38" s="66">
        <f t="shared" si="10"/>
        <v>-8.0159487768924564E-2</v>
      </c>
      <c r="AA38" s="75">
        <v>461979</v>
      </c>
      <c r="AC38" s="24"/>
    </row>
    <row r="39" spans="1:29" ht="14.25" customHeight="1" x14ac:dyDescent="0.2">
      <c r="A39" s="51" t="s">
        <v>33</v>
      </c>
      <c r="B39" s="45" t="s">
        <v>132</v>
      </c>
      <c r="C39" s="43">
        <v>127477616</v>
      </c>
      <c r="D39" s="102">
        <f t="shared" si="5"/>
        <v>7.800654697424414E-2</v>
      </c>
      <c r="E39" s="52">
        <v>118253100</v>
      </c>
      <c r="F39" s="101">
        <f t="shared" si="0"/>
        <v>0.24646880428618023</v>
      </c>
      <c r="G39" s="52">
        <v>94870485</v>
      </c>
      <c r="H39" s="101">
        <f t="shared" si="0"/>
        <v>0.47261963630687509</v>
      </c>
      <c r="I39" s="67">
        <v>64422939</v>
      </c>
      <c r="J39" s="66">
        <f t="shared" si="1"/>
        <v>0.48587882147738237</v>
      </c>
      <c r="K39" s="67">
        <v>43356792</v>
      </c>
      <c r="L39" s="66">
        <f t="shared" si="6"/>
        <v>0.36700513582355399</v>
      </c>
      <c r="M39" s="67">
        <v>31716627</v>
      </c>
      <c r="N39" s="66">
        <f t="shared" si="7"/>
        <v>0.9211679496207954</v>
      </c>
      <c r="O39" s="67">
        <v>16509034</v>
      </c>
      <c r="P39" s="66">
        <f t="shared" si="8"/>
        <v>1.2027543913230683</v>
      </c>
      <c r="Q39" s="67">
        <v>7494723</v>
      </c>
      <c r="R39" s="66">
        <f t="shared" si="9"/>
        <v>0.99007527781096916</v>
      </c>
      <c r="S39" s="67">
        <v>3766050</v>
      </c>
      <c r="T39" s="66">
        <f t="shared" si="2"/>
        <v>-0.2203169537198213</v>
      </c>
      <c r="U39" s="67">
        <v>4830232</v>
      </c>
      <c r="V39" s="66">
        <f t="shared" si="3"/>
        <v>-0.39024571286320298</v>
      </c>
      <c r="W39" s="67">
        <v>7921604</v>
      </c>
      <c r="X39" s="66">
        <f t="shared" si="4"/>
        <v>-0.5575988266232933</v>
      </c>
      <c r="Y39" s="67">
        <v>17905929</v>
      </c>
      <c r="Z39" s="66">
        <f t="shared" si="10"/>
        <v>-0.54491288691802864</v>
      </c>
      <c r="AA39" s="75">
        <v>39346157</v>
      </c>
      <c r="AC39" s="24"/>
    </row>
    <row r="40" spans="1:29" ht="14.25" customHeight="1" x14ac:dyDescent="0.2">
      <c r="A40" s="51" t="s">
        <v>32</v>
      </c>
      <c r="B40" s="45" t="s">
        <v>132</v>
      </c>
      <c r="C40" s="43">
        <v>183555560</v>
      </c>
      <c r="D40" s="102">
        <f t="shared" si="5"/>
        <v>6.5476199044962824E-2</v>
      </c>
      <c r="E40" s="52">
        <v>172275608</v>
      </c>
      <c r="F40" s="101">
        <f t="shared" si="0"/>
        <v>-0.14048749750616274</v>
      </c>
      <c r="G40" s="52">
        <v>200434092</v>
      </c>
      <c r="H40" s="101">
        <f t="shared" si="0"/>
        <v>8.8339246406676342E-2</v>
      </c>
      <c r="I40" s="67">
        <v>184165087</v>
      </c>
      <c r="J40" s="66">
        <f t="shared" si="1"/>
        <v>9.5551882401321953E-2</v>
      </c>
      <c r="K40" s="67">
        <v>168102570</v>
      </c>
      <c r="L40" s="66">
        <f t="shared" si="6"/>
        <v>0.32561992050281874</v>
      </c>
      <c r="M40" s="67">
        <v>126810534</v>
      </c>
      <c r="N40" s="66">
        <f t="shared" si="7"/>
        <v>0.37704103177326642</v>
      </c>
      <c r="O40" s="67">
        <v>92089147</v>
      </c>
      <c r="P40" s="66">
        <f t="shared" si="8"/>
        <v>0.97145309898749344</v>
      </c>
      <c r="Q40" s="67">
        <v>46711305</v>
      </c>
      <c r="R40" s="66">
        <f t="shared" si="9"/>
        <v>0.71736028473192448</v>
      </c>
      <c r="S40" s="67">
        <v>27199479</v>
      </c>
      <c r="T40" s="66">
        <f t="shared" si="2"/>
        <v>0.47444275566920546</v>
      </c>
      <c r="U40" s="67">
        <v>18447294</v>
      </c>
      <c r="V40" s="66">
        <f t="shared" si="3"/>
        <v>2.5926205231356025E-2</v>
      </c>
      <c r="W40" s="67">
        <v>17981112</v>
      </c>
      <c r="X40" s="66">
        <f t="shared" si="4"/>
        <v>-0.37668009078831399</v>
      </c>
      <c r="Y40" s="67">
        <v>28847325</v>
      </c>
      <c r="Z40" s="66">
        <f t="shared" si="10"/>
        <v>-0.59917876131278702</v>
      </c>
      <c r="AA40" s="75">
        <v>71970550</v>
      </c>
      <c r="AC40" s="24"/>
    </row>
    <row r="41" spans="1:29" ht="14.25" customHeight="1" x14ac:dyDescent="0.2">
      <c r="A41" s="51" t="s">
        <v>31</v>
      </c>
      <c r="B41" s="45" t="s">
        <v>132</v>
      </c>
      <c r="C41" s="43">
        <v>36004043</v>
      </c>
      <c r="D41" s="102">
        <f t="shared" si="5"/>
        <v>8.683061053973895E-2</v>
      </c>
      <c r="E41" s="52">
        <v>33127557</v>
      </c>
      <c r="F41" s="101">
        <f t="shared" si="0"/>
        <v>-1.4783325121597635E-2</v>
      </c>
      <c r="G41" s="52">
        <v>33624641</v>
      </c>
      <c r="H41" s="101">
        <f t="shared" si="0"/>
        <v>0.28383964436823073</v>
      </c>
      <c r="I41" s="67">
        <v>26190686</v>
      </c>
      <c r="J41" s="66">
        <f t="shared" si="1"/>
        <v>0.39071285149625412</v>
      </c>
      <c r="K41" s="67">
        <v>18832562</v>
      </c>
      <c r="L41" s="66">
        <f t="shared" si="6"/>
        <v>0.24974829259694875</v>
      </c>
      <c r="M41" s="67">
        <v>15069084</v>
      </c>
      <c r="N41" s="66">
        <f t="shared" si="7"/>
        <v>0.57070575567838921</v>
      </c>
      <c r="O41" s="67">
        <v>9593830</v>
      </c>
      <c r="P41" s="66">
        <f t="shared" si="8"/>
        <v>0.75734700012034573</v>
      </c>
      <c r="Q41" s="67">
        <v>5459269</v>
      </c>
      <c r="R41" s="66">
        <f t="shared" si="9"/>
        <v>0.13840808803366644</v>
      </c>
      <c r="S41" s="67">
        <v>4795529</v>
      </c>
      <c r="T41" s="66">
        <f t="shared" si="2"/>
        <v>-0.19367409161306748</v>
      </c>
      <c r="U41" s="67">
        <v>5947383</v>
      </c>
      <c r="V41" s="66">
        <f t="shared" si="3"/>
        <v>-0.4864770492818179</v>
      </c>
      <c r="W41" s="67">
        <v>11581533</v>
      </c>
      <c r="X41" s="66">
        <f t="shared" si="4"/>
        <v>-0.27733132443890463</v>
      </c>
      <c r="Y41" s="67">
        <v>16026062</v>
      </c>
      <c r="Z41" s="66">
        <f t="shared" si="10"/>
        <v>-0.53213661079332075</v>
      </c>
      <c r="AA41" s="75">
        <v>34253721</v>
      </c>
      <c r="AC41" s="24"/>
    </row>
    <row r="42" spans="1:29" ht="14.25" customHeight="1" x14ac:dyDescent="0.2">
      <c r="A42" s="51" t="s">
        <v>30</v>
      </c>
      <c r="B42" s="45" t="s">
        <v>133</v>
      </c>
      <c r="C42" s="43">
        <v>7974554</v>
      </c>
      <c r="D42" s="102">
        <f t="shared" si="5"/>
        <v>0.45847031833192142</v>
      </c>
      <c r="E42" s="52">
        <v>5467752</v>
      </c>
      <c r="F42" s="101">
        <f t="shared" si="0"/>
        <v>7.3222086854345392E-3</v>
      </c>
      <c r="G42" s="52">
        <v>5428007</v>
      </c>
      <c r="H42" s="101">
        <f t="shared" si="0"/>
        <v>0.51709129143766863</v>
      </c>
      <c r="I42" s="67">
        <v>3577904</v>
      </c>
      <c r="J42" s="66">
        <f t="shared" si="1"/>
        <v>0.53289296109911977</v>
      </c>
      <c r="K42" s="67">
        <v>2334086</v>
      </c>
      <c r="L42" s="66">
        <f t="shared" si="6"/>
        <v>1.4219846675549026</v>
      </c>
      <c r="M42" s="67">
        <v>963708</v>
      </c>
      <c r="N42" s="66">
        <f t="shared" si="7"/>
        <v>0.18622333112182532</v>
      </c>
      <c r="O42" s="67">
        <v>812417</v>
      </c>
      <c r="P42" s="66">
        <f t="shared" si="8"/>
        <v>0.59759814679346501</v>
      </c>
      <c r="Q42" s="67">
        <v>508524</v>
      </c>
      <c r="R42" s="66">
        <f t="shared" si="9"/>
        <v>-6.8804500291156478E-2</v>
      </c>
      <c r="S42" s="67">
        <v>546098</v>
      </c>
      <c r="T42" s="66">
        <f t="shared" si="2"/>
        <v>0.30503087540864504</v>
      </c>
      <c r="U42" s="67">
        <v>418456</v>
      </c>
      <c r="V42" s="66">
        <f t="shared" si="3"/>
        <v>-0.73185076390517612</v>
      </c>
      <c r="W42" s="67">
        <v>1560534</v>
      </c>
      <c r="X42" s="66">
        <f t="shared" si="4"/>
        <v>-0.2432299531836023</v>
      </c>
      <c r="Y42" s="67">
        <v>2062098</v>
      </c>
      <c r="Z42" s="66">
        <f t="shared" si="10"/>
        <v>-0.80938480993000628</v>
      </c>
      <c r="AA42" s="75">
        <v>10818120</v>
      </c>
      <c r="AC42" s="24"/>
    </row>
    <row r="43" spans="1:29" ht="14.25" customHeight="1" x14ac:dyDescent="0.2">
      <c r="A43" s="51" t="s">
        <v>29</v>
      </c>
      <c r="B43" s="45" t="s">
        <v>133</v>
      </c>
      <c r="C43" s="43">
        <v>56087</v>
      </c>
      <c r="D43" s="102">
        <f t="shared" si="5"/>
        <v>-5.2568455548235637E-2</v>
      </c>
      <c r="E43" s="52">
        <v>59199</v>
      </c>
      <c r="F43" s="101">
        <f t="shared" si="0"/>
        <v>0.65471265652951693</v>
      </c>
      <c r="G43" s="52">
        <v>35776</v>
      </c>
      <c r="H43" s="101">
        <f t="shared" si="0"/>
        <v>-0.36480656215045359</v>
      </c>
      <c r="I43" s="67">
        <v>56323</v>
      </c>
      <c r="J43" s="66">
        <f t="shared" si="1"/>
        <v>0.32126771136342303</v>
      </c>
      <c r="K43" s="67">
        <v>42628</v>
      </c>
      <c r="L43" s="66">
        <f t="shared" si="6"/>
        <v>0.9188836371820841</v>
      </c>
      <c r="M43" s="67">
        <v>22215</v>
      </c>
      <c r="N43" s="66">
        <f t="shared" si="7"/>
        <v>-0.78885086968919305</v>
      </c>
      <c r="O43" s="67">
        <v>105210</v>
      </c>
      <c r="P43" s="66">
        <f t="shared" si="8"/>
        <v>-0.19651448733026833</v>
      </c>
      <c r="Q43" s="67">
        <v>130942</v>
      </c>
      <c r="R43" s="66">
        <f t="shared" si="9"/>
        <v>2.3983545716436114</v>
      </c>
      <c r="S43" s="67">
        <v>38531</v>
      </c>
      <c r="T43" s="66">
        <f t="shared" si="2"/>
        <v>0.22573564498170828</v>
      </c>
      <c r="U43" s="67">
        <v>31435</v>
      </c>
      <c r="V43" s="66">
        <f t="shared" si="3"/>
        <v>-0.7965530185357772</v>
      </c>
      <c r="W43" s="67">
        <v>154512</v>
      </c>
      <c r="X43" s="66">
        <f t="shared" si="4"/>
        <v>-0.21397139993793657</v>
      </c>
      <c r="Y43" s="67">
        <v>196573</v>
      </c>
      <c r="Z43" s="66">
        <f t="shared" si="10"/>
        <v>7.1972733469666039E-2</v>
      </c>
      <c r="AA43" s="75">
        <v>183375</v>
      </c>
      <c r="AC43" s="24"/>
    </row>
    <row r="44" spans="1:29" ht="14.25" customHeight="1" x14ac:dyDescent="0.2">
      <c r="A44" s="51" t="s">
        <v>28</v>
      </c>
      <c r="B44" s="45" t="s">
        <v>133</v>
      </c>
      <c r="C44" s="43">
        <v>2036273</v>
      </c>
      <c r="D44" s="102">
        <f t="shared" si="5"/>
        <v>0.257449978911513</v>
      </c>
      <c r="E44" s="52">
        <v>1619367</v>
      </c>
      <c r="F44" s="101">
        <f t="shared" si="0"/>
        <v>1.001108454280895</v>
      </c>
      <c r="G44" s="52">
        <v>809235</v>
      </c>
      <c r="H44" s="101">
        <f t="shared" si="0"/>
        <v>0.22122872147772554</v>
      </c>
      <c r="I44" s="67">
        <v>662640</v>
      </c>
      <c r="J44" s="66">
        <f t="shared" si="1"/>
        <v>0.31523685140268909</v>
      </c>
      <c r="K44" s="67">
        <v>503818</v>
      </c>
      <c r="L44" s="66">
        <f t="shared" si="6"/>
        <v>-5.4161316242011925E-2</v>
      </c>
      <c r="M44" s="67">
        <v>532668</v>
      </c>
      <c r="N44" s="66">
        <f t="shared" si="7"/>
        <v>9.3748977445366375</v>
      </c>
      <c r="O44" s="67">
        <v>51342</v>
      </c>
      <c r="P44" s="66">
        <f t="shared" si="8"/>
        <v>-0.6025822631957829</v>
      </c>
      <c r="Q44" s="67">
        <v>129189</v>
      </c>
      <c r="R44" s="66">
        <f t="shared" si="9"/>
        <v>1.0934178117708062</v>
      </c>
      <c r="S44" s="67">
        <v>61712</v>
      </c>
      <c r="T44" s="66">
        <f t="shared" si="2"/>
        <v>-0.81130194685070067</v>
      </c>
      <c r="U44" s="67">
        <v>327041</v>
      </c>
      <c r="V44" s="66">
        <f t="shared" si="3"/>
        <v>0.58549190143064211</v>
      </c>
      <c r="W44" s="67">
        <v>206271</v>
      </c>
      <c r="X44" s="66">
        <f t="shared" si="4"/>
        <v>-0.74571143621119651</v>
      </c>
      <c r="Y44" s="67">
        <v>811169</v>
      </c>
      <c r="Z44" s="66">
        <f t="shared" si="10"/>
        <v>-5.5368777766779398E-2</v>
      </c>
      <c r="AA44" s="75">
        <v>858715</v>
      </c>
      <c r="AC44" s="24"/>
    </row>
    <row r="45" spans="1:29" ht="14.25" customHeight="1" x14ac:dyDescent="0.2">
      <c r="A45" s="51" t="s">
        <v>27</v>
      </c>
      <c r="B45" s="45" t="s">
        <v>132</v>
      </c>
      <c r="C45" s="43">
        <v>130699646</v>
      </c>
      <c r="D45" s="102">
        <f t="shared" si="5"/>
        <v>1.7794174111678496E-2</v>
      </c>
      <c r="E45" s="52">
        <v>128414614</v>
      </c>
      <c r="F45" s="101">
        <f t="shared" si="0"/>
        <v>1.8064650863265364E-2</v>
      </c>
      <c r="G45" s="52">
        <v>126136011</v>
      </c>
      <c r="H45" s="101">
        <f t="shared" si="0"/>
        <v>8.7152771307622778E-2</v>
      </c>
      <c r="I45" s="67">
        <v>116024182</v>
      </c>
      <c r="J45" s="66">
        <f t="shared" si="1"/>
        <v>0.14063479829035219</v>
      </c>
      <c r="K45" s="67">
        <v>101718957</v>
      </c>
      <c r="L45" s="66">
        <f t="shared" si="6"/>
        <v>0.34122014996397976</v>
      </c>
      <c r="M45" s="67">
        <v>75840612</v>
      </c>
      <c r="N45" s="66">
        <f t="shared" si="7"/>
        <v>0.87984641203694802</v>
      </c>
      <c r="O45" s="67">
        <v>40344047</v>
      </c>
      <c r="P45" s="66">
        <f t="shared" si="8"/>
        <v>1.1884276661328141</v>
      </c>
      <c r="Q45" s="67">
        <v>18435175</v>
      </c>
      <c r="R45" s="66">
        <f t="shared" si="9"/>
        <v>2.1177922350713541</v>
      </c>
      <c r="S45" s="67">
        <v>5912894</v>
      </c>
      <c r="T45" s="66">
        <f t="shared" si="2"/>
        <v>-5.9964916174330418E-2</v>
      </c>
      <c r="U45" s="67">
        <v>6290078</v>
      </c>
      <c r="V45" s="66">
        <f t="shared" si="3"/>
        <v>-0.28312464427353623</v>
      </c>
      <c r="W45" s="67">
        <v>8774298</v>
      </c>
      <c r="X45" s="66">
        <f t="shared" si="4"/>
        <v>-0.46341178523942061</v>
      </c>
      <c r="Y45" s="67">
        <v>16352014</v>
      </c>
      <c r="Z45" s="66">
        <f t="shared" si="10"/>
        <v>-0.58594125926468932</v>
      </c>
      <c r="AA45" s="75">
        <v>39492015</v>
      </c>
      <c r="AC45" s="24"/>
    </row>
    <row r="46" spans="1:29" ht="14.25" customHeight="1" x14ac:dyDescent="0.2">
      <c r="A46" s="51" t="s">
        <v>26</v>
      </c>
      <c r="B46" s="45" t="s">
        <v>132</v>
      </c>
      <c r="C46" s="43">
        <v>79625072</v>
      </c>
      <c r="D46" s="102">
        <f t="shared" si="5"/>
        <v>0.12989191673002809</v>
      </c>
      <c r="E46" s="52">
        <v>70471406</v>
      </c>
      <c r="F46" s="101">
        <f t="shared" si="0"/>
        <v>0.1233957278178206</v>
      </c>
      <c r="G46" s="52">
        <v>62730705</v>
      </c>
      <c r="H46" s="101">
        <f t="shared" si="0"/>
        <v>0.31358296741150982</v>
      </c>
      <c r="I46" s="67">
        <v>47755419</v>
      </c>
      <c r="J46" s="66">
        <f t="shared" si="1"/>
        <v>0.28903320523641685</v>
      </c>
      <c r="K46" s="67">
        <v>37047470</v>
      </c>
      <c r="L46" s="66">
        <f t="shared" si="6"/>
        <v>0.632394110201838</v>
      </c>
      <c r="M46" s="67">
        <v>22695175</v>
      </c>
      <c r="N46" s="66">
        <f t="shared" si="7"/>
        <v>0.45297344769918513</v>
      </c>
      <c r="O46" s="67">
        <v>15619814</v>
      </c>
      <c r="P46" s="66">
        <f t="shared" si="8"/>
        <v>1.1100178002788983</v>
      </c>
      <c r="Q46" s="67">
        <v>7402693</v>
      </c>
      <c r="R46" s="66">
        <f t="shared" si="9"/>
        <v>0.40306925361694335</v>
      </c>
      <c r="S46" s="67">
        <v>5276071</v>
      </c>
      <c r="T46" s="66">
        <f t="shared" si="2"/>
        <v>-0.18353135578086377</v>
      </c>
      <c r="U46" s="67">
        <v>6462062</v>
      </c>
      <c r="V46" s="66">
        <f t="shared" si="3"/>
        <v>-0.43087726319234454</v>
      </c>
      <c r="W46" s="67">
        <v>11354426</v>
      </c>
      <c r="X46" s="66">
        <f t="shared" si="4"/>
        <v>-0.46449601221548464</v>
      </c>
      <c r="Y46" s="67">
        <v>21203252</v>
      </c>
      <c r="Z46" s="66">
        <f t="shared" si="10"/>
        <v>-0.57994474030025223</v>
      </c>
      <c r="AA46" s="75">
        <v>50477292</v>
      </c>
      <c r="AC46" s="24"/>
    </row>
    <row r="47" spans="1:29" ht="14.25" customHeight="1" x14ac:dyDescent="0.2">
      <c r="A47" s="51" t="s">
        <v>25</v>
      </c>
      <c r="B47" s="45" t="s">
        <v>132</v>
      </c>
      <c r="C47" s="43">
        <v>95124669</v>
      </c>
      <c r="D47" s="102">
        <f t="shared" si="5"/>
        <v>-1.0483337480042376E-2</v>
      </c>
      <c r="E47" s="52">
        <v>96132458</v>
      </c>
      <c r="F47" s="101">
        <f t="shared" si="0"/>
        <v>4.8816140729132762E-2</v>
      </c>
      <c r="G47" s="52">
        <v>91658065</v>
      </c>
      <c r="H47" s="101">
        <f t="shared" si="0"/>
        <v>0.10003162627687545</v>
      </c>
      <c r="I47" s="67">
        <v>83323118</v>
      </c>
      <c r="J47" s="66">
        <f t="shared" si="1"/>
        <v>0.14350906606678326</v>
      </c>
      <c r="K47" s="67">
        <v>72866163</v>
      </c>
      <c r="L47" s="66">
        <f t="shared" si="6"/>
        <v>0.22144025665039835</v>
      </c>
      <c r="M47" s="67">
        <v>59655937</v>
      </c>
      <c r="N47" s="66">
        <f t="shared" si="7"/>
        <v>1.0906926509636521</v>
      </c>
      <c r="O47" s="67">
        <v>28534054</v>
      </c>
      <c r="P47" s="66">
        <f t="shared" si="8"/>
        <v>0.5090605869702538</v>
      </c>
      <c r="Q47" s="67">
        <v>18908488</v>
      </c>
      <c r="R47" s="66">
        <f t="shared" si="9"/>
        <v>0.79300505220280848</v>
      </c>
      <c r="S47" s="67">
        <v>10545697</v>
      </c>
      <c r="T47" s="66">
        <f t="shared" si="2"/>
        <v>-6.1545968126885953E-2</v>
      </c>
      <c r="U47" s="67">
        <v>11237308</v>
      </c>
      <c r="V47" s="66">
        <f t="shared" si="3"/>
        <v>-0.1283593546266274</v>
      </c>
      <c r="W47" s="67">
        <v>12892134</v>
      </c>
      <c r="X47" s="66">
        <f t="shared" si="4"/>
        <v>-0.28105010652806073</v>
      </c>
      <c r="Y47" s="67">
        <v>17931895</v>
      </c>
      <c r="Z47" s="66">
        <f t="shared" si="10"/>
        <v>-0.49210906429752233</v>
      </c>
      <c r="AA47" s="75">
        <v>35306586</v>
      </c>
      <c r="AC47" s="24"/>
    </row>
    <row r="48" spans="1:29" ht="14.25" customHeight="1" x14ac:dyDescent="0.2">
      <c r="A48" s="51" t="s">
        <v>24</v>
      </c>
      <c r="B48" s="45" t="s">
        <v>132</v>
      </c>
      <c r="C48" s="43">
        <v>55445303</v>
      </c>
      <c r="D48" s="102">
        <f t="shared" si="5"/>
        <v>0.41113549707787489</v>
      </c>
      <c r="E48" s="52">
        <v>39291268</v>
      </c>
      <c r="F48" s="101">
        <f t="shared" si="0"/>
        <v>0.17578326139062761</v>
      </c>
      <c r="G48" s="52">
        <v>33417101</v>
      </c>
      <c r="H48" s="101">
        <f t="shared" si="0"/>
        <v>0.11923454194467564</v>
      </c>
      <c r="I48" s="67">
        <v>29857103</v>
      </c>
      <c r="J48" s="66">
        <f t="shared" si="1"/>
        <v>0.10896455671321825</v>
      </c>
      <c r="K48" s="67">
        <v>26923406</v>
      </c>
      <c r="L48" s="66">
        <f t="shared" si="6"/>
        <v>8.7063892495714112E-2</v>
      </c>
      <c r="M48" s="67">
        <v>24767087</v>
      </c>
      <c r="N48" s="66">
        <f t="shared" si="7"/>
        <v>0.29079058782595979</v>
      </c>
      <c r="O48" s="67">
        <v>19187533</v>
      </c>
      <c r="P48" s="66">
        <f t="shared" si="8"/>
        <v>0.19108444024590265</v>
      </c>
      <c r="Q48" s="67">
        <v>16109297</v>
      </c>
      <c r="R48" s="66">
        <f t="shared" si="9"/>
        <v>0.4759733396980399</v>
      </c>
      <c r="S48" s="67">
        <v>10914355</v>
      </c>
      <c r="T48" s="66">
        <f t="shared" si="2"/>
        <v>2.72069219109079E-2</v>
      </c>
      <c r="U48" s="67">
        <v>10625274</v>
      </c>
      <c r="V48" s="66">
        <f t="shared" si="3"/>
        <v>0.96482417449925562</v>
      </c>
      <c r="W48" s="67">
        <v>5407748</v>
      </c>
      <c r="X48" s="66">
        <f t="shared" si="4"/>
        <v>-0.62995849977309271</v>
      </c>
      <c r="Y48" s="67">
        <v>14613896</v>
      </c>
      <c r="Z48" s="66">
        <f t="shared" si="10"/>
        <v>-0.25317134861993884</v>
      </c>
      <c r="AA48" s="75">
        <v>19567937</v>
      </c>
      <c r="AC48" s="24"/>
    </row>
    <row r="49" spans="1:29" ht="14.25" customHeight="1" x14ac:dyDescent="0.2">
      <c r="A49" s="51" t="s">
        <v>23</v>
      </c>
      <c r="B49" s="45" t="s">
        <v>132</v>
      </c>
      <c r="C49" s="43">
        <v>38809510</v>
      </c>
      <c r="D49" s="102">
        <f t="shared" si="5"/>
        <v>0.25518786269436244</v>
      </c>
      <c r="E49" s="52">
        <v>30919284</v>
      </c>
      <c r="F49" s="101">
        <f t="shared" si="0"/>
        <v>0.13389958969267268</v>
      </c>
      <c r="G49" s="52">
        <v>27268097</v>
      </c>
      <c r="H49" s="101">
        <f t="shared" si="0"/>
        <v>0.19363179479201409</v>
      </c>
      <c r="I49" s="67">
        <v>22844647</v>
      </c>
      <c r="J49" s="66">
        <f t="shared" si="1"/>
        <v>0.27336259316258649</v>
      </c>
      <c r="K49" s="67">
        <v>17940410</v>
      </c>
      <c r="L49" s="66">
        <f t="shared" si="6"/>
        <v>0.32460898163302532</v>
      </c>
      <c r="M49" s="67">
        <v>13543929</v>
      </c>
      <c r="N49" s="66">
        <f t="shared" si="7"/>
        <v>0.92723497249719955</v>
      </c>
      <c r="O49" s="67">
        <v>7027648</v>
      </c>
      <c r="P49" s="66">
        <f t="shared" si="8"/>
        <v>2.083179378691566</v>
      </c>
      <c r="Q49" s="67">
        <v>2279351</v>
      </c>
      <c r="R49" s="66">
        <f t="shared" si="9"/>
        <v>-0.15732117459990014</v>
      </c>
      <c r="S49" s="67">
        <v>2704887</v>
      </c>
      <c r="T49" s="66">
        <f t="shared" si="2"/>
        <v>-0.16917093002683337</v>
      </c>
      <c r="U49" s="67">
        <v>3255648</v>
      </c>
      <c r="V49" s="66">
        <f t="shared" si="3"/>
        <v>-0.25907166389167802</v>
      </c>
      <c r="W49" s="67">
        <v>4394012</v>
      </c>
      <c r="X49" s="66">
        <f t="shared" si="4"/>
        <v>-0.30399871761242747</v>
      </c>
      <c r="Y49" s="67">
        <v>6313224</v>
      </c>
      <c r="Z49" s="66">
        <f t="shared" si="10"/>
        <v>-0.44302363999765326</v>
      </c>
      <c r="AA49" s="75">
        <v>11334815</v>
      </c>
      <c r="AC49" s="24"/>
    </row>
    <row r="50" spans="1:29" ht="14.25" customHeight="1" x14ac:dyDescent="0.2">
      <c r="A50" s="51" t="s">
        <v>22</v>
      </c>
      <c r="B50" s="45" t="s">
        <v>132</v>
      </c>
      <c r="C50" s="43">
        <v>34687008</v>
      </c>
      <c r="D50" s="102">
        <f t="shared" si="5"/>
        <v>0.30168305737949086</v>
      </c>
      <c r="E50" s="52">
        <v>26647814</v>
      </c>
      <c r="F50" s="101">
        <f t="shared" si="0"/>
        <v>0.25067104122986383</v>
      </c>
      <c r="G50" s="52">
        <v>21306813</v>
      </c>
      <c r="H50" s="101">
        <f t="shared" si="0"/>
        <v>0.11348012600564616</v>
      </c>
      <c r="I50" s="67">
        <v>19135333</v>
      </c>
      <c r="J50" s="66">
        <f t="shared" si="1"/>
        <v>0.34473774310622196</v>
      </c>
      <c r="K50" s="67">
        <v>14229788</v>
      </c>
      <c r="L50" s="66">
        <f t="shared" si="6"/>
        <v>0.44012609336852027</v>
      </c>
      <c r="M50" s="67">
        <v>9880932</v>
      </c>
      <c r="N50" s="66">
        <f t="shared" si="7"/>
        <v>0.42517375239105148</v>
      </c>
      <c r="O50" s="67">
        <v>6933142</v>
      </c>
      <c r="P50" s="66">
        <f t="shared" si="8"/>
        <v>0.7376334934088824</v>
      </c>
      <c r="Q50" s="67">
        <v>3989991</v>
      </c>
      <c r="R50" s="66">
        <f t="shared" si="9"/>
        <v>0.45264106396185988</v>
      </c>
      <c r="S50" s="67">
        <v>2746715</v>
      </c>
      <c r="T50" s="66">
        <f t="shared" si="2"/>
        <v>-0.30134988019717868</v>
      </c>
      <c r="U50" s="67">
        <v>3931460</v>
      </c>
      <c r="V50" s="66">
        <f t="shared" si="3"/>
        <v>-0.36028177502907766</v>
      </c>
      <c r="W50" s="67">
        <v>6145612</v>
      </c>
      <c r="X50" s="66">
        <f t="shared" si="4"/>
        <v>-0.45900655148688396</v>
      </c>
      <c r="Y50" s="67">
        <v>11359864</v>
      </c>
      <c r="Z50" s="66">
        <f t="shared" si="10"/>
        <v>-0.42639481899055787</v>
      </c>
      <c r="AA50" s="75">
        <v>19804326</v>
      </c>
      <c r="AC50" s="24"/>
    </row>
    <row r="51" spans="1:29" ht="14.25" customHeight="1" x14ac:dyDescent="0.2">
      <c r="A51" s="51" t="s">
        <v>21</v>
      </c>
      <c r="B51" s="45" t="s">
        <v>132</v>
      </c>
      <c r="C51" s="43">
        <v>7239372</v>
      </c>
      <c r="D51" s="102">
        <f t="shared" si="5"/>
        <v>0.15210854949841535</v>
      </c>
      <c r="E51" s="52">
        <v>6283585</v>
      </c>
      <c r="F51" s="101">
        <f t="shared" si="0"/>
        <v>0.18797169173690698</v>
      </c>
      <c r="G51" s="52">
        <v>5289339</v>
      </c>
      <c r="H51" s="101">
        <f t="shared" si="0"/>
        <v>0.40971261456012664</v>
      </c>
      <c r="I51" s="67">
        <v>3752069</v>
      </c>
      <c r="J51" s="66">
        <f t="shared" si="1"/>
        <v>0.31032838977501664</v>
      </c>
      <c r="K51" s="67">
        <v>2863457</v>
      </c>
      <c r="L51" s="66">
        <f t="shared" si="6"/>
        <v>1.1453390713055933</v>
      </c>
      <c r="M51" s="67">
        <v>1334734</v>
      </c>
      <c r="N51" s="66">
        <f t="shared" si="7"/>
        <v>0.62443787507956472</v>
      </c>
      <c r="O51" s="67">
        <v>821659</v>
      </c>
      <c r="P51" s="66">
        <f t="shared" si="8"/>
        <v>0.42552859266918697</v>
      </c>
      <c r="Q51" s="67">
        <v>576389</v>
      </c>
      <c r="R51" s="66">
        <f t="shared" si="9"/>
        <v>1.2927259058309697</v>
      </c>
      <c r="S51" s="67">
        <v>251399</v>
      </c>
      <c r="T51" s="66">
        <f t="shared" si="2"/>
        <v>0.45624583659165285</v>
      </c>
      <c r="U51" s="67">
        <v>172635</v>
      </c>
      <c r="V51" s="66">
        <f t="shared" si="3"/>
        <v>-0.50244404350858585</v>
      </c>
      <c r="W51" s="67">
        <v>346966</v>
      </c>
      <c r="X51" s="66">
        <f t="shared" si="4"/>
        <v>-0.69617901100517687</v>
      </c>
      <c r="Y51" s="67">
        <v>1142008</v>
      </c>
      <c r="Z51" s="66">
        <f t="shared" si="10"/>
        <v>-0.70496230803631055</v>
      </c>
      <c r="AA51" s="75">
        <v>3870719</v>
      </c>
      <c r="AC51" s="24"/>
    </row>
    <row r="52" spans="1:29" ht="14.25" customHeight="1" x14ac:dyDescent="0.2">
      <c r="A52" s="51" t="s">
        <v>20</v>
      </c>
      <c r="B52" s="45" t="s">
        <v>132</v>
      </c>
      <c r="C52" s="43">
        <v>220703337</v>
      </c>
      <c r="D52" s="102">
        <f t="shared" si="5"/>
        <v>-6.3855575060413949E-2</v>
      </c>
      <c r="E52" s="52">
        <v>235757786</v>
      </c>
      <c r="F52" s="101">
        <f t="shared" si="0"/>
        <v>1.5249354395654446E-3</v>
      </c>
      <c r="G52" s="52">
        <v>235398818</v>
      </c>
      <c r="H52" s="101">
        <f t="shared" si="0"/>
        <v>0.19260348065657351</v>
      </c>
      <c r="I52" s="67">
        <v>197382300</v>
      </c>
      <c r="J52" s="66">
        <f t="shared" si="1"/>
        <v>0.28078543923420685</v>
      </c>
      <c r="K52" s="67">
        <v>154110356</v>
      </c>
      <c r="L52" s="66">
        <f t="shared" si="6"/>
        <v>0.21919119433816858</v>
      </c>
      <c r="M52" s="67">
        <v>126403764</v>
      </c>
      <c r="N52" s="66">
        <f t="shared" si="7"/>
        <v>1.0433630102496498</v>
      </c>
      <c r="O52" s="67">
        <v>61860650</v>
      </c>
      <c r="P52" s="66">
        <f t="shared" si="8"/>
        <v>1.9486382734755567</v>
      </c>
      <c r="Q52" s="67">
        <v>20979396</v>
      </c>
      <c r="R52" s="66">
        <f t="shared" si="9"/>
        <v>0.73089571977097068</v>
      </c>
      <c r="S52" s="67">
        <v>12120543</v>
      </c>
      <c r="T52" s="66">
        <f t="shared" si="2"/>
        <v>-0.13908991675116755</v>
      </c>
      <c r="U52" s="67">
        <v>14078756</v>
      </c>
      <c r="V52" s="66">
        <f t="shared" si="3"/>
        <v>-0.11121108064186835</v>
      </c>
      <c r="W52" s="67">
        <v>15840382</v>
      </c>
      <c r="X52" s="66">
        <f t="shared" si="4"/>
        <v>-0.64035724650979553</v>
      </c>
      <c r="Y52" s="67">
        <v>44044769</v>
      </c>
      <c r="Z52" s="66">
        <f t="shared" si="10"/>
        <v>-0.63565718156301676</v>
      </c>
      <c r="AA52" s="75">
        <v>120888259</v>
      </c>
      <c r="AC52" s="24"/>
    </row>
    <row r="53" spans="1:29" ht="14.25" customHeight="1" x14ac:dyDescent="0.2">
      <c r="A53" s="51" t="s">
        <v>19</v>
      </c>
      <c r="B53" s="45" t="s">
        <v>132</v>
      </c>
      <c r="C53" s="43">
        <v>51481877</v>
      </c>
      <c r="D53" s="102">
        <f t="shared" si="5"/>
        <v>-2.9248022556225273E-2</v>
      </c>
      <c r="E53" s="52">
        <v>53032987</v>
      </c>
      <c r="F53" s="101">
        <f t="shared" si="0"/>
        <v>4.5713173384444916E-2</v>
      </c>
      <c r="G53" s="52">
        <v>50714659</v>
      </c>
      <c r="H53" s="101">
        <f t="shared" si="0"/>
        <v>0.2897597599980386</v>
      </c>
      <c r="I53" s="67">
        <v>39321012</v>
      </c>
      <c r="J53" s="66">
        <f t="shared" si="1"/>
        <v>0.4492986139171915</v>
      </c>
      <c r="K53" s="67">
        <v>27131063</v>
      </c>
      <c r="L53" s="66">
        <f t="shared" si="6"/>
        <v>0.32294298958382917</v>
      </c>
      <c r="M53" s="67">
        <v>20508112</v>
      </c>
      <c r="N53" s="66">
        <f t="shared" si="7"/>
        <v>0.85746035075630322</v>
      </c>
      <c r="O53" s="67">
        <v>11040942</v>
      </c>
      <c r="P53" s="66">
        <f t="shared" si="8"/>
        <v>1.3571504056023662</v>
      </c>
      <c r="Q53" s="67">
        <v>4684021</v>
      </c>
      <c r="R53" s="66">
        <f t="shared" si="9"/>
        <v>5.9554166326371512</v>
      </c>
      <c r="S53" s="67">
        <v>673435</v>
      </c>
      <c r="T53" s="66">
        <f t="shared" si="2"/>
        <v>-0.26107479829838787</v>
      </c>
      <c r="U53" s="67">
        <v>911371</v>
      </c>
      <c r="V53" s="66">
        <f t="shared" si="3"/>
        <v>-0.46551387426801982</v>
      </c>
      <c r="W53" s="67">
        <v>1705135</v>
      </c>
      <c r="X53" s="66">
        <f t="shared" si="4"/>
        <v>-0.65613432003878414</v>
      </c>
      <c r="Y53" s="67">
        <v>4958724</v>
      </c>
      <c r="Z53" s="66">
        <f t="shared" si="10"/>
        <v>-0.77265099159532102</v>
      </c>
      <c r="AA53" s="75">
        <v>21811065</v>
      </c>
      <c r="AC53" s="24"/>
    </row>
    <row r="54" spans="1:29" ht="14.25" customHeight="1" x14ac:dyDescent="0.2">
      <c r="A54" s="51" t="s">
        <v>18</v>
      </c>
      <c r="B54" s="45" t="s">
        <v>132</v>
      </c>
      <c r="C54" s="43">
        <v>551842260</v>
      </c>
      <c r="D54" s="102">
        <f t="shared" si="5"/>
        <v>4.396203870369364E-2</v>
      </c>
      <c r="E54" s="52">
        <v>528603761</v>
      </c>
      <c r="F54" s="101">
        <f t="shared" si="0"/>
        <v>6.8797569253773228E-2</v>
      </c>
      <c r="G54" s="52">
        <v>494577997</v>
      </c>
      <c r="H54" s="101">
        <f t="shared" si="0"/>
        <v>0.10639719129226766</v>
      </c>
      <c r="I54" s="67">
        <v>447016678</v>
      </c>
      <c r="J54" s="66">
        <f t="shared" si="1"/>
        <v>3.6000215906441202E-2</v>
      </c>
      <c r="K54" s="67">
        <v>431483190</v>
      </c>
      <c r="L54" s="66">
        <f t="shared" si="6"/>
        <v>0.16933618632125969</v>
      </c>
      <c r="M54" s="67">
        <v>368998407</v>
      </c>
      <c r="N54" s="66">
        <f t="shared" si="7"/>
        <v>0.62142121188330401</v>
      </c>
      <c r="O54" s="67">
        <v>227577143</v>
      </c>
      <c r="P54" s="66">
        <f t="shared" si="8"/>
        <v>1.0287249685041351</v>
      </c>
      <c r="Q54" s="67">
        <v>112177425</v>
      </c>
      <c r="R54" s="66">
        <f t="shared" si="9"/>
        <v>0.98560836326712264</v>
      </c>
      <c r="S54" s="67">
        <v>56495242</v>
      </c>
      <c r="T54" s="66">
        <f t="shared" si="2"/>
        <v>0.103255203072393</v>
      </c>
      <c r="U54" s="67">
        <v>51207773</v>
      </c>
      <c r="V54" s="66">
        <f t="shared" si="3"/>
        <v>9.772797726538851E-2</v>
      </c>
      <c r="W54" s="67">
        <v>46648873</v>
      </c>
      <c r="X54" s="66">
        <f t="shared" si="4"/>
        <v>-0.47580027735049191</v>
      </c>
      <c r="Y54" s="67">
        <v>88990648</v>
      </c>
      <c r="Z54" s="66">
        <f t="shared" si="10"/>
        <v>-0.52808272597074957</v>
      </c>
      <c r="AA54" s="75">
        <v>188572559</v>
      </c>
      <c r="AC54" s="24"/>
    </row>
    <row r="55" spans="1:29" ht="14.25" customHeight="1" x14ac:dyDescent="0.2">
      <c r="A55" s="51" t="s">
        <v>17</v>
      </c>
      <c r="B55" s="45" t="s">
        <v>132</v>
      </c>
      <c r="C55" s="43">
        <v>169184921</v>
      </c>
      <c r="D55" s="102">
        <f t="shared" si="5"/>
        <v>5.5802487179390292E-2</v>
      </c>
      <c r="E55" s="52">
        <v>160242965</v>
      </c>
      <c r="F55" s="101">
        <f t="shared" si="0"/>
        <v>0.16037010979560029</v>
      </c>
      <c r="G55" s="52">
        <v>138096426</v>
      </c>
      <c r="H55" s="101">
        <f t="shared" si="0"/>
        <v>0.1994215945822122</v>
      </c>
      <c r="I55" s="67">
        <v>115135851</v>
      </c>
      <c r="J55" s="66">
        <f t="shared" si="1"/>
        <v>0.34351048275247398</v>
      </c>
      <c r="K55" s="67">
        <v>85697769</v>
      </c>
      <c r="L55" s="66">
        <f t="shared" si="6"/>
        <v>0.52505135570629458</v>
      </c>
      <c r="M55" s="67">
        <v>56193366</v>
      </c>
      <c r="N55" s="66">
        <f t="shared" si="7"/>
        <v>0.80025994081058882</v>
      </c>
      <c r="O55" s="67">
        <v>31214029</v>
      </c>
      <c r="P55" s="66">
        <f t="shared" si="8"/>
        <v>1.8684331949476878</v>
      </c>
      <c r="Q55" s="67">
        <v>10881909</v>
      </c>
      <c r="R55" s="66">
        <f t="shared" si="9"/>
        <v>1.0912302501810287</v>
      </c>
      <c r="S55" s="67">
        <v>5203592</v>
      </c>
      <c r="T55" s="66">
        <f t="shared" si="2"/>
        <v>-2.646359494716688E-2</v>
      </c>
      <c r="U55" s="67">
        <v>5345041</v>
      </c>
      <c r="V55" s="66">
        <f t="shared" si="3"/>
        <v>-0.38305231745471846</v>
      </c>
      <c r="W55" s="67">
        <v>8663686</v>
      </c>
      <c r="X55" s="66">
        <f t="shared" si="4"/>
        <v>-0.54046390110747233</v>
      </c>
      <c r="Y55" s="67">
        <v>18853113</v>
      </c>
      <c r="Z55" s="66">
        <f t="shared" si="10"/>
        <v>-0.58539145339293919</v>
      </c>
      <c r="AA55" s="75">
        <v>45472080</v>
      </c>
      <c r="AC55" s="24"/>
    </row>
    <row r="56" spans="1:29" ht="14.25" customHeight="1" x14ac:dyDescent="0.2">
      <c r="A56" s="51" t="s">
        <v>16</v>
      </c>
      <c r="B56" s="45" t="s">
        <v>132</v>
      </c>
      <c r="C56" s="43">
        <v>362252775</v>
      </c>
      <c r="D56" s="102">
        <f t="shared" si="5"/>
        <v>-2.500758940347847E-3</v>
      </c>
      <c r="E56" s="52">
        <v>363160953</v>
      </c>
      <c r="F56" s="101">
        <f t="shared" si="0"/>
        <v>9.1380136056122607E-2</v>
      </c>
      <c r="G56" s="52">
        <v>332753860</v>
      </c>
      <c r="H56" s="101">
        <f t="shared" si="0"/>
        <v>0.11565666029861821</v>
      </c>
      <c r="I56" s="67">
        <v>298258301</v>
      </c>
      <c r="J56" s="66">
        <f t="shared" si="1"/>
        <v>0.17800872987406868</v>
      </c>
      <c r="K56" s="67">
        <v>253188532</v>
      </c>
      <c r="L56" s="66">
        <f t="shared" si="6"/>
        <v>0.39181812014003548</v>
      </c>
      <c r="M56" s="67">
        <v>181912082</v>
      </c>
      <c r="N56" s="66">
        <f t="shared" si="7"/>
        <v>0.62203425073682195</v>
      </c>
      <c r="O56" s="67">
        <v>112150580</v>
      </c>
      <c r="P56" s="66">
        <f t="shared" si="8"/>
        <v>1.2414425453893765</v>
      </c>
      <c r="Q56" s="67">
        <v>50035001</v>
      </c>
      <c r="R56" s="66">
        <f t="shared" si="9"/>
        <v>1.0822027494896864</v>
      </c>
      <c r="S56" s="67">
        <v>24029841</v>
      </c>
      <c r="T56" s="66">
        <f t="shared" si="2"/>
        <v>2.9033364283047591E-2</v>
      </c>
      <c r="U56" s="67">
        <v>23351858</v>
      </c>
      <c r="V56" s="66">
        <f t="shared" si="3"/>
        <v>-0.26714198952953194</v>
      </c>
      <c r="W56" s="67">
        <v>31864096</v>
      </c>
      <c r="X56" s="66">
        <f t="shared" si="4"/>
        <v>-0.35078770033270401</v>
      </c>
      <c r="Y56" s="67">
        <v>49081165</v>
      </c>
      <c r="Z56" s="66">
        <f t="shared" si="10"/>
        <v>-0.5354954183408025</v>
      </c>
      <c r="AA56" s="75">
        <v>105663468</v>
      </c>
      <c r="AC56" s="24"/>
    </row>
    <row r="57" spans="1:29" ht="14.25" customHeight="1" x14ac:dyDescent="0.2">
      <c r="A57" s="51" t="s">
        <v>15</v>
      </c>
      <c r="B57" s="45" t="s">
        <v>132</v>
      </c>
      <c r="C57" s="43">
        <v>122109527</v>
      </c>
      <c r="D57" s="102">
        <f t="shared" si="5"/>
        <v>0.14415339147034323</v>
      </c>
      <c r="E57" s="52">
        <v>106724787</v>
      </c>
      <c r="F57" s="101">
        <f t="shared" si="0"/>
        <v>0.10054471838950829</v>
      </c>
      <c r="G57" s="52">
        <v>96974512</v>
      </c>
      <c r="H57" s="101">
        <f t="shared" si="0"/>
        <v>0.36567497017187489</v>
      </c>
      <c r="I57" s="67">
        <v>71008486</v>
      </c>
      <c r="J57" s="66">
        <f t="shared" si="1"/>
        <v>0.24485355767658712</v>
      </c>
      <c r="K57" s="67">
        <v>57041638</v>
      </c>
      <c r="L57" s="66">
        <f t="shared" si="6"/>
        <v>0.40726021803420265</v>
      </c>
      <c r="M57" s="67">
        <v>40533824</v>
      </c>
      <c r="N57" s="66">
        <f t="shared" si="7"/>
        <v>0.56628833919273935</v>
      </c>
      <c r="O57" s="67">
        <v>25878903</v>
      </c>
      <c r="P57" s="66">
        <f t="shared" si="8"/>
        <v>1.2945499822581565</v>
      </c>
      <c r="Q57" s="67">
        <v>11278422</v>
      </c>
      <c r="R57" s="66">
        <f t="shared" si="9"/>
        <v>2.5748904878126089</v>
      </c>
      <c r="S57" s="67">
        <v>3154900</v>
      </c>
      <c r="T57" s="66">
        <f t="shared" si="2"/>
        <v>-0.34954297502701903</v>
      </c>
      <c r="U57" s="67">
        <v>4850282</v>
      </c>
      <c r="V57" s="66">
        <f t="shared" si="3"/>
        <v>-0.45031580071128396</v>
      </c>
      <c r="W57" s="67">
        <v>8823761</v>
      </c>
      <c r="X57" s="66">
        <f t="shared" si="4"/>
        <v>-0.63050875222600011</v>
      </c>
      <c r="Y57" s="67">
        <v>23880839</v>
      </c>
      <c r="Z57" s="66">
        <f t="shared" si="10"/>
        <v>-0.59433297987070444</v>
      </c>
      <c r="AA57" s="75">
        <v>58868081</v>
      </c>
      <c r="AC57" s="24"/>
    </row>
    <row r="58" spans="1:29" ht="14.25" customHeight="1" x14ac:dyDescent="0.2">
      <c r="A58" s="51" t="s">
        <v>14</v>
      </c>
      <c r="B58" s="45" t="s">
        <v>132</v>
      </c>
      <c r="C58" s="43">
        <v>14686460</v>
      </c>
      <c r="D58" s="102">
        <f t="shared" si="5"/>
        <v>0.38745491337889382</v>
      </c>
      <c r="E58" s="52">
        <v>10585180</v>
      </c>
      <c r="F58" s="101">
        <f t="shared" si="0"/>
        <v>0.33277681247009649</v>
      </c>
      <c r="G58" s="52">
        <v>7942200</v>
      </c>
      <c r="H58" s="101">
        <f t="shared" si="0"/>
        <v>9.542872086056442E-2</v>
      </c>
      <c r="I58" s="67">
        <v>7250312</v>
      </c>
      <c r="J58" s="66">
        <f t="shared" si="1"/>
        <v>0.5758772911726413</v>
      </c>
      <c r="K58" s="67">
        <v>4600810</v>
      </c>
      <c r="L58" s="66">
        <f t="shared" si="6"/>
        <v>0.45238545458448409</v>
      </c>
      <c r="M58" s="67">
        <v>3167761</v>
      </c>
      <c r="N58" s="66">
        <f t="shared" si="7"/>
        <v>0.83068630487849981</v>
      </c>
      <c r="O58" s="67">
        <v>1730368</v>
      </c>
      <c r="P58" s="66">
        <f t="shared" si="8"/>
        <v>0.402223794323741</v>
      </c>
      <c r="Q58" s="67">
        <v>1234017</v>
      </c>
      <c r="R58" s="66">
        <f t="shared" si="9"/>
        <v>-0.24286560988359684</v>
      </c>
      <c r="S58" s="67">
        <v>1629852</v>
      </c>
      <c r="T58" s="66">
        <f t="shared" si="2"/>
        <v>-0.18878772977309877</v>
      </c>
      <c r="U58" s="67">
        <v>2009156</v>
      </c>
      <c r="V58" s="66">
        <f t="shared" si="3"/>
        <v>-9.2683596505409582E-2</v>
      </c>
      <c r="W58" s="67">
        <v>2214394</v>
      </c>
      <c r="X58" s="66">
        <f t="shared" si="4"/>
        <v>-0.59101342655730771</v>
      </c>
      <c r="Y58" s="67">
        <v>5414344</v>
      </c>
      <c r="Z58" s="66">
        <f t="shared" si="10"/>
        <v>-0.37168612760900799</v>
      </c>
      <c r="AA58" s="75">
        <v>8617260</v>
      </c>
      <c r="AC58" s="24"/>
    </row>
    <row r="59" spans="1:29" ht="14.25" customHeight="1" x14ac:dyDescent="0.2">
      <c r="A59" s="51" t="s">
        <v>13</v>
      </c>
      <c r="B59" s="45" t="s">
        <v>132</v>
      </c>
      <c r="C59" s="43">
        <v>170457649</v>
      </c>
      <c r="D59" s="102">
        <f t="shared" si="5"/>
        <v>0.25055946360574155</v>
      </c>
      <c r="E59" s="52">
        <v>136305113</v>
      </c>
      <c r="F59" s="101">
        <f t="shared" si="0"/>
        <v>0.14655507989090411</v>
      </c>
      <c r="G59" s="52">
        <v>118882307</v>
      </c>
      <c r="H59" s="101">
        <f t="shared" si="0"/>
        <v>0.30116628775093046</v>
      </c>
      <c r="I59" s="67">
        <v>91365960</v>
      </c>
      <c r="J59" s="66">
        <f t="shared" si="1"/>
        <v>0.12780586671127558</v>
      </c>
      <c r="K59" s="67">
        <v>81012134</v>
      </c>
      <c r="L59" s="66">
        <f t="shared" si="6"/>
        <v>0.35760850816195155</v>
      </c>
      <c r="M59" s="67">
        <v>59672677</v>
      </c>
      <c r="N59" s="66">
        <f t="shared" si="7"/>
        <v>0.65784675454314234</v>
      </c>
      <c r="O59" s="67">
        <v>35994085</v>
      </c>
      <c r="P59" s="66">
        <f t="shared" si="8"/>
        <v>1.1001679243488556</v>
      </c>
      <c r="Q59" s="67">
        <v>17138670</v>
      </c>
      <c r="R59" s="66">
        <f t="shared" si="9"/>
        <v>0.28316901156424157</v>
      </c>
      <c r="S59" s="67">
        <v>13356518</v>
      </c>
      <c r="T59" s="66">
        <f t="shared" si="2"/>
        <v>0.2658920344776341</v>
      </c>
      <c r="U59" s="67">
        <v>10551072</v>
      </c>
      <c r="V59" s="66">
        <f t="shared" si="3"/>
        <v>-0.3743143285547863</v>
      </c>
      <c r="W59" s="67">
        <v>16863215</v>
      </c>
      <c r="X59" s="66">
        <f t="shared" si="4"/>
        <v>-0.30884163203268133</v>
      </c>
      <c r="Y59" s="67">
        <v>24398482</v>
      </c>
      <c r="Z59" s="66">
        <f t="shared" si="10"/>
        <v>-0.58777332603466503</v>
      </c>
      <c r="AA59" s="75">
        <v>59187053</v>
      </c>
      <c r="AC59" s="24"/>
    </row>
    <row r="60" spans="1:29" ht="14.25" customHeight="1" x14ac:dyDescent="0.2">
      <c r="A60" s="51" t="s">
        <v>12</v>
      </c>
      <c r="B60" s="45" t="s">
        <v>132</v>
      </c>
      <c r="C60" s="43">
        <v>141323854</v>
      </c>
      <c r="D60" s="102">
        <f t="shared" si="5"/>
        <v>0.10415770292208015</v>
      </c>
      <c r="E60" s="52">
        <v>127992454</v>
      </c>
      <c r="F60" s="101">
        <f t="shared" si="0"/>
        <v>0.22839928294106571</v>
      </c>
      <c r="G60" s="52">
        <v>104194504</v>
      </c>
      <c r="H60" s="101">
        <f t="shared" si="0"/>
        <v>0.1348226106272159</v>
      </c>
      <c r="I60" s="67">
        <v>91815675</v>
      </c>
      <c r="J60" s="66">
        <f t="shared" si="1"/>
        <v>0.38498801088734513</v>
      </c>
      <c r="K60" s="67">
        <v>66293480</v>
      </c>
      <c r="L60" s="66">
        <f t="shared" si="6"/>
        <v>0.73926430594417014</v>
      </c>
      <c r="M60" s="67">
        <v>38115817</v>
      </c>
      <c r="N60" s="66">
        <f t="shared" si="7"/>
        <v>0.90332423695511799</v>
      </c>
      <c r="O60" s="67">
        <v>20025919</v>
      </c>
      <c r="P60" s="66">
        <f t="shared" si="8"/>
        <v>2.279892080533747</v>
      </c>
      <c r="Q60" s="67">
        <v>6105664</v>
      </c>
      <c r="R60" s="66">
        <f t="shared" si="9"/>
        <v>0.65366511736495392</v>
      </c>
      <c r="S60" s="67">
        <v>3692201</v>
      </c>
      <c r="T60" s="66">
        <f t="shared" si="2"/>
        <v>-0.20010013369212765</v>
      </c>
      <c r="U60" s="67">
        <v>4615829</v>
      </c>
      <c r="V60" s="66">
        <f t="shared" si="3"/>
        <v>-0.19617293788777912</v>
      </c>
      <c r="W60" s="67">
        <v>5742316</v>
      </c>
      <c r="X60" s="66">
        <f t="shared" si="4"/>
        <v>-0.44669441714362801</v>
      </c>
      <c r="Y60" s="67">
        <v>10378200</v>
      </c>
      <c r="Z60" s="66">
        <f t="shared" si="10"/>
        <v>-0.67086375477722793</v>
      </c>
      <c r="AA60" s="75">
        <v>31531623</v>
      </c>
      <c r="AC60" s="24"/>
    </row>
    <row r="61" spans="1:29" ht="14.25" customHeight="1" x14ac:dyDescent="0.2">
      <c r="A61" s="51" t="s">
        <v>11</v>
      </c>
      <c r="B61" s="45" t="s">
        <v>132</v>
      </c>
      <c r="C61" s="43">
        <v>32654810</v>
      </c>
      <c r="D61" s="102">
        <f t="shared" si="5"/>
        <v>0.29748533918462705</v>
      </c>
      <c r="E61" s="52">
        <v>25167768</v>
      </c>
      <c r="F61" s="101">
        <f t="shared" si="0"/>
        <v>0.45089336723240581</v>
      </c>
      <c r="G61" s="52">
        <v>17346394</v>
      </c>
      <c r="H61" s="101">
        <f t="shared" si="0"/>
        <v>0.13314630463945787</v>
      </c>
      <c r="I61" s="67">
        <v>15308168</v>
      </c>
      <c r="J61" s="66">
        <f t="shared" si="1"/>
        <v>0.41063935504227089</v>
      </c>
      <c r="K61" s="67">
        <v>10851936</v>
      </c>
      <c r="L61" s="66">
        <f t="shared" si="6"/>
        <v>0.69312161387331939</v>
      </c>
      <c r="M61" s="67">
        <v>6409425</v>
      </c>
      <c r="N61" s="66">
        <f t="shared" si="7"/>
        <v>0.35317542336972596</v>
      </c>
      <c r="O61" s="67">
        <v>4736581</v>
      </c>
      <c r="P61" s="66">
        <f t="shared" si="8"/>
        <v>0.97439232148968302</v>
      </c>
      <c r="Q61" s="67">
        <v>2399007</v>
      </c>
      <c r="R61" s="66">
        <f t="shared" si="9"/>
        <v>0.46316512370997587</v>
      </c>
      <c r="S61" s="67">
        <v>1639601</v>
      </c>
      <c r="T61" s="66">
        <f t="shared" si="2"/>
        <v>-1.5833923576513476E-2</v>
      </c>
      <c r="U61" s="67">
        <v>1665980</v>
      </c>
      <c r="V61" s="66">
        <f t="shared" si="3"/>
        <v>-0.45308811952630168</v>
      </c>
      <c r="W61" s="67">
        <v>3046158</v>
      </c>
      <c r="X61" s="66">
        <f t="shared" si="4"/>
        <v>-0.43011113378990673</v>
      </c>
      <c r="Y61" s="67">
        <v>5345179</v>
      </c>
      <c r="Z61" s="66">
        <f t="shared" si="10"/>
        <v>-0.50214591675059428</v>
      </c>
      <c r="AA61" s="75">
        <v>10736437</v>
      </c>
      <c r="AC61" s="24"/>
    </row>
    <row r="62" spans="1:29" ht="14.25" customHeight="1" x14ac:dyDescent="0.2">
      <c r="A62" s="51" t="s">
        <v>10</v>
      </c>
      <c r="B62" s="45" t="s">
        <v>132</v>
      </c>
      <c r="C62" s="43">
        <v>160933138</v>
      </c>
      <c r="D62" s="102">
        <f t="shared" si="5"/>
        <v>-2.6905899118454313E-2</v>
      </c>
      <c r="E62" s="52">
        <v>165382914</v>
      </c>
      <c r="F62" s="101">
        <f t="shared" si="0"/>
        <v>-1.2659066221660686E-2</v>
      </c>
      <c r="G62" s="52">
        <v>167503350</v>
      </c>
      <c r="H62" s="101">
        <f t="shared" si="0"/>
        <v>1.1011987911845988E-2</v>
      </c>
      <c r="I62" s="67">
        <v>165678896</v>
      </c>
      <c r="J62" s="66">
        <f t="shared" si="1"/>
        <v>0.15954581138964463</v>
      </c>
      <c r="K62" s="67">
        <v>142882579</v>
      </c>
      <c r="L62" s="66">
        <f t="shared" si="6"/>
        <v>0.25621369905325775</v>
      </c>
      <c r="M62" s="67">
        <v>113740663</v>
      </c>
      <c r="N62" s="66">
        <f t="shared" si="7"/>
        <v>0.44359158161289303</v>
      </c>
      <c r="O62" s="67">
        <v>78790057</v>
      </c>
      <c r="P62" s="66">
        <f t="shared" si="8"/>
        <v>0.84911250526025062</v>
      </c>
      <c r="Q62" s="67">
        <v>42609661</v>
      </c>
      <c r="R62" s="66">
        <f t="shared" si="9"/>
        <v>1.6192052772519383</v>
      </c>
      <c r="S62" s="67">
        <v>16268164</v>
      </c>
      <c r="T62" s="66">
        <f t="shared" si="2"/>
        <v>0.13563084746609855</v>
      </c>
      <c r="U62" s="67">
        <v>14325222</v>
      </c>
      <c r="V62" s="66">
        <f t="shared" si="3"/>
        <v>-1.6721313005737204E-2</v>
      </c>
      <c r="W62" s="67">
        <v>14568832</v>
      </c>
      <c r="X62" s="66">
        <f t="shared" si="4"/>
        <v>-0.33429999322366333</v>
      </c>
      <c r="Y62" s="67">
        <v>21884981</v>
      </c>
      <c r="Z62" s="66">
        <f t="shared" si="10"/>
        <v>-0.64082516505973053</v>
      </c>
      <c r="AA62" s="75">
        <v>60931276</v>
      </c>
      <c r="AC62" s="24"/>
    </row>
    <row r="63" spans="1:29" ht="14.25" customHeight="1" x14ac:dyDescent="0.2">
      <c r="A63" s="51" t="s">
        <v>9</v>
      </c>
      <c r="B63" s="45" t="s">
        <v>132</v>
      </c>
      <c r="C63" s="43">
        <v>103709592</v>
      </c>
      <c r="D63" s="102">
        <f t="shared" si="5"/>
        <v>8.5385865978692577E-2</v>
      </c>
      <c r="E63" s="52">
        <v>95550896</v>
      </c>
      <c r="F63" s="101">
        <f t="shared" si="0"/>
        <v>9.0746046633448207E-2</v>
      </c>
      <c r="G63" s="52">
        <v>87601414</v>
      </c>
      <c r="H63" s="101">
        <f t="shared" si="0"/>
        <v>0.25168836246240911</v>
      </c>
      <c r="I63" s="67">
        <v>69986601</v>
      </c>
      <c r="J63" s="66">
        <f t="shared" si="1"/>
        <v>0.24326080922462956</v>
      </c>
      <c r="K63" s="67">
        <v>56292775</v>
      </c>
      <c r="L63" s="66">
        <f t="shared" si="6"/>
        <v>0.38759529757300126</v>
      </c>
      <c r="M63" s="67">
        <v>40568583</v>
      </c>
      <c r="N63" s="66">
        <f t="shared" si="7"/>
        <v>1.0507045176824219</v>
      </c>
      <c r="O63" s="67">
        <v>19782754</v>
      </c>
      <c r="P63" s="66">
        <f t="shared" si="8"/>
        <v>2.0088044709051243</v>
      </c>
      <c r="Q63" s="67">
        <v>6574955</v>
      </c>
      <c r="R63" s="66">
        <f t="shared" si="9"/>
        <v>0.68686038370371394</v>
      </c>
      <c r="S63" s="67">
        <v>3897747</v>
      </c>
      <c r="T63" s="66">
        <f t="shared" si="2"/>
        <v>-0.29475672412957055</v>
      </c>
      <c r="U63" s="67">
        <v>5526812</v>
      </c>
      <c r="V63" s="66">
        <f t="shared" si="3"/>
        <v>-0.39477696767142734</v>
      </c>
      <c r="W63" s="67">
        <v>9131860</v>
      </c>
      <c r="X63" s="66">
        <f t="shared" si="4"/>
        <v>-0.57850729013096058</v>
      </c>
      <c r="Y63" s="67">
        <v>21665523</v>
      </c>
      <c r="Z63" s="66">
        <f t="shared" si="10"/>
        <v>-0.61229127426608365</v>
      </c>
      <c r="AA63" s="75">
        <v>55880927</v>
      </c>
      <c r="AC63" s="24"/>
    </row>
    <row r="64" spans="1:29" ht="14.25" customHeight="1" x14ac:dyDescent="0.2">
      <c r="A64" s="51" t="s">
        <v>8</v>
      </c>
      <c r="B64" s="45" t="s">
        <v>132</v>
      </c>
      <c r="C64" s="43">
        <v>64706080</v>
      </c>
      <c r="D64" s="102">
        <f t="shared" si="5"/>
        <v>0.1802929660601893</v>
      </c>
      <c r="E64" s="52">
        <v>54822050</v>
      </c>
      <c r="F64" s="101">
        <f t="shared" si="0"/>
        <v>0.48948960126805652</v>
      </c>
      <c r="G64" s="52">
        <v>36805930</v>
      </c>
      <c r="H64" s="101">
        <f t="shared" si="0"/>
        <v>0.14957101049126864</v>
      </c>
      <c r="I64" s="67">
        <v>32017100</v>
      </c>
      <c r="J64" s="66">
        <f t="shared" si="1"/>
        <v>0.1441016077119861</v>
      </c>
      <c r="K64" s="67">
        <v>27984490</v>
      </c>
      <c r="L64" s="66">
        <f t="shared" si="6"/>
        <v>-0.20580892467378253</v>
      </c>
      <c r="M64" s="67">
        <v>35236470</v>
      </c>
      <c r="N64" s="66">
        <f t="shared" si="7"/>
        <v>0.29347924242390877</v>
      </c>
      <c r="O64" s="67">
        <v>27241620</v>
      </c>
      <c r="P64" s="66">
        <f t="shared" si="8"/>
        <v>0.75795598789121721</v>
      </c>
      <c r="Q64" s="67">
        <v>15496190</v>
      </c>
      <c r="R64" s="66">
        <f t="shared" si="9"/>
        <v>0.84757568278744921</v>
      </c>
      <c r="S64" s="67">
        <v>8387310</v>
      </c>
      <c r="T64" s="66">
        <f t="shared" si="2"/>
        <v>1.548413811139282E-2</v>
      </c>
      <c r="U64" s="67">
        <v>8259420</v>
      </c>
      <c r="V64" s="66">
        <f t="shared" si="3"/>
        <v>-7.9070371100492309E-2</v>
      </c>
      <c r="W64" s="67">
        <v>8968568</v>
      </c>
      <c r="X64" s="66">
        <f t="shared" si="4"/>
        <v>-0.50859396531555001</v>
      </c>
      <c r="Y64" s="67">
        <v>18250830</v>
      </c>
      <c r="Z64" s="66">
        <f t="shared" si="10"/>
        <v>-0.16431977120344843</v>
      </c>
      <c r="AA64" s="75">
        <v>21839490</v>
      </c>
      <c r="AC64" s="24"/>
    </row>
    <row r="65" spans="1:29" ht="14.25" customHeight="1" x14ac:dyDescent="0.2">
      <c r="A65" s="51" t="s">
        <v>7</v>
      </c>
      <c r="B65" s="45" t="s">
        <v>133</v>
      </c>
      <c r="C65" s="43">
        <v>4279899</v>
      </c>
      <c r="D65" s="102">
        <f t="shared" si="5"/>
        <v>0.65535634513447194</v>
      </c>
      <c r="E65" s="52">
        <v>2585485</v>
      </c>
      <c r="F65" s="101">
        <f t="shared" si="0"/>
        <v>0.36415247150194818</v>
      </c>
      <c r="G65" s="52">
        <v>1895305</v>
      </c>
      <c r="H65" s="101">
        <f t="shared" si="0"/>
        <v>-9.9341603484202956E-2</v>
      </c>
      <c r="I65" s="67">
        <v>2104355</v>
      </c>
      <c r="J65" s="66">
        <f t="shared" si="1"/>
        <v>0.13894827427569378</v>
      </c>
      <c r="K65" s="67">
        <v>1847630</v>
      </c>
      <c r="L65" s="66">
        <f t="shared" si="6"/>
        <v>0.39465140697027534</v>
      </c>
      <c r="M65" s="67">
        <v>1324797</v>
      </c>
      <c r="N65" s="66">
        <f t="shared" si="7"/>
        <v>0.34246654466082571</v>
      </c>
      <c r="O65" s="67">
        <v>986838</v>
      </c>
      <c r="P65" s="66">
        <f t="shared" si="8"/>
        <v>0.96718429183693821</v>
      </c>
      <c r="Q65" s="67">
        <v>501650</v>
      </c>
      <c r="R65" s="66">
        <f t="shared" si="9"/>
        <v>-0.28654425160746211</v>
      </c>
      <c r="S65" s="67">
        <v>703127</v>
      </c>
      <c r="T65" s="66">
        <f t="shared" si="2"/>
        <v>0.37901838685952449</v>
      </c>
      <c r="U65" s="67">
        <v>509875</v>
      </c>
      <c r="V65" s="66">
        <f t="shared" si="3"/>
        <v>-0.62708072317266805</v>
      </c>
      <c r="W65" s="67">
        <v>1367253</v>
      </c>
      <c r="X65" s="66">
        <f t="shared" si="4"/>
        <v>0.15560020081916637</v>
      </c>
      <c r="Y65" s="67">
        <v>1183154</v>
      </c>
      <c r="Z65" s="66">
        <f t="shared" si="10"/>
        <v>-0.88433520904887331</v>
      </c>
      <c r="AA65" s="75">
        <v>10229163</v>
      </c>
      <c r="AC65" s="24"/>
    </row>
    <row r="66" spans="1:29" ht="14.25" customHeight="1" x14ac:dyDescent="0.2">
      <c r="A66" s="51" t="s">
        <v>6</v>
      </c>
      <c r="B66" s="45" t="s">
        <v>133</v>
      </c>
      <c r="C66" s="43">
        <v>1351300</v>
      </c>
      <c r="D66" s="102">
        <f t="shared" si="5"/>
        <v>0.89257703081232487</v>
      </c>
      <c r="E66" s="52">
        <v>714000</v>
      </c>
      <c r="F66" s="101">
        <f t="shared" si="0"/>
        <v>0.1441940963430659</v>
      </c>
      <c r="G66" s="52">
        <v>624020</v>
      </c>
      <c r="H66" s="101">
        <f t="shared" si="0"/>
        <v>1.6766330471054136E-2</v>
      </c>
      <c r="I66" s="67">
        <v>613730</v>
      </c>
      <c r="J66" s="66">
        <f t="shared" si="1"/>
        <v>0.43688279336776503</v>
      </c>
      <c r="K66" s="67">
        <v>427126</v>
      </c>
      <c r="L66" s="66">
        <f t="shared" si="6"/>
        <v>1.2278867920591701</v>
      </c>
      <c r="M66" s="67">
        <v>191718</v>
      </c>
      <c r="N66" s="66">
        <f t="shared" si="7"/>
        <v>-0.51256978979162215</v>
      </c>
      <c r="O66" s="67">
        <v>393324</v>
      </c>
      <c r="P66" s="66">
        <f t="shared" si="8"/>
        <v>0.53777944591709859</v>
      </c>
      <c r="Q66" s="67">
        <v>255774</v>
      </c>
      <c r="R66" s="66">
        <f t="shared" si="9"/>
        <v>2.6378040108092731</v>
      </c>
      <c r="S66" s="67">
        <v>70310</v>
      </c>
      <c r="T66" s="66">
        <f t="shared" si="2"/>
        <v>-0.78810481744345495</v>
      </c>
      <c r="U66" s="67">
        <v>331815</v>
      </c>
      <c r="V66" s="66">
        <f t="shared" si="3"/>
        <v>-9.1791181630815344E-2</v>
      </c>
      <c r="W66" s="67">
        <v>365351</v>
      </c>
      <c r="X66" s="66">
        <f t="shared" si="4"/>
        <v>-0.36107453206510431</v>
      </c>
      <c r="Y66" s="67">
        <v>571821</v>
      </c>
      <c r="Z66" s="66">
        <f t="shared" si="10"/>
        <v>-0.34303276098782731</v>
      </c>
      <c r="AA66" s="75">
        <v>870395</v>
      </c>
      <c r="AC66" s="24"/>
    </row>
    <row r="67" spans="1:29" ht="14.25" customHeight="1" x14ac:dyDescent="0.2">
      <c r="A67" s="51" t="s">
        <v>5</v>
      </c>
      <c r="B67" s="45" t="s">
        <v>133</v>
      </c>
      <c r="C67" s="43">
        <v>212384</v>
      </c>
      <c r="D67" s="102">
        <f t="shared" si="5"/>
        <v>3.6064997975520985E-2</v>
      </c>
      <c r="E67" s="52">
        <v>204991</v>
      </c>
      <c r="F67" s="101">
        <f t="shared" si="0"/>
        <v>0.93121737983532116</v>
      </c>
      <c r="G67" s="52">
        <v>106146</v>
      </c>
      <c r="H67" s="101">
        <f t="shared" si="0"/>
        <v>0.31133485700166785</v>
      </c>
      <c r="I67" s="67">
        <v>80945</v>
      </c>
      <c r="J67" s="66">
        <f t="shared" si="1"/>
        <v>23.184344188825815</v>
      </c>
      <c r="K67" s="67">
        <v>3347</v>
      </c>
      <c r="L67" s="66">
        <f t="shared" si="6"/>
        <v>-0.96404554731979808</v>
      </c>
      <c r="M67" s="67">
        <v>93090</v>
      </c>
      <c r="N67" s="66">
        <f t="shared" si="7"/>
        <v>2.679301213390775</v>
      </c>
      <c r="O67" s="67">
        <v>25301</v>
      </c>
      <c r="P67" s="66">
        <f t="shared" si="8"/>
        <v>2.4395051658510059</v>
      </c>
      <c r="Q67" s="67">
        <v>7356</v>
      </c>
      <c r="R67" s="66">
        <f t="shared" si="9"/>
        <v>-0.9381302830228353</v>
      </c>
      <c r="S67" s="67">
        <v>118895</v>
      </c>
      <c r="T67" s="66">
        <f t="shared" si="2"/>
        <v>-2.1883098186006311E-2</v>
      </c>
      <c r="U67" s="67">
        <v>121555</v>
      </c>
      <c r="V67" s="66">
        <f t="shared" si="3"/>
        <v>-0.24034771957453727</v>
      </c>
      <c r="W67" s="67">
        <v>160014</v>
      </c>
      <c r="X67" s="66">
        <f t="shared" si="4"/>
        <v>-0.51438803071226968</v>
      </c>
      <c r="Y67" s="67">
        <v>329510</v>
      </c>
      <c r="Z67" s="66">
        <f t="shared" si="10"/>
        <v>-0.12511184687399601</v>
      </c>
      <c r="AA67" s="75">
        <v>376631</v>
      </c>
      <c r="AC67" s="24"/>
    </row>
    <row r="68" spans="1:29" ht="14.25" customHeight="1" x14ac:dyDescent="0.2">
      <c r="A68" s="51" t="s">
        <v>4</v>
      </c>
      <c r="B68" s="45" t="s">
        <v>132</v>
      </c>
      <c r="C68" s="43">
        <v>206239738</v>
      </c>
      <c r="D68" s="102">
        <f t="shared" si="5"/>
        <v>0.13014444057768171</v>
      </c>
      <c r="E68" s="52">
        <v>182489716</v>
      </c>
      <c r="F68" s="101">
        <f t="shared" si="0"/>
        <v>0.16497024460021192</v>
      </c>
      <c r="G68" s="52">
        <v>156647534</v>
      </c>
      <c r="H68" s="101">
        <f t="shared" si="0"/>
        <v>0.28007285146971794</v>
      </c>
      <c r="I68" s="67">
        <v>122373921</v>
      </c>
      <c r="J68" s="66">
        <f t="shared" si="1"/>
        <v>0.25833352930433473</v>
      </c>
      <c r="K68" s="67">
        <v>97250783</v>
      </c>
      <c r="L68" s="66">
        <f t="shared" si="6"/>
        <v>0.34924876792034198</v>
      </c>
      <c r="M68" s="67">
        <v>72077726</v>
      </c>
      <c r="N68" s="66">
        <f t="shared" si="7"/>
        <v>0.87953015478971963</v>
      </c>
      <c r="O68" s="67">
        <v>38348800</v>
      </c>
      <c r="P68" s="66">
        <f t="shared" si="8"/>
        <v>1.2024042392238474</v>
      </c>
      <c r="Q68" s="67">
        <v>17412244</v>
      </c>
      <c r="R68" s="66">
        <f t="shared" si="9"/>
        <v>1.3228893713425212</v>
      </c>
      <c r="S68" s="67">
        <v>7495942</v>
      </c>
      <c r="T68" s="66">
        <f t="shared" si="2"/>
        <v>-3.5051733779320693E-2</v>
      </c>
      <c r="U68" s="67">
        <v>7768232</v>
      </c>
      <c r="V68" s="66">
        <f t="shared" si="3"/>
        <v>-0.38156986762105438</v>
      </c>
      <c r="W68" s="67">
        <v>12561212</v>
      </c>
      <c r="X68" s="66">
        <f t="shared" si="4"/>
        <v>-0.4461689102083487</v>
      </c>
      <c r="Y68" s="67">
        <v>22680583</v>
      </c>
      <c r="Z68" s="66">
        <f t="shared" si="10"/>
        <v>-0.57710460287432452</v>
      </c>
      <c r="AA68" s="75">
        <v>53631662</v>
      </c>
      <c r="AC68" s="24"/>
    </row>
    <row r="69" spans="1:29" ht="14.25" customHeight="1" x14ac:dyDescent="0.2">
      <c r="A69" s="51" t="s">
        <v>3</v>
      </c>
      <c r="B69" s="45" t="s">
        <v>133</v>
      </c>
      <c r="C69" s="43">
        <v>5486471</v>
      </c>
      <c r="D69" s="102">
        <f t="shared" si="5"/>
        <v>0.10797888356577823</v>
      </c>
      <c r="E69" s="52">
        <v>4951783</v>
      </c>
      <c r="F69" s="101">
        <f t="shared" si="0"/>
        <v>0.23562308750126948</v>
      </c>
      <c r="G69" s="52">
        <v>4007519</v>
      </c>
      <c r="H69" s="101">
        <f t="shared" si="0"/>
        <v>0.36185009559241821</v>
      </c>
      <c r="I69" s="67">
        <v>2942702</v>
      </c>
      <c r="J69" s="66">
        <f t="shared" si="1"/>
        <v>0.60125261869133451</v>
      </c>
      <c r="K69" s="67">
        <v>1837750</v>
      </c>
      <c r="L69" s="66">
        <f t="shared" si="6"/>
        <v>0.40438812542173674</v>
      </c>
      <c r="M69" s="67">
        <v>1308577</v>
      </c>
      <c r="N69" s="66">
        <f t="shared" si="7"/>
        <v>0.61093698449356637</v>
      </c>
      <c r="O69" s="67">
        <v>812308</v>
      </c>
      <c r="P69" s="66">
        <f t="shared" si="8"/>
        <v>0.17651625424551187</v>
      </c>
      <c r="Q69" s="67">
        <v>690435</v>
      </c>
      <c r="R69" s="66">
        <f t="shared" si="9"/>
        <v>-0.19107533256319109</v>
      </c>
      <c r="S69" s="67">
        <v>853522</v>
      </c>
      <c r="T69" s="66">
        <f t="shared" si="2"/>
        <v>0.38467952836126962</v>
      </c>
      <c r="U69" s="67">
        <v>616404</v>
      </c>
      <c r="V69" s="66">
        <f t="shared" si="3"/>
        <v>-0.30821417388581562</v>
      </c>
      <c r="W69" s="67">
        <v>891033</v>
      </c>
      <c r="X69" s="66">
        <f t="shared" si="4"/>
        <v>-0.32110064481621248</v>
      </c>
      <c r="Y69" s="67">
        <v>1312467</v>
      </c>
      <c r="Z69" s="66">
        <f t="shared" si="10"/>
        <v>-0.55401453082678098</v>
      </c>
      <c r="AA69" s="75">
        <v>2942847</v>
      </c>
      <c r="AC69" s="24"/>
    </row>
    <row r="70" spans="1:29" ht="14.25" customHeight="1" x14ac:dyDescent="0.2">
      <c r="A70" s="51" t="s">
        <v>2</v>
      </c>
      <c r="B70" s="45" t="s">
        <v>133</v>
      </c>
      <c r="C70" s="43">
        <v>25901708</v>
      </c>
      <c r="D70" s="102">
        <f t="shared" si="5"/>
        <v>0.41498824981647342</v>
      </c>
      <c r="E70" s="52">
        <v>18305246</v>
      </c>
      <c r="F70" s="101">
        <f>E70/G70-1</f>
        <v>-2.6133376916005591E-2</v>
      </c>
      <c r="G70" s="52">
        <v>18796461</v>
      </c>
      <c r="H70" s="101">
        <f>G70/I70-1</f>
        <v>0.2510724141903915</v>
      </c>
      <c r="I70" s="67">
        <v>15024279</v>
      </c>
      <c r="J70" s="66">
        <f>I70/K70-1</f>
        <v>9.5906525227519968E-2</v>
      </c>
      <c r="K70" s="67">
        <v>13709453</v>
      </c>
      <c r="L70" s="66">
        <f t="shared" si="6"/>
        <v>0.20547748265507204</v>
      </c>
      <c r="M70" s="67">
        <v>11372633</v>
      </c>
      <c r="N70" s="66">
        <f t="shared" si="7"/>
        <v>0.53756204255613715</v>
      </c>
      <c r="O70" s="67">
        <v>7396536</v>
      </c>
      <c r="P70" s="66">
        <f t="shared" si="8"/>
        <v>1.5770268226892927</v>
      </c>
      <c r="Q70" s="67">
        <v>2870182</v>
      </c>
      <c r="R70" s="66">
        <f t="shared" si="9"/>
        <v>0.19709878358285216</v>
      </c>
      <c r="S70" s="67">
        <v>2397615</v>
      </c>
      <c r="T70" s="66">
        <f>S70/U70-1</f>
        <v>0.78807732177881862</v>
      </c>
      <c r="U70" s="67">
        <v>1340890</v>
      </c>
      <c r="V70" s="66">
        <f>U70/W70-1</f>
        <v>-0.59776674736989566</v>
      </c>
      <c r="W70" s="67">
        <v>3333613</v>
      </c>
      <c r="X70" s="66">
        <f>W70/Y70-1</f>
        <v>-0.36302551002567873</v>
      </c>
      <c r="Y70" s="67">
        <v>5233511</v>
      </c>
      <c r="Z70" s="66">
        <f t="shared" si="10"/>
        <v>-0.45402996188806444</v>
      </c>
      <c r="AA70" s="75">
        <v>9585711</v>
      </c>
      <c r="AC70" s="24"/>
    </row>
    <row r="71" spans="1:29" ht="14.25" customHeight="1" x14ac:dyDescent="0.2">
      <c r="A71" s="51" t="s">
        <v>1</v>
      </c>
      <c r="B71" s="45" t="s">
        <v>133</v>
      </c>
      <c r="C71" s="43">
        <v>1323904</v>
      </c>
      <c r="D71" s="102">
        <f>C71/E71-1</f>
        <v>1.8264811814010886</v>
      </c>
      <c r="E71" s="52">
        <v>468393</v>
      </c>
      <c r="F71" s="101">
        <f>E71/G71-1</f>
        <v>0.4142770442255026</v>
      </c>
      <c r="G71" s="52">
        <v>331189</v>
      </c>
      <c r="H71" s="101">
        <f>G71/I71-1</f>
        <v>-0.25051879309603498</v>
      </c>
      <c r="I71" s="67">
        <v>441891</v>
      </c>
      <c r="J71" s="66">
        <f>I71/K71-1</f>
        <v>4.4807774152362034E-2</v>
      </c>
      <c r="K71" s="67">
        <v>422940</v>
      </c>
      <c r="L71" s="66">
        <f>K71/M71-1</f>
        <v>0.10407442987219118</v>
      </c>
      <c r="M71" s="67">
        <v>383072</v>
      </c>
      <c r="N71" s="66">
        <f>M71/O71-1</f>
        <v>0.36250853630776225</v>
      </c>
      <c r="O71" s="67">
        <v>281152</v>
      </c>
      <c r="P71" s="66">
        <f>O71/Q71-1</f>
        <v>1.8732664970209809</v>
      </c>
      <c r="Q71" s="67">
        <v>97851</v>
      </c>
      <c r="R71" s="66">
        <f>Q71/S71-1</f>
        <v>-0.53629953275013986</v>
      </c>
      <c r="S71" s="67">
        <v>211022</v>
      </c>
      <c r="T71" s="66">
        <f>S71/U71-1</f>
        <v>3.2356854917615641E-2</v>
      </c>
      <c r="U71" s="67">
        <v>204408</v>
      </c>
      <c r="V71" s="66">
        <f>U71/W71-1</f>
        <v>-0.38327299058653153</v>
      </c>
      <c r="W71" s="67">
        <v>331440</v>
      </c>
      <c r="X71" s="66">
        <f>W71/Y71-1</f>
        <v>-0.4821597923889489</v>
      </c>
      <c r="Y71" s="67">
        <v>640043</v>
      </c>
      <c r="Z71" s="66">
        <f>Y71/AA71-1</f>
        <v>-0.48321030796981501</v>
      </c>
      <c r="AA71" s="75">
        <v>1238498</v>
      </c>
      <c r="AC71" s="24"/>
    </row>
    <row r="72" spans="1:29" ht="14.25" customHeight="1" x14ac:dyDescent="0.2">
      <c r="A72" s="51"/>
      <c r="B72" s="45"/>
      <c r="C72" s="45"/>
      <c r="D72" s="45"/>
      <c r="E72" s="45"/>
      <c r="F72" s="101"/>
      <c r="G72" s="45"/>
      <c r="H72" s="101"/>
      <c r="I72" s="68"/>
      <c r="J72" s="69"/>
      <c r="K72" s="68"/>
      <c r="L72" s="69"/>
      <c r="M72" s="68"/>
      <c r="N72" s="69"/>
      <c r="O72" s="68"/>
      <c r="P72" s="69"/>
      <c r="Q72" s="68"/>
      <c r="R72" s="69"/>
      <c r="S72" s="68"/>
      <c r="T72" s="66"/>
      <c r="U72" s="68"/>
      <c r="V72" s="66"/>
      <c r="W72" s="68"/>
      <c r="X72" s="66"/>
      <c r="Y72" s="68"/>
      <c r="Z72" s="66"/>
      <c r="AA72" s="76"/>
    </row>
    <row r="73" spans="1:29" ht="14.25" customHeight="1" thickBot="1" x14ac:dyDescent="0.25">
      <c r="A73" s="53" t="s">
        <v>0</v>
      </c>
      <c r="B73" s="77"/>
      <c r="C73" s="78">
        <f>SUM(C5:C71)</f>
        <v>5510187013</v>
      </c>
      <c r="D73" s="79">
        <f>C73/E73-1</f>
        <v>6.2947031255219832E-2</v>
      </c>
      <c r="E73" s="78">
        <f>SUM(E5:E71)</f>
        <v>5183877325</v>
      </c>
      <c r="F73" s="79">
        <f>E73/G73-1</f>
        <v>7.0503939677823091E-2</v>
      </c>
      <c r="G73" s="78">
        <f>SUM(G5:G71)</f>
        <v>4842464500</v>
      </c>
      <c r="H73" s="79">
        <f>G73/I73-1</f>
        <v>0.15026240144540659</v>
      </c>
      <c r="I73" s="78">
        <f>SUM(I5:I71)</f>
        <v>4209878106</v>
      </c>
      <c r="J73" s="79">
        <f>I73/K73-1</f>
        <v>0.16704323326282489</v>
      </c>
      <c r="K73" s="78">
        <f>SUM(K5:K71)</f>
        <v>3607302614</v>
      </c>
      <c r="L73" s="79">
        <f>K73/M73-1</f>
        <v>0.26298358526495713</v>
      </c>
      <c r="M73" s="78">
        <f>SUM(M5:M71)</f>
        <v>2856175374</v>
      </c>
      <c r="N73" s="79">
        <f>M73/O73-1</f>
        <v>0.62772608493450943</v>
      </c>
      <c r="O73" s="78">
        <f>SUM(O5:O71)</f>
        <v>1754702711</v>
      </c>
      <c r="P73" s="79">
        <f>O73/Q73-1</f>
        <v>0.95315697338946892</v>
      </c>
      <c r="Q73" s="78">
        <f>SUM(Q5:Q71)</f>
        <v>898393081</v>
      </c>
      <c r="R73" s="79">
        <f>Q73/S73-1</f>
        <v>0.76997224361108385</v>
      </c>
      <c r="S73" s="78">
        <f>SUM(S5:S71)</f>
        <v>507574672</v>
      </c>
      <c r="T73" s="79">
        <f>S73/U73-1</f>
        <v>9.0338406696666818E-2</v>
      </c>
      <c r="U73" s="78">
        <f>SUM(U5:U71)</f>
        <v>465520309</v>
      </c>
      <c r="V73" s="79">
        <f>U73/W73-1</f>
        <v>-0.17126359158985416</v>
      </c>
      <c r="W73" s="78">
        <f>SUM(W5:W71)</f>
        <v>561723009</v>
      </c>
      <c r="X73" s="79">
        <f>W73/Y73-1</f>
        <v>-0.45722906119142648</v>
      </c>
      <c r="Y73" s="78">
        <f>SUM(Y5:Y71)</f>
        <v>1034917253</v>
      </c>
      <c r="Z73" s="79">
        <f>Y73/AA73-1</f>
        <v>-0.54553529781384991</v>
      </c>
      <c r="AA73" s="80">
        <f>SUM(AA5:AA71)</f>
        <v>2277222517</v>
      </c>
    </row>
    <row r="75" spans="1:29" x14ac:dyDescent="0.2">
      <c r="A75" s="25" t="s">
        <v>134</v>
      </c>
      <c r="B75" s="46"/>
      <c r="C75" s="26"/>
      <c r="D75" s="26"/>
      <c r="E75" s="46"/>
      <c r="F75" s="46"/>
      <c r="G75" s="46"/>
      <c r="H75" s="46"/>
      <c r="I75" s="26"/>
      <c r="J75" s="26"/>
      <c r="K75" s="26"/>
      <c r="L75" s="26"/>
      <c r="M75" s="26"/>
      <c r="N75" s="26"/>
      <c r="O75" s="26"/>
      <c r="P75" s="25"/>
      <c r="Q75" s="26"/>
      <c r="R75" s="26"/>
      <c r="S75" s="26"/>
      <c r="T75" s="26"/>
      <c r="U75" s="26"/>
    </row>
  </sheetData>
  <phoneticPr fontId="2" type="noConversion"/>
  <conditionalFormatting sqref="M4:AA73 A4:B73 H5:H71 G72:H72 G4:H4">
    <cfRule type="expression" dxfId="15" priority="17" stopIfTrue="1">
      <formula>MOD(ROW(),3)=1</formula>
    </cfRule>
  </conditionalFormatting>
  <conditionalFormatting sqref="K4:L73">
    <cfRule type="expression" dxfId="14" priority="16" stopIfTrue="1">
      <formula>MOD(ROW(),3)=1</formula>
    </cfRule>
  </conditionalFormatting>
  <conditionalFormatting sqref="I72:J72 I4:I71">
    <cfRule type="expression" dxfId="13" priority="15" stopIfTrue="1">
      <formula>MOD(ROW(),3)=1</formula>
    </cfRule>
  </conditionalFormatting>
  <conditionalFormatting sqref="J4">
    <cfRule type="expression" dxfId="12" priority="14" stopIfTrue="1">
      <formula>MOD(ROW(),3)=1</formula>
    </cfRule>
  </conditionalFormatting>
  <conditionalFormatting sqref="J5:J71">
    <cfRule type="expression" dxfId="11" priority="13" stopIfTrue="1">
      <formula>MOD(ROW(),3)=1</formula>
    </cfRule>
  </conditionalFormatting>
  <conditionalFormatting sqref="G73:J73">
    <cfRule type="expression" dxfId="10" priority="12" stopIfTrue="1">
      <formula>MOD(ROW(),3)=1</formula>
    </cfRule>
  </conditionalFormatting>
  <conditionalFormatting sqref="G5:G71">
    <cfRule type="expression" dxfId="9" priority="11" stopIfTrue="1">
      <formula>MOD(ROW(),3)=1</formula>
    </cfRule>
  </conditionalFormatting>
  <conditionalFormatting sqref="E72:F72 E4:F4">
    <cfRule type="expression" dxfId="8" priority="10" stopIfTrue="1">
      <formula>MOD(ROW(),3)=1</formula>
    </cfRule>
  </conditionalFormatting>
  <conditionalFormatting sqref="E5:E71">
    <cfRule type="expression" dxfId="7" priority="8" stopIfTrue="1">
      <formula>MOD(ROW(),3)=1</formula>
    </cfRule>
  </conditionalFormatting>
  <conditionalFormatting sqref="E73:F73">
    <cfRule type="expression" dxfId="6" priority="7" stopIfTrue="1">
      <formula>MOD(ROW(),3)=1</formula>
    </cfRule>
  </conditionalFormatting>
  <conditionalFormatting sqref="F5:F71">
    <cfRule type="expression" dxfId="5" priority="6" stopIfTrue="1">
      <formula>MOD(ROW(),3)=1</formula>
    </cfRule>
  </conditionalFormatting>
  <conditionalFormatting sqref="C72:D72 C4:D4">
    <cfRule type="expression" dxfId="4" priority="5" stopIfTrue="1">
      <formula>MOD(ROW(),3)=1</formula>
    </cfRule>
  </conditionalFormatting>
  <conditionalFormatting sqref="C5:C71">
    <cfRule type="expression" dxfId="3" priority="4" stopIfTrue="1">
      <formula>MOD(ROW(),3)=1</formula>
    </cfRule>
  </conditionalFormatting>
  <conditionalFormatting sqref="D5:D71">
    <cfRule type="expression" dxfId="2" priority="3" stopIfTrue="1">
      <formula>MOD(ROW(),3)=1</formula>
    </cfRule>
  </conditionalFormatting>
  <conditionalFormatting sqref="D73">
    <cfRule type="expression" dxfId="1" priority="2" stopIfTrue="1">
      <formula>MOD(ROW(),3)=1</formula>
    </cfRule>
  </conditionalFormatting>
  <conditionalFormatting sqref="C73">
    <cfRule type="expression" dxfId="0" priority="1" stopIfTrue="1">
      <formula>MOD(ROW(),3)=1</formula>
    </cfRule>
  </conditionalFormatting>
  <pageMargins left="0.75" right="0.75" top="1" bottom="1" header="0.5" footer="0.5"/>
  <pageSetup orientation="portrait" r:id="rId1"/>
  <headerFooter alignWithMargins="0"/>
  <ignoredErrors>
    <ignoredError sqref="W73:Y73 Z73 U73:V73 T73 P73:R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BCCDDCC-9BBC-4142-8D71-AA0865D30767}"/>
</file>

<file path=customXml/itemProps2.xml><?xml version="1.0" encoding="utf-8"?>
<ds:datastoreItem xmlns:ds="http://schemas.openxmlformats.org/officeDocument/2006/customXml" ds:itemID="{FF6F6124-9D7F-4F28-8E75-3C5619127EE2}"/>
</file>

<file path=customXml/itemProps3.xml><?xml version="1.0" encoding="utf-8"?>
<ds:datastoreItem xmlns:ds="http://schemas.openxmlformats.org/officeDocument/2006/customXml" ds:itemID="{A7CB4794-1AD5-49F0-88F1-0F63ECB754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Report Index</vt:lpstr>
      <vt:lpstr>Amendment 1 Summary</vt:lpstr>
      <vt:lpstr>Amendment 1 Impact</vt:lpstr>
      <vt:lpstr>Chart1</vt:lpstr>
      <vt:lpstr>Chart2</vt:lpstr>
      <vt:lpstr>Additional 25K H_EX</vt:lpstr>
      <vt:lpstr>25K TPP EX</vt:lpstr>
      <vt:lpstr>10% Non-Homestead</vt:lpstr>
      <vt:lpstr>10% Cap School TV &gt; 0</vt:lpstr>
      <vt:lpstr>Portability Impact</vt:lpstr>
      <vt:lpstr>'Amendment 1 Summary'!Print_Titles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Harvey Bissoo</cp:lastModifiedBy>
  <cp:lastPrinted>2014-06-18T17:35:44Z</cp:lastPrinted>
  <dcterms:created xsi:type="dcterms:W3CDTF">2010-09-28T20:17:17Z</dcterms:created>
  <dcterms:modified xsi:type="dcterms:W3CDTF">2022-01-05T15:58:23Z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