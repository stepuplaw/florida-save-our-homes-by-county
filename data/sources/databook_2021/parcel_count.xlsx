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1 Data Book\Final Drafts\"/>
    </mc:Choice>
  </mc:AlternateContent>
  <xr:revisionPtr revIDLastSave="0" documentId="13_ncr:1_{1655F8A4-5529-4AA2-8CCD-F29A8259ADB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port Index" sheetId="7" r:id="rId1"/>
    <sheet name="State Summary by Type" sheetId="6" r:id="rId2"/>
    <sheet name="Parcel Ct by Type" sheetId="1" r:id="rId3"/>
    <sheet name="Just Value by Type " sheetId="4" r:id="rId4"/>
    <sheet name="Taxable Value by Type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6" l="1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5" i="5"/>
  <c r="B5" i="4"/>
  <c r="D15" i="6"/>
  <c r="T10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C17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D6" i="6"/>
  <c r="U73" i="5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U73" i="1" s="1"/>
  <c r="C73" i="1"/>
  <c r="T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C73" i="5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D73" i="4"/>
  <c r="C73" i="4"/>
  <c r="C6" i="6"/>
  <c r="S15" i="6"/>
  <c r="H15" i="6"/>
  <c r="G15" i="6"/>
  <c r="I15" i="6"/>
  <c r="U10" i="6"/>
  <c r="J10" i="6"/>
  <c r="G10" i="6"/>
  <c r="L10" i="6"/>
  <c r="S10" i="6"/>
  <c r="Q6" i="6"/>
  <c r="K6" i="6"/>
  <c r="F15" i="6"/>
  <c r="M15" i="6"/>
  <c r="O15" i="6"/>
  <c r="U15" i="6"/>
  <c r="C15" i="6"/>
  <c r="E15" i="6"/>
  <c r="Q15" i="6"/>
  <c r="L15" i="6"/>
  <c r="T15" i="6"/>
  <c r="N10" i="6"/>
  <c r="K10" i="6"/>
  <c r="U73" i="4"/>
  <c r="K15" i="6"/>
  <c r="R15" i="6"/>
  <c r="J15" i="6"/>
  <c r="P15" i="6"/>
  <c r="N15" i="6"/>
  <c r="O10" i="6"/>
  <c r="M10" i="6"/>
  <c r="R6" i="6"/>
  <c r="J6" i="6"/>
  <c r="O6" i="6"/>
  <c r="S6" i="6"/>
  <c r="I6" i="6"/>
  <c r="T6" i="6"/>
  <c r="F6" i="6"/>
  <c r="M6" i="6"/>
  <c r="G6" i="6"/>
  <c r="U6" i="6"/>
  <c r="U17" i="6"/>
  <c r="H6" i="6"/>
  <c r="E6" i="6"/>
  <c r="L6" i="6"/>
  <c r="P6" i="6"/>
  <c r="N6" i="6"/>
  <c r="U12" i="6" l="1"/>
  <c r="Q10" i="6"/>
  <c r="R10" i="6"/>
  <c r="I10" i="6"/>
  <c r="E10" i="6"/>
  <c r="D10" i="6"/>
  <c r="P10" i="6"/>
  <c r="C10" i="6"/>
  <c r="F10" i="6"/>
  <c r="H10" i="6"/>
</calcChain>
</file>

<file path=xl/sharedStrings.xml><?xml version="1.0" encoding="utf-8"?>
<sst xmlns="http://schemas.openxmlformats.org/spreadsheetml/2006/main" count="403" uniqueCount="114">
  <si>
    <t>County</t>
  </si>
  <si>
    <t>Status</t>
  </si>
  <si>
    <t>Vacant Residential</t>
  </si>
  <si>
    <t>Cooperatives</t>
  </si>
  <si>
    <t>Vacant Industrial</t>
  </si>
  <si>
    <t>Industrial</t>
  </si>
  <si>
    <t>Agricultural</t>
  </si>
  <si>
    <t>Institutional</t>
  </si>
  <si>
    <t>Government</t>
  </si>
  <si>
    <t>Total Real Property</t>
  </si>
  <si>
    <t>Mobile Homes</t>
  </si>
  <si>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</si>
  <si>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</si>
  <si>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</si>
  <si>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</si>
  <si>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</si>
  <si>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</si>
  <si>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</si>
  <si>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</si>
  <si>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</si>
  <si>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</si>
  <si>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</si>
  <si>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</si>
  <si>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</si>
  <si>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</si>
  <si>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</si>
  <si>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</si>
  <si>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</si>
  <si>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</si>
  <si>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</si>
  <si>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</si>
  <si>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</si>
  <si>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</si>
  <si>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</si>
  <si>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</si>
  <si>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</si>
  <si>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</si>
  <si>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</si>
  <si>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</si>
  <si>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</si>
  <si>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</si>
  <si>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</si>
  <si>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</si>
  <si>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</si>
  <si>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</si>
  <si>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</si>
  <si>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</si>
  <si>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</si>
  <si>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</si>
  <si>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</si>
  <si>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</si>
  <si>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</si>
  <si>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</si>
  <si>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</si>
  <si>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</si>
  <si>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</si>
  <si>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</si>
  <si>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</si>
  <si>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</si>
  <si>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</si>
  <si>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</si>
  <si>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</si>
  <si>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</si>
  <si>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</si>
  <si>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</si>
  <si>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</si>
  <si>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</si>
  <si>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</si>
  <si>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</si>
  <si>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</si>
  <si>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</si>
  <si>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</si>
  <si>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</si>
  <si>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</si>
  <si>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</si>
  <si>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</si>
  <si>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</si>
  <si>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</si>
  <si>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Number of Parcels</t>
  </si>
  <si>
    <t>Real Property Just Value</t>
  </si>
  <si>
    <t>Real Property Taxable Value</t>
  </si>
  <si>
    <t>Pct of Total Just Value</t>
  </si>
  <si>
    <t>Pct of Total Taxable Value</t>
  </si>
  <si>
    <t>Pct of Total Parcels</t>
  </si>
  <si>
    <t>State Summary by Property Type</t>
  </si>
  <si>
    <t>Parcel Count by Property Type</t>
  </si>
  <si>
    <t>Just Value by Property Type</t>
  </si>
  <si>
    <t>Taxable Value by Property Type</t>
  </si>
  <si>
    <t>Condominiums</t>
  </si>
  <si>
    <t>Multi Family (Less Than 10)</t>
  </si>
  <si>
    <t>Multi Family (More Than 10)</t>
  </si>
  <si>
    <t>Single Family Residential</t>
  </si>
  <si>
    <t>Improved Commercial</t>
  </si>
  <si>
    <t>Misc.</t>
  </si>
  <si>
    <t>Retirement Homes &amp; Misc. Residential</t>
  </si>
  <si>
    <t>Vacant Commercial</t>
  </si>
  <si>
    <t>Leasehold Interest</t>
  </si>
  <si>
    <t>Non-Agricultural  Acreage</t>
  </si>
  <si>
    <t xml:space="preserve">Contact Information: </t>
  </si>
  <si>
    <t xml:space="preserve">Property Tax Oversight, Research &amp; Analysis  </t>
  </si>
  <si>
    <t>* As Reported by County Property Appraiser</t>
  </si>
  <si>
    <t>Parcel Count Reports*</t>
  </si>
  <si>
    <t>Average Just Value Per Parcel</t>
  </si>
  <si>
    <t>Average Taxable Value Per Parcel</t>
  </si>
  <si>
    <t>Miami-Dade</t>
  </si>
  <si>
    <t>PTOResearchAnalysis@dor.state.fl.us</t>
  </si>
  <si>
    <t xml:space="preserve"> </t>
  </si>
  <si>
    <t>Final</t>
  </si>
  <si>
    <t>R-NVAB</t>
  </si>
  <si>
    <t>R-Final</t>
  </si>
  <si>
    <t>Pct increase in parcels from 2020</t>
  </si>
  <si>
    <t>Pct Increase in Just Value  from 2020</t>
  </si>
  <si>
    <t>Pct Increase in Taxable Value  from 2020</t>
  </si>
  <si>
    <t>Data Extract: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</si>
</sst>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u/>
      <sz val="11"/>
      <color indexed="12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1" fontId="4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/>
    <xf numFmtId="0" fontId="9" fillId="0" borderId="0" xfId="3" applyFont="1" applyAlignment="1" applyProtection="1"/>
    <xf numFmtId="0" fontId="1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/>
    <xf numFmtId="3" fontId="15" fillId="0" borderId="0" xfId="0" applyNumberFormat="1" applyFont="1"/>
    <xf numFmtId="0" fontId="15" fillId="3" borderId="0" xfId="0" applyFont="1" applyFill="1"/>
    <xf numFmtId="0" fontId="15" fillId="0" borderId="0" xfId="0" applyFont="1" applyAlignment="1">
      <alignment horizontal="center"/>
    </xf>
    <xf numFmtId="10" fontId="15" fillId="0" borderId="0" xfId="4" applyNumberFormat="1" applyFont="1"/>
    <xf numFmtId="2" fontId="15" fillId="0" borderId="0" xfId="2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4" xfId="0" applyFont="1" applyBorder="1"/>
    <xf numFmtId="0" fontId="8" fillId="0" borderId="5" xfId="0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0" fontId="7" fillId="2" borderId="7" xfId="0" applyFont="1" applyFill="1" applyBorder="1"/>
    <xf numFmtId="0" fontId="7" fillId="2" borderId="8" xfId="0" applyFont="1" applyFill="1" applyBorder="1" applyAlignment="1">
      <alignment horizontal="center"/>
    </xf>
    <xf numFmtId="3" fontId="7" fillId="2" borderId="8" xfId="0" applyNumberFormat="1" applyFont="1" applyFill="1" applyBorder="1"/>
    <xf numFmtId="3" fontId="8" fillId="0" borderId="0" xfId="0" applyNumberFormat="1" applyFont="1"/>
    <xf numFmtId="3" fontId="7" fillId="0" borderId="9" xfId="0" applyNumberFormat="1" applyFont="1" applyBorder="1"/>
    <xf numFmtId="0" fontId="14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/>
    <xf numFmtId="0" fontId="8" fillId="2" borderId="10" xfId="0" applyFont="1" applyFill="1" applyBorder="1"/>
    <xf numFmtId="0" fontId="8" fillId="2" borderId="6" xfId="0" applyFont="1" applyFill="1" applyBorder="1"/>
    <xf numFmtId="0" fontId="11" fillId="3" borderId="4" xfId="0" applyFont="1" applyFill="1" applyBorder="1" applyAlignment="1">
      <alignment wrapText="1"/>
    </xf>
    <xf numFmtId="164" fontId="8" fillId="3" borderId="5" xfId="2" applyNumberFormat="1" applyFont="1" applyFill="1" applyBorder="1"/>
    <xf numFmtId="164" fontId="8" fillId="3" borderId="6" xfId="2" applyNumberFormat="1" applyFont="1" applyFill="1" applyBorder="1"/>
    <xf numFmtId="0" fontId="11" fillId="0" borderId="7" xfId="0" applyFont="1" applyBorder="1" applyAlignment="1">
      <alignment wrapText="1"/>
    </xf>
    <xf numFmtId="0" fontId="8" fillId="0" borderId="8" xfId="0" applyFont="1" applyBorder="1" applyAlignment="1">
      <alignment horizontal="center"/>
    </xf>
    <xf numFmtId="43" fontId="8" fillId="0" borderId="8" xfId="2" applyFont="1" applyBorder="1"/>
    <xf numFmtId="43" fontId="8" fillId="0" borderId="9" xfId="2" applyFont="1" applyBorder="1"/>
    <xf numFmtId="0" fontId="11" fillId="0" borderId="0" xfId="0" applyFont="1" applyAlignment="1">
      <alignment wrapText="1"/>
    </xf>
    <xf numFmtId="9" fontId="8" fillId="0" borderId="0" xfId="4" applyFont="1"/>
    <xf numFmtId="1" fontId="8" fillId="0" borderId="0" xfId="4" applyNumberFormat="1" applyFont="1"/>
    <xf numFmtId="0" fontId="16" fillId="0" borderId="0" xfId="0" applyFont="1" applyAlignment="1">
      <alignment horizontal="center" vertical="center" wrapText="1"/>
    </xf>
    <xf numFmtId="10" fontId="8" fillId="0" borderId="5" xfId="4" applyNumberFormat="1" applyFont="1" applyBorder="1"/>
    <xf numFmtId="10" fontId="8" fillId="0" borderId="11" xfId="4" applyNumberFormat="1" applyFont="1" applyBorder="1"/>
    <xf numFmtId="10" fontId="8" fillId="0" borderId="6" xfId="4" applyNumberFormat="1" applyFont="1" applyBorder="1"/>
    <xf numFmtId="0" fontId="9" fillId="0" borderId="0" xfId="3" applyFont="1" applyAlignment="1" applyProtection="1">
      <alignment horizontal="left"/>
    </xf>
  </cellXfs>
  <cellStyles count="5">
    <cellStyle name="AccountingNoDecimals" xfId="1" xr:uid="{00000000-0005-0000-0000-000000000000}"/>
    <cellStyle name="Comma" xfId="2" builtinId="3"/>
    <cellStyle name="Hyperlink" xfId="3" builtinId="8"/>
    <cellStyle name="Normal" xfId="0" builtinId="0"/>
    <cellStyle name="Percent" xfId="4" builtinId="5"/>
  </cellStyles>
  <dxfs count="3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dor.state.fl.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17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101</v>
      </c>
    </row>
    <row r="4" spans="1:8" x14ac:dyDescent="0.2">
      <c r="B4" s="51" t="s">
        <v>84</v>
      </c>
      <c r="C4" s="51"/>
      <c r="D4" s="51"/>
      <c r="E4" s="51"/>
      <c r="F4" s="51"/>
      <c r="G4" s="51"/>
      <c r="H4" s="51"/>
    </row>
    <row r="6" spans="1:8" x14ac:dyDescent="0.2">
      <c r="B6" s="51" t="s">
        <v>85</v>
      </c>
      <c r="C6" s="51"/>
      <c r="D6" s="51"/>
      <c r="E6" s="51"/>
      <c r="F6" s="51"/>
      <c r="G6" s="51"/>
      <c r="H6" s="51"/>
    </row>
    <row r="8" spans="1:8" x14ac:dyDescent="0.2">
      <c r="B8" s="51" t="s">
        <v>86</v>
      </c>
      <c r="C8" s="51"/>
      <c r="D8" s="51"/>
      <c r="E8" s="51"/>
      <c r="F8" s="51"/>
      <c r="G8" s="51"/>
      <c r="H8" s="51"/>
    </row>
    <row r="10" spans="1:8" x14ac:dyDescent="0.2">
      <c r="B10" s="51" t="s">
        <v>87</v>
      </c>
      <c r="C10" s="51"/>
      <c r="D10" s="51"/>
      <c r="E10" s="51"/>
      <c r="F10" s="51"/>
      <c r="G10" s="51"/>
      <c r="H10" s="51"/>
    </row>
    <row r="14" spans="1:8" x14ac:dyDescent="0.2">
      <c r="A14" s="3" t="s">
        <v>100</v>
      </c>
    </row>
    <row r="16" spans="1:8" x14ac:dyDescent="0.2">
      <c r="A16" s="4" t="s">
        <v>98</v>
      </c>
      <c r="B16" s="5"/>
      <c r="C16" s="5"/>
      <c r="D16" s="4" t="s">
        <v>99</v>
      </c>
      <c r="E16" s="5"/>
      <c r="F16" s="5"/>
      <c r="G16" s="5"/>
      <c r="H16" s="5"/>
    </row>
    <row r="17" spans="1:8" x14ac:dyDescent="0.2">
      <c r="A17" s="5"/>
      <c r="B17" s="5"/>
      <c r="C17" s="5"/>
      <c r="D17" s="7" t="s">
        <v>105</v>
      </c>
      <c r="E17" s="5"/>
      <c r="F17" s="5"/>
      <c r="G17" s="5"/>
      <c r="H17" s="5"/>
    </row>
  </sheetData>
  <mergeCells count="4">
    <mergeCell ref="B4:H4"/>
    <mergeCell ref="B6:H6"/>
    <mergeCell ref="B8:H8"/>
    <mergeCell ref="B10:H10"/>
  </mergeCells>
  <phoneticPr fontId="2" type="noConversion"/>
  <hyperlinks>
    <hyperlink ref="B4:H4" location="'State Summary by Type'!A1" display="State Summary by Property Type" xr:uid="{00000000-0004-0000-0000-000000000000}"/>
    <hyperlink ref="B6:H6" location="'Parcel Ct by Type'!A1" display="Parcel Count by Property Type" xr:uid="{00000000-0004-0000-0000-000001000000}"/>
    <hyperlink ref="B8:H8" location="'Just Value by Type '!A1" display="Just Value by Property Type" xr:uid="{00000000-0004-0000-0000-000002000000}"/>
    <hyperlink ref="B10:H10" location="'Taxable Value by Type '!A1" display="Taxable Value by Property Type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53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56.85546875" style="44" bestFit="1" customWidth="1"/>
    <col min="2" max="2" width="6.5703125" style="18" bestFit="1" customWidth="1"/>
    <col min="3" max="3" width="15.42578125" style="3" bestFit="1" customWidth="1"/>
    <col min="4" max="4" width="18.42578125" style="3" bestFit="1" customWidth="1"/>
    <col min="5" max="5" width="15.42578125" style="3" bestFit="1" customWidth="1"/>
    <col min="6" max="6" width="16.5703125" style="3" bestFit="1" customWidth="1"/>
    <col min="7" max="7" width="15.42578125" style="3" bestFit="1" customWidth="1"/>
    <col min="8" max="8" width="18.7109375" style="3" bestFit="1" customWidth="1"/>
    <col min="9" max="10" width="14.28515625" style="3" bestFit="1" customWidth="1"/>
    <col min="11" max="11" width="15.42578125" style="3" bestFit="1" customWidth="1"/>
    <col min="12" max="12" width="16.5703125" style="3" bestFit="1" customWidth="1"/>
    <col min="13" max="13" width="14.28515625" style="3" bestFit="1" customWidth="1"/>
    <col min="14" max="16" width="15.42578125" style="3" bestFit="1" customWidth="1"/>
    <col min="17" max="17" width="16.5703125" style="3" bestFit="1" customWidth="1"/>
    <col min="18" max="20" width="14.28515625" style="3" bestFit="1" customWidth="1"/>
    <col min="21" max="21" width="18.85546875" style="3" bestFit="1" customWidth="1"/>
    <col min="22" max="16384" width="9.140625" style="12"/>
  </cols>
  <sheetData>
    <row r="1" spans="1:21" ht="23.25" x14ac:dyDescent="0.35">
      <c r="A1" s="6" t="s">
        <v>84</v>
      </c>
    </row>
    <row r="2" spans="1:21" ht="15" x14ac:dyDescent="0.25">
      <c r="A2" s="29">
        <v>2021</v>
      </c>
    </row>
    <row r="3" spans="1:21" ht="15" thickBot="1" x14ac:dyDescent="0.25">
      <c r="A3" s="30"/>
    </row>
    <row r="4" spans="1:21" s="47" customFormat="1" ht="38.25" x14ac:dyDescent="0.25">
      <c r="A4" s="8" t="s">
        <v>11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29.25" customHeight="1" x14ac:dyDescent="0.2">
      <c r="A5" s="31" t="s">
        <v>78</v>
      </c>
      <c r="B5" s="21" t="s">
        <v>107</v>
      </c>
      <c r="C5" s="22">
        <v>1409937</v>
      </c>
      <c r="D5" s="22">
        <v>5565009</v>
      </c>
      <c r="E5" s="22">
        <v>435347</v>
      </c>
      <c r="F5" s="22">
        <v>1591798</v>
      </c>
      <c r="G5" s="22">
        <v>155892</v>
      </c>
      <c r="H5" s="22">
        <v>16093</v>
      </c>
      <c r="I5" s="22">
        <v>50248</v>
      </c>
      <c r="J5" s="22">
        <v>140858</v>
      </c>
      <c r="K5" s="22">
        <v>85747</v>
      </c>
      <c r="L5" s="22">
        <v>261071</v>
      </c>
      <c r="M5" s="22">
        <v>14852</v>
      </c>
      <c r="N5" s="22">
        <v>78910</v>
      </c>
      <c r="O5" s="22">
        <v>241561</v>
      </c>
      <c r="P5" s="22">
        <v>49631</v>
      </c>
      <c r="Q5" s="22">
        <v>245007</v>
      </c>
      <c r="R5" s="22">
        <v>2079</v>
      </c>
      <c r="S5" s="22">
        <v>157065</v>
      </c>
      <c r="T5" s="22">
        <v>95842</v>
      </c>
      <c r="U5" s="23">
        <v>10596947</v>
      </c>
    </row>
    <row r="6" spans="1:21" ht="29.25" customHeight="1" x14ac:dyDescent="0.2">
      <c r="A6" s="31" t="s">
        <v>83</v>
      </c>
      <c r="B6" s="21" t="s">
        <v>107</v>
      </c>
      <c r="C6" s="48">
        <f>C5/$U$5</f>
        <v>0.13305124579749242</v>
      </c>
      <c r="D6" s="48">
        <f>D5/$U$5</f>
        <v>0.52515210277073199</v>
      </c>
      <c r="E6" s="48">
        <f t="shared" ref="E6:Q6" si="0">E5/$U$5</f>
        <v>4.1082304176853955E-2</v>
      </c>
      <c r="F6" s="48">
        <f>F5/$U$5</f>
        <v>0.15021288678710953</v>
      </c>
      <c r="G6" s="48">
        <f t="shared" si="0"/>
        <v>1.471102950689477E-2</v>
      </c>
      <c r="H6" s="48">
        <f t="shared" si="0"/>
        <v>1.5186449455678131E-3</v>
      </c>
      <c r="I6" s="48">
        <f t="shared" si="0"/>
        <v>4.7417430699615657E-3</v>
      </c>
      <c r="J6" s="48">
        <f t="shared" si="0"/>
        <v>1.3292319004709565E-2</v>
      </c>
      <c r="K6" s="48">
        <f t="shared" si="0"/>
        <v>8.0916701763253142E-3</v>
      </c>
      <c r="L6" s="48">
        <f t="shared" si="0"/>
        <v>2.4636435380869605E-2</v>
      </c>
      <c r="M6" s="48">
        <f t="shared" si="0"/>
        <v>1.4015357442101013E-3</v>
      </c>
      <c r="N6" s="48">
        <f t="shared" si="0"/>
        <v>7.4464843506341968E-3</v>
      </c>
      <c r="O6" s="48">
        <f t="shared" si="0"/>
        <v>2.2795339072659324E-2</v>
      </c>
      <c r="P6" s="48">
        <f t="shared" si="0"/>
        <v>4.6835187530899231E-3</v>
      </c>
      <c r="Q6" s="48">
        <f t="shared" si="0"/>
        <v>2.3120527072561559E-2</v>
      </c>
      <c r="R6" s="48">
        <f>R5/$U$5</f>
        <v>1.9618858148483709E-4</v>
      </c>
      <c r="S6" s="48">
        <f>S5/$U$5</f>
        <v>1.4821721765712332E-2</v>
      </c>
      <c r="T6" s="49">
        <f>T5/$U$5</f>
        <v>9.0443030431311966E-3</v>
      </c>
      <c r="U6" s="50">
        <f>U5/$U$5</f>
        <v>1</v>
      </c>
    </row>
    <row r="7" spans="1:21" ht="29.25" customHeight="1" x14ac:dyDescent="0.2">
      <c r="A7" s="31" t="s">
        <v>110</v>
      </c>
      <c r="B7" s="21" t="s">
        <v>107</v>
      </c>
      <c r="C7" s="48">
        <v>-8.2655266134341598E-3</v>
      </c>
      <c r="D7" s="48">
        <v>1.7950098758377164E-2</v>
      </c>
      <c r="E7" s="48">
        <v>2.7986879566583855E-3</v>
      </c>
      <c r="F7" s="48">
        <v>3.0827282775414133E-3</v>
      </c>
      <c r="G7" s="48">
        <v>2.8820668536579941E-3</v>
      </c>
      <c r="H7" s="48">
        <v>1.9924039599028553E-3</v>
      </c>
      <c r="I7" s="48">
        <v>1.3750772235396891E-3</v>
      </c>
      <c r="J7" s="48">
        <v>-2.1615614364103641E-2</v>
      </c>
      <c r="K7" s="48">
        <v>-2.5580126821064142E-2</v>
      </c>
      <c r="L7" s="48">
        <v>-7.9225958557549436E-4</v>
      </c>
      <c r="M7" s="48">
        <v>-1.3418360568619669E-2</v>
      </c>
      <c r="N7" s="48">
        <v>1.1122216242536176E-2</v>
      </c>
      <c r="O7" s="48">
        <v>-6.9026475908567919E-3</v>
      </c>
      <c r="P7" s="48">
        <v>4.0663564636860272E-3</v>
      </c>
      <c r="Q7" s="48">
        <v>-2.4144951140064874E-3</v>
      </c>
      <c r="R7" s="48">
        <v>8.244422890397729E-3</v>
      </c>
      <c r="S7" s="48">
        <v>8.5595767087047747E-3</v>
      </c>
      <c r="T7" s="48">
        <v>1.9235192038302706E-3</v>
      </c>
      <c r="U7" s="50">
        <v>8.3349572837603247E-3</v>
      </c>
    </row>
    <row r="8" spans="1:21" ht="26.25" customHeight="1" x14ac:dyDescent="0.2">
      <c r="A8" s="32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/>
      <c r="U8" s="36"/>
    </row>
    <row r="9" spans="1:21" ht="29.25" customHeight="1" x14ac:dyDescent="0.2">
      <c r="A9" s="31" t="s">
        <v>79</v>
      </c>
      <c r="B9" s="21" t="s">
        <v>107</v>
      </c>
      <c r="C9" s="22">
        <v>51316468844</v>
      </c>
      <c r="D9" s="22">
        <v>1639038645127</v>
      </c>
      <c r="E9" s="22">
        <v>32269065788</v>
      </c>
      <c r="F9" s="22">
        <v>390359216537</v>
      </c>
      <c r="G9" s="22">
        <v>47748042516</v>
      </c>
      <c r="H9" s="22">
        <v>132933681485</v>
      </c>
      <c r="I9" s="22">
        <v>6167680836</v>
      </c>
      <c r="J9" s="22">
        <v>7034250375</v>
      </c>
      <c r="K9" s="22">
        <v>23575072619</v>
      </c>
      <c r="L9" s="22">
        <v>337713032517</v>
      </c>
      <c r="M9" s="22">
        <v>4486705524</v>
      </c>
      <c r="N9" s="22">
        <v>98454195205</v>
      </c>
      <c r="O9" s="22">
        <v>84377176764</v>
      </c>
      <c r="P9" s="22">
        <v>66587179266</v>
      </c>
      <c r="Q9" s="22">
        <v>178887169726</v>
      </c>
      <c r="R9" s="22">
        <v>5259641715</v>
      </c>
      <c r="S9" s="22">
        <v>8051162881</v>
      </c>
      <c r="T9" s="22">
        <v>7213414608</v>
      </c>
      <c r="U9" s="23">
        <v>3121471802333</v>
      </c>
    </row>
    <row r="10" spans="1:21" ht="29.25" customHeight="1" x14ac:dyDescent="0.2">
      <c r="A10" s="31" t="s">
        <v>81</v>
      </c>
      <c r="B10" s="21" t="s">
        <v>107</v>
      </c>
      <c r="C10" s="48">
        <f>C9/$U$9</f>
        <v>1.6439830981540782E-2</v>
      </c>
      <c r="D10" s="48">
        <f t="shared" ref="D10:U10" si="1">D9/$U$9</f>
        <v>0.52508519984129798</v>
      </c>
      <c r="E10" s="48">
        <f t="shared" si="1"/>
        <v>1.0337772637856917E-2</v>
      </c>
      <c r="F10" s="48">
        <f t="shared" si="1"/>
        <v>0.12505614058254316</v>
      </c>
      <c r="G10" s="48">
        <f t="shared" si="1"/>
        <v>1.5296643871750797E-2</v>
      </c>
      <c r="H10" s="48">
        <f t="shared" si="1"/>
        <v>4.2586859630013268E-2</v>
      </c>
      <c r="I10" s="48">
        <f t="shared" si="1"/>
        <v>1.9758886917992506E-3</v>
      </c>
      <c r="J10" s="48">
        <f t="shared" si="1"/>
        <v>2.2535043788454454E-3</v>
      </c>
      <c r="K10" s="48">
        <f t="shared" si="1"/>
        <v>7.5525502429270386E-3</v>
      </c>
      <c r="L10" s="48">
        <f t="shared" si="1"/>
        <v>0.10819031979228259</v>
      </c>
      <c r="M10" s="48">
        <f t="shared" si="1"/>
        <v>1.4373685902421478E-3</v>
      </c>
      <c r="N10" s="48">
        <f t="shared" si="1"/>
        <v>3.1540952934899155E-2</v>
      </c>
      <c r="O10" s="48">
        <f t="shared" si="1"/>
        <v>2.7031215435275171E-2</v>
      </c>
      <c r="P10" s="48">
        <f t="shared" si="1"/>
        <v>2.1331981668465654E-2</v>
      </c>
      <c r="Q10" s="48">
        <f t="shared" si="1"/>
        <v>5.7308597051012614E-2</v>
      </c>
      <c r="R10" s="48">
        <f t="shared" si="1"/>
        <v>1.6849877391392496E-3</v>
      </c>
      <c r="S10" s="48">
        <f t="shared" si="1"/>
        <v>2.5792841937519761E-3</v>
      </c>
      <c r="T10" s="49">
        <f t="shared" si="1"/>
        <v>2.3109017363567618E-3</v>
      </c>
      <c r="U10" s="50">
        <f t="shared" si="1"/>
        <v>1</v>
      </c>
    </row>
    <row r="11" spans="1:21" ht="23.25" customHeight="1" x14ac:dyDescent="0.2">
      <c r="A11" s="31" t="s">
        <v>111</v>
      </c>
      <c r="B11" s="21" t="s">
        <v>107</v>
      </c>
      <c r="C11" s="48">
        <v>2.0448270454705986E-2</v>
      </c>
      <c r="D11" s="48">
        <v>5.812034980127101E-2</v>
      </c>
      <c r="E11" s="48">
        <v>7.5213895804618458E-2</v>
      </c>
      <c r="F11" s="48">
        <v>3.1246588431271372E-2</v>
      </c>
      <c r="G11" s="48">
        <v>7.4221126601980547E-2</v>
      </c>
      <c r="H11" s="48">
        <v>0.14396451017097767</v>
      </c>
      <c r="I11" s="48">
        <v>2.5243164277686914E-2</v>
      </c>
      <c r="J11" s="48">
        <v>3.622583313268124E-2</v>
      </c>
      <c r="K11" s="48">
        <v>4.4674407480896461E-2</v>
      </c>
      <c r="L11" s="48">
        <v>6.4623587120510528E-2</v>
      </c>
      <c r="M11" s="48">
        <v>4.5256512325632103E-2</v>
      </c>
      <c r="N11" s="48">
        <v>0.13631330646042739</v>
      </c>
      <c r="O11" s="48">
        <v>2.9446814040121394E-2</v>
      </c>
      <c r="P11" s="48">
        <v>5.1362033169061627E-2</v>
      </c>
      <c r="Q11" s="48">
        <v>4.2100837714497352E-2</v>
      </c>
      <c r="R11" s="48">
        <v>6.1155981144134453E-2</v>
      </c>
      <c r="S11" s="48">
        <v>4.1314819854165963E-2</v>
      </c>
      <c r="T11" s="49">
        <v>5.8940524714706122E-2</v>
      </c>
      <c r="U11" s="50">
        <v>5.8323550788536682E-2</v>
      </c>
    </row>
    <row r="12" spans="1:21" s="14" customFormat="1" ht="29.25" customHeight="1" x14ac:dyDescent="0.2">
      <c r="A12" s="37" t="s">
        <v>102</v>
      </c>
      <c r="B12" s="21" t="s">
        <v>107</v>
      </c>
      <c r="C12" s="38">
        <f>C9/C5</f>
        <v>36396.284971598019</v>
      </c>
      <c r="D12" s="38">
        <f t="shared" ref="D12:U12" si="2">D9/D5</f>
        <v>294525.78515632229</v>
      </c>
      <c r="E12" s="38">
        <f t="shared" si="2"/>
        <v>74122.632722862458</v>
      </c>
      <c r="F12" s="38">
        <f t="shared" si="2"/>
        <v>245231.62897365118</v>
      </c>
      <c r="G12" s="38">
        <f t="shared" si="2"/>
        <v>306289.24201370182</v>
      </c>
      <c r="H12" s="38">
        <f t="shared" si="2"/>
        <v>8260341.8557758033</v>
      </c>
      <c r="I12" s="38">
        <f t="shared" si="2"/>
        <v>122744.80249960198</v>
      </c>
      <c r="J12" s="38">
        <f t="shared" si="2"/>
        <v>49938.593299635097</v>
      </c>
      <c r="K12" s="38">
        <f t="shared" si="2"/>
        <v>274937.57937887037</v>
      </c>
      <c r="L12" s="38">
        <f t="shared" si="2"/>
        <v>1293567.7747317778</v>
      </c>
      <c r="M12" s="38">
        <f t="shared" si="2"/>
        <v>302094.36601131159</v>
      </c>
      <c r="N12" s="38">
        <f t="shared" si="2"/>
        <v>1247677.039728805</v>
      </c>
      <c r="O12" s="38">
        <f t="shared" si="2"/>
        <v>349299.66660181072</v>
      </c>
      <c r="P12" s="38">
        <f t="shared" si="2"/>
        <v>1341644.9248655075</v>
      </c>
      <c r="Q12" s="38">
        <f t="shared" si="2"/>
        <v>730130.85228585301</v>
      </c>
      <c r="R12" s="38">
        <f t="shared" si="2"/>
        <v>2529890.1948051946</v>
      </c>
      <c r="S12" s="38">
        <f t="shared" si="2"/>
        <v>51260.069913729982</v>
      </c>
      <c r="T12" s="38">
        <f t="shared" si="2"/>
        <v>75263.606852945479</v>
      </c>
      <c r="U12" s="39">
        <f t="shared" si="2"/>
        <v>294563.31170977833</v>
      </c>
    </row>
    <row r="13" spans="1:21" ht="26.25" customHeight="1" x14ac:dyDescent="0.2">
      <c r="A13" s="32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6"/>
    </row>
    <row r="14" spans="1:21" ht="29.25" customHeight="1" x14ac:dyDescent="0.2">
      <c r="A14" s="31" t="s">
        <v>80</v>
      </c>
      <c r="B14" s="21" t="s">
        <v>107</v>
      </c>
      <c r="C14" s="22">
        <v>44311391116</v>
      </c>
      <c r="D14" s="22">
        <v>1088830387031</v>
      </c>
      <c r="E14" s="22">
        <v>18377376212</v>
      </c>
      <c r="F14" s="22">
        <v>322817364934</v>
      </c>
      <c r="G14" s="22">
        <v>37709255309</v>
      </c>
      <c r="H14" s="22">
        <v>121346160015</v>
      </c>
      <c r="I14" s="22">
        <v>4753479244</v>
      </c>
      <c r="J14" s="22">
        <v>6024864676</v>
      </c>
      <c r="K14" s="22">
        <v>19641158670</v>
      </c>
      <c r="L14" s="22">
        <v>314853666311</v>
      </c>
      <c r="M14" s="22">
        <v>3700800673</v>
      </c>
      <c r="N14" s="22">
        <v>90098826561</v>
      </c>
      <c r="O14" s="22">
        <v>17396560293</v>
      </c>
      <c r="P14" s="22">
        <v>16121423295</v>
      </c>
      <c r="Q14" s="22">
        <v>1406844547</v>
      </c>
      <c r="R14" s="22">
        <v>2963877108</v>
      </c>
      <c r="S14" s="22">
        <v>4608486375</v>
      </c>
      <c r="T14" s="22">
        <v>5628135735</v>
      </c>
      <c r="U14" s="23">
        <v>2120590058105</v>
      </c>
    </row>
    <row r="15" spans="1:21" ht="29.25" customHeight="1" x14ac:dyDescent="0.2">
      <c r="A15" s="31" t="s">
        <v>82</v>
      </c>
      <c r="B15" s="21" t="s">
        <v>107</v>
      </c>
      <c r="C15" s="48">
        <f>C14/$U$14</f>
        <v>2.0895783674284275E-2</v>
      </c>
      <c r="D15" s="48">
        <f t="shared" ref="D15:U15" si="3">D14/$U$14</f>
        <v>0.5134563292275357</v>
      </c>
      <c r="E15" s="48">
        <f t="shared" si="3"/>
        <v>8.6661616382481665E-3</v>
      </c>
      <c r="F15" s="48">
        <f t="shared" si="3"/>
        <v>0.15222997188927492</v>
      </c>
      <c r="G15" s="48">
        <f t="shared" si="3"/>
        <v>1.778243520706577E-2</v>
      </c>
      <c r="H15" s="48">
        <f t="shared" si="3"/>
        <v>5.7222827934710424E-2</v>
      </c>
      <c r="I15" s="48">
        <f t="shared" si="3"/>
        <v>2.2415832922690398E-3</v>
      </c>
      <c r="J15" s="48">
        <f t="shared" si="3"/>
        <v>2.8411265312560858E-3</v>
      </c>
      <c r="K15" s="48">
        <f t="shared" si="3"/>
        <v>9.2621195666416148E-3</v>
      </c>
      <c r="L15" s="48">
        <f t="shared" si="3"/>
        <v>0.14847455551704289</v>
      </c>
      <c r="M15" s="48">
        <f t="shared" si="3"/>
        <v>1.7451749614949654E-3</v>
      </c>
      <c r="N15" s="48">
        <f t="shared" si="3"/>
        <v>4.2487620941462891E-2</v>
      </c>
      <c r="O15" s="48">
        <f t="shared" si="3"/>
        <v>8.2036413527968258E-3</v>
      </c>
      <c r="P15" s="48">
        <f t="shared" si="3"/>
        <v>7.6023289996023152E-3</v>
      </c>
      <c r="Q15" s="48">
        <f t="shared" si="3"/>
        <v>6.6342126882231226E-4</v>
      </c>
      <c r="R15" s="48">
        <f t="shared" si="3"/>
        <v>1.3976662281669741E-3</v>
      </c>
      <c r="S15" s="48">
        <f t="shared" si="3"/>
        <v>2.1732094599737168E-3</v>
      </c>
      <c r="T15" s="49">
        <f t="shared" si="3"/>
        <v>2.6540423093511104E-3</v>
      </c>
      <c r="U15" s="50">
        <f t="shared" si="3"/>
        <v>1</v>
      </c>
    </row>
    <row r="16" spans="1:21" ht="28.5" customHeight="1" x14ac:dyDescent="0.2">
      <c r="A16" s="31" t="s">
        <v>112</v>
      </c>
      <c r="B16" s="21" t="s">
        <v>107</v>
      </c>
      <c r="C16" s="48">
        <v>2.9813295902649806E-2</v>
      </c>
      <c r="D16" s="48">
        <v>7.5679009371990125E-2</v>
      </c>
      <c r="E16" s="48">
        <v>7.9536272888625081E-2</v>
      </c>
      <c r="F16" s="48">
        <v>4.3365485529929026E-2</v>
      </c>
      <c r="G16" s="48">
        <v>9.1308820290673331E-2</v>
      </c>
      <c r="H16" s="48">
        <v>0.15501149754201959</v>
      </c>
      <c r="I16" s="48">
        <v>4.2336243208156432E-2</v>
      </c>
      <c r="J16" s="48">
        <v>3.9885372177434819E-2</v>
      </c>
      <c r="K16" s="48">
        <v>4.0334124096799817E-2</v>
      </c>
      <c r="L16" s="48">
        <v>6.655279359500188E-2</v>
      </c>
      <c r="M16" s="48">
        <v>4.4522290684633647E-2</v>
      </c>
      <c r="N16" s="48">
        <v>0.1189828574865337</v>
      </c>
      <c r="O16" s="48">
        <v>3.4585233831807338E-2</v>
      </c>
      <c r="P16" s="48">
        <v>8.3499203441909309E-2</v>
      </c>
      <c r="Q16" s="48">
        <v>3.5546558280314722E-2</v>
      </c>
      <c r="R16" s="48">
        <v>6.8509146774948348E-2</v>
      </c>
      <c r="S16" s="48">
        <v>5.3097542880600646E-2</v>
      </c>
      <c r="T16" s="49">
        <v>7.3066345036066682E-2</v>
      </c>
      <c r="U16" s="50">
        <v>7.3099108797084034E-2</v>
      </c>
    </row>
    <row r="17" spans="1:21" ht="29.25" customHeight="1" thickBot="1" x14ac:dyDescent="0.25">
      <c r="A17" s="40" t="s">
        <v>103</v>
      </c>
      <c r="B17" s="41" t="s">
        <v>107</v>
      </c>
      <c r="C17" s="42">
        <f>C14/C5</f>
        <v>31427.92274832138</v>
      </c>
      <c r="D17" s="42">
        <f t="shared" ref="D17:U17" si="4">D14/D5</f>
        <v>195656.5365897881</v>
      </c>
      <c r="E17" s="42">
        <f t="shared" si="4"/>
        <v>42213.168373734057</v>
      </c>
      <c r="F17" s="42">
        <f t="shared" si="4"/>
        <v>202800.45893637257</v>
      </c>
      <c r="G17" s="42">
        <f t="shared" si="4"/>
        <v>241893.46027377929</v>
      </c>
      <c r="H17" s="42">
        <f t="shared" si="4"/>
        <v>7540306.9666935932</v>
      </c>
      <c r="I17" s="42">
        <f t="shared" si="4"/>
        <v>94600.367059385448</v>
      </c>
      <c r="J17" s="42">
        <f t="shared" si="4"/>
        <v>42772.61267375655</v>
      </c>
      <c r="K17" s="42">
        <f t="shared" si="4"/>
        <v>229059.42680210387</v>
      </c>
      <c r="L17" s="42">
        <f t="shared" si="4"/>
        <v>1206007.8151575625</v>
      </c>
      <c r="M17" s="42">
        <f t="shared" si="4"/>
        <v>249178.6071236197</v>
      </c>
      <c r="N17" s="42">
        <f t="shared" si="4"/>
        <v>1141792.2514383474</v>
      </c>
      <c r="O17" s="42">
        <f t="shared" si="4"/>
        <v>72017.255653851404</v>
      </c>
      <c r="P17" s="42">
        <f t="shared" si="4"/>
        <v>324825.67941407586</v>
      </c>
      <c r="Q17" s="42">
        <f t="shared" si="4"/>
        <v>5742.0585819996977</v>
      </c>
      <c r="R17" s="42">
        <f t="shared" si="4"/>
        <v>1425626.3145743145</v>
      </c>
      <c r="S17" s="42">
        <f t="shared" si="4"/>
        <v>29341.268742240474</v>
      </c>
      <c r="T17" s="42">
        <f t="shared" si="4"/>
        <v>58723.062279585152</v>
      </c>
      <c r="U17" s="43">
        <f t="shared" si="4"/>
        <v>200113.30226573747</v>
      </c>
    </row>
    <row r="19" spans="1:21" x14ac:dyDescent="0.2">
      <c r="A19" s="5" t="s">
        <v>113</v>
      </c>
    </row>
    <row r="21" spans="1:21" x14ac:dyDescent="0.2">
      <c r="C21" s="45"/>
      <c r="D21" s="46"/>
    </row>
    <row r="22" spans="1:21" x14ac:dyDescent="0.2">
      <c r="C22" s="27"/>
    </row>
    <row r="24" spans="1:21" x14ac:dyDescent="0.2">
      <c r="B24" s="15"/>
      <c r="C24" s="12"/>
      <c r="D24" s="12"/>
      <c r="E24" s="12"/>
      <c r="F24" s="12"/>
      <c r="G24" s="12"/>
      <c r="H24" s="12"/>
    </row>
    <row r="25" spans="1:21" x14ac:dyDescent="0.2">
      <c r="B25" s="15"/>
      <c r="C25" s="12"/>
      <c r="D25" s="12"/>
      <c r="E25" s="12"/>
      <c r="F25" s="12"/>
      <c r="G25" s="12"/>
      <c r="H25" s="12"/>
      <c r="I25" s="12"/>
    </row>
    <row r="26" spans="1:21" x14ac:dyDescent="0.2">
      <c r="B26" s="15"/>
      <c r="C26" s="12"/>
      <c r="D26" s="12"/>
      <c r="E26" s="12"/>
      <c r="F26" s="12"/>
      <c r="G26" s="12"/>
      <c r="H26" s="12"/>
      <c r="I26" s="12"/>
    </row>
    <row r="27" spans="1:21" x14ac:dyDescent="0.2"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">
      <c r="B28" s="15"/>
      <c r="C28" s="12"/>
      <c r="D28" s="12"/>
      <c r="E28" s="12"/>
      <c r="F28" s="12"/>
      <c r="G28" s="12"/>
      <c r="H28" s="12"/>
      <c r="I28" s="12"/>
    </row>
    <row r="29" spans="1:21" x14ac:dyDescent="0.2">
      <c r="B29" s="15"/>
      <c r="C29" s="12"/>
      <c r="D29" s="12"/>
      <c r="E29" s="12"/>
      <c r="F29" s="12"/>
      <c r="G29" s="12"/>
      <c r="H29" s="12"/>
      <c r="I29" s="12"/>
    </row>
    <row r="30" spans="1:21" x14ac:dyDescent="0.2"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">
      <c r="B31" s="15"/>
      <c r="C31" s="12"/>
      <c r="D31" s="12"/>
      <c r="E31" s="12"/>
      <c r="F31" s="12"/>
      <c r="G31" s="12"/>
      <c r="H31" s="12"/>
      <c r="I31" s="12"/>
    </row>
    <row r="32" spans="1:21" x14ac:dyDescent="0.2">
      <c r="B32" s="15"/>
      <c r="C32" s="12"/>
      <c r="D32" s="12"/>
      <c r="E32" s="12"/>
      <c r="F32" s="12"/>
      <c r="G32" s="12"/>
      <c r="H32" s="12"/>
      <c r="I32" s="12"/>
    </row>
    <row r="33" spans="2:21" x14ac:dyDescent="0.2"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2:21" x14ac:dyDescent="0.2">
      <c r="B34" s="15"/>
      <c r="C34" s="12"/>
      <c r="D34" s="12"/>
      <c r="E34" s="12"/>
      <c r="F34" s="12"/>
      <c r="G34" s="12"/>
      <c r="H34" s="12"/>
      <c r="I34" s="12"/>
    </row>
    <row r="35" spans="2:21" x14ac:dyDescent="0.2">
      <c r="B35" s="15"/>
      <c r="C35" s="12"/>
      <c r="D35" s="12"/>
      <c r="E35" s="12"/>
      <c r="F35" s="12"/>
      <c r="G35" s="12"/>
      <c r="H35" s="12"/>
      <c r="I35" s="12"/>
    </row>
    <row r="36" spans="2:21" x14ac:dyDescent="0.2">
      <c r="B36" s="15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2:21" x14ac:dyDescent="0.2">
      <c r="B37" s="15"/>
      <c r="C37" s="12"/>
      <c r="D37" s="12"/>
      <c r="E37" s="12"/>
      <c r="F37" s="12"/>
      <c r="G37" s="12"/>
      <c r="H37" s="12"/>
      <c r="I37" s="12"/>
    </row>
    <row r="38" spans="2:21" x14ac:dyDescent="0.2">
      <c r="B38" s="1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2:21" x14ac:dyDescent="0.2">
      <c r="B39" s="15"/>
      <c r="C39" s="12"/>
      <c r="D39" s="12"/>
      <c r="E39" s="12"/>
      <c r="F39" s="12"/>
      <c r="G39" s="12"/>
      <c r="H39" s="12"/>
      <c r="I39" s="12"/>
    </row>
    <row r="40" spans="2:21" x14ac:dyDescent="0.2">
      <c r="B40" s="15"/>
      <c r="C40" s="12"/>
      <c r="D40" s="12"/>
      <c r="E40" s="12"/>
      <c r="F40" s="12"/>
      <c r="G40" s="12"/>
      <c r="H40" s="12"/>
      <c r="I40" s="12"/>
    </row>
    <row r="41" spans="2:21" x14ac:dyDescent="0.2">
      <c r="B41" s="15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2:21" x14ac:dyDescent="0.2">
      <c r="B42" s="15"/>
      <c r="C42" s="12"/>
      <c r="D42" s="12"/>
      <c r="E42" s="12"/>
      <c r="F42" s="12"/>
      <c r="G42" s="12"/>
      <c r="H42" s="12"/>
      <c r="I42" s="12"/>
    </row>
    <row r="43" spans="2:21" x14ac:dyDescent="0.2">
      <c r="B43" s="1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2:21" x14ac:dyDescent="0.2">
      <c r="B44" s="15"/>
      <c r="C44" s="12"/>
      <c r="D44" s="12"/>
      <c r="E44" s="12"/>
      <c r="F44" s="12"/>
      <c r="G44" s="12"/>
      <c r="H44" s="12"/>
      <c r="I44" s="12"/>
    </row>
    <row r="45" spans="2:21" x14ac:dyDescent="0.2">
      <c r="B45" s="15"/>
      <c r="C45" s="12"/>
      <c r="D45" s="12"/>
      <c r="E45" s="12"/>
      <c r="F45" s="12"/>
      <c r="G45" s="12"/>
      <c r="H45" s="12"/>
      <c r="I45" s="12"/>
    </row>
    <row r="46" spans="2:21" x14ac:dyDescent="0.2">
      <c r="B46" s="15"/>
      <c r="C46" s="12"/>
      <c r="D46" s="12"/>
      <c r="E46" s="12"/>
      <c r="F46" s="12"/>
      <c r="G46" s="12"/>
      <c r="H46" s="12"/>
      <c r="I46" s="12"/>
    </row>
    <row r="47" spans="2:21" x14ac:dyDescent="0.2">
      <c r="B47" s="15"/>
      <c r="C47" s="12"/>
      <c r="D47" s="12"/>
      <c r="E47" s="12"/>
      <c r="F47" s="12"/>
      <c r="G47" s="12"/>
      <c r="H47" s="12"/>
      <c r="I47" s="12"/>
    </row>
    <row r="48" spans="2:21" x14ac:dyDescent="0.2">
      <c r="B48" s="15"/>
      <c r="C48" s="12"/>
      <c r="D48" s="12"/>
      <c r="E48" s="12"/>
      <c r="F48" s="12"/>
      <c r="G48" s="12"/>
      <c r="H48" s="12"/>
      <c r="I48" s="12"/>
    </row>
    <row r="49" spans="2:9" x14ac:dyDescent="0.2">
      <c r="B49" s="15"/>
      <c r="C49" s="12"/>
      <c r="D49" s="12"/>
      <c r="E49" s="12"/>
      <c r="F49" s="12"/>
      <c r="G49" s="12"/>
      <c r="H49" s="12"/>
      <c r="I49" s="12"/>
    </row>
    <row r="50" spans="2:9" x14ac:dyDescent="0.2">
      <c r="B50" s="15"/>
      <c r="C50" s="12"/>
      <c r="D50" s="12"/>
      <c r="E50" s="12"/>
      <c r="F50" s="12"/>
      <c r="G50" s="12"/>
      <c r="H50" s="12"/>
      <c r="I50" s="12"/>
    </row>
    <row r="51" spans="2:9" x14ac:dyDescent="0.2">
      <c r="B51" s="15"/>
      <c r="C51" s="12"/>
      <c r="D51" s="12"/>
      <c r="E51" s="12"/>
      <c r="F51" s="12"/>
      <c r="G51" s="12"/>
      <c r="H51" s="12"/>
      <c r="I51" s="12"/>
    </row>
    <row r="52" spans="2:9" x14ac:dyDescent="0.2">
      <c r="B52" s="15"/>
      <c r="C52" s="12"/>
      <c r="D52" s="12"/>
      <c r="E52" s="12"/>
      <c r="F52" s="12"/>
      <c r="G52" s="12"/>
      <c r="H52" s="12"/>
      <c r="I52" s="12"/>
    </row>
    <row r="53" spans="2:9" x14ac:dyDescent="0.2">
      <c r="C53" s="12"/>
      <c r="D53" s="12"/>
      <c r="E53" s="12"/>
      <c r="F53" s="12"/>
      <c r="G53" s="12"/>
      <c r="H53" s="12"/>
      <c r="I53" s="12"/>
    </row>
  </sheetData>
  <phoneticPr fontId="0" type="noConversion"/>
  <pageMargins left="0.7" right="0.7" top="0.75" bottom="0.75" header="0.3" footer="0.3"/>
  <pageSetup scale="71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75"/>
  <sheetViews>
    <sheetView zoomScaleNormal="100" workbookViewId="0">
      <pane xSplit="1" ySplit="4" topLeftCell="F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7" style="3" customWidth="1"/>
    <col min="2" max="2" width="14.28515625" style="18" customWidth="1"/>
    <col min="3" max="5" width="15.28515625" style="3" customWidth="1"/>
    <col min="6" max="6" width="16.42578125" style="3" customWidth="1"/>
    <col min="7" max="7" width="15.28515625" style="3" customWidth="1"/>
    <col min="8" max="8" width="16.42578125" style="3" customWidth="1"/>
    <col min="9" max="9" width="15.7109375" style="3" bestFit="1" customWidth="1"/>
    <col min="10" max="21" width="14.5703125" style="3" customWidth="1"/>
    <col min="22" max="16384" width="9.140625" style="12"/>
  </cols>
  <sheetData>
    <row r="1" spans="1:21" ht="23.25" x14ac:dyDescent="0.35">
      <c r="A1" s="1" t="s">
        <v>85</v>
      </c>
    </row>
    <row r="2" spans="1:21" ht="15" x14ac:dyDescent="0.25">
      <c r="A2" s="19">
        <v>2021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108</v>
      </c>
      <c r="C5" s="22">
        <v>8399</v>
      </c>
      <c r="D5" s="22">
        <v>61597</v>
      </c>
      <c r="E5" s="22">
        <v>5531</v>
      </c>
      <c r="F5" s="22">
        <v>7201</v>
      </c>
      <c r="G5" s="22">
        <v>1594</v>
      </c>
      <c r="H5" s="22">
        <v>337</v>
      </c>
      <c r="I5" s="22">
        <v>0</v>
      </c>
      <c r="J5" s="22">
        <v>2558</v>
      </c>
      <c r="K5" s="22">
        <v>1081</v>
      </c>
      <c r="L5" s="22">
        <v>3302</v>
      </c>
      <c r="M5" s="22">
        <v>308</v>
      </c>
      <c r="N5" s="22">
        <v>868</v>
      </c>
      <c r="O5" s="22">
        <v>8013</v>
      </c>
      <c r="P5" s="22">
        <v>1044</v>
      </c>
      <c r="Q5" s="22">
        <v>1954</v>
      </c>
      <c r="R5" s="22">
        <v>1</v>
      </c>
      <c r="S5" s="22">
        <v>1221</v>
      </c>
      <c r="T5" s="22">
        <v>322</v>
      </c>
      <c r="U5" s="23">
        <v>105331</v>
      </c>
    </row>
    <row r="6" spans="1:21" ht="14.25" customHeight="1" x14ac:dyDescent="0.2">
      <c r="A6" s="20" t="s">
        <v>13</v>
      </c>
      <c r="B6" s="21" t="s">
        <v>109</v>
      </c>
      <c r="C6" s="22">
        <v>1511</v>
      </c>
      <c r="D6" s="22">
        <v>4820</v>
      </c>
      <c r="E6" s="22">
        <v>2402</v>
      </c>
      <c r="F6" s="22">
        <v>0</v>
      </c>
      <c r="G6" s="22">
        <v>53</v>
      </c>
      <c r="H6" s="22">
        <v>4</v>
      </c>
      <c r="I6" s="22">
        <v>0</v>
      </c>
      <c r="J6" s="22">
        <v>37</v>
      </c>
      <c r="K6" s="22">
        <v>27</v>
      </c>
      <c r="L6" s="22">
        <v>323</v>
      </c>
      <c r="M6" s="22">
        <v>3</v>
      </c>
      <c r="N6" s="22">
        <v>38</v>
      </c>
      <c r="O6" s="22">
        <v>2320</v>
      </c>
      <c r="P6" s="22">
        <v>171</v>
      </c>
      <c r="Q6" s="22">
        <v>582</v>
      </c>
      <c r="R6" s="22">
        <v>33</v>
      </c>
      <c r="S6" s="22">
        <v>105</v>
      </c>
      <c r="T6" s="22">
        <v>339</v>
      </c>
      <c r="U6" s="23">
        <v>12768</v>
      </c>
    </row>
    <row r="7" spans="1:21" ht="14.25" customHeight="1" x14ac:dyDescent="0.2">
      <c r="A7" s="20" t="s">
        <v>14</v>
      </c>
      <c r="B7" s="21" t="s">
        <v>108</v>
      </c>
      <c r="C7" s="22">
        <v>20831</v>
      </c>
      <c r="D7" s="22">
        <v>57653</v>
      </c>
      <c r="E7" s="22">
        <v>8628</v>
      </c>
      <c r="F7" s="22">
        <v>19131</v>
      </c>
      <c r="G7" s="22">
        <v>1925</v>
      </c>
      <c r="H7" s="22">
        <v>116</v>
      </c>
      <c r="I7" s="22">
        <v>15</v>
      </c>
      <c r="J7" s="22">
        <v>1144</v>
      </c>
      <c r="K7" s="22">
        <v>2329</v>
      </c>
      <c r="L7" s="22">
        <v>3375</v>
      </c>
      <c r="M7" s="22">
        <v>81</v>
      </c>
      <c r="N7" s="22">
        <v>726</v>
      </c>
      <c r="O7" s="22">
        <v>1206</v>
      </c>
      <c r="P7" s="22">
        <v>449</v>
      </c>
      <c r="Q7" s="22">
        <v>1847</v>
      </c>
      <c r="R7" s="22">
        <v>61</v>
      </c>
      <c r="S7" s="22">
        <v>373</v>
      </c>
      <c r="T7" s="22">
        <v>198</v>
      </c>
      <c r="U7" s="23">
        <v>120088</v>
      </c>
    </row>
    <row r="8" spans="1:21" ht="14.25" customHeight="1" x14ac:dyDescent="0.2">
      <c r="A8" s="20" t="s">
        <v>15</v>
      </c>
      <c r="B8" s="21" t="s">
        <v>109</v>
      </c>
      <c r="C8" s="22">
        <v>2941</v>
      </c>
      <c r="D8" s="22">
        <v>5836</v>
      </c>
      <c r="E8" s="22">
        <v>2610</v>
      </c>
      <c r="F8" s="22">
        <v>21</v>
      </c>
      <c r="G8" s="22">
        <v>24</v>
      </c>
      <c r="H8" s="22">
        <v>15</v>
      </c>
      <c r="I8" s="22">
        <v>0</v>
      </c>
      <c r="J8" s="22">
        <v>4</v>
      </c>
      <c r="K8" s="22">
        <v>57</v>
      </c>
      <c r="L8" s="22">
        <v>401</v>
      </c>
      <c r="M8" s="22">
        <v>2</v>
      </c>
      <c r="N8" s="22">
        <v>61</v>
      </c>
      <c r="O8" s="22">
        <v>2601</v>
      </c>
      <c r="P8" s="22">
        <v>245</v>
      </c>
      <c r="Q8" s="22">
        <v>279</v>
      </c>
      <c r="R8" s="22">
        <v>6</v>
      </c>
      <c r="S8" s="22">
        <v>51</v>
      </c>
      <c r="T8" s="22">
        <v>176</v>
      </c>
      <c r="U8" s="23">
        <v>15330</v>
      </c>
    </row>
    <row r="9" spans="1:21" ht="14.25" customHeight="1" x14ac:dyDescent="0.2">
      <c r="A9" s="20" t="s">
        <v>16</v>
      </c>
      <c r="B9" s="21" t="s">
        <v>108</v>
      </c>
      <c r="C9" s="22">
        <v>56097</v>
      </c>
      <c r="D9" s="22">
        <v>196880</v>
      </c>
      <c r="E9" s="22">
        <v>11256</v>
      </c>
      <c r="F9" s="22">
        <v>35822</v>
      </c>
      <c r="G9" s="22">
        <v>2979</v>
      </c>
      <c r="H9" s="22">
        <v>277</v>
      </c>
      <c r="I9" s="22">
        <v>1106</v>
      </c>
      <c r="J9" s="22">
        <v>7384</v>
      </c>
      <c r="K9" s="22">
        <v>2886</v>
      </c>
      <c r="L9" s="22">
        <v>7799</v>
      </c>
      <c r="M9" s="22">
        <v>677</v>
      </c>
      <c r="N9" s="22">
        <v>2076</v>
      </c>
      <c r="O9" s="22">
        <v>1600</v>
      </c>
      <c r="P9" s="22">
        <v>881</v>
      </c>
      <c r="Q9" s="22">
        <v>8646</v>
      </c>
      <c r="R9" s="22">
        <v>2</v>
      </c>
      <c r="S9" s="22">
        <v>746</v>
      </c>
      <c r="T9" s="22">
        <v>869</v>
      </c>
      <c r="U9" s="23">
        <v>337983</v>
      </c>
    </row>
    <row r="10" spans="1:21" ht="14.25" customHeight="1" x14ac:dyDescent="0.2">
      <c r="A10" s="20" t="s">
        <v>17</v>
      </c>
      <c r="B10" s="21" t="s">
        <v>108</v>
      </c>
      <c r="C10" s="22">
        <v>9353</v>
      </c>
      <c r="D10" s="22">
        <v>389125</v>
      </c>
      <c r="E10" s="22">
        <v>4147</v>
      </c>
      <c r="F10" s="22">
        <v>253800</v>
      </c>
      <c r="G10" s="22">
        <v>16468</v>
      </c>
      <c r="H10" s="22">
        <v>1584</v>
      </c>
      <c r="I10" s="22">
        <v>11718</v>
      </c>
      <c r="J10" s="22">
        <v>9359</v>
      </c>
      <c r="K10" s="22">
        <v>1593</v>
      </c>
      <c r="L10" s="22">
        <v>22286</v>
      </c>
      <c r="M10" s="22">
        <v>303</v>
      </c>
      <c r="N10" s="22">
        <v>8723</v>
      </c>
      <c r="O10" s="22">
        <v>1241</v>
      </c>
      <c r="P10" s="22">
        <v>2183</v>
      </c>
      <c r="Q10" s="22">
        <v>3512</v>
      </c>
      <c r="R10" s="22">
        <v>0</v>
      </c>
      <c r="S10" s="22">
        <v>17855</v>
      </c>
      <c r="T10" s="22">
        <v>6</v>
      </c>
      <c r="U10" s="23">
        <v>753256</v>
      </c>
    </row>
    <row r="11" spans="1:21" ht="14.25" customHeight="1" x14ac:dyDescent="0.2">
      <c r="A11" s="20" t="s">
        <v>18</v>
      </c>
      <c r="B11" s="21" t="s">
        <v>109</v>
      </c>
      <c r="C11" s="22">
        <v>2779</v>
      </c>
      <c r="D11" s="22">
        <v>2621</v>
      </c>
      <c r="E11" s="22">
        <v>1198</v>
      </c>
      <c r="F11" s="22">
        <v>0</v>
      </c>
      <c r="G11" s="22">
        <v>13</v>
      </c>
      <c r="H11" s="22">
        <v>2</v>
      </c>
      <c r="I11" s="22">
        <v>0</v>
      </c>
      <c r="J11" s="22">
        <v>1</v>
      </c>
      <c r="K11" s="22">
        <v>97</v>
      </c>
      <c r="L11" s="22">
        <v>240</v>
      </c>
      <c r="M11" s="22">
        <v>0</v>
      </c>
      <c r="N11" s="22">
        <v>48</v>
      </c>
      <c r="O11" s="22">
        <v>3603</v>
      </c>
      <c r="P11" s="22">
        <v>169</v>
      </c>
      <c r="Q11" s="22">
        <v>281</v>
      </c>
      <c r="R11" s="22">
        <v>0</v>
      </c>
      <c r="S11" s="22">
        <v>1647</v>
      </c>
      <c r="T11" s="22">
        <v>55</v>
      </c>
      <c r="U11" s="23">
        <v>12754</v>
      </c>
    </row>
    <row r="12" spans="1:21" ht="14.25" customHeight="1" x14ac:dyDescent="0.2">
      <c r="A12" s="20" t="s">
        <v>19</v>
      </c>
      <c r="B12" s="21" t="s">
        <v>108</v>
      </c>
      <c r="C12" s="22">
        <v>97361</v>
      </c>
      <c r="D12" s="22">
        <v>76360</v>
      </c>
      <c r="E12" s="22">
        <v>5467</v>
      </c>
      <c r="F12" s="22">
        <v>13875</v>
      </c>
      <c r="G12" s="22">
        <v>1355</v>
      </c>
      <c r="H12" s="22">
        <v>83</v>
      </c>
      <c r="I12" s="22">
        <v>4053</v>
      </c>
      <c r="J12" s="22">
        <v>1168</v>
      </c>
      <c r="K12" s="22">
        <v>3816</v>
      </c>
      <c r="L12" s="22">
        <v>2610</v>
      </c>
      <c r="M12" s="22">
        <v>144</v>
      </c>
      <c r="N12" s="22">
        <v>1016</v>
      </c>
      <c r="O12" s="22">
        <v>1829</v>
      </c>
      <c r="P12" s="22">
        <v>198</v>
      </c>
      <c r="Q12" s="22">
        <v>896</v>
      </c>
      <c r="R12" s="22">
        <v>24</v>
      </c>
      <c r="S12" s="22">
        <v>1314</v>
      </c>
      <c r="T12" s="22">
        <v>793</v>
      </c>
      <c r="U12" s="23">
        <v>212362</v>
      </c>
    </row>
    <row r="13" spans="1:21" ht="14.25" customHeight="1" x14ac:dyDescent="0.2">
      <c r="A13" s="20" t="s">
        <v>20</v>
      </c>
      <c r="B13" s="21" t="s">
        <v>108</v>
      </c>
      <c r="C13" s="22">
        <v>60519</v>
      </c>
      <c r="D13" s="22">
        <v>56407</v>
      </c>
      <c r="E13" s="22">
        <v>15538</v>
      </c>
      <c r="F13" s="22">
        <v>1640</v>
      </c>
      <c r="G13" s="22">
        <v>512</v>
      </c>
      <c r="H13" s="22">
        <v>43</v>
      </c>
      <c r="I13" s="22">
        <v>0</v>
      </c>
      <c r="J13" s="22">
        <v>38</v>
      </c>
      <c r="K13" s="22">
        <v>1828</v>
      </c>
      <c r="L13" s="22">
        <v>2129</v>
      </c>
      <c r="M13" s="22">
        <v>113</v>
      </c>
      <c r="N13" s="22">
        <v>284</v>
      </c>
      <c r="O13" s="22">
        <v>2332</v>
      </c>
      <c r="P13" s="22">
        <v>1055</v>
      </c>
      <c r="Q13" s="22">
        <v>2300</v>
      </c>
      <c r="R13" s="22">
        <v>0</v>
      </c>
      <c r="S13" s="22">
        <v>1728</v>
      </c>
      <c r="T13" s="22">
        <v>673</v>
      </c>
      <c r="U13" s="23">
        <v>147139</v>
      </c>
    </row>
    <row r="14" spans="1:21" ht="14.25" customHeight="1" x14ac:dyDescent="0.2">
      <c r="A14" s="20" t="s">
        <v>21</v>
      </c>
      <c r="B14" s="21" t="s">
        <v>108</v>
      </c>
      <c r="C14" s="22">
        <v>10834</v>
      </c>
      <c r="D14" s="22">
        <v>62950</v>
      </c>
      <c r="E14" s="22">
        <v>9473</v>
      </c>
      <c r="F14" s="22">
        <v>2385</v>
      </c>
      <c r="G14" s="22">
        <v>278</v>
      </c>
      <c r="H14" s="22">
        <v>50</v>
      </c>
      <c r="I14" s="22">
        <v>0</v>
      </c>
      <c r="J14" s="22">
        <v>2646</v>
      </c>
      <c r="K14" s="22">
        <v>596</v>
      </c>
      <c r="L14" s="22">
        <v>1784</v>
      </c>
      <c r="M14" s="22">
        <v>15</v>
      </c>
      <c r="N14" s="22">
        <v>230</v>
      </c>
      <c r="O14" s="22">
        <v>1326</v>
      </c>
      <c r="P14" s="22">
        <v>468</v>
      </c>
      <c r="Q14" s="22">
        <v>904</v>
      </c>
      <c r="R14" s="22">
        <v>0</v>
      </c>
      <c r="S14" s="22">
        <v>954</v>
      </c>
      <c r="T14" s="22">
        <v>375</v>
      </c>
      <c r="U14" s="23">
        <v>95268</v>
      </c>
    </row>
    <row r="15" spans="1:21" ht="14.25" customHeight="1" x14ac:dyDescent="0.2">
      <c r="A15" s="20" t="s">
        <v>22</v>
      </c>
      <c r="B15" s="21" t="s">
        <v>108</v>
      </c>
      <c r="C15" s="22">
        <v>21141</v>
      </c>
      <c r="D15" s="22">
        <v>99380</v>
      </c>
      <c r="E15" s="22">
        <v>3494</v>
      </c>
      <c r="F15" s="22">
        <v>99379</v>
      </c>
      <c r="G15" s="22">
        <v>1958</v>
      </c>
      <c r="H15" s="22">
        <v>112</v>
      </c>
      <c r="I15" s="22">
        <v>3089</v>
      </c>
      <c r="J15" s="22">
        <v>942</v>
      </c>
      <c r="K15" s="22">
        <v>779</v>
      </c>
      <c r="L15" s="22">
        <v>3341</v>
      </c>
      <c r="M15" s="22">
        <v>130</v>
      </c>
      <c r="N15" s="22">
        <v>959</v>
      </c>
      <c r="O15" s="22">
        <v>1962</v>
      </c>
      <c r="P15" s="22">
        <v>656</v>
      </c>
      <c r="Q15" s="22">
        <v>34837</v>
      </c>
      <c r="R15" s="22">
        <v>2</v>
      </c>
      <c r="S15" s="22">
        <v>7220</v>
      </c>
      <c r="T15" s="22">
        <v>5925</v>
      </c>
      <c r="U15" s="23">
        <v>285306</v>
      </c>
    </row>
    <row r="16" spans="1:21" ht="14.25" customHeight="1" x14ac:dyDescent="0.2">
      <c r="A16" s="20" t="s">
        <v>23</v>
      </c>
      <c r="B16" s="21" t="s">
        <v>109</v>
      </c>
      <c r="C16" s="22">
        <v>5554</v>
      </c>
      <c r="D16" s="22">
        <v>13402</v>
      </c>
      <c r="E16" s="22">
        <v>7534</v>
      </c>
      <c r="F16" s="22">
        <v>45</v>
      </c>
      <c r="G16" s="22">
        <v>215</v>
      </c>
      <c r="H16" s="22">
        <v>41</v>
      </c>
      <c r="I16" s="22">
        <v>0</v>
      </c>
      <c r="J16" s="22">
        <v>961</v>
      </c>
      <c r="K16" s="22">
        <v>360</v>
      </c>
      <c r="L16" s="22">
        <v>1020</v>
      </c>
      <c r="M16" s="22">
        <v>23</v>
      </c>
      <c r="N16" s="22">
        <v>173</v>
      </c>
      <c r="O16" s="22">
        <v>5226</v>
      </c>
      <c r="P16" s="22">
        <v>351</v>
      </c>
      <c r="Q16" s="22">
        <v>1038</v>
      </c>
      <c r="R16" s="22">
        <v>0</v>
      </c>
      <c r="S16" s="22">
        <v>360</v>
      </c>
      <c r="T16" s="22">
        <v>629</v>
      </c>
      <c r="U16" s="23">
        <v>36932</v>
      </c>
    </row>
    <row r="17" spans="1:21" ht="14.25" customHeight="1" x14ac:dyDescent="0.2">
      <c r="A17" s="20" t="s">
        <v>104</v>
      </c>
      <c r="B17" s="21" t="s">
        <v>108</v>
      </c>
      <c r="C17" s="22">
        <v>22731</v>
      </c>
      <c r="D17" s="22">
        <v>385348</v>
      </c>
      <c r="E17" s="22">
        <v>301</v>
      </c>
      <c r="F17" s="22">
        <v>372485</v>
      </c>
      <c r="G17" s="22">
        <v>31777</v>
      </c>
      <c r="H17" s="22">
        <v>3525</v>
      </c>
      <c r="I17" s="22">
        <v>2806</v>
      </c>
      <c r="J17" s="22">
        <v>1449</v>
      </c>
      <c r="K17" s="22">
        <v>6197</v>
      </c>
      <c r="L17" s="22">
        <v>37129</v>
      </c>
      <c r="M17" s="22">
        <v>2197</v>
      </c>
      <c r="N17" s="22">
        <v>16158</v>
      </c>
      <c r="O17" s="22">
        <v>7676</v>
      </c>
      <c r="P17" s="22">
        <v>2596</v>
      </c>
      <c r="Q17" s="22">
        <v>22685</v>
      </c>
      <c r="R17" s="22">
        <v>90</v>
      </c>
      <c r="S17" s="22">
        <v>3680</v>
      </c>
      <c r="T17" s="22">
        <v>6228</v>
      </c>
      <c r="U17" s="23">
        <v>925058</v>
      </c>
    </row>
    <row r="18" spans="1:21" ht="14.25" customHeight="1" x14ac:dyDescent="0.2">
      <c r="A18" s="20" t="s">
        <v>24</v>
      </c>
      <c r="B18" s="21" t="s">
        <v>108</v>
      </c>
      <c r="C18" s="22">
        <v>3263</v>
      </c>
      <c r="D18" s="22">
        <v>5869</v>
      </c>
      <c r="E18" s="22">
        <v>2693</v>
      </c>
      <c r="F18" s="22">
        <v>606</v>
      </c>
      <c r="G18" s="22">
        <v>267</v>
      </c>
      <c r="H18" s="22">
        <v>31</v>
      </c>
      <c r="I18" s="22">
        <v>0</v>
      </c>
      <c r="J18" s="22">
        <v>27</v>
      </c>
      <c r="K18" s="22">
        <v>233</v>
      </c>
      <c r="L18" s="22">
        <v>411</v>
      </c>
      <c r="M18" s="22">
        <v>18</v>
      </c>
      <c r="N18" s="22">
        <v>114</v>
      </c>
      <c r="O18" s="22">
        <v>5392</v>
      </c>
      <c r="P18" s="22">
        <v>127</v>
      </c>
      <c r="Q18" s="22">
        <v>392</v>
      </c>
      <c r="R18" s="22">
        <v>0</v>
      </c>
      <c r="S18" s="22">
        <v>299</v>
      </c>
      <c r="T18" s="22">
        <v>120</v>
      </c>
      <c r="U18" s="23">
        <v>19862</v>
      </c>
    </row>
    <row r="19" spans="1:21" ht="14.25" customHeight="1" x14ac:dyDescent="0.2">
      <c r="A19" s="20" t="s">
        <v>25</v>
      </c>
      <c r="B19" s="21" t="s">
        <v>109</v>
      </c>
      <c r="C19" s="22">
        <v>5600</v>
      </c>
      <c r="D19" s="22">
        <v>2886</v>
      </c>
      <c r="E19" s="22">
        <v>3804</v>
      </c>
      <c r="F19" s="22">
        <v>158</v>
      </c>
      <c r="G19" s="22">
        <v>3</v>
      </c>
      <c r="H19" s="22">
        <v>1</v>
      </c>
      <c r="I19" s="22">
        <v>3</v>
      </c>
      <c r="J19" s="22">
        <v>0</v>
      </c>
      <c r="K19" s="22">
        <v>143</v>
      </c>
      <c r="L19" s="22">
        <v>209</v>
      </c>
      <c r="M19" s="22">
        <v>5</v>
      </c>
      <c r="N19" s="22">
        <v>30</v>
      </c>
      <c r="O19" s="22">
        <v>2737</v>
      </c>
      <c r="P19" s="22">
        <v>74</v>
      </c>
      <c r="Q19" s="22">
        <v>643</v>
      </c>
      <c r="R19" s="22">
        <v>0</v>
      </c>
      <c r="S19" s="22">
        <v>164</v>
      </c>
      <c r="T19" s="22">
        <v>22</v>
      </c>
      <c r="U19" s="23">
        <v>16482</v>
      </c>
    </row>
    <row r="20" spans="1:21" ht="14.25" customHeight="1" x14ac:dyDescent="0.2">
      <c r="A20" s="20" t="s">
        <v>26</v>
      </c>
      <c r="B20" s="21" t="s">
        <v>108</v>
      </c>
      <c r="C20" s="22">
        <v>20102</v>
      </c>
      <c r="D20" s="22">
        <v>274893</v>
      </c>
      <c r="E20" s="22">
        <v>9359</v>
      </c>
      <c r="F20" s="22">
        <v>27584</v>
      </c>
      <c r="G20" s="22">
        <v>5164</v>
      </c>
      <c r="H20" s="22">
        <v>652</v>
      </c>
      <c r="I20" s="22">
        <v>121</v>
      </c>
      <c r="J20" s="22">
        <v>5786</v>
      </c>
      <c r="K20" s="22">
        <v>3458</v>
      </c>
      <c r="L20" s="22">
        <v>12327</v>
      </c>
      <c r="M20" s="22">
        <v>1328</v>
      </c>
      <c r="N20" s="22">
        <v>4237</v>
      </c>
      <c r="O20" s="22">
        <v>1657</v>
      </c>
      <c r="P20" s="22">
        <v>2693</v>
      </c>
      <c r="Q20" s="22">
        <v>6407</v>
      </c>
      <c r="R20" s="22">
        <v>157</v>
      </c>
      <c r="S20" s="22">
        <v>4044</v>
      </c>
      <c r="T20" s="22">
        <v>94</v>
      </c>
      <c r="U20" s="23">
        <v>380063</v>
      </c>
    </row>
    <row r="21" spans="1:21" ht="14.25" customHeight="1" x14ac:dyDescent="0.2">
      <c r="A21" s="20" t="s">
        <v>27</v>
      </c>
      <c r="B21" s="21" t="s">
        <v>108</v>
      </c>
      <c r="C21" s="22">
        <v>17725</v>
      </c>
      <c r="D21" s="22">
        <v>100171</v>
      </c>
      <c r="E21" s="22">
        <v>4892</v>
      </c>
      <c r="F21" s="22">
        <v>8734</v>
      </c>
      <c r="G21" s="22">
        <v>4761</v>
      </c>
      <c r="H21" s="22">
        <v>195</v>
      </c>
      <c r="I21" s="22">
        <v>0</v>
      </c>
      <c r="J21" s="22">
        <v>2099</v>
      </c>
      <c r="K21" s="22">
        <v>3106</v>
      </c>
      <c r="L21" s="22">
        <v>5505</v>
      </c>
      <c r="M21" s="22">
        <v>160</v>
      </c>
      <c r="N21" s="22">
        <v>876</v>
      </c>
      <c r="O21" s="22">
        <v>2609</v>
      </c>
      <c r="P21" s="22">
        <v>1024</v>
      </c>
      <c r="Q21" s="22">
        <v>902</v>
      </c>
      <c r="R21" s="22">
        <v>87</v>
      </c>
      <c r="S21" s="22">
        <v>12748</v>
      </c>
      <c r="T21" s="22">
        <v>591</v>
      </c>
      <c r="U21" s="23">
        <v>166185</v>
      </c>
    </row>
    <row r="22" spans="1:21" ht="14.25" customHeight="1" x14ac:dyDescent="0.2">
      <c r="A22" s="20" t="s">
        <v>28</v>
      </c>
      <c r="B22" s="21" t="s">
        <v>108</v>
      </c>
      <c r="C22" s="22">
        <v>21837</v>
      </c>
      <c r="D22" s="22">
        <v>44430</v>
      </c>
      <c r="E22" s="22">
        <v>1592</v>
      </c>
      <c r="F22" s="22">
        <v>4435</v>
      </c>
      <c r="G22" s="22">
        <v>1137</v>
      </c>
      <c r="H22" s="22">
        <v>18</v>
      </c>
      <c r="I22" s="22">
        <v>337</v>
      </c>
      <c r="J22" s="22">
        <v>1531</v>
      </c>
      <c r="K22" s="22">
        <v>583</v>
      </c>
      <c r="L22" s="22">
        <v>1315</v>
      </c>
      <c r="M22" s="22">
        <v>122</v>
      </c>
      <c r="N22" s="22">
        <v>273</v>
      </c>
      <c r="O22" s="22">
        <v>1835</v>
      </c>
      <c r="P22" s="22">
        <v>184</v>
      </c>
      <c r="Q22" s="22">
        <v>1636</v>
      </c>
      <c r="R22" s="22">
        <v>4</v>
      </c>
      <c r="S22" s="22">
        <v>684</v>
      </c>
      <c r="T22" s="22">
        <v>101</v>
      </c>
      <c r="U22" s="23">
        <v>82054</v>
      </c>
    </row>
    <row r="23" spans="1:21" ht="14.25" customHeight="1" x14ac:dyDescent="0.2">
      <c r="A23" s="20" t="s">
        <v>29</v>
      </c>
      <c r="B23" s="21" t="s">
        <v>109</v>
      </c>
      <c r="C23" s="22">
        <v>7054</v>
      </c>
      <c r="D23" s="22">
        <v>6548</v>
      </c>
      <c r="E23" s="22">
        <v>1274</v>
      </c>
      <c r="F23" s="22">
        <v>432</v>
      </c>
      <c r="G23" s="22">
        <v>7</v>
      </c>
      <c r="H23" s="22">
        <v>1</v>
      </c>
      <c r="I23" s="22">
        <v>1</v>
      </c>
      <c r="J23" s="22">
        <v>448</v>
      </c>
      <c r="K23" s="22">
        <v>172</v>
      </c>
      <c r="L23" s="22">
        <v>407</v>
      </c>
      <c r="M23" s="22">
        <v>1</v>
      </c>
      <c r="N23" s="22">
        <v>104</v>
      </c>
      <c r="O23" s="22">
        <v>193</v>
      </c>
      <c r="P23" s="22">
        <v>93</v>
      </c>
      <c r="Q23" s="22">
        <v>1424</v>
      </c>
      <c r="R23" s="22">
        <v>25</v>
      </c>
      <c r="S23" s="22">
        <v>39</v>
      </c>
      <c r="T23" s="22">
        <v>49</v>
      </c>
      <c r="U23" s="23">
        <v>18272</v>
      </c>
    </row>
    <row r="24" spans="1:21" ht="14.25" customHeight="1" x14ac:dyDescent="0.2">
      <c r="A24" s="20" t="s">
        <v>30</v>
      </c>
      <c r="B24" s="21" t="s">
        <v>109</v>
      </c>
      <c r="C24" s="22">
        <v>5529</v>
      </c>
      <c r="D24" s="22">
        <v>11212</v>
      </c>
      <c r="E24" s="22">
        <v>3662</v>
      </c>
      <c r="F24" s="22">
        <v>0</v>
      </c>
      <c r="G24" s="22">
        <v>138</v>
      </c>
      <c r="H24" s="22">
        <v>16</v>
      </c>
      <c r="I24" s="22">
        <v>0</v>
      </c>
      <c r="J24" s="22">
        <v>44</v>
      </c>
      <c r="K24" s="22">
        <v>307</v>
      </c>
      <c r="L24" s="22">
        <v>516</v>
      </c>
      <c r="M24" s="22">
        <v>0</v>
      </c>
      <c r="N24" s="22">
        <v>133</v>
      </c>
      <c r="O24" s="22">
        <v>3641</v>
      </c>
      <c r="P24" s="22">
        <v>470</v>
      </c>
      <c r="Q24" s="22">
        <v>715</v>
      </c>
      <c r="R24" s="22">
        <v>0</v>
      </c>
      <c r="S24" s="22">
        <v>1071</v>
      </c>
      <c r="T24" s="22">
        <v>535</v>
      </c>
      <c r="U24" s="23">
        <v>27989</v>
      </c>
    </row>
    <row r="25" spans="1:21" ht="14.25" customHeight="1" x14ac:dyDescent="0.2">
      <c r="A25" s="20" t="s">
        <v>31</v>
      </c>
      <c r="B25" s="21" t="s">
        <v>109</v>
      </c>
      <c r="C25" s="22">
        <v>3206</v>
      </c>
      <c r="D25" s="22">
        <v>2651</v>
      </c>
      <c r="E25" s="22">
        <v>2817</v>
      </c>
      <c r="F25" s="22">
        <v>0</v>
      </c>
      <c r="G25" s="22">
        <v>28</v>
      </c>
      <c r="H25" s="22">
        <v>2</v>
      </c>
      <c r="I25" s="22">
        <v>13</v>
      </c>
      <c r="J25" s="22">
        <v>500</v>
      </c>
      <c r="K25" s="22">
        <v>23</v>
      </c>
      <c r="L25" s="22">
        <v>151</v>
      </c>
      <c r="M25" s="22">
        <v>1</v>
      </c>
      <c r="N25" s="22">
        <v>35</v>
      </c>
      <c r="O25" s="22">
        <v>3666</v>
      </c>
      <c r="P25" s="22">
        <v>79</v>
      </c>
      <c r="Q25" s="22">
        <v>393</v>
      </c>
      <c r="R25" s="22">
        <v>0</v>
      </c>
      <c r="S25" s="22">
        <v>821</v>
      </c>
      <c r="T25" s="22">
        <v>214</v>
      </c>
      <c r="U25" s="23">
        <v>14600</v>
      </c>
    </row>
    <row r="26" spans="1:21" ht="14.25" customHeight="1" x14ac:dyDescent="0.2">
      <c r="A26" s="20" t="s">
        <v>32</v>
      </c>
      <c r="B26" s="21" t="s">
        <v>108</v>
      </c>
      <c r="C26" s="22">
        <v>3118</v>
      </c>
      <c r="D26" s="22">
        <v>1728</v>
      </c>
      <c r="E26" s="22">
        <v>2225</v>
      </c>
      <c r="F26" s="22">
        <v>261</v>
      </c>
      <c r="G26" s="22">
        <v>145</v>
      </c>
      <c r="H26" s="22">
        <v>1</v>
      </c>
      <c r="I26" s="22">
        <v>0</v>
      </c>
      <c r="J26" s="22">
        <v>101</v>
      </c>
      <c r="K26" s="22">
        <v>48</v>
      </c>
      <c r="L26" s="22">
        <v>117</v>
      </c>
      <c r="M26" s="22">
        <v>11</v>
      </c>
      <c r="N26" s="22">
        <v>25</v>
      </c>
      <c r="O26" s="22">
        <v>2050</v>
      </c>
      <c r="P26" s="22">
        <v>88</v>
      </c>
      <c r="Q26" s="22">
        <v>826</v>
      </c>
      <c r="R26" s="22">
        <v>0</v>
      </c>
      <c r="S26" s="22">
        <v>463</v>
      </c>
      <c r="T26" s="22">
        <v>51</v>
      </c>
      <c r="U26" s="23">
        <v>11258</v>
      </c>
    </row>
    <row r="27" spans="1:21" ht="14.25" customHeight="1" x14ac:dyDescent="0.2">
      <c r="A27" s="20" t="s">
        <v>33</v>
      </c>
      <c r="B27" s="21" t="s">
        <v>109</v>
      </c>
      <c r="C27" s="22">
        <v>7713</v>
      </c>
      <c r="D27" s="22">
        <v>6341</v>
      </c>
      <c r="E27" s="22">
        <v>1591</v>
      </c>
      <c r="F27" s="22">
        <v>274</v>
      </c>
      <c r="G27" s="22">
        <v>22</v>
      </c>
      <c r="H27" s="22">
        <v>9</v>
      </c>
      <c r="I27" s="22">
        <v>0</v>
      </c>
      <c r="J27" s="22">
        <v>49</v>
      </c>
      <c r="K27" s="22">
        <v>5</v>
      </c>
      <c r="L27" s="22">
        <v>272</v>
      </c>
      <c r="M27" s="22">
        <v>0</v>
      </c>
      <c r="N27" s="22">
        <v>41</v>
      </c>
      <c r="O27" s="22">
        <v>868</v>
      </c>
      <c r="P27" s="22">
        <v>86</v>
      </c>
      <c r="Q27" s="22">
        <v>438</v>
      </c>
      <c r="R27" s="22">
        <v>2</v>
      </c>
      <c r="S27" s="22">
        <v>962</v>
      </c>
      <c r="T27" s="22">
        <v>154</v>
      </c>
      <c r="U27" s="23">
        <v>18827</v>
      </c>
    </row>
    <row r="28" spans="1:21" ht="14.25" customHeight="1" x14ac:dyDescent="0.2">
      <c r="A28" s="20" t="s">
        <v>34</v>
      </c>
      <c r="B28" s="21" t="s">
        <v>109</v>
      </c>
      <c r="C28" s="22">
        <v>4594</v>
      </c>
      <c r="D28" s="22">
        <v>1978</v>
      </c>
      <c r="E28" s="22">
        <v>1453</v>
      </c>
      <c r="F28" s="22">
        <v>0</v>
      </c>
      <c r="G28" s="22">
        <v>149</v>
      </c>
      <c r="H28" s="22">
        <v>8</v>
      </c>
      <c r="I28" s="22">
        <v>0</v>
      </c>
      <c r="J28" s="22">
        <v>5</v>
      </c>
      <c r="K28" s="22">
        <v>114</v>
      </c>
      <c r="L28" s="22">
        <v>212</v>
      </c>
      <c r="M28" s="22">
        <v>2</v>
      </c>
      <c r="N28" s="22">
        <v>21</v>
      </c>
      <c r="O28" s="22">
        <v>3026</v>
      </c>
      <c r="P28" s="22">
        <v>170</v>
      </c>
      <c r="Q28" s="22">
        <v>570</v>
      </c>
      <c r="R28" s="22">
        <v>0</v>
      </c>
      <c r="S28" s="22">
        <v>657</v>
      </c>
      <c r="T28" s="22">
        <v>162</v>
      </c>
      <c r="U28" s="23">
        <v>13121</v>
      </c>
    </row>
    <row r="29" spans="1:21" ht="14.25" customHeight="1" x14ac:dyDescent="0.2">
      <c r="A29" s="20" t="s">
        <v>35</v>
      </c>
      <c r="B29" s="21" t="s">
        <v>108</v>
      </c>
      <c r="C29" s="22">
        <v>2038</v>
      </c>
      <c r="D29" s="22">
        <v>4273</v>
      </c>
      <c r="E29" s="22">
        <v>1446</v>
      </c>
      <c r="F29" s="22">
        <v>206</v>
      </c>
      <c r="G29" s="22">
        <v>194</v>
      </c>
      <c r="H29" s="22">
        <v>17</v>
      </c>
      <c r="I29" s="22">
        <v>0</v>
      </c>
      <c r="J29" s="22">
        <v>12</v>
      </c>
      <c r="K29" s="22">
        <v>182</v>
      </c>
      <c r="L29" s="22">
        <v>354</v>
      </c>
      <c r="M29" s="22">
        <v>19</v>
      </c>
      <c r="N29" s="22">
        <v>72</v>
      </c>
      <c r="O29" s="22">
        <v>4692</v>
      </c>
      <c r="P29" s="22">
        <v>225</v>
      </c>
      <c r="Q29" s="22">
        <v>247</v>
      </c>
      <c r="R29" s="22">
        <v>0</v>
      </c>
      <c r="S29" s="22">
        <v>799</v>
      </c>
      <c r="T29" s="22">
        <v>184</v>
      </c>
      <c r="U29" s="23">
        <v>14960</v>
      </c>
    </row>
    <row r="30" spans="1:21" ht="14.25" customHeight="1" x14ac:dyDescent="0.2">
      <c r="A30" s="20" t="s">
        <v>36</v>
      </c>
      <c r="B30" s="21" t="s">
        <v>108</v>
      </c>
      <c r="C30" s="22">
        <v>17469</v>
      </c>
      <c r="D30" s="22">
        <v>6339</v>
      </c>
      <c r="E30" s="22">
        <v>4437</v>
      </c>
      <c r="F30" s="22">
        <v>246</v>
      </c>
      <c r="G30" s="22">
        <v>353</v>
      </c>
      <c r="H30" s="22">
        <v>14</v>
      </c>
      <c r="I30" s="22">
        <v>0</v>
      </c>
      <c r="J30" s="22">
        <v>397</v>
      </c>
      <c r="K30" s="22">
        <v>352</v>
      </c>
      <c r="L30" s="22">
        <v>631</v>
      </c>
      <c r="M30" s="22">
        <v>101</v>
      </c>
      <c r="N30" s="22">
        <v>186</v>
      </c>
      <c r="O30" s="22">
        <v>2987</v>
      </c>
      <c r="P30" s="22">
        <v>222</v>
      </c>
      <c r="Q30" s="22">
        <v>1649</v>
      </c>
      <c r="R30" s="22">
        <v>15</v>
      </c>
      <c r="S30" s="22">
        <v>336</v>
      </c>
      <c r="T30" s="22">
        <v>1</v>
      </c>
      <c r="U30" s="23">
        <v>35735</v>
      </c>
    </row>
    <row r="31" spans="1:21" ht="14.25" customHeight="1" x14ac:dyDescent="0.2">
      <c r="A31" s="20" t="s">
        <v>37</v>
      </c>
      <c r="B31" s="21" t="s">
        <v>108</v>
      </c>
      <c r="C31" s="22">
        <v>22229</v>
      </c>
      <c r="D31" s="22">
        <v>66689</v>
      </c>
      <c r="E31" s="22">
        <v>11890</v>
      </c>
      <c r="F31" s="22">
        <v>632</v>
      </c>
      <c r="G31" s="22">
        <v>478</v>
      </c>
      <c r="H31" s="22">
        <v>62</v>
      </c>
      <c r="I31" s="22">
        <v>72</v>
      </c>
      <c r="J31" s="22">
        <v>497</v>
      </c>
      <c r="K31" s="22">
        <v>1084</v>
      </c>
      <c r="L31" s="22">
        <v>1517</v>
      </c>
      <c r="M31" s="22">
        <v>50</v>
      </c>
      <c r="N31" s="22">
        <v>309</v>
      </c>
      <c r="O31" s="22">
        <v>2561</v>
      </c>
      <c r="P31" s="22">
        <v>386</v>
      </c>
      <c r="Q31" s="22">
        <v>2451</v>
      </c>
      <c r="R31" s="22">
        <v>101</v>
      </c>
      <c r="S31" s="22">
        <v>3798</v>
      </c>
      <c r="T31" s="22">
        <v>1393</v>
      </c>
      <c r="U31" s="23">
        <v>116199</v>
      </c>
    </row>
    <row r="32" spans="1:21" ht="14.25" customHeight="1" x14ac:dyDescent="0.2">
      <c r="A32" s="20" t="s">
        <v>38</v>
      </c>
      <c r="B32" s="21" t="s">
        <v>108</v>
      </c>
      <c r="C32" s="22">
        <v>52925</v>
      </c>
      <c r="D32" s="22">
        <v>33512</v>
      </c>
      <c r="E32" s="22">
        <v>5275</v>
      </c>
      <c r="F32" s="22">
        <v>1349</v>
      </c>
      <c r="G32" s="22">
        <v>789</v>
      </c>
      <c r="H32" s="22">
        <v>59</v>
      </c>
      <c r="I32" s="22">
        <v>633</v>
      </c>
      <c r="J32" s="22">
        <v>2009</v>
      </c>
      <c r="K32" s="22">
        <v>717</v>
      </c>
      <c r="L32" s="22">
        <v>1538</v>
      </c>
      <c r="M32" s="22">
        <v>168</v>
      </c>
      <c r="N32" s="22">
        <v>468</v>
      </c>
      <c r="O32" s="22">
        <v>4726</v>
      </c>
      <c r="P32" s="22">
        <v>1376</v>
      </c>
      <c r="Q32" s="22">
        <v>6269</v>
      </c>
      <c r="R32" s="22">
        <v>60</v>
      </c>
      <c r="S32" s="22">
        <v>179</v>
      </c>
      <c r="T32" s="22">
        <v>808</v>
      </c>
      <c r="U32" s="23">
        <v>112860</v>
      </c>
    </row>
    <row r="33" spans="1:21" ht="14.25" customHeight="1" x14ac:dyDescent="0.2">
      <c r="A33" s="20" t="s">
        <v>39</v>
      </c>
      <c r="B33" s="21" t="s">
        <v>108</v>
      </c>
      <c r="C33" s="22">
        <v>29178</v>
      </c>
      <c r="D33" s="22">
        <v>367496</v>
      </c>
      <c r="E33" s="22">
        <v>13699</v>
      </c>
      <c r="F33" s="22">
        <v>40646</v>
      </c>
      <c r="G33" s="22">
        <v>4626</v>
      </c>
      <c r="H33" s="22">
        <v>831</v>
      </c>
      <c r="I33" s="22">
        <v>1769</v>
      </c>
      <c r="J33" s="22">
        <v>6538</v>
      </c>
      <c r="K33" s="22">
        <v>2982</v>
      </c>
      <c r="L33" s="22">
        <v>14130</v>
      </c>
      <c r="M33" s="22">
        <v>684</v>
      </c>
      <c r="N33" s="22">
        <v>3485</v>
      </c>
      <c r="O33" s="22">
        <v>6035</v>
      </c>
      <c r="P33" s="22">
        <v>5639</v>
      </c>
      <c r="Q33" s="22">
        <v>9644</v>
      </c>
      <c r="R33" s="22">
        <v>205</v>
      </c>
      <c r="S33" s="22">
        <v>1235</v>
      </c>
      <c r="T33" s="22">
        <v>328</v>
      </c>
      <c r="U33" s="23">
        <v>509150</v>
      </c>
    </row>
    <row r="34" spans="1:21" ht="14.25" customHeight="1" x14ac:dyDescent="0.2">
      <c r="A34" s="20" t="s">
        <v>40</v>
      </c>
      <c r="B34" s="21" t="s">
        <v>109</v>
      </c>
      <c r="C34" s="22">
        <v>2612</v>
      </c>
      <c r="D34" s="22">
        <v>3425</v>
      </c>
      <c r="E34" s="22">
        <v>1331</v>
      </c>
      <c r="F34" s="22">
        <v>0</v>
      </c>
      <c r="G34" s="22">
        <v>8</v>
      </c>
      <c r="H34" s="22">
        <v>6</v>
      </c>
      <c r="I34" s="22">
        <v>0</v>
      </c>
      <c r="J34" s="22">
        <v>1</v>
      </c>
      <c r="K34" s="22">
        <v>53</v>
      </c>
      <c r="L34" s="22">
        <v>279</v>
      </c>
      <c r="M34" s="22">
        <v>2</v>
      </c>
      <c r="N34" s="22">
        <v>35</v>
      </c>
      <c r="O34" s="22">
        <v>5667</v>
      </c>
      <c r="P34" s="22">
        <v>226</v>
      </c>
      <c r="Q34" s="22">
        <v>394</v>
      </c>
      <c r="R34" s="22">
        <v>1</v>
      </c>
      <c r="S34" s="22">
        <v>105</v>
      </c>
      <c r="T34" s="22">
        <v>68</v>
      </c>
      <c r="U34" s="23">
        <v>14213</v>
      </c>
    </row>
    <row r="35" spans="1:21" ht="14.25" customHeight="1" x14ac:dyDescent="0.2">
      <c r="A35" s="20" t="s">
        <v>41</v>
      </c>
      <c r="B35" s="21" t="s">
        <v>108</v>
      </c>
      <c r="C35" s="22">
        <v>11244</v>
      </c>
      <c r="D35" s="22">
        <v>55655</v>
      </c>
      <c r="E35" s="22">
        <v>1157</v>
      </c>
      <c r="F35" s="22">
        <v>14955</v>
      </c>
      <c r="G35" s="22">
        <v>726</v>
      </c>
      <c r="H35" s="22">
        <v>53</v>
      </c>
      <c r="I35" s="22">
        <v>57</v>
      </c>
      <c r="J35" s="22">
        <v>1367</v>
      </c>
      <c r="K35" s="22">
        <v>1045</v>
      </c>
      <c r="L35" s="22">
        <v>1626</v>
      </c>
      <c r="M35" s="22">
        <v>164</v>
      </c>
      <c r="N35" s="22">
        <v>489</v>
      </c>
      <c r="O35" s="22">
        <v>1992</v>
      </c>
      <c r="P35" s="22">
        <v>455</v>
      </c>
      <c r="Q35" s="22">
        <v>1423</v>
      </c>
      <c r="R35" s="22">
        <v>53</v>
      </c>
      <c r="S35" s="22">
        <v>373</v>
      </c>
      <c r="T35" s="22">
        <v>91</v>
      </c>
      <c r="U35" s="23">
        <v>92925</v>
      </c>
    </row>
    <row r="36" spans="1:21" ht="14.25" customHeight="1" x14ac:dyDescent="0.2">
      <c r="A36" s="20" t="s">
        <v>42</v>
      </c>
      <c r="B36" s="21" t="s">
        <v>109</v>
      </c>
      <c r="C36" s="22">
        <v>13895</v>
      </c>
      <c r="D36" s="22">
        <v>10259</v>
      </c>
      <c r="E36" s="22">
        <v>3067</v>
      </c>
      <c r="F36" s="22">
        <v>0</v>
      </c>
      <c r="G36" s="22">
        <v>45</v>
      </c>
      <c r="H36" s="22">
        <v>59</v>
      </c>
      <c r="I36" s="22">
        <v>0</v>
      </c>
      <c r="J36" s="22">
        <v>5</v>
      </c>
      <c r="K36" s="22">
        <v>342</v>
      </c>
      <c r="L36" s="22">
        <v>794</v>
      </c>
      <c r="M36" s="22">
        <v>25</v>
      </c>
      <c r="N36" s="22">
        <v>138</v>
      </c>
      <c r="O36" s="22">
        <v>9235</v>
      </c>
      <c r="P36" s="22">
        <v>479</v>
      </c>
      <c r="Q36" s="22">
        <v>750</v>
      </c>
      <c r="R36" s="22">
        <v>0</v>
      </c>
      <c r="S36" s="22">
        <v>191</v>
      </c>
      <c r="T36" s="22">
        <v>182</v>
      </c>
      <c r="U36" s="23">
        <v>39466</v>
      </c>
    </row>
    <row r="37" spans="1:21" ht="14.25" customHeight="1" x14ac:dyDescent="0.2">
      <c r="A37" s="20" t="s">
        <v>43</v>
      </c>
      <c r="B37" s="21" t="s">
        <v>109</v>
      </c>
      <c r="C37" s="22">
        <v>2025</v>
      </c>
      <c r="D37" s="22">
        <v>2856</v>
      </c>
      <c r="E37" s="22">
        <v>1316</v>
      </c>
      <c r="F37" s="22">
        <v>0</v>
      </c>
      <c r="G37" s="22">
        <v>53</v>
      </c>
      <c r="H37" s="22">
        <v>11</v>
      </c>
      <c r="I37" s="22">
        <v>7</v>
      </c>
      <c r="J37" s="22">
        <v>39</v>
      </c>
      <c r="K37" s="22">
        <v>68</v>
      </c>
      <c r="L37" s="22">
        <v>222</v>
      </c>
      <c r="M37" s="22">
        <v>3</v>
      </c>
      <c r="N37" s="22">
        <v>53</v>
      </c>
      <c r="O37" s="22">
        <v>4249</v>
      </c>
      <c r="P37" s="22">
        <v>304</v>
      </c>
      <c r="Q37" s="22">
        <v>365</v>
      </c>
      <c r="R37" s="22">
        <v>0</v>
      </c>
      <c r="S37" s="22">
        <v>644</v>
      </c>
      <c r="T37" s="22">
        <v>78</v>
      </c>
      <c r="U37" s="23">
        <v>12293</v>
      </c>
    </row>
    <row r="38" spans="1:21" ht="14.25" customHeight="1" x14ac:dyDescent="0.2">
      <c r="A38" s="20" t="s">
        <v>44</v>
      </c>
      <c r="B38" s="21" t="s">
        <v>109</v>
      </c>
      <c r="C38" s="22">
        <v>1579</v>
      </c>
      <c r="D38" s="22">
        <v>1008</v>
      </c>
      <c r="E38" s="22">
        <v>808</v>
      </c>
      <c r="F38" s="22">
        <v>0</v>
      </c>
      <c r="G38" s="22">
        <v>7</v>
      </c>
      <c r="H38" s="22">
        <v>1</v>
      </c>
      <c r="I38" s="22">
        <v>0</v>
      </c>
      <c r="J38" s="22">
        <v>7</v>
      </c>
      <c r="K38" s="22">
        <v>21</v>
      </c>
      <c r="L38" s="22">
        <v>87</v>
      </c>
      <c r="M38" s="22">
        <v>1</v>
      </c>
      <c r="N38" s="22">
        <v>15</v>
      </c>
      <c r="O38" s="22">
        <v>3060</v>
      </c>
      <c r="P38" s="22">
        <v>95</v>
      </c>
      <c r="Q38" s="22">
        <v>283</v>
      </c>
      <c r="R38" s="22">
        <v>0</v>
      </c>
      <c r="S38" s="22">
        <v>269</v>
      </c>
      <c r="T38" s="22">
        <v>38</v>
      </c>
      <c r="U38" s="23">
        <v>7279</v>
      </c>
    </row>
    <row r="39" spans="1:21" ht="14.25" customHeight="1" x14ac:dyDescent="0.2">
      <c r="A39" s="20" t="s">
        <v>45</v>
      </c>
      <c r="B39" s="21" t="s">
        <v>108</v>
      </c>
      <c r="C39" s="22">
        <v>24080</v>
      </c>
      <c r="D39" s="22">
        <v>113457</v>
      </c>
      <c r="E39" s="22">
        <v>16259</v>
      </c>
      <c r="F39" s="22">
        <v>3629</v>
      </c>
      <c r="G39" s="22">
        <v>1318</v>
      </c>
      <c r="H39" s="22">
        <v>164</v>
      </c>
      <c r="I39" s="22">
        <v>3364</v>
      </c>
      <c r="J39" s="22">
        <v>4495</v>
      </c>
      <c r="K39" s="22">
        <v>2047</v>
      </c>
      <c r="L39" s="22">
        <v>4089</v>
      </c>
      <c r="M39" s="22">
        <v>309</v>
      </c>
      <c r="N39" s="22">
        <v>1151</v>
      </c>
      <c r="O39" s="22">
        <v>5843</v>
      </c>
      <c r="P39" s="22">
        <v>1208</v>
      </c>
      <c r="Q39" s="22">
        <v>4443</v>
      </c>
      <c r="R39" s="22">
        <v>0</v>
      </c>
      <c r="S39" s="22">
        <v>2286</v>
      </c>
      <c r="T39" s="22">
        <v>506</v>
      </c>
      <c r="U39" s="23">
        <v>188648</v>
      </c>
    </row>
    <row r="40" spans="1:21" ht="14.25" customHeight="1" x14ac:dyDescent="0.2">
      <c r="A40" s="20" t="s">
        <v>46</v>
      </c>
      <c r="B40" s="21" t="s">
        <v>108</v>
      </c>
      <c r="C40" s="22">
        <v>154483</v>
      </c>
      <c r="D40" s="22">
        <v>236398</v>
      </c>
      <c r="E40" s="22">
        <v>16726</v>
      </c>
      <c r="F40" s="22">
        <v>84806</v>
      </c>
      <c r="G40" s="22">
        <v>10133</v>
      </c>
      <c r="H40" s="22">
        <v>265</v>
      </c>
      <c r="I40" s="22">
        <v>3829</v>
      </c>
      <c r="J40" s="22">
        <v>1195</v>
      </c>
      <c r="K40" s="22">
        <v>6256</v>
      </c>
      <c r="L40" s="22">
        <v>7480</v>
      </c>
      <c r="M40" s="22">
        <v>579</v>
      </c>
      <c r="N40" s="22">
        <v>3247</v>
      </c>
      <c r="O40" s="22">
        <v>3140</v>
      </c>
      <c r="P40" s="22">
        <v>1845</v>
      </c>
      <c r="Q40" s="22">
        <v>7399</v>
      </c>
      <c r="R40" s="22">
        <v>49</v>
      </c>
      <c r="S40" s="22">
        <v>2516</v>
      </c>
      <c r="T40" s="22">
        <v>216</v>
      </c>
      <c r="U40" s="23">
        <v>540562</v>
      </c>
    </row>
    <row r="41" spans="1:21" ht="14.25" customHeight="1" x14ac:dyDescent="0.2">
      <c r="A41" s="20" t="s">
        <v>47</v>
      </c>
      <c r="B41" s="21" t="s">
        <v>108</v>
      </c>
      <c r="C41" s="22">
        <v>9594</v>
      </c>
      <c r="D41" s="22">
        <v>73958</v>
      </c>
      <c r="E41" s="22">
        <v>6761</v>
      </c>
      <c r="F41" s="22">
        <v>4781</v>
      </c>
      <c r="G41" s="22">
        <v>2319</v>
      </c>
      <c r="H41" s="22">
        <v>352</v>
      </c>
      <c r="I41" s="22">
        <v>0</v>
      </c>
      <c r="J41" s="22">
        <v>1605</v>
      </c>
      <c r="K41" s="22">
        <v>945</v>
      </c>
      <c r="L41" s="22">
        <v>4130</v>
      </c>
      <c r="M41" s="22">
        <v>250</v>
      </c>
      <c r="N41" s="22">
        <v>741</v>
      </c>
      <c r="O41" s="22">
        <v>1526</v>
      </c>
      <c r="P41" s="22">
        <v>713</v>
      </c>
      <c r="Q41" s="22">
        <v>1599</v>
      </c>
      <c r="R41" s="22">
        <v>0</v>
      </c>
      <c r="S41" s="22">
        <v>888</v>
      </c>
      <c r="T41" s="22">
        <v>500</v>
      </c>
      <c r="U41" s="23">
        <v>110662</v>
      </c>
    </row>
    <row r="42" spans="1:21" ht="14.25" customHeight="1" x14ac:dyDescent="0.2">
      <c r="A42" s="20" t="s">
        <v>48</v>
      </c>
      <c r="B42" s="21" t="s">
        <v>109</v>
      </c>
      <c r="C42" s="22">
        <v>20436</v>
      </c>
      <c r="D42" s="22">
        <v>7886</v>
      </c>
      <c r="E42" s="22">
        <v>9333</v>
      </c>
      <c r="F42" s="22">
        <v>238</v>
      </c>
      <c r="G42" s="22">
        <v>67</v>
      </c>
      <c r="H42" s="22">
        <v>12</v>
      </c>
      <c r="I42" s="22">
        <v>0</v>
      </c>
      <c r="J42" s="22">
        <v>88</v>
      </c>
      <c r="K42" s="22">
        <v>518</v>
      </c>
      <c r="L42" s="22">
        <v>751</v>
      </c>
      <c r="M42" s="22">
        <v>5</v>
      </c>
      <c r="N42" s="22">
        <v>111</v>
      </c>
      <c r="O42" s="22">
        <v>6411</v>
      </c>
      <c r="P42" s="22">
        <v>292</v>
      </c>
      <c r="Q42" s="22">
        <v>980</v>
      </c>
      <c r="R42" s="22">
        <v>11</v>
      </c>
      <c r="S42" s="22">
        <v>106</v>
      </c>
      <c r="T42" s="22">
        <v>141</v>
      </c>
      <c r="U42" s="23">
        <v>47386</v>
      </c>
    </row>
    <row r="43" spans="1:21" ht="14.25" customHeight="1" x14ac:dyDescent="0.2">
      <c r="A43" s="20" t="s">
        <v>49</v>
      </c>
      <c r="B43" s="21" t="s">
        <v>109</v>
      </c>
      <c r="C43" s="22">
        <v>1100</v>
      </c>
      <c r="D43" s="22">
        <v>1366</v>
      </c>
      <c r="E43" s="22">
        <v>774</v>
      </c>
      <c r="F43" s="22">
        <v>0</v>
      </c>
      <c r="G43" s="22">
        <v>64</v>
      </c>
      <c r="H43" s="22">
        <v>4</v>
      </c>
      <c r="I43" s="22">
        <v>0</v>
      </c>
      <c r="J43" s="22">
        <v>1</v>
      </c>
      <c r="K43" s="22">
        <v>15</v>
      </c>
      <c r="L43" s="22">
        <v>112</v>
      </c>
      <c r="M43" s="22">
        <v>0</v>
      </c>
      <c r="N43" s="22">
        <v>22</v>
      </c>
      <c r="O43" s="22">
        <v>1523</v>
      </c>
      <c r="P43" s="22">
        <v>109</v>
      </c>
      <c r="Q43" s="22">
        <v>766</v>
      </c>
      <c r="R43" s="22">
        <v>0</v>
      </c>
      <c r="S43" s="22">
        <v>31</v>
      </c>
      <c r="T43" s="22">
        <v>32</v>
      </c>
      <c r="U43" s="23">
        <v>5919</v>
      </c>
    </row>
    <row r="44" spans="1:21" ht="14.25" customHeight="1" x14ac:dyDescent="0.2">
      <c r="A44" s="20" t="s">
        <v>50</v>
      </c>
      <c r="B44" s="21" t="s">
        <v>109</v>
      </c>
      <c r="C44" s="22">
        <v>3952</v>
      </c>
      <c r="D44" s="22">
        <v>3209</v>
      </c>
      <c r="E44" s="22">
        <v>1719</v>
      </c>
      <c r="F44" s="22">
        <v>0</v>
      </c>
      <c r="G44" s="22">
        <v>139</v>
      </c>
      <c r="H44" s="22">
        <v>10</v>
      </c>
      <c r="I44" s="22">
        <v>0</v>
      </c>
      <c r="J44" s="22">
        <v>0</v>
      </c>
      <c r="K44" s="22">
        <v>61</v>
      </c>
      <c r="L44" s="22">
        <v>297</v>
      </c>
      <c r="M44" s="22">
        <v>1</v>
      </c>
      <c r="N44" s="22">
        <v>39</v>
      </c>
      <c r="O44" s="22">
        <v>5834</v>
      </c>
      <c r="P44" s="22">
        <v>206</v>
      </c>
      <c r="Q44" s="22">
        <v>456</v>
      </c>
      <c r="R44" s="22">
        <v>0</v>
      </c>
      <c r="S44" s="22">
        <v>75</v>
      </c>
      <c r="T44" s="22">
        <v>170</v>
      </c>
      <c r="U44" s="23">
        <v>16168</v>
      </c>
    </row>
    <row r="45" spans="1:21" ht="14.25" customHeight="1" x14ac:dyDescent="0.2">
      <c r="A45" s="20" t="s">
        <v>51</v>
      </c>
      <c r="B45" s="21" t="s">
        <v>108</v>
      </c>
      <c r="C45" s="22">
        <v>17395</v>
      </c>
      <c r="D45" s="22">
        <v>108768</v>
      </c>
      <c r="E45" s="22">
        <v>4673</v>
      </c>
      <c r="F45" s="22">
        <v>35051</v>
      </c>
      <c r="G45" s="22">
        <v>4460</v>
      </c>
      <c r="H45" s="22">
        <v>158</v>
      </c>
      <c r="I45" s="22">
        <v>7379</v>
      </c>
      <c r="J45" s="22">
        <v>11341</v>
      </c>
      <c r="K45" s="22">
        <v>1184</v>
      </c>
      <c r="L45" s="22">
        <v>4026</v>
      </c>
      <c r="M45" s="22">
        <v>381</v>
      </c>
      <c r="N45" s="22">
        <v>1462</v>
      </c>
      <c r="O45" s="22">
        <v>2244</v>
      </c>
      <c r="P45" s="22">
        <v>878</v>
      </c>
      <c r="Q45" s="22">
        <v>1823</v>
      </c>
      <c r="R45" s="22">
        <v>45</v>
      </c>
      <c r="S45" s="22">
        <v>849</v>
      </c>
      <c r="T45" s="22">
        <v>431</v>
      </c>
      <c r="U45" s="23">
        <v>202548</v>
      </c>
    </row>
    <row r="46" spans="1:21" ht="14.25" customHeight="1" x14ac:dyDescent="0.2">
      <c r="A46" s="20" t="s">
        <v>52</v>
      </c>
      <c r="B46" s="21" t="s">
        <v>108</v>
      </c>
      <c r="C46" s="22">
        <v>91733</v>
      </c>
      <c r="D46" s="22">
        <v>117585</v>
      </c>
      <c r="E46" s="22">
        <v>24617</v>
      </c>
      <c r="F46" s="22">
        <v>2502</v>
      </c>
      <c r="G46" s="22">
        <v>3567</v>
      </c>
      <c r="H46" s="22">
        <v>106</v>
      </c>
      <c r="I46" s="22">
        <v>0</v>
      </c>
      <c r="J46" s="22">
        <v>1171</v>
      </c>
      <c r="K46" s="22">
        <v>3015</v>
      </c>
      <c r="L46" s="22">
        <v>3940</v>
      </c>
      <c r="M46" s="22">
        <v>366</v>
      </c>
      <c r="N46" s="22">
        <v>1214</v>
      </c>
      <c r="O46" s="22">
        <v>11408</v>
      </c>
      <c r="P46" s="22">
        <v>974</v>
      </c>
      <c r="Q46" s="22">
        <v>5429</v>
      </c>
      <c r="R46" s="22">
        <v>137</v>
      </c>
      <c r="S46" s="22">
        <v>2653</v>
      </c>
      <c r="T46" s="22">
        <v>1706</v>
      </c>
      <c r="U46" s="23">
        <v>272123</v>
      </c>
    </row>
    <row r="47" spans="1:21" ht="14.25" customHeight="1" x14ac:dyDescent="0.2">
      <c r="A47" s="20" t="s">
        <v>53</v>
      </c>
      <c r="B47" s="21" t="s">
        <v>108</v>
      </c>
      <c r="C47" s="22">
        <v>4380</v>
      </c>
      <c r="D47" s="22">
        <v>49432</v>
      </c>
      <c r="E47" s="22">
        <v>2940</v>
      </c>
      <c r="F47" s="22">
        <v>14997</v>
      </c>
      <c r="G47" s="22">
        <v>1066</v>
      </c>
      <c r="H47" s="22">
        <v>62</v>
      </c>
      <c r="I47" s="22">
        <v>1783</v>
      </c>
      <c r="J47" s="22">
        <v>405</v>
      </c>
      <c r="K47" s="22">
        <v>483</v>
      </c>
      <c r="L47" s="22">
        <v>1946</v>
      </c>
      <c r="M47" s="22">
        <v>172</v>
      </c>
      <c r="N47" s="22">
        <v>922</v>
      </c>
      <c r="O47" s="22">
        <v>2159</v>
      </c>
      <c r="P47" s="22">
        <v>275</v>
      </c>
      <c r="Q47" s="22">
        <v>6264</v>
      </c>
      <c r="R47" s="22">
        <v>0</v>
      </c>
      <c r="S47" s="22">
        <v>2147</v>
      </c>
      <c r="T47" s="22">
        <v>6249</v>
      </c>
      <c r="U47" s="23">
        <v>95682</v>
      </c>
    </row>
    <row r="48" spans="1:21" ht="14.25" customHeight="1" x14ac:dyDescent="0.2">
      <c r="A48" s="20" t="s">
        <v>54</v>
      </c>
      <c r="B48" s="21" t="s">
        <v>108</v>
      </c>
      <c r="C48" s="22">
        <v>7236</v>
      </c>
      <c r="D48" s="22">
        <v>29141</v>
      </c>
      <c r="E48" s="22">
        <v>4876</v>
      </c>
      <c r="F48" s="22">
        <v>7380</v>
      </c>
      <c r="G48" s="22">
        <v>1793</v>
      </c>
      <c r="H48" s="22">
        <v>40</v>
      </c>
      <c r="I48" s="22">
        <v>35</v>
      </c>
      <c r="J48" s="22">
        <v>192</v>
      </c>
      <c r="K48" s="22">
        <v>706</v>
      </c>
      <c r="L48" s="22">
        <v>4527</v>
      </c>
      <c r="M48" s="22">
        <v>7</v>
      </c>
      <c r="N48" s="22">
        <v>287</v>
      </c>
      <c r="O48" s="22">
        <v>10</v>
      </c>
      <c r="P48" s="22">
        <v>436</v>
      </c>
      <c r="Q48" s="22">
        <v>28293</v>
      </c>
      <c r="R48" s="22">
        <v>2</v>
      </c>
      <c r="S48" s="22">
        <v>1485</v>
      </c>
      <c r="T48" s="22">
        <v>3404</v>
      </c>
      <c r="U48" s="23">
        <v>89850</v>
      </c>
    </row>
    <row r="49" spans="1:21" ht="14.25" customHeight="1" x14ac:dyDescent="0.2">
      <c r="A49" s="20" t="s">
        <v>55</v>
      </c>
      <c r="B49" s="21" t="s">
        <v>108</v>
      </c>
      <c r="C49" s="22">
        <v>9921</v>
      </c>
      <c r="D49" s="22">
        <v>27241</v>
      </c>
      <c r="E49" s="22">
        <v>6240</v>
      </c>
      <c r="F49" s="22">
        <v>4072</v>
      </c>
      <c r="G49" s="22">
        <v>406</v>
      </c>
      <c r="H49" s="22">
        <v>25</v>
      </c>
      <c r="I49" s="22">
        <v>0</v>
      </c>
      <c r="J49" s="22">
        <v>73</v>
      </c>
      <c r="K49" s="22">
        <v>444</v>
      </c>
      <c r="L49" s="22">
        <v>881</v>
      </c>
      <c r="M49" s="22">
        <v>56</v>
      </c>
      <c r="N49" s="22">
        <v>120</v>
      </c>
      <c r="O49" s="22">
        <v>3537</v>
      </c>
      <c r="P49" s="22">
        <v>347</v>
      </c>
      <c r="Q49" s="22">
        <v>948</v>
      </c>
      <c r="R49" s="22">
        <v>10</v>
      </c>
      <c r="S49" s="22">
        <v>761</v>
      </c>
      <c r="T49" s="22">
        <v>96</v>
      </c>
      <c r="U49" s="23">
        <v>55178</v>
      </c>
    </row>
    <row r="50" spans="1:21" ht="14.25" customHeight="1" x14ac:dyDescent="0.2">
      <c r="A50" s="20" t="s">
        <v>56</v>
      </c>
      <c r="B50" s="21" t="s">
        <v>108</v>
      </c>
      <c r="C50" s="22">
        <v>10261</v>
      </c>
      <c r="D50" s="22">
        <v>68146</v>
      </c>
      <c r="E50" s="22">
        <v>3289</v>
      </c>
      <c r="F50" s="22">
        <v>13516</v>
      </c>
      <c r="G50" s="22">
        <v>753</v>
      </c>
      <c r="H50" s="22">
        <v>173</v>
      </c>
      <c r="I50" s="22">
        <v>10</v>
      </c>
      <c r="J50" s="22">
        <v>709</v>
      </c>
      <c r="K50" s="22">
        <v>1205</v>
      </c>
      <c r="L50" s="22">
        <v>3511</v>
      </c>
      <c r="M50" s="22">
        <v>19</v>
      </c>
      <c r="N50" s="22">
        <v>664</v>
      </c>
      <c r="O50" s="22">
        <v>3134</v>
      </c>
      <c r="P50" s="22">
        <v>589</v>
      </c>
      <c r="Q50" s="22">
        <v>1507</v>
      </c>
      <c r="R50" s="22">
        <v>0</v>
      </c>
      <c r="S50" s="22">
        <v>1544</v>
      </c>
      <c r="T50" s="22">
        <v>616</v>
      </c>
      <c r="U50" s="23">
        <v>109646</v>
      </c>
    </row>
    <row r="51" spans="1:21" ht="14.25" customHeight="1" x14ac:dyDescent="0.2">
      <c r="A51" s="20" t="s">
        <v>57</v>
      </c>
      <c r="B51" s="21" t="s">
        <v>108</v>
      </c>
      <c r="C51" s="22">
        <v>11910</v>
      </c>
      <c r="D51" s="22">
        <v>7510</v>
      </c>
      <c r="E51" s="22">
        <v>6702</v>
      </c>
      <c r="F51" s="22">
        <v>240</v>
      </c>
      <c r="G51" s="22">
        <v>449</v>
      </c>
      <c r="H51" s="22">
        <v>7</v>
      </c>
      <c r="I51" s="22" t="s">
        <v>106</v>
      </c>
      <c r="J51" s="22">
        <v>220</v>
      </c>
      <c r="K51" s="22">
        <v>188</v>
      </c>
      <c r="L51" s="22">
        <v>766</v>
      </c>
      <c r="M51" s="22">
        <v>60</v>
      </c>
      <c r="N51" s="22">
        <v>123</v>
      </c>
      <c r="O51" s="22">
        <v>2374</v>
      </c>
      <c r="P51" s="22">
        <v>148</v>
      </c>
      <c r="Q51" s="22">
        <v>735</v>
      </c>
      <c r="R51" s="22">
        <v>24</v>
      </c>
      <c r="S51" s="22">
        <v>116</v>
      </c>
      <c r="T51" s="22">
        <v>180</v>
      </c>
      <c r="U51" s="23">
        <v>31752</v>
      </c>
    </row>
    <row r="52" spans="1:21" ht="14.25" customHeight="1" x14ac:dyDescent="0.2">
      <c r="A52" s="20" t="s">
        <v>58</v>
      </c>
      <c r="B52" s="21" t="s">
        <v>108</v>
      </c>
      <c r="C52" s="22">
        <v>23221</v>
      </c>
      <c r="D52" s="22">
        <v>329394</v>
      </c>
      <c r="E52" s="22">
        <v>5384</v>
      </c>
      <c r="F52" s="22">
        <v>50798</v>
      </c>
      <c r="G52" s="22">
        <v>4127</v>
      </c>
      <c r="H52" s="22">
        <v>3177</v>
      </c>
      <c r="I52" s="22">
        <v>151</v>
      </c>
      <c r="J52" s="22">
        <v>14564</v>
      </c>
      <c r="K52" s="22">
        <v>3460</v>
      </c>
      <c r="L52" s="22">
        <v>17674</v>
      </c>
      <c r="M52" s="22">
        <v>770</v>
      </c>
      <c r="N52" s="22">
        <v>4551</v>
      </c>
      <c r="O52" s="22">
        <v>1521</v>
      </c>
      <c r="P52" s="22">
        <v>1403</v>
      </c>
      <c r="Q52" s="22">
        <v>9523</v>
      </c>
      <c r="R52" s="22">
        <v>16</v>
      </c>
      <c r="S52" s="22">
        <v>1865</v>
      </c>
      <c r="T52" s="22">
        <v>1625</v>
      </c>
      <c r="U52" s="23">
        <v>473224</v>
      </c>
    </row>
    <row r="53" spans="1:21" ht="14.25" customHeight="1" x14ac:dyDescent="0.2">
      <c r="A53" s="20" t="s">
        <v>59</v>
      </c>
      <c r="B53" s="21" t="s">
        <v>108</v>
      </c>
      <c r="C53" s="22">
        <v>28581</v>
      </c>
      <c r="D53" s="22">
        <v>113866</v>
      </c>
      <c r="E53" s="22">
        <v>5463</v>
      </c>
      <c r="F53" s="22">
        <v>13556</v>
      </c>
      <c r="G53" s="22">
        <v>997</v>
      </c>
      <c r="H53" s="22">
        <v>125</v>
      </c>
      <c r="I53" s="22">
        <v>0</v>
      </c>
      <c r="J53" s="22">
        <v>7370</v>
      </c>
      <c r="K53" s="22">
        <v>1797</v>
      </c>
      <c r="L53" s="22">
        <v>4769</v>
      </c>
      <c r="M53" s="22">
        <v>237</v>
      </c>
      <c r="N53" s="22">
        <v>404</v>
      </c>
      <c r="O53" s="22">
        <v>2542</v>
      </c>
      <c r="P53" s="22">
        <v>491</v>
      </c>
      <c r="Q53" s="22">
        <v>2706</v>
      </c>
      <c r="R53" s="22">
        <v>3</v>
      </c>
      <c r="S53" s="22">
        <v>538</v>
      </c>
      <c r="T53" s="22">
        <v>368</v>
      </c>
      <c r="U53" s="23">
        <v>183813</v>
      </c>
    </row>
    <row r="54" spans="1:21" ht="14.25" customHeight="1" x14ac:dyDescent="0.2">
      <c r="A54" s="20" t="s">
        <v>60</v>
      </c>
      <c r="B54" s="21" t="s">
        <v>108</v>
      </c>
      <c r="C54" s="22">
        <v>18103</v>
      </c>
      <c r="D54" s="22">
        <v>374090</v>
      </c>
      <c r="E54" s="22">
        <v>3580</v>
      </c>
      <c r="F54" s="22">
        <v>186348</v>
      </c>
      <c r="G54" s="22">
        <v>10244</v>
      </c>
      <c r="H54" s="22">
        <v>813</v>
      </c>
      <c r="I54" s="22">
        <v>5022</v>
      </c>
      <c r="J54" s="22">
        <v>10002</v>
      </c>
      <c r="K54" s="22">
        <v>2140</v>
      </c>
      <c r="L54" s="22">
        <v>13548</v>
      </c>
      <c r="M54" s="22">
        <v>376</v>
      </c>
      <c r="N54" s="22">
        <v>5300</v>
      </c>
      <c r="O54" s="22">
        <v>5140</v>
      </c>
      <c r="P54" s="22">
        <v>1837</v>
      </c>
      <c r="Q54" s="22">
        <v>8503</v>
      </c>
      <c r="R54" s="22">
        <v>198</v>
      </c>
      <c r="S54" s="22">
        <v>2565</v>
      </c>
      <c r="T54" s="22">
        <v>63</v>
      </c>
      <c r="U54" s="23">
        <v>647872</v>
      </c>
    </row>
    <row r="55" spans="1:21" ht="14.25" customHeight="1" x14ac:dyDescent="0.2">
      <c r="A55" s="20" t="s">
        <v>61</v>
      </c>
      <c r="B55" s="21" t="s">
        <v>108</v>
      </c>
      <c r="C55" s="22">
        <v>33269</v>
      </c>
      <c r="D55" s="22">
        <v>171614</v>
      </c>
      <c r="E55" s="22">
        <v>29448</v>
      </c>
      <c r="F55" s="22">
        <v>11928</v>
      </c>
      <c r="G55" s="22">
        <v>3251</v>
      </c>
      <c r="H55" s="22">
        <v>211</v>
      </c>
      <c r="I55" s="22">
        <v>0</v>
      </c>
      <c r="J55" s="22">
        <v>3851</v>
      </c>
      <c r="K55" s="22">
        <v>2671</v>
      </c>
      <c r="L55" s="22">
        <v>6030</v>
      </c>
      <c r="M55" s="22">
        <v>272</v>
      </c>
      <c r="N55" s="22">
        <v>1029</v>
      </c>
      <c r="O55" s="22">
        <v>4106</v>
      </c>
      <c r="P55" s="22">
        <v>823</v>
      </c>
      <c r="Q55" s="22">
        <v>11487</v>
      </c>
      <c r="R55" s="22">
        <v>9</v>
      </c>
      <c r="S55" s="22">
        <v>23569</v>
      </c>
      <c r="T55" s="22">
        <v>380</v>
      </c>
      <c r="U55" s="23">
        <v>303948</v>
      </c>
    </row>
    <row r="56" spans="1:21" ht="14.25" customHeight="1" x14ac:dyDescent="0.2">
      <c r="A56" s="20" t="s">
        <v>62</v>
      </c>
      <c r="B56" s="21" t="s">
        <v>108</v>
      </c>
      <c r="C56" s="22">
        <v>10424</v>
      </c>
      <c r="D56" s="22">
        <v>254615</v>
      </c>
      <c r="E56" s="22">
        <v>17557</v>
      </c>
      <c r="F56" s="22">
        <v>104037</v>
      </c>
      <c r="G56" s="22">
        <v>12461</v>
      </c>
      <c r="H56" s="22">
        <v>857</v>
      </c>
      <c r="I56" s="22">
        <v>1600</v>
      </c>
      <c r="J56" s="22">
        <v>6349</v>
      </c>
      <c r="K56" s="22">
        <v>3719</v>
      </c>
      <c r="L56" s="22">
        <v>13425</v>
      </c>
      <c r="M56" s="22">
        <v>769</v>
      </c>
      <c r="N56" s="22">
        <v>3966</v>
      </c>
      <c r="O56" s="22">
        <v>109</v>
      </c>
      <c r="P56" s="22">
        <v>1723</v>
      </c>
      <c r="Q56" s="22">
        <v>1021</v>
      </c>
      <c r="R56" s="22">
        <v>155</v>
      </c>
      <c r="S56" s="22">
        <v>3398</v>
      </c>
      <c r="T56" s="22">
        <v>163</v>
      </c>
      <c r="U56" s="23">
        <v>436348</v>
      </c>
    </row>
    <row r="57" spans="1:21" ht="14.25" customHeight="1" x14ac:dyDescent="0.2">
      <c r="A57" s="20" t="s">
        <v>63</v>
      </c>
      <c r="B57" s="21" t="s">
        <v>108</v>
      </c>
      <c r="C57" s="22">
        <v>51730</v>
      </c>
      <c r="D57" s="22">
        <v>194808</v>
      </c>
      <c r="E57" s="22">
        <v>31467</v>
      </c>
      <c r="F57" s="22">
        <v>8500</v>
      </c>
      <c r="G57" s="22">
        <v>6777</v>
      </c>
      <c r="H57" s="22">
        <v>265</v>
      </c>
      <c r="I57" s="22">
        <v>32</v>
      </c>
      <c r="J57" s="22">
        <v>4052</v>
      </c>
      <c r="K57" s="22">
        <v>4823</v>
      </c>
      <c r="L57" s="22">
        <v>7392</v>
      </c>
      <c r="M57" s="22">
        <v>1348</v>
      </c>
      <c r="N57" s="22">
        <v>2078</v>
      </c>
      <c r="O57" s="22">
        <v>13084</v>
      </c>
      <c r="P57" s="22">
        <v>3595</v>
      </c>
      <c r="Q57" s="22">
        <v>7195</v>
      </c>
      <c r="R57" s="22">
        <v>0</v>
      </c>
      <c r="S57" s="22">
        <v>2390</v>
      </c>
      <c r="T57" s="22">
        <v>48960</v>
      </c>
      <c r="U57" s="23">
        <v>388496</v>
      </c>
    </row>
    <row r="58" spans="1:21" ht="14.25" customHeight="1" x14ac:dyDescent="0.2">
      <c r="A58" s="20" t="s">
        <v>64</v>
      </c>
      <c r="B58" s="21" t="s">
        <v>108</v>
      </c>
      <c r="C58" s="22">
        <v>53584</v>
      </c>
      <c r="D58" s="22">
        <v>17103</v>
      </c>
      <c r="E58" s="22">
        <v>15280</v>
      </c>
      <c r="F58" s="22">
        <v>198</v>
      </c>
      <c r="G58" s="22">
        <v>157</v>
      </c>
      <c r="H58" s="22">
        <v>30</v>
      </c>
      <c r="I58" s="22">
        <v>0</v>
      </c>
      <c r="J58" s="22">
        <v>3052</v>
      </c>
      <c r="K58" s="22">
        <v>507</v>
      </c>
      <c r="L58" s="22">
        <v>1142</v>
      </c>
      <c r="M58" s="22">
        <v>44</v>
      </c>
      <c r="N58" s="22">
        <v>168</v>
      </c>
      <c r="O58" s="22">
        <v>3407</v>
      </c>
      <c r="P58" s="22">
        <v>463</v>
      </c>
      <c r="Q58" s="22">
        <v>1099</v>
      </c>
      <c r="R58" s="22">
        <v>3</v>
      </c>
      <c r="S58" s="22">
        <v>1066</v>
      </c>
      <c r="T58" s="22">
        <v>1512</v>
      </c>
      <c r="U58" s="23">
        <v>98815</v>
      </c>
    </row>
    <row r="59" spans="1:21" ht="14.25" customHeight="1" x14ac:dyDescent="0.2">
      <c r="A59" s="20" t="s">
        <v>65</v>
      </c>
      <c r="B59" s="21" t="s">
        <v>108</v>
      </c>
      <c r="C59" s="22">
        <v>18225</v>
      </c>
      <c r="D59" s="22">
        <v>90160</v>
      </c>
      <c r="E59" s="22">
        <v>5492</v>
      </c>
      <c r="F59" s="22">
        <v>14775</v>
      </c>
      <c r="G59" s="22">
        <v>1640</v>
      </c>
      <c r="H59" s="22">
        <v>43</v>
      </c>
      <c r="I59" s="22">
        <v>0</v>
      </c>
      <c r="J59" s="22">
        <v>4498</v>
      </c>
      <c r="K59" s="22">
        <v>1010</v>
      </c>
      <c r="L59" s="22">
        <v>3095</v>
      </c>
      <c r="M59" s="22">
        <v>95</v>
      </c>
      <c r="N59" s="22">
        <v>485</v>
      </c>
      <c r="O59" s="22">
        <v>2095</v>
      </c>
      <c r="P59" s="22">
        <v>508</v>
      </c>
      <c r="Q59" s="22">
        <v>1744</v>
      </c>
      <c r="R59" s="22">
        <v>15</v>
      </c>
      <c r="S59" s="22">
        <v>3164</v>
      </c>
      <c r="T59" s="22">
        <v>259</v>
      </c>
      <c r="U59" s="23">
        <v>147303</v>
      </c>
    </row>
    <row r="60" spans="1:21" ht="14.25" customHeight="1" x14ac:dyDescent="0.2">
      <c r="A60" s="20" t="s">
        <v>66</v>
      </c>
      <c r="B60" s="21" t="s">
        <v>108</v>
      </c>
      <c r="C60" s="22">
        <v>27940</v>
      </c>
      <c r="D60" s="22">
        <v>108878</v>
      </c>
      <c r="E60" s="22">
        <v>4569</v>
      </c>
      <c r="F60" s="22">
        <v>14607</v>
      </c>
      <c r="G60" s="22">
        <v>1493</v>
      </c>
      <c r="H60" s="22">
        <v>76</v>
      </c>
      <c r="I60" s="22">
        <v>1</v>
      </c>
      <c r="J60" s="22">
        <v>1690</v>
      </c>
      <c r="K60" s="22">
        <v>1446</v>
      </c>
      <c r="L60" s="22">
        <v>2588</v>
      </c>
      <c r="M60" s="22">
        <v>388</v>
      </c>
      <c r="N60" s="22">
        <v>1212</v>
      </c>
      <c r="O60" s="22">
        <v>2505</v>
      </c>
      <c r="P60" s="22">
        <v>557</v>
      </c>
      <c r="Q60" s="22">
        <v>3807</v>
      </c>
      <c r="R60" s="22">
        <v>18</v>
      </c>
      <c r="S60" s="22">
        <v>2946</v>
      </c>
      <c r="T60" s="22">
        <v>1356</v>
      </c>
      <c r="U60" s="23">
        <v>176077</v>
      </c>
    </row>
    <row r="61" spans="1:21" ht="14.25" customHeight="1" x14ac:dyDescent="0.2">
      <c r="A61" s="20" t="s">
        <v>67</v>
      </c>
      <c r="B61" s="21" t="s">
        <v>108</v>
      </c>
      <c r="C61" s="22">
        <v>20201</v>
      </c>
      <c r="D61" s="22">
        <v>60953</v>
      </c>
      <c r="E61" s="22">
        <v>6348</v>
      </c>
      <c r="F61" s="22">
        <v>1751</v>
      </c>
      <c r="G61" s="22">
        <v>695</v>
      </c>
      <c r="H61" s="22">
        <v>49</v>
      </c>
      <c r="I61" s="22">
        <v>0</v>
      </c>
      <c r="J61" s="22">
        <v>166</v>
      </c>
      <c r="K61" s="22">
        <v>1314</v>
      </c>
      <c r="L61" s="22">
        <v>1700</v>
      </c>
      <c r="M61" s="22">
        <v>184</v>
      </c>
      <c r="N61" s="22">
        <v>503</v>
      </c>
      <c r="O61" s="22">
        <v>5621</v>
      </c>
      <c r="P61" s="22">
        <v>472</v>
      </c>
      <c r="Q61" s="22">
        <v>1710</v>
      </c>
      <c r="R61" s="22">
        <v>1</v>
      </c>
      <c r="S61" s="22">
        <v>11309</v>
      </c>
      <c r="T61" s="22">
        <v>297</v>
      </c>
      <c r="U61" s="23">
        <v>113274</v>
      </c>
    </row>
    <row r="62" spans="1:21" ht="14.25" customHeight="1" x14ac:dyDescent="0.2">
      <c r="A62" s="20" t="s">
        <v>68</v>
      </c>
      <c r="B62" s="21" t="s">
        <v>108</v>
      </c>
      <c r="C62" s="22">
        <v>51633</v>
      </c>
      <c r="D62" s="22">
        <v>149392</v>
      </c>
      <c r="E62" s="22">
        <v>11955</v>
      </c>
      <c r="F62" s="22">
        <v>52273</v>
      </c>
      <c r="G62" s="22">
        <v>4626</v>
      </c>
      <c r="H62" s="22">
        <v>183</v>
      </c>
      <c r="I62" s="22">
        <v>333</v>
      </c>
      <c r="J62" s="22">
        <v>3095</v>
      </c>
      <c r="K62" s="22">
        <v>1243</v>
      </c>
      <c r="L62" s="22">
        <v>7741</v>
      </c>
      <c r="M62" s="22">
        <v>302</v>
      </c>
      <c r="N62" s="22">
        <v>2365</v>
      </c>
      <c r="O62" s="22">
        <v>700</v>
      </c>
      <c r="P62" s="22">
        <v>786</v>
      </c>
      <c r="Q62" s="22">
        <v>861</v>
      </c>
      <c r="R62" s="22">
        <v>12</v>
      </c>
      <c r="S62" s="22">
        <v>2080</v>
      </c>
      <c r="T62" s="22">
        <v>247</v>
      </c>
      <c r="U62" s="23">
        <v>289827</v>
      </c>
    </row>
    <row r="63" spans="1:21" ht="14.25" customHeight="1" x14ac:dyDescent="0.2">
      <c r="A63" s="20" t="s">
        <v>69</v>
      </c>
      <c r="B63" s="21" t="s">
        <v>108</v>
      </c>
      <c r="C63" s="22">
        <v>8239</v>
      </c>
      <c r="D63" s="22">
        <v>130995</v>
      </c>
      <c r="E63" s="22">
        <v>1738</v>
      </c>
      <c r="F63" s="22">
        <v>15415</v>
      </c>
      <c r="G63" s="22">
        <v>1143</v>
      </c>
      <c r="H63" s="22">
        <v>191</v>
      </c>
      <c r="I63" s="22">
        <v>447</v>
      </c>
      <c r="J63" s="22">
        <v>6210</v>
      </c>
      <c r="K63" s="22">
        <v>1602</v>
      </c>
      <c r="L63" s="22">
        <v>4437</v>
      </c>
      <c r="M63" s="22">
        <v>317</v>
      </c>
      <c r="N63" s="22">
        <v>1476</v>
      </c>
      <c r="O63" s="22">
        <v>901</v>
      </c>
      <c r="P63" s="22">
        <v>746</v>
      </c>
      <c r="Q63" s="22">
        <v>2865</v>
      </c>
      <c r="R63" s="22" t="s">
        <v>106</v>
      </c>
      <c r="S63" s="22">
        <v>1152</v>
      </c>
      <c r="T63" s="22">
        <v>483</v>
      </c>
      <c r="U63" s="23">
        <v>178357</v>
      </c>
    </row>
    <row r="64" spans="1:21" ht="14.25" customHeight="1" x14ac:dyDescent="0.2">
      <c r="A64" s="20" t="s">
        <v>70</v>
      </c>
      <c r="B64" s="21" t="s">
        <v>108</v>
      </c>
      <c r="C64" s="22">
        <v>7788</v>
      </c>
      <c r="D64" s="22">
        <v>63134</v>
      </c>
      <c r="E64" s="22">
        <v>5558</v>
      </c>
      <c r="F64" s="22">
        <v>513</v>
      </c>
      <c r="G64" s="22">
        <v>105</v>
      </c>
      <c r="H64" s="22">
        <v>20</v>
      </c>
      <c r="I64" s="22">
        <v>1</v>
      </c>
      <c r="J64" s="22">
        <v>312</v>
      </c>
      <c r="K64" s="22">
        <v>362</v>
      </c>
      <c r="L64" s="22">
        <v>1238</v>
      </c>
      <c r="M64" s="22">
        <v>19</v>
      </c>
      <c r="N64" s="22">
        <v>164</v>
      </c>
      <c r="O64" s="22">
        <v>5374</v>
      </c>
      <c r="P64" s="22">
        <v>382</v>
      </c>
      <c r="Q64" s="22">
        <v>1472</v>
      </c>
      <c r="R64" s="22" t="s">
        <v>106</v>
      </c>
      <c r="S64" s="22">
        <v>351</v>
      </c>
      <c r="T64" s="22">
        <v>581</v>
      </c>
      <c r="U64" s="23">
        <v>87374</v>
      </c>
    </row>
    <row r="65" spans="1:21" ht="14.25" customHeight="1" x14ac:dyDescent="0.2">
      <c r="A65" s="20" t="s">
        <v>71</v>
      </c>
      <c r="B65" s="21" t="s">
        <v>109</v>
      </c>
      <c r="C65" s="22">
        <v>9968</v>
      </c>
      <c r="D65" s="22">
        <v>6277</v>
      </c>
      <c r="E65" s="22">
        <v>6608</v>
      </c>
      <c r="F65" s="22">
        <v>0</v>
      </c>
      <c r="G65" s="22">
        <v>57</v>
      </c>
      <c r="H65" s="22">
        <v>8</v>
      </c>
      <c r="I65" s="22">
        <v>0</v>
      </c>
      <c r="J65" s="22">
        <v>0</v>
      </c>
      <c r="K65" s="22">
        <v>266</v>
      </c>
      <c r="L65" s="22">
        <v>522</v>
      </c>
      <c r="M65" s="22">
        <v>2</v>
      </c>
      <c r="N65" s="22">
        <v>80</v>
      </c>
      <c r="O65" s="22">
        <v>6294</v>
      </c>
      <c r="P65" s="22">
        <v>383</v>
      </c>
      <c r="Q65" s="22">
        <v>553</v>
      </c>
      <c r="R65" s="22">
        <v>0</v>
      </c>
      <c r="S65" s="22">
        <v>6779</v>
      </c>
      <c r="T65" s="22">
        <v>425</v>
      </c>
      <c r="U65" s="23">
        <v>38222</v>
      </c>
    </row>
    <row r="66" spans="1:21" ht="14.25" customHeight="1" x14ac:dyDescent="0.2">
      <c r="A66" s="20" t="s">
        <v>72</v>
      </c>
      <c r="B66" s="21" t="s">
        <v>109</v>
      </c>
      <c r="C66" s="22">
        <v>5203</v>
      </c>
      <c r="D66" s="22">
        <v>5403</v>
      </c>
      <c r="E66" s="22">
        <v>3112</v>
      </c>
      <c r="F66" s="22">
        <v>90</v>
      </c>
      <c r="G66" s="22">
        <v>22</v>
      </c>
      <c r="H66" s="22">
        <v>10</v>
      </c>
      <c r="I66" s="22">
        <v>0</v>
      </c>
      <c r="J66" s="22">
        <v>0</v>
      </c>
      <c r="K66" s="22">
        <v>47</v>
      </c>
      <c r="L66" s="22">
        <v>378</v>
      </c>
      <c r="M66" s="22">
        <v>0</v>
      </c>
      <c r="N66" s="22">
        <v>65</v>
      </c>
      <c r="O66" s="22">
        <v>2734</v>
      </c>
      <c r="P66" s="22">
        <v>198</v>
      </c>
      <c r="Q66" s="22">
        <v>920</v>
      </c>
      <c r="R66" s="22">
        <v>4</v>
      </c>
      <c r="S66" s="22">
        <v>1065</v>
      </c>
      <c r="T66" s="22">
        <v>344</v>
      </c>
      <c r="U66" s="23">
        <v>19595</v>
      </c>
    </row>
    <row r="67" spans="1:21" ht="14.25" customHeight="1" x14ac:dyDescent="0.2">
      <c r="A67" s="20" t="s">
        <v>73</v>
      </c>
      <c r="B67" s="21" t="s">
        <v>109</v>
      </c>
      <c r="C67" s="22">
        <v>680</v>
      </c>
      <c r="D67" s="22">
        <v>1366</v>
      </c>
      <c r="E67" s="22">
        <v>1159</v>
      </c>
      <c r="F67" s="22">
        <v>18</v>
      </c>
      <c r="G67" s="22">
        <v>1</v>
      </c>
      <c r="H67" s="22">
        <v>16</v>
      </c>
      <c r="I67" s="22">
        <v>0</v>
      </c>
      <c r="J67" s="22">
        <v>76</v>
      </c>
      <c r="K67" s="22">
        <v>30</v>
      </c>
      <c r="L67" s="22">
        <v>112</v>
      </c>
      <c r="M67" s="22">
        <v>2</v>
      </c>
      <c r="N67" s="22">
        <v>15</v>
      </c>
      <c r="O67" s="22">
        <v>2905</v>
      </c>
      <c r="P67" s="22">
        <v>112</v>
      </c>
      <c r="Q67" s="22">
        <v>125</v>
      </c>
      <c r="R67" s="22">
        <v>0</v>
      </c>
      <c r="S67" s="22">
        <v>85</v>
      </c>
      <c r="T67" s="22">
        <v>0</v>
      </c>
      <c r="U67" s="23">
        <v>6702</v>
      </c>
    </row>
    <row r="68" spans="1:21" ht="14.25" customHeight="1" x14ac:dyDescent="0.2">
      <c r="A68" s="20" t="s">
        <v>74</v>
      </c>
      <c r="B68" s="21" t="s">
        <v>108</v>
      </c>
      <c r="C68" s="22">
        <v>41886</v>
      </c>
      <c r="D68" s="22">
        <v>179472</v>
      </c>
      <c r="E68" s="22">
        <v>7362</v>
      </c>
      <c r="F68" s="22">
        <v>28498</v>
      </c>
      <c r="G68" s="22">
        <v>2522</v>
      </c>
      <c r="H68" s="22">
        <v>370</v>
      </c>
      <c r="I68" s="22">
        <v>460</v>
      </c>
      <c r="J68" s="22">
        <v>3172</v>
      </c>
      <c r="K68" s="22">
        <v>4403</v>
      </c>
      <c r="L68" s="22">
        <v>8371</v>
      </c>
      <c r="M68" s="22">
        <v>628</v>
      </c>
      <c r="N68" s="22">
        <v>2026</v>
      </c>
      <c r="O68" s="22">
        <v>7633</v>
      </c>
      <c r="P68" s="22">
        <v>1363</v>
      </c>
      <c r="Q68" s="22">
        <v>8176</v>
      </c>
      <c r="R68" s="22">
        <v>438</v>
      </c>
      <c r="S68" s="22">
        <v>2541</v>
      </c>
      <c r="T68" s="22">
        <v>559</v>
      </c>
      <c r="U68" s="23">
        <v>299880</v>
      </c>
    </row>
    <row r="69" spans="1:21" ht="14.25" customHeight="1" x14ac:dyDescent="0.2">
      <c r="A69" s="20" t="s">
        <v>75</v>
      </c>
      <c r="B69" s="21" t="s">
        <v>109</v>
      </c>
      <c r="C69" s="22">
        <v>7782</v>
      </c>
      <c r="D69" s="22">
        <v>8487</v>
      </c>
      <c r="E69" s="22">
        <v>3403</v>
      </c>
      <c r="F69" s="22">
        <v>374</v>
      </c>
      <c r="G69" s="22">
        <v>21</v>
      </c>
      <c r="H69" s="22">
        <v>12</v>
      </c>
      <c r="I69" s="22">
        <v>1</v>
      </c>
      <c r="J69" s="22">
        <v>352</v>
      </c>
      <c r="K69" s="22">
        <v>213</v>
      </c>
      <c r="L69" s="22">
        <v>345</v>
      </c>
      <c r="M69" s="22">
        <v>11</v>
      </c>
      <c r="N69" s="22">
        <v>81</v>
      </c>
      <c r="O69" s="22">
        <v>2452</v>
      </c>
      <c r="P69" s="22">
        <v>160</v>
      </c>
      <c r="Q69" s="22">
        <v>1053</v>
      </c>
      <c r="R69" s="22">
        <v>0</v>
      </c>
      <c r="S69" s="22">
        <v>384</v>
      </c>
      <c r="T69" s="22">
        <v>417</v>
      </c>
      <c r="U69" s="23">
        <v>25548</v>
      </c>
    </row>
    <row r="70" spans="1:21" ht="14.25" customHeight="1" x14ac:dyDescent="0.2">
      <c r="A70" s="20" t="s">
        <v>76</v>
      </c>
      <c r="B70" s="21" t="s">
        <v>109</v>
      </c>
      <c r="C70" s="22">
        <v>21777</v>
      </c>
      <c r="D70" s="22">
        <v>33333</v>
      </c>
      <c r="E70" s="22">
        <v>5049</v>
      </c>
      <c r="F70" s="22">
        <v>10605</v>
      </c>
      <c r="G70" s="22">
        <v>710</v>
      </c>
      <c r="H70" s="22">
        <v>18</v>
      </c>
      <c r="I70" s="22">
        <v>0</v>
      </c>
      <c r="J70" s="22">
        <v>1398</v>
      </c>
      <c r="K70" s="22">
        <v>352</v>
      </c>
      <c r="L70" s="22">
        <v>1411</v>
      </c>
      <c r="M70" s="22">
        <v>19</v>
      </c>
      <c r="N70" s="22">
        <v>294</v>
      </c>
      <c r="O70" s="22">
        <v>4583</v>
      </c>
      <c r="P70" s="22">
        <v>422</v>
      </c>
      <c r="Q70" s="22">
        <v>1024</v>
      </c>
      <c r="R70" s="22">
        <v>0</v>
      </c>
      <c r="S70" s="22">
        <v>4258</v>
      </c>
      <c r="T70" s="22">
        <v>1293</v>
      </c>
      <c r="U70" s="23">
        <v>86546</v>
      </c>
    </row>
    <row r="71" spans="1:21" ht="14.25" customHeight="1" x14ac:dyDescent="0.2">
      <c r="A71" s="20" t="s">
        <v>77</v>
      </c>
      <c r="B71" s="21" t="s">
        <v>109</v>
      </c>
      <c r="C71" s="22">
        <v>28236</v>
      </c>
      <c r="D71" s="22">
        <v>4974</v>
      </c>
      <c r="E71" s="22">
        <v>2539</v>
      </c>
      <c r="F71" s="22">
        <v>0</v>
      </c>
      <c r="G71" s="22">
        <v>58</v>
      </c>
      <c r="H71" s="22">
        <v>5</v>
      </c>
      <c r="I71" s="22">
        <v>0</v>
      </c>
      <c r="J71" s="22">
        <v>1</v>
      </c>
      <c r="K71" s="22">
        <v>591</v>
      </c>
      <c r="L71" s="22">
        <v>338</v>
      </c>
      <c r="M71" s="22">
        <v>3</v>
      </c>
      <c r="N71" s="22">
        <v>46</v>
      </c>
      <c r="O71" s="22">
        <v>4899</v>
      </c>
      <c r="P71" s="22">
        <v>226</v>
      </c>
      <c r="Q71" s="22">
        <v>939</v>
      </c>
      <c r="R71" s="22">
        <v>0</v>
      </c>
      <c r="S71" s="22">
        <v>2968</v>
      </c>
      <c r="T71" s="22">
        <v>411</v>
      </c>
      <c r="U71" s="23">
        <v>46234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 t="shared" ref="C73:T73" si="0">SUM(C5:C72)</f>
        <v>1409937</v>
      </c>
      <c r="D73" s="26">
        <f t="shared" si="0"/>
        <v>5565009</v>
      </c>
      <c r="E73" s="26">
        <f t="shared" si="0"/>
        <v>435347</v>
      </c>
      <c r="F73" s="26">
        <f t="shared" si="0"/>
        <v>1591798</v>
      </c>
      <c r="G73" s="26">
        <f t="shared" si="0"/>
        <v>155892</v>
      </c>
      <c r="H73" s="26">
        <f t="shared" si="0"/>
        <v>16093</v>
      </c>
      <c r="I73" s="26">
        <f t="shared" si="0"/>
        <v>50248</v>
      </c>
      <c r="J73" s="26">
        <f t="shared" si="0"/>
        <v>140858</v>
      </c>
      <c r="K73" s="26">
        <f t="shared" si="0"/>
        <v>85747</v>
      </c>
      <c r="L73" s="26">
        <f t="shared" si="0"/>
        <v>261071</v>
      </c>
      <c r="M73" s="26">
        <f t="shared" si="0"/>
        <v>14852</v>
      </c>
      <c r="N73" s="26">
        <f t="shared" si="0"/>
        <v>78910</v>
      </c>
      <c r="O73" s="26">
        <f t="shared" si="0"/>
        <v>241561</v>
      </c>
      <c r="P73" s="26">
        <f t="shared" si="0"/>
        <v>49631</v>
      </c>
      <c r="Q73" s="26">
        <f t="shared" si="0"/>
        <v>245007</v>
      </c>
      <c r="R73" s="26">
        <f t="shared" si="0"/>
        <v>2079</v>
      </c>
      <c r="S73" s="26">
        <f t="shared" si="0"/>
        <v>157065</v>
      </c>
      <c r="T73" s="26">
        <f t="shared" si="0"/>
        <v>95842</v>
      </c>
      <c r="U73" s="28">
        <f>SUM(C73:T73)</f>
        <v>10596947</v>
      </c>
    </row>
    <row r="75" spans="1:21" x14ac:dyDescent="0.2">
      <c r="A75" s="3" t="s">
        <v>113</v>
      </c>
    </row>
  </sheetData>
  <phoneticPr fontId="0" type="noConversion"/>
  <conditionalFormatting sqref="A4:U73">
    <cfRule type="expression" dxfId="2" priority="3" stopIfTrue="1">
      <formula>MOD(ROW(),3)=1</formula>
    </cfRule>
  </conditionalFormatting>
  <pageMargins left="0.7" right="0.7" top="0.75" bottom="0.75" header="0.3" footer="0.3"/>
  <pageSetup scale="76" fitToWidth="2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76"/>
  <sheetViews>
    <sheetView zoomScaleNormal="100" workbookViewId="0">
      <pane xSplit="1" ySplit="4" topLeftCell="I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7.7109375" style="3" customWidth="1"/>
    <col min="2" max="2" width="9.28515625" style="18" bestFit="1" customWidth="1"/>
    <col min="3" max="3" width="18.5703125" style="3" bestFit="1" customWidth="1"/>
    <col min="4" max="4" width="19.5703125" style="3" bestFit="1" customWidth="1"/>
    <col min="5" max="5" width="18.5703125" style="3" bestFit="1" customWidth="1"/>
    <col min="6" max="6" width="19.140625" style="3" bestFit="1" customWidth="1"/>
    <col min="7" max="7" width="19.5703125" style="3" bestFit="1" customWidth="1"/>
    <col min="8" max="8" width="20.85546875" style="3" bestFit="1" customWidth="1"/>
    <col min="9" max="9" width="17.5703125" style="3" bestFit="1" customWidth="1"/>
    <col min="10" max="10" width="17.28515625" style="3" bestFit="1" customWidth="1"/>
    <col min="11" max="11" width="22.5703125" style="3" bestFit="1" customWidth="1"/>
    <col min="12" max="12" width="24.42578125" style="3" bestFit="1" customWidth="1"/>
    <col min="13" max="13" width="17.5703125" style="3" bestFit="1" customWidth="1"/>
    <col min="14" max="14" width="18.5703125" style="3" bestFit="1" customWidth="1"/>
    <col min="15" max="15" width="18.140625" style="3" bestFit="1" customWidth="1"/>
    <col min="16" max="16" width="17.28515625" style="3" bestFit="1" customWidth="1"/>
    <col min="17" max="17" width="16.5703125" style="3" bestFit="1" customWidth="1"/>
    <col min="18" max="18" width="16.85546875" style="3" bestFit="1" customWidth="1"/>
    <col min="19" max="19" width="17.28515625" style="3" bestFit="1" customWidth="1"/>
    <col min="20" max="20" width="19.5703125" style="3" bestFit="1" customWidth="1"/>
    <col min="21" max="21" width="22.42578125" style="3" bestFit="1" customWidth="1"/>
    <col min="22" max="16384" width="9.140625" style="12"/>
  </cols>
  <sheetData>
    <row r="1" spans="1:21" ht="23.25" x14ac:dyDescent="0.35">
      <c r="A1" s="1" t="s">
        <v>86</v>
      </c>
    </row>
    <row r="2" spans="1:21" ht="15" x14ac:dyDescent="0.25">
      <c r="A2" s="19">
        <v>2021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tr">
        <f>'Parcel Ct by Type'!B5</f>
        <v>R-NVAB</v>
      </c>
      <c r="C5" s="22">
        <v>323793342</v>
      </c>
      <c r="D5" s="22">
        <v>12427447812</v>
      </c>
      <c r="E5" s="22">
        <v>355690883</v>
      </c>
      <c r="F5" s="22">
        <v>798178370</v>
      </c>
      <c r="G5" s="22">
        <v>285996747</v>
      </c>
      <c r="H5" s="22">
        <v>2651817637</v>
      </c>
      <c r="I5" s="22">
        <v>0</v>
      </c>
      <c r="J5" s="22">
        <v>122287483</v>
      </c>
      <c r="K5" s="22">
        <v>206536544</v>
      </c>
      <c r="L5" s="22">
        <v>2862174479</v>
      </c>
      <c r="M5" s="22">
        <v>31958577</v>
      </c>
      <c r="N5" s="22">
        <v>619394902</v>
      </c>
      <c r="O5" s="22">
        <v>1691541887</v>
      </c>
      <c r="P5" s="22">
        <v>777175202</v>
      </c>
      <c r="Q5" s="22">
        <v>5661516746</v>
      </c>
      <c r="R5" s="22">
        <v>54600</v>
      </c>
      <c r="S5" s="22">
        <v>109712993</v>
      </c>
      <c r="T5" s="22">
        <v>46917385</v>
      </c>
      <c r="U5" s="23">
        <v>28972195589</v>
      </c>
    </row>
    <row r="6" spans="1:21" ht="14.25" customHeight="1" x14ac:dyDescent="0.2">
      <c r="A6" s="20" t="s">
        <v>13</v>
      </c>
      <c r="B6" s="21" t="str">
        <f>'Parcel Ct by Type'!B6</f>
        <v>R-Final</v>
      </c>
      <c r="C6" s="22">
        <v>32543500</v>
      </c>
      <c r="D6" s="22">
        <v>795683971</v>
      </c>
      <c r="E6" s="22">
        <v>192137461</v>
      </c>
      <c r="F6" s="22">
        <v>0</v>
      </c>
      <c r="G6" s="22">
        <v>6165782</v>
      </c>
      <c r="H6" s="22">
        <v>4306751</v>
      </c>
      <c r="I6" s="22">
        <v>0</v>
      </c>
      <c r="J6" s="22">
        <v>0</v>
      </c>
      <c r="K6" s="22">
        <v>3942604</v>
      </c>
      <c r="L6" s="22">
        <v>133318773</v>
      </c>
      <c r="M6" s="22">
        <v>210347</v>
      </c>
      <c r="N6" s="22">
        <v>43588464</v>
      </c>
      <c r="O6" s="22">
        <v>474181420</v>
      </c>
      <c r="P6" s="22">
        <v>39632398</v>
      </c>
      <c r="Q6" s="22">
        <v>231896942</v>
      </c>
      <c r="R6" s="22">
        <v>2570806</v>
      </c>
      <c r="S6" s="22">
        <v>11452404</v>
      </c>
      <c r="T6" s="22">
        <v>36963110</v>
      </c>
      <c r="U6" s="23">
        <v>2008594733</v>
      </c>
    </row>
    <row r="7" spans="1:21" ht="14.25" customHeight="1" x14ac:dyDescent="0.2">
      <c r="A7" s="20" t="s">
        <v>14</v>
      </c>
      <c r="B7" s="21" t="str">
        <f>'Parcel Ct by Type'!B7</f>
        <v>R-NVAB</v>
      </c>
      <c r="C7" s="22">
        <v>1028382071</v>
      </c>
      <c r="D7" s="22">
        <v>11289447766</v>
      </c>
      <c r="E7" s="22">
        <v>511665670</v>
      </c>
      <c r="F7" s="22">
        <v>4621668000</v>
      </c>
      <c r="G7" s="22">
        <v>324195914</v>
      </c>
      <c r="H7" s="22">
        <v>730674016</v>
      </c>
      <c r="I7" s="22">
        <v>1861953</v>
      </c>
      <c r="J7" s="22">
        <v>7304718</v>
      </c>
      <c r="K7" s="22">
        <v>573767340</v>
      </c>
      <c r="L7" s="22">
        <v>2191695502</v>
      </c>
      <c r="M7" s="22">
        <v>11360135</v>
      </c>
      <c r="N7" s="22">
        <v>391649383</v>
      </c>
      <c r="O7" s="22">
        <v>342902269</v>
      </c>
      <c r="P7" s="22">
        <v>345058827</v>
      </c>
      <c r="Q7" s="22">
        <v>2045053312</v>
      </c>
      <c r="R7" s="22">
        <v>34604418</v>
      </c>
      <c r="S7" s="22">
        <v>30668385</v>
      </c>
      <c r="T7" s="22">
        <v>102234676</v>
      </c>
      <c r="U7" s="23">
        <v>24584194355</v>
      </c>
    </row>
    <row r="8" spans="1:21" ht="14.25" customHeight="1" x14ac:dyDescent="0.2">
      <c r="A8" s="20" t="s">
        <v>15</v>
      </c>
      <c r="B8" s="21" t="str">
        <f>'Parcel Ct by Type'!B8</f>
        <v>R-Final</v>
      </c>
      <c r="C8" s="22">
        <v>48915930</v>
      </c>
      <c r="D8" s="22">
        <v>670376878</v>
      </c>
      <c r="E8" s="22">
        <v>145902896</v>
      </c>
      <c r="F8" s="22">
        <v>2501783</v>
      </c>
      <c r="G8" s="22">
        <v>2734705</v>
      </c>
      <c r="H8" s="22">
        <v>11017121</v>
      </c>
      <c r="I8" s="22">
        <v>0</v>
      </c>
      <c r="J8" s="22">
        <v>409375</v>
      </c>
      <c r="K8" s="22">
        <v>3162412</v>
      </c>
      <c r="L8" s="22">
        <v>96717789</v>
      </c>
      <c r="M8" s="22">
        <v>214316</v>
      </c>
      <c r="N8" s="22">
        <v>12737985</v>
      </c>
      <c r="O8" s="22">
        <v>503240153</v>
      </c>
      <c r="P8" s="22">
        <v>46932603</v>
      </c>
      <c r="Q8" s="22">
        <v>107473591</v>
      </c>
      <c r="R8" s="22">
        <v>752194</v>
      </c>
      <c r="S8" s="22">
        <v>3240346</v>
      </c>
      <c r="T8" s="22">
        <v>13164683</v>
      </c>
      <c r="U8" s="23">
        <v>1669494760</v>
      </c>
    </row>
    <row r="9" spans="1:21" ht="14.25" customHeight="1" x14ac:dyDescent="0.2">
      <c r="A9" s="20" t="s">
        <v>16</v>
      </c>
      <c r="B9" s="21" t="str">
        <f>'Parcel Ct by Type'!B9</f>
        <v>R-NVAB</v>
      </c>
      <c r="C9" s="22">
        <v>1067488180</v>
      </c>
      <c r="D9" s="22">
        <v>46170306340</v>
      </c>
      <c r="E9" s="22">
        <v>851838110</v>
      </c>
      <c r="F9" s="22">
        <v>6794014520</v>
      </c>
      <c r="G9" s="22">
        <v>779363350</v>
      </c>
      <c r="H9" s="22">
        <v>1698432910</v>
      </c>
      <c r="I9" s="22">
        <v>46674560</v>
      </c>
      <c r="J9" s="22">
        <v>1217480</v>
      </c>
      <c r="K9" s="22">
        <v>356441460</v>
      </c>
      <c r="L9" s="22">
        <v>5544419800</v>
      </c>
      <c r="M9" s="22">
        <v>93389460</v>
      </c>
      <c r="N9" s="22">
        <v>1478940510</v>
      </c>
      <c r="O9" s="22">
        <v>514488110</v>
      </c>
      <c r="P9" s="22">
        <v>1681750530</v>
      </c>
      <c r="Q9" s="22">
        <v>5532988440</v>
      </c>
      <c r="R9" s="22">
        <v>61200</v>
      </c>
      <c r="S9" s="22">
        <v>61318130</v>
      </c>
      <c r="T9" s="22">
        <v>142148660</v>
      </c>
      <c r="U9" s="23">
        <v>72815281750</v>
      </c>
    </row>
    <row r="10" spans="1:21" ht="14.25" customHeight="1" x14ac:dyDescent="0.2">
      <c r="A10" s="20" t="s">
        <v>17</v>
      </c>
      <c r="B10" s="21" t="str">
        <f>'Parcel Ct by Type'!B10</f>
        <v>R-NVAB</v>
      </c>
      <c r="C10" s="22">
        <v>1880191170</v>
      </c>
      <c r="D10" s="22">
        <v>153429769540</v>
      </c>
      <c r="E10" s="22">
        <v>442212370</v>
      </c>
      <c r="F10" s="22">
        <v>48934077080</v>
      </c>
      <c r="G10" s="22">
        <v>6516210760</v>
      </c>
      <c r="H10" s="22">
        <v>16077102200</v>
      </c>
      <c r="I10" s="22">
        <v>1854103150</v>
      </c>
      <c r="J10" s="22">
        <v>69211870</v>
      </c>
      <c r="K10" s="22">
        <v>1173152130</v>
      </c>
      <c r="L10" s="22">
        <v>38731838780</v>
      </c>
      <c r="M10" s="22">
        <v>292500460</v>
      </c>
      <c r="N10" s="22">
        <v>15094569800</v>
      </c>
      <c r="O10" s="22">
        <v>1128386940</v>
      </c>
      <c r="P10" s="22">
        <v>6704319080</v>
      </c>
      <c r="Q10" s="22">
        <v>15432231590</v>
      </c>
      <c r="R10" s="22">
        <v>0</v>
      </c>
      <c r="S10" s="22">
        <v>1622096890</v>
      </c>
      <c r="T10" s="22">
        <v>40870320</v>
      </c>
      <c r="U10" s="23">
        <v>309422844130</v>
      </c>
    </row>
    <row r="11" spans="1:21" ht="14.25" customHeight="1" x14ac:dyDescent="0.2">
      <c r="A11" s="20" t="s">
        <v>18</v>
      </c>
      <c r="B11" s="21" t="str">
        <f>'Parcel Ct by Type'!B11</f>
        <v>R-Final</v>
      </c>
      <c r="C11" s="22">
        <v>23749721</v>
      </c>
      <c r="D11" s="22">
        <v>216547548</v>
      </c>
      <c r="E11" s="22">
        <v>40986223</v>
      </c>
      <c r="F11" s="22">
        <v>0</v>
      </c>
      <c r="G11" s="22">
        <v>1081730</v>
      </c>
      <c r="H11" s="22">
        <v>1823792</v>
      </c>
      <c r="I11" s="22">
        <v>0</v>
      </c>
      <c r="J11" s="22">
        <v>164974</v>
      </c>
      <c r="K11" s="22">
        <v>2681372</v>
      </c>
      <c r="L11" s="22">
        <v>35980230</v>
      </c>
      <c r="M11" s="22">
        <v>0</v>
      </c>
      <c r="N11" s="22">
        <v>3951292</v>
      </c>
      <c r="O11" s="22">
        <v>464385167</v>
      </c>
      <c r="P11" s="22">
        <v>14582526</v>
      </c>
      <c r="Q11" s="22">
        <v>36763424</v>
      </c>
      <c r="R11" s="22">
        <v>0</v>
      </c>
      <c r="S11" s="22">
        <v>1712565</v>
      </c>
      <c r="T11" s="22">
        <v>1703251</v>
      </c>
      <c r="U11" s="23">
        <v>846113815</v>
      </c>
    </row>
    <row r="12" spans="1:21" ht="14.25" customHeight="1" x14ac:dyDescent="0.2">
      <c r="A12" s="20" t="s">
        <v>19</v>
      </c>
      <c r="B12" s="21" t="str">
        <f>'Parcel Ct by Type'!B12</f>
        <v>R-NVAB</v>
      </c>
      <c r="C12" s="22">
        <v>1390441056</v>
      </c>
      <c r="D12" s="22">
        <v>17869735754</v>
      </c>
      <c r="E12" s="22">
        <v>501196226</v>
      </c>
      <c r="F12" s="22">
        <v>2850274126</v>
      </c>
      <c r="G12" s="22">
        <v>326950001</v>
      </c>
      <c r="H12" s="22">
        <v>149571418</v>
      </c>
      <c r="I12" s="22">
        <v>345057512</v>
      </c>
      <c r="J12" s="22">
        <v>95105926</v>
      </c>
      <c r="K12" s="22">
        <v>286299711</v>
      </c>
      <c r="L12" s="22">
        <v>1748973693</v>
      </c>
      <c r="M12" s="22">
        <v>24035566</v>
      </c>
      <c r="N12" s="22">
        <v>402807995</v>
      </c>
      <c r="O12" s="22">
        <v>579339569</v>
      </c>
      <c r="P12" s="22">
        <v>343975178</v>
      </c>
      <c r="Q12" s="22">
        <v>1150042468</v>
      </c>
      <c r="R12" s="22">
        <v>18536790</v>
      </c>
      <c r="S12" s="22">
        <v>87182987</v>
      </c>
      <c r="T12" s="22">
        <v>73070200</v>
      </c>
      <c r="U12" s="23">
        <v>28242596176</v>
      </c>
    </row>
    <row r="13" spans="1:21" ht="14.25" customHeight="1" x14ac:dyDescent="0.2">
      <c r="A13" s="20" t="s">
        <v>20</v>
      </c>
      <c r="B13" s="21" t="str">
        <f>'Parcel Ct by Type'!B13</f>
        <v>R-NVAB</v>
      </c>
      <c r="C13" s="22">
        <v>546113577</v>
      </c>
      <c r="D13" s="22">
        <v>9814704533</v>
      </c>
      <c r="E13" s="22">
        <v>1029680040</v>
      </c>
      <c r="F13" s="22">
        <v>183914802</v>
      </c>
      <c r="G13" s="22">
        <v>74208714</v>
      </c>
      <c r="H13" s="22">
        <v>40430730</v>
      </c>
      <c r="I13" s="22">
        <v>0</v>
      </c>
      <c r="J13" s="22">
        <v>10506505</v>
      </c>
      <c r="K13" s="22">
        <v>142312668</v>
      </c>
      <c r="L13" s="22">
        <v>1054506712</v>
      </c>
      <c r="M13" s="22">
        <v>9313850</v>
      </c>
      <c r="N13" s="22">
        <v>121325836</v>
      </c>
      <c r="O13" s="22">
        <v>591648173</v>
      </c>
      <c r="P13" s="22">
        <v>457414333</v>
      </c>
      <c r="Q13" s="22">
        <v>1089955152</v>
      </c>
      <c r="R13" s="22">
        <v>0</v>
      </c>
      <c r="S13" s="22">
        <v>378273797</v>
      </c>
      <c r="T13" s="22">
        <v>54636610</v>
      </c>
      <c r="U13" s="23">
        <v>15598946032</v>
      </c>
    </row>
    <row r="14" spans="1:21" ht="14.25" customHeight="1" x14ac:dyDescent="0.2">
      <c r="A14" s="20" t="s">
        <v>21</v>
      </c>
      <c r="B14" s="21" t="str">
        <f>'Parcel Ct by Type'!B14</f>
        <v>R-NVAB</v>
      </c>
      <c r="C14" s="22">
        <v>309688276</v>
      </c>
      <c r="D14" s="22">
        <v>13665372221</v>
      </c>
      <c r="E14" s="22">
        <v>718551686</v>
      </c>
      <c r="F14" s="22">
        <v>260088583</v>
      </c>
      <c r="G14" s="22">
        <v>52295921</v>
      </c>
      <c r="H14" s="22">
        <v>593216457</v>
      </c>
      <c r="I14" s="22">
        <v>0</v>
      </c>
      <c r="J14" s="22">
        <v>13851003</v>
      </c>
      <c r="K14" s="22">
        <v>107925362</v>
      </c>
      <c r="L14" s="22">
        <v>1414909354</v>
      </c>
      <c r="M14" s="22">
        <v>4148860</v>
      </c>
      <c r="N14" s="22">
        <v>268512361</v>
      </c>
      <c r="O14" s="22">
        <v>659124610</v>
      </c>
      <c r="P14" s="22">
        <v>584261840</v>
      </c>
      <c r="Q14" s="22">
        <v>874216579</v>
      </c>
      <c r="R14" s="22">
        <v>0</v>
      </c>
      <c r="S14" s="22">
        <v>40022947</v>
      </c>
      <c r="T14" s="22">
        <v>72125564</v>
      </c>
      <c r="U14" s="23">
        <v>19638311624</v>
      </c>
    </row>
    <row r="15" spans="1:21" ht="14.25" customHeight="1" x14ac:dyDescent="0.2">
      <c r="A15" s="20" t="s">
        <v>22</v>
      </c>
      <c r="B15" s="21" t="str">
        <f>'Parcel Ct by Type'!B15</f>
        <v>R-NVAB</v>
      </c>
      <c r="C15" s="22">
        <v>2669784766</v>
      </c>
      <c r="D15" s="22">
        <v>66456152716</v>
      </c>
      <c r="E15" s="22">
        <v>370653928</v>
      </c>
      <c r="F15" s="22">
        <v>38435736359</v>
      </c>
      <c r="G15" s="22">
        <v>698119313</v>
      </c>
      <c r="H15" s="22">
        <v>1589786680</v>
      </c>
      <c r="I15" s="22">
        <v>711346008</v>
      </c>
      <c r="J15" s="22">
        <v>1332154742</v>
      </c>
      <c r="K15" s="22">
        <v>441489709</v>
      </c>
      <c r="L15" s="22">
        <v>6562821293</v>
      </c>
      <c r="M15" s="22">
        <v>75268970</v>
      </c>
      <c r="N15" s="22">
        <v>1389636776</v>
      </c>
      <c r="O15" s="22">
        <v>1334335727</v>
      </c>
      <c r="P15" s="22">
        <v>1985557147</v>
      </c>
      <c r="Q15" s="22">
        <v>4272959891</v>
      </c>
      <c r="R15" s="22">
        <v>2296928</v>
      </c>
      <c r="S15" s="22">
        <v>68224209</v>
      </c>
      <c r="T15" s="22">
        <v>449331822</v>
      </c>
      <c r="U15" s="23">
        <v>128845656984</v>
      </c>
    </row>
    <row r="16" spans="1:21" ht="14.25" customHeight="1" x14ac:dyDescent="0.2">
      <c r="A16" s="20" t="s">
        <v>23</v>
      </c>
      <c r="B16" s="21" t="str">
        <f>'Parcel Ct by Type'!B16</f>
        <v>R-Final</v>
      </c>
      <c r="C16" s="22">
        <v>107297357</v>
      </c>
      <c r="D16" s="22">
        <v>1977887705</v>
      </c>
      <c r="E16" s="22">
        <v>493426900</v>
      </c>
      <c r="F16" s="22">
        <v>4181253</v>
      </c>
      <c r="G16" s="22">
        <v>27276999</v>
      </c>
      <c r="H16" s="22">
        <v>45228781</v>
      </c>
      <c r="I16" s="22">
        <v>0</v>
      </c>
      <c r="J16" s="22">
        <v>23461729</v>
      </c>
      <c r="K16" s="22">
        <v>43459623</v>
      </c>
      <c r="L16" s="22">
        <v>478429828</v>
      </c>
      <c r="M16" s="22">
        <v>2198271</v>
      </c>
      <c r="N16" s="22">
        <v>147025001</v>
      </c>
      <c r="O16" s="22">
        <v>954065212</v>
      </c>
      <c r="P16" s="22">
        <v>165869674</v>
      </c>
      <c r="Q16" s="22">
        <v>442443984</v>
      </c>
      <c r="R16" s="22">
        <v>0</v>
      </c>
      <c r="S16" s="22">
        <v>13306401</v>
      </c>
      <c r="T16" s="22">
        <v>41528797</v>
      </c>
      <c r="U16" s="23">
        <v>4967087515</v>
      </c>
    </row>
    <row r="17" spans="1:21" ht="14.25" customHeight="1" x14ac:dyDescent="0.2">
      <c r="A17" s="20" t="s">
        <v>104</v>
      </c>
      <c r="B17" s="21" t="str">
        <f>'Parcel Ct by Type'!B17</f>
        <v>R-NVAB</v>
      </c>
      <c r="C17" s="22">
        <v>4601538230</v>
      </c>
      <c r="D17" s="22">
        <v>161225581325</v>
      </c>
      <c r="E17" s="22">
        <v>28226612</v>
      </c>
      <c r="F17" s="22">
        <v>114177074807</v>
      </c>
      <c r="G17" s="22">
        <v>12526465789</v>
      </c>
      <c r="H17" s="22">
        <v>20797741721</v>
      </c>
      <c r="I17" s="22">
        <v>380675462</v>
      </c>
      <c r="J17" s="22">
        <v>254171713</v>
      </c>
      <c r="K17" s="22">
        <v>6407543166</v>
      </c>
      <c r="L17" s="22">
        <v>65859071740</v>
      </c>
      <c r="M17" s="22">
        <v>1830122140</v>
      </c>
      <c r="N17" s="22">
        <v>23637391975</v>
      </c>
      <c r="O17" s="22">
        <v>4486111013</v>
      </c>
      <c r="P17" s="22">
        <v>9011548465</v>
      </c>
      <c r="Q17" s="22">
        <v>23356746723</v>
      </c>
      <c r="R17" s="22">
        <v>1070248121</v>
      </c>
      <c r="S17" s="22">
        <v>829684533</v>
      </c>
      <c r="T17" s="22">
        <v>1216756393</v>
      </c>
      <c r="U17" s="23">
        <v>451696699928</v>
      </c>
    </row>
    <row r="18" spans="1:21" ht="14.25" customHeight="1" x14ac:dyDescent="0.2">
      <c r="A18" s="20" t="s">
        <v>24</v>
      </c>
      <c r="B18" s="21" t="str">
        <f>'Parcel Ct by Type'!B18</f>
        <v>R-NVAB</v>
      </c>
      <c r="C18" s="22">
        <v>60258259</v>
      </c>
      <c r="D18" s="22">
        <v>898076056</v>
      </c>
      <c r="E18" s="22">
        <v>178409108</v>
      </c>
      <c r="F18" s="22">
        <v>71192000</v>
      </c>
      <c r="G18" s="22">
        <v>39702330</v>
      </c>
      <c r="H18" s="22">
        <v>39659551</v>
      </c>
      <c r="I18" s="22">
        <v>0</v>
      </c>
      <c r="J18" s="22">
        <v>235318</v>
      </c>
      <c r="K18" s="22">
        <v>16729220</v>
      </c>
      <c r="L18" s="22">
        <v>171785044</v>
      </c>
      <c r="M18" s="22">
        <v>2736919</v>
      </c>
      <c r="N18" s="22">
        <v>83587106</v>
      </c>
      <c r="O18" s="22">
        <v>1686165273</v>
      </c>
      <c r="P18" s="22">
        <v>57485926</v>
      </c>
      <c r="Q18" s="22">
        <v>225683904</v>
      </c>
      <c r="R18" s="22">
        <v>0</v>
      </c>
      <c r="S18" s="22">
        <v>67928283</v>
      </c>
      <c r="T18" s="22">
        <v>38402561</v>
      </c>
      <c r="U18" s="23">
        <v>3638036858</v>
      </c>
    </row>
    <row r="19" spans="1:21" ht="14.25" customHeight="1" x14ac:dyDescent="0.2">
      <c r="A19" s="20" t="s">
        <v>25</v>
      </c>
      <c r="B19" s="21" t="str">
        <f>'Parcel Ct by Type'!B19</f>
        <v>R-Final</v>
      </c>
      <c r="C19" s="22">
        <v>74768000</v>
      </c>
      <c r="D19" s="22">
        <v>268829100</v>
      </c>
      <c r="E19" s="22">
        <v>182003900</v>
      </c>
      <c r="F19" s="22">
        <v>18967900</v>
      </c>
      <c r="G19" s="22">
        <v>375200</v>
      </c>
      <c r="H19" s="22">
        <v>876000</v>
      </c>
      <c r="I19" s="22">
        <v>40900</v>
      </c>
      <c r="J19" s="22">
        <v>0</v>
      </c>
      <c r="K19" s="22">
        <v>4318700</v>
      </c>
      <c r="L19" s="22">
        <v>36387927</v>
      </c>
      <c r="M19" s="22">
        <v>673900</v>
      </c>
      <c r="N19" s="22">
        <v>11024200</v>
      </c>
      <c r="O19" s="22">
        <v>614764268</v>
      </c>
      <c r="P19" s="22">
        <v>16374000</v>
      </c>
      <c r="Q19" s="22">
        <v>164359100</v>
      </c>
      <c r="R19" s="22">
        <v>0</v>
      </c>
      <c r="S19" s="22">
        <v>811872</v>
      </c>
      <c r="T19" s="22">
        <v>836600</v>
      </c>
      <c r="U19" s="23">
        <v>1395411567</v>
      </c>
    </row>
    <row r="20" spans="1:21" ht="14.25" customHeight="1" x14ac:dyDescent="0.2">
      <c r="A20" s="20" t="s">
        <v>26</v>
      </c>
      <c r="B20" s="21" t="str">
        <f>'Parcel Ct by Type'!B20</f>
        <v>R-NVAB</v>
      </c>
      <c r="C20" s="22">
        <v>1038858929</v>
      </c>
      <c r="D20" s="22">
        <v>57086142711</v>
      </c>
      <c r="E20" s="22">
        <v>659456646</v>
      </c>
      <c r="F20" s="22">
        <v>4263353874</v>
      </c>
      <c r="G20" s="22">
        <v>1310227566</v>
      </c>
      <c r="H20" s="22">
        <v>9823110699</v>
      </c>
      <c r="I20" s="22">
        <v>4157800</v>
      </c>
      <c r="J20" s="22">
        <v>460217385</v>
      </c>
      <c r="K20" s="22">
        <v>596331659</v>
      </c>
      <c r="L20" s="22">
        <v>14226856305</v>
      </c>
      <c r="M20" s="22">
        <v>226091574</v>
      </c>
      <c r="N20" s="22">
        <v>5771487034</v>
      </c>
      <c r="O20" s="22">
        <v>1905399203</v>
      </c>
      <c r="P20" s="22">
        <v>3785214452</v>
      </c>
      <c r="Q20" s="22">
        <v>6049934788</v>
      </c>
      <c r="R20" s="22">
        <v>361723661</v>
      </c>
      <c r="S20" s="22">
        <v>110431326</v>
      </c>
      <c r="T20" s="22">
        <v>92833584</v>
      </c>
      <c r="U20" s="23">
        <v>107771829196</v>
      </c>
    </row>
    <row r="21" spans="1:21" ht="14.25" customHeight="1" x14ac:dyDescent="0.2">
      <c r="A21" s="20" t="s">
        <v>27</v>
      </c>
      <c r="B21" s="21" t="str">
        <f>'Parcel Ct by Type'!B21</f>
        <v>R-NVAB</v>
      </c>
      <c r="C21" s="22">
        <v>535235487</v>
      </c>
      <c r="D21" s="22">
        <v>17058191230</v>
      </c>
      <c r="E21" s="22">
        <v>192026546</v>
      </c>
      <c r="F21" s="22">
        <v>2019914228</v>
      </c>
      <c r="G21" s="22">
        <v>739063505</v>
      </c>
      <c r="H21" s="22">
        <v>1203555618</v>
      </c>
      <c r="I21" s="22">
        <v>0</v>
      </c>
      <c r="J21" s="22">
        <v>107729776</v>
      </c>
      <c r="K21" s="22">
        <v>267215116</v>
      </c>
      <c r="L21" s="22">
        <v>3577813826</v>
      </c>
      <c r="M21" s="22">
        <v>7645798</v>
      </c>
      <c r="N21" s="22">
        <v>550766437</v>
      </c>
      <c r="O21" s="22">
        <v>552447036</v>
      </c>
      <c r="P21" s="22">
        <v>936604878</v>
      </c>
      <c r="Q21" s="22">
        <v>4002759844</v>
      </c>
      <c r="R21" s="22">
        <v>140317256</v>
      </c>
      <c r="S21" s="22">
        <v>71716938</v>
      </c>
      <c r="T21" s="22">
        <v>70688223</v>
      </c>
      <c r="U21" s="23">
        <v>32033691742</v>
      </c>
    </row>
    <row r="22" spans="1:21" ht="14.25" customHeight="1" x14ac:dyDescent="0.2">
      <c r="A22" s="20" t="s">
        <v>28</v>
      </c>
      <c r="B22" s="21" t="str">
        <f>'Parcel Ct by Type'!B22</f>
        <v>R-NVAB</v>
      </c>
      <c r="C22" s="22">
        <v>794835013</v>
      </c>
      <c r="D22" s="22">
        <v>11105360823</v>
      </c>
      <c r="E22" s="22">
        <v>160578611</v>
      </c>
      <c r="F22" s="22">
        <v>1129313521</v>
      </c>
      <c r="G22" s="22">
        <v>285702961</v>
      </c>
      <c r="H22" s="22">
        <v>102426823</v>
      </c>
      <c r="I22" s="22">
        <v>35997739</v>
      </c>
      <c r="J22" s="22">
        <v>73058067</v>
      </c>
      <c r="K22" s="22">
        <v>186061603</v>
      </c>
      <c r="L22" s="22">
        <v>648603623</v>
      </c>
      <c r="M22" s="22">
        <v>14363684</v>
      </c>
      <c r="N22" s="22">
        <v>133985987</v>
      </c>
      <c r="O22" s="22">
        <v>401506415</v>
      </c>
      <c r="P22" s="22">
        <v>150010819</v>
      </c>
      <c r="Q22" s="22">
        <v>528335722</v>
      </c>
      <c r="R22" s="22">
        <v>297059</v>
      </c>
      <c r="S22" s="22">
        <v>45326205</v>
      </c>
      <c r="T22" s="22">
        <v>26109548</v>
      </c>
      <c r="U22" s="23">
        <v>15821874223</v>
      </c>
    </row>
    <row r="23" spans="1:21" ht="14.25" customHeight="1" x14ac:dyDescent="0.2">
      <c r="A23" s="20" t="s">
        <v>29</v>
      </c>
      <c r="B23" s="21" t="str">
        <f>'Parcel Ct by Type'!B23</f>
        <v>R-Final</v>
      </c>
      <c r="C23" s="22">
        <v>401793788</v>
      </c>
      <c r="D23" s="22">
        <v>1974026483</v>
      </c>
      <c r="E23" s="22">
        <v>73103005</v>
      </c>
      <c r="F23" s="22">
        <v>94354471</v>
      </c>
      <c r="G23" s="22">
        <v>2023468</v>
      </c>
      <c r="H23" s="22">
        <v>481313</v>
      </c>
      <c r="I23" s="22">
        <v>623096</v>
      </c>
      <c r="J23" s="22">
        <v>19264125</v>
      </c>
      <c r="K23" s="22">
        <v>13005869</v>
      </c>
      <c r="L23" s="22">
        <v>90176864</v>
      </c>
      <c r="M23" s="22">
        <v>128675</v>
      </c>
      <c r="N23" s="22">
        <v>15893249</v>
      </c>
      <c r="O23" s="22">
        <v>102948067</v>
      </c>
      <c r="P23" s="22">
        <v>33914322</v>
      </c>
      <c r="Q23" s="22">
        <v>580947727</v>
      </c>
      <c r="R23" s="22">
        <v>2139206</v>
      </c>
      <c r="S23" s="22">
        <v>4224617</v>
      </c>
      <c r="T23" s="22">
        <v>5302171</v>
      </c>
      <c r="U23" s="23">
        <v>3414350516</v>
      </c>
    </row>
    <row r="24" spans="1:21" ht="14.25" customHeight="1" x14ac:dyDescent="0.2">
      <c r="A24" s="20" t="s">
        <v>30</v>
      </c>
      <c r="B24" s="21" t="str">
        <f>'Parcel Ct by Type'!B24</f>
        <v>R-Final</v>
      </c>
      <c r="C24" s="22">
        <v>64634961</v>
      </c>
      <c r="D24" s="22">
        <v>1108765356</v>
      </c>
      <c r="E24" s="22">
        <v>159306374</v>
      </c>
      <c r="F24" s="22">
        <v>0</v>
      </c>
      <c r="G24" s="22">
        <v>9498650</v>
      </c>
      <c r="H24" s="22">
        <v>25504811</v>
      </c>
      <c r="I24" s="22">
        <v>0</v>
      </c>
      <c r="J24" s="22">
        <v>1285963</v>
      </c>
      <c r="K24" s="22">
        <v>13836866</v>
      </c>
      <c r="L24" s="22">
        <v>134945181</v>
      </c>
      <c r="M24" s="22">
        <v>0</v>
      </c>
      <c r="N24" s="22">
        <v>73936628</v>
      </c>
      <c r="O24" s="22">
        <v>659492158</v>
      </c>
      <c r="P24" s="22">
        <v>77207414</v>
      </c>
      <c r="Q24" s="22">
        <v>192382422</v>
      </c>
      <c r="R24" s="22">
        <v>0</v>
      </c>
      <c r="S24" s="22">
        <v>12926124</v>
      </c>
      <c r="T24" s="22">
        <v>27451263</v>
      </c>
      <c r="U24" s="23">
        <v>2561174171</v>
      </c>
    </row>
    <row r="25" spans="1:21" ht="14.25" customHeight="1" x14ac:dyDescent="0.2">
      <c r="A25" s="20" t="s">
        <v>31</v>
      </c>
      <c r="B25" s="21" t="str">
        <f>'Parcel Ct by Type'!B25</f>
        <v>R-Final</v>
      </c>
      <c r="C25" s="22">
        <v>51869774</v>
      </c>
      <c r="D25" s="22">
        <v>396821223</v>
      </c>
      <c r="E25" s="22">
        <v>207368107</v>
      </c>
      <c r="F25" s="22">
        <v>0</v>
      </c>
      <c r="G25" s="22">
        <v>3920230</v>
      </c>
      <c r="H25" s="22">
        <v>1540973</v>
      </c>
      <c r="I25" s="22">
        <v>9677874</v>
      </c>
      <c r="J25" s="22">
        <v>26088688</v>
      </c>
      <c r="K25" s="22">
        <v>825534</v>
      </c>
      <c r="L25" s="22">
        <v>35489029</v>
      </c>
      <c r="M25" s="22">
        <v>68654</v>
      </c>
      <c r="N25" s="22">
        <v>15290778</v>
      </c>
      <c r="O25" s="22">
        <v>673067759</v>
      </c>
      <c r="P25" s="22">
        <v>30795223</v>
      </c>
      <c r="Q25" s="22">
        <v>82419582</v>
      </c>
      <c r="R25" s="22">
        <v>0</v>
      </c>
      <c r="S25" s="22">
        <v>3702114</v>
      </c>
      <c r="T25" s="22">
        <v>16292628</v>
      </c>
      <c r="U25" s="23">
        <v>1555238170</v>
      </c>
    </row>
    <row r="26" spans="1:21" ht="14.25" customHeight="1" x14ac:dyDescent="0.2">
      <c r="A26" s="20" t="s">
        <v>32</v>
      </c>
      <c r="B26" s="21" t="str">
        <f>'Parcel Ct by Type'!B26</f>
        <v>R-NVAB</v>
      </c>
      <c r="C26" s="22">
        <v>44242334</v>
      </c>
      <c r="D26" s="22">
        <v>236942533</v>
      </c>
      <c r="E26" s="22">
        <v>163964692</v>
      </c>
      <c r="F26" s="22">
        <v>12862006</v>
      </c>
      <c r="G26" s="22">
        <v>23033848</v>
      </c>
      <c r="H26" s="22">
        <v>478593</v>
      </c>
      <c r="I26" s="22">
        <v>0</v>
      </c>
      <c r="J26" s="22">
        <v>5437049</v>
      </c>
      <c r="K26" s="22">
        <v>2261130</v>
      </c>
      <c r="L26" s="22">
        <v>63618675</v>
      </c>
      <c r="M26" s="22">
        <v>2123026</v>
      </c>
      <c r="N26" s="22">
        <v>16211544</v>
      </c>
      <c r="O26" s="22">
        <v>2573325852</v>
      </c>
      <c r="P26" s="22">
        <v>24287003</v>
      </c>
      <c r="Q26" s="22">
        <v>524308052</v>
      </c>
      <c r="R26" s="22">
        <v>0</v>
      </c>
      <c r="S26" s="22">
        <v>292445335</v>
      </c>
      <c r="T26" s="22">
        <v>6041641</v>
      </c>
      <c r="U26" s="23">
        <v>3991583313</v>
      </c>
    </row>
    <row r="27" spans="1:21" ht="14.25" customHeight="1" x14ac:dyDescent="0.2">
      <c r="A27" s="20" t="s">
        <v>33</v>
      </c>
      <c r="B27" s="21" t="str">
        <f>'Parcel Ct by Type'!B27</f>
        <v>R-Final</v>
      </c>
      <c r="C27" s="22">
        <v>514165123</v>
      </c>
      <c r="D27" s="22">
        <v>1602692194</v>
      </c>
      <c r="E27" s="22">
        <v>86156182</v>
      </c>
      <c r="F27" s="22">
        <v>32166100</v>
      </c>
      <c r="G27" s="22">
        <v>17716330</v>
      </c>
      <c r="H27" s="22">
        <v>11842520</v>
      </c>
      <c r="I27" s="22">
        <v>0</v>
      </c>
      <c r="J27" s="22">
        <v>4464060</v>
      </c>
      <c r="K27" s="22">
        <v>1012683</v>
      </c>
      <c r="L27" s="22">
        <v>95862555</v>
      </c>
      <c r="M27" s="22">
        <v>0</v>
      </c>
      <c r="N27" s="22">
        <v>12545029</v>
      </c>
      <c r="O27" s="22">
        <v>436270998</v>
      </c>
      <c r="P27" s="22">
        <v>34617219</v>
      </c>
      <c r="Q27" s="22">
        <v>567288975</v>
      </c>
      <c r="R27" s="22">
        <v>371599</v>
      </c>
      <c r="S27" s="22">
        <v>7475704</v>
      </c>
      <c r="T27" s="22">
        <v>56184687</v>
      </c>
      <c r="U27" s="23">
        <v>3480831958</v>
      </c>
    </row>
    <row r="28" spans="1:21" ht="14.25" customHeight="1" x14ac:dyDescent="0.2">
      <c r="A28" s="20" t="s">
        <v>34</v>
      </c>
      <c r="B28" s="21" t="str">
        <f>'Parcel Ct by Type'!B28</f>
        <v>R-Final</v>
      </c>
      <c r="C28" s="22">
        <v>41169134</v>
      </c>
      <c r="D28" s="22">
        <v>173606722</v>
      </c>
      <c r="E28" s="22">
        <v>78991286</v>
      </c>
      <c r="F28" s="22">
        <v>0</v>
      </c>
      <c r="G28" s="22">
        <v>14031108</v>
      </c>
      <c r="H28" s="22">
        <v>3774875</v>
      </c>
      <c r="I28" s="22">
        <v>0</v>
      </c>
      <c r="J28" s="22">
        <v>2968551</v>
      </c>
      <c r="K28" s="22">
        <v>4807483</v>
      </c>
      <c r="L28" s="22">
        <v>33407057</v>
      </c>
      <c r="M28" s="22">
        <v>113490</v>
      </c>
      <c r="N28" s="22">
        <v>5449512</v>
      </c>
      <c r="O28" s="22">
        <v>450260777</v>
      </c>
      <c r="P28" s="22">
        <v>16574500</v>
      </c>
      <c r="Q28" s="22">
        <v>130110336</v>
      </c>
      <c r="R28" s="22">
        <v>0</v>
      </c>
      <c r="S28" s="22">
        <v>77203052</v>
      </c>
      <c r="T28" s="22">
        <v>11808357</v>
      </c>
      <c r="U28" s="23">
        <v>1044276240</v>
      </c>
    </row>
    <row r="29" spans="1:21" ht="14.25" customHeight="1" x14ac:dyDescent="0.2">
      <c r="A29" s="20" t="s">
        <v>35</v>
      </c>
      <c r="B29" s="21" t="str">
        <f>'Parcel Ct by Type'!B29</f>
        <v>R-NVAB</v>
      </c>
      <c r="C29" s="22">
        <v>39647334</v>
      </c>
      <c r="D29" s="22">
        <v>509788953</v>
      </c>
      <c r="E29" s="22">
        <v>81266477</v>
      </c>
      <c r="F29" s="22">
        <v>15223586</v>
      </c>
      <c r="G29" s="22">
        <v>22753165</v>
      </c>
      <c r="H29" s="22">
        <v>28512180</v>
      </c>
      <c r="I29" s="22">
        <v>0</v>
      </c>
      <c r="J29" s="22">
        <v>2539520</v>
      </c>
      <c r="K29" s="22">
        <v>8902524</v>
      </c>
      <c r="L29" s="22">
        <v>114400334</v>
      </c>
      <c r="M29" s="22">
        <v>1031701</v>
      </c>
      <c r="N29" s="22">
        <v>26320597</v>
      </c>
      <c r="O29" s="22">
        <v>1812416574</v>
      </c>
      <c r="P29" s="22">
        <v>72261455</v>
      </c>
      <c r="Q29" s="22">
        <v>220125764</v>
      </c>
      <c r="R29" s="22">
        <v>0</v>
      </c>
      <c r="S29" s="22">
        <v>190451443</v>
      </c>
      <c r="T29" s="22">
        <v>34336224</v>
      </c>
      <c r="U29" s="23">
        <v>3179977831</v>
      </c>
    </row>
    <row r="30" spans="1:21" ht="14.25" customHeight="1" x14ac:dyDescent="0.2">
      <c r="A30" s="20" t="s">
        <v>36</v>
      </c>
      <c r="B30" s="21" t="str">
        <f>'Parcel Ct by Type'!B30</f>
        <v>R-NVAB</v>
      </c>
      <c r="C30" s="22">
        <v>229328155</v>
      </c>
      <c r="D30" s="22">
        <v>1100050210</v>
      </c>
      <c r="E30" s="22">
        <v>302754820</v>
      </c>
      <c r="F30" s="22">
        <v>21414810</v>
      </c>
      <c r="G30" s="22">
        <v>53322134</v>
      </c>
      <c r="H30" s="22">
        <v>8339921</v>
      </c>
      <c r="I30" s="22">
        <v>0</v>
      </c>
      <c r="J30" s="22">
        <v>35873333</v>
      </c>
      <c r="K30" s="22">
        <v>24937412</v>
      </c>
      <c r="L30" s="22">
        <v>248553011</v>
      </c>
      <c r="M30" s="22">
        <v>56916798</v>
      </c>
      <c r="N30" s="22">
        <v>101493011</v>
      </c>
      <c r="O30" s="22">
        <v>2535035533</v>
      </c>
      <c r="P30" s="22">
        <v>92121968</v>
      </c>
      <c r="Q30" s="22">
        <v>1158644700</v>
      </c>
      <c r="R30" s="22">
        <v>41670017</v>
      </c>
      <c r="S30" s="22">
        <v>35800304</v>
      </c>
      <c r="T30" s="22">
        <v>47500</v>
      </c>
      <c r="U30" s="23">
        <v>6046303637</v>
      </c>
    </row>
    <row r="31" spans="1:21" ht="14.25" customHeight="1" x14ac:dyDescent="0.2">
      <c r="A31" s="20" t="s">
        <v>37</v>
      </c>
      <c r="B31" s="21" t="str">
        <f>'Parcel Ct by Type'!B31</f>
        <v>R-NVAB</v>
      </c>
      <c r="C31" s="22">
        <v>386048957</v>
      </c>
      <c r="D31" s="22">
        <v>11751851924</v>
      </c>
      <c r="E31" s="22">
        <v>1000887341</v>
      </c>
      <c r="F31" s="22">
        <v>54538437</v>
      </c>
      <c r="G31" s="22">
        <v>80559420</v>
      </c>
      <c r="H31" s="22">
        <v>192188775</v>
      </c>
      <c r="I31" s="22">
        <v>2269399</v>
      </c>
      <c r="J31" s="22">
        <v>14252</v>
      </c>
      <c r="K31" s="22">
        <v>179442924</v>
      </c>
      <c r="L31" s="22">
        <v>1232227061</v>
      </c>
      <c r="M31" s="22">
        <v>8637257</v>
      </c>
      <c r="N31" s="22">
        <v>283264214</v>
      </c>
      <c r="O31" s="22">
        <v>886452177</v>
      </c>
      <c r="P31" s="22">
        <v>380952631</v>
      </c>
      <c r="Q31" s="22">
        <v>965050779</v>
      </c>
      <c r="R31" s="22">
        <v>20247347</v>
      </c>
      <c r="S31" s="22">
        <v>72862354</v>
      </c>
      <c r="T31" s="22">
        <v>159145402</v>
      </c>
      <c r="U31" s="23">
        <v>17656640651</v>
      </c>
    </row>
    <row r="32" spans="1:21" ht="14.25" customHeight="1" x14ac:dyDescent="0.2">
      <c r="A32" s="20" t="s">
        <v>38</v>
      </c>
      <c r="B32" s="21" t="str">
        <f>'Parcel Ct by Type'!B32</f>
        <v>R-NVAB</v>
      </c>
      <c r="C32" s="22">
        <v>261088768</v>
      </c>
      <c r="D32" s="22">
        <v>4769672182</v>
      </c>
      <c r="E32" s="22">
        <v>265805122</v>
      </c>
      <c r="F32" s="22">
        <v>112863555</v>
      </c>
      <c r="G32" s="22">
        <v>90699934</v>
      </c>
      <c r="H32" s="22">
        <v>50294769</v>
      </c>
      <c r="I32" s="22">
        <v>23376939</v>
      </c>
      <c r="J32" s="22">
        <v>94801788</v>
      </c>
      <c r="K32" s="22">
        <v>41469779</v>
      </c>
      <c r="L32" s="22">
        <v>836432489</v>
      </c>
      <c r="M32" s="22">
        <v>4779737</v>
      </c>
      <c r="N32" s="22">
        <v>99297786</v>
      </c>
      <c r="O32" s="22">
        <v>637647158</v>
      </c>
      <c r="P32" s="22">
        <v>465751173</v>
      </c>
      <c r="Q32" s="22">
        <v>549975111</v>
      </c>
      <c r="R32" s="22">
        <v>81945997</v>
      </c>
      <c r="S32" s="22">
        <v>15009828</v>
      </c>
      <c r="T32" s="22">
        <v>40336752</v>
      </c>
      <c r="U32" s="23">
        <v>8441248867</v>
      </c>
    </row>
    <row r="33" spans="1:21" ht="14.25" customHeight="1" x14ac:dyDescent="0.2">
      <c r="A33" s="20" t="s">
        <v>39</v>
      </c>
      <c r="B33" s="21" t="str">
        <f>'Parcel Ct by Type'!B33</f>
        <v>R-NVAB</v>
      </c>
      <c r="C33" s="22">
        <v>1732579777</v>
      </c>
      <c r="D33" s="22">
        <v>97226924998</v>
      </c>
      <c r="E33" s="22">
        <v>1422830599</v>
      </c>
      <c r="F33" s="22">
        <v>6484922220</v>
      </c>
      <c r="G33" s="22">
        <v>1087455666</v>
      </c>
      <c r="H33" s="22">
        <v>13768760903</v>
      </c>
      <c r="I33" s="22">
        <v>75201538</v>
      </c>
      <c r="J33" s="22">
        <v>616803381</v>
      </c>
      <c r="K33" s="22">
        <v>654400191</v>
      </c>
      <c r="L33" s="22">
        <v>21392585532</v>
      </c>
      <c r="M33" s="22">
        <v>141018765</v>
      </c>
      <c r="N33" s="22">
        <v>7034352184</v>
      </c>
      <c r="O33" s="22">
        <v>2571026197</v>
      </c>
      <c r="P33" s="22">
        <v>5568508315</v>
      </c>
      <c r="Q33" s="22">
        <v>10500087961</v>
      </c>
      <c r="R33" s="22">
        <v>1572778447</v>
      </c>
      <c r="S33" s="22">
        <v>373271401</v>
      </c>
      <c r="T33" s="22">
        <v>228897348</v>
      </c>
      <c r="U33" s="23">
        <v>172452405423</v>
      </c>
    </row>
    <row r="34" spans="1:21" ht="14.25" customHeight="1" x14ac:dyDescent="0.2">
      <c r="A34" s="20" t="s">
        <v>40</v>
      </c>
      <c r="B34" s="21" t="str">
        <f>'Parcel Ct by Type'!B34</f>
        <v>R-Final</v>
      </c>
      <c r="C34" s="22">
        <v>22061896</v>
      </c>
      <c r="D34" s="22">
        <v>254418167</v>
      </c>
      <c r="E34" s="22">
        <v>45516152</v>
      </c>
      <c r="F34" s="22">
        <v>0</v>
      </c>
      <c r="G34" s="22">
        <v>1790598</v>
      </c>
      <c r="H34" s="22">
        <v>3239703</v>
      </c>
      <c r="I34" s="22">
        <v>0</v>
      </c>
      <c r="J34" s="22">
        <v>212520</v>
      </c>
      <c r="K34" s="22">
        <v>3174149</v>
      </c>
      <c r="L34" s="22">
        <v>52128141</v>
      </c>
      <c r="M34" s="22">
        <v>14974</v>
      </c>
      <c r="N34" s="22">
        <v>6979297</v>
      </c>
      <c r="O34" s="22">
        <v>604096999</v>
      </c>
      <c r="P34" s="22">
        <v>45062255</v>
      </c>
      <c r="Q34" s="22">
        <v>71060872</v>
      </c>
      <c r="R34" s="22">
        <v>705376</v>
      </c>
      <c r="S34" s="22">
        <v>2944326</v>
      </c>
      <c r="T34" s="22">
        <v>6786557</v>
      </c>
      <c r="U34" s="23">
        <v>1120191982</v>
      </c>
    </row>
    <row r="35" spans="1:21" ht="14.25" customHeight="1" x14ac:dyDescent="0.2">
      <c r="A35" s="20" t="s">
        <v>41</v>
      </c>
      <c r="B35" s="21" t="str">
        <f>'Parcel Ct by Type'!B35</f>
        <v>R-NVAB</v>
      </c>
      <c r="C35" s="22">
        <v>733278915</v>
      </c>
      <c r="D35" s="22">
        <v>19056698334</v>
      </c>
      <c r="E35" s="22">
        <v>70731428</v>
      </c>
      <c r="F35" s="22">
        <v>3644671511</v>
      </c>
      <c r="G35" s="22">
        <v>161397459</v>
      </c>
      <c r="H35" s="22">
        <v>173942513</v>
      </c>
      <c r="I35" s="22">
        <v>7678560</v>
      </c>
      <c r="J35" s="22">
        <v>144102827</v>
      </c>
      <c r="K35" s="22">
        <v>123596234</v>
      </c>
      <c r="L35" s="22">
        <v>1449234354</v>
      </c>
      <c r="M35" s="22">
        <v>18617654</v>
      </c>
      <c r="N35" s="22">
        <v>273186919</v>
      </c>
      <c r="O35" s="22">
        <v>1424367649</v>
      </c>
      <c r="P35" s="22">
        <v>542241233</v>
      </c>
      <c r="Q35" s="22">
        <v>1352311034</v>
      </c>
      <c r="R35" s="22">
        <v>28101281</v>
      </c>
      <c r="S35" s="22">
        <v>15585815</v>
      </c>
      <c r="T35" s="22">
        <v>86755193</v>
      </c>
      <c r="U35" s="23">
        <v>29306498913</v>
      </c>
    </row>
    <row r="36" spans="1:21" ht="14.25" customHeight="1" x14ac:dyDescent="0.2">
      <c r="A36" s="20" t="s">
        <v>42</v>
      </c>
      <c r="B36" s="21" t="str">
        <f>'Parcel Ct by Type'!B36</f>
        <v>R-Final</v>
      </c>
      <c r="C36" s="22">
        <v>122385284</v>
      </c>
      <c r="D36" s="22">
        <v>961275242</v>
      </c>
      <c r="E36" s="22">
        <v>115097366</v>
      </c>
      <c r="F36" s="22">
        <v>0</v>
      </c>
      <c r="G36" s="22">
        <v>5880531</v>
      </c>
      <c r="H36" s="22">
        <v>21698885</v>
      </c>
      <c r="I36" s="22">
        <v>0</v>
      </c>
      <c r="J36" s="22">
        <v>2333233</v>
      </c>
      <c r="K36" s="22">
        <v>15836649</v>
      </c>
      <c r="L36" s="22">
        <v>194472532</v>
      </c>
      <c r="M36" s="22">
        <v>782366</v>
      </c>
      <c r="N36" s="22">
        <v>79739258</v>
      </c>
      <c r="O36" s="22">
        <v>877648044</v>
      </c>
      <c r="P36" s="22">
        <v>123483136</v>
      </c>
      <c r="Q36" s="22">
        <v>364214293</v>
      </c>
      <c r="R36" s="22">
        <v>0</v>
      </c>
      <c r="S36" s="22">
        <v>15705644</v>
      </c>
      <c r="T36" s="22">
        <v>5691172</v>
      </c>
      <c r="U36" s="23">
        <v>2906243635</v>
      </c>
    </row>
    <row r="37" spans="1:21" ht="14.25" customHeight="1" x14ac:dyDescent="0.2">
      <c r="A37" s="20" t="s">
        <v>43</v>
      </c>
      <c r="B37" s="21" t="str">
        <f>'Parcel Ct by Type'!B37</f>
        <v>R-Final</v>
      </c>
      <c r="C37" s="22">
        <v>35749370</v>
      </c>
      <c r="D37" s="22">
        <v>382849663</v>
      </c>
      <c r="E37" s="22">
        <v>74478291</v>
      </c>
      <c r="F37" s="22">
        <v>0</v>
      </c>
      <c r="G37" s="22">
        <v>5024972</v>
      </c>
      <c r="H37" s="22">
        <v>5611915</v>
      </c>
      <c r="I37" s="22">
        <v>152625</v>
      </c>
      <c r="J37" s="22">
        <v>238034</v>
      </c>
      <c r="K37" s="22">
        <v>2395854</v>
      </c>
      <c r="L37" s="22">
        <v>35770024</v>
      </c>
      <c r="M37" s="22">
        <v>340933</v>
      </c>
      <c r="N37" s="22">
        <v>9298595</v>
      </c>
      <c r="O37" s="22">
        <v>810220607</v>
      </c>
      <c r="P37" s="22">
        <v>35921880</v>
      </c>
      <c r="Q37" s="22">
        <v>89593146</v>
      </c>
      <c r="R37" s="22">
        <v>0</v>
      </c>
      <c r="S37" s="22">
        <v>64710270</v>
      </c>
      <c r="T37" s="22">
        <v>5472662</v>
      </c>
      <c r="U37" s="23">
        <v>1557828841</v>
      </c>
    </row>
    <row r="38" spans="1:21" ht="14.25" customHeight="1" x14ac:dyDescent="0.2">
      <c r="A38" s="20" t="s">
        <v>44</v>
      </c>
      <c r="B38" s="21" t="str">
        <f>'Parcel Ct by Type'!B38</f>
        <v>R-Final</v>
      </c>
      <c r="C38" s="22">
        <v>19734279</v>
      </c>
      <c r="D38" s="22">
        <v>109518522</v>
      </c>
      <c r="E38" s="22">
        <v>37787057</v>
      </c>
      <c r="F38" s="22">
        <v>0</v>
      </c>
      <c r="G38" s="22">
        <v>691928</v>
      </c>
      <c r="H38" s="22">
        <v>1379842</v>
      </c>
      <c r="I38" s="22">
        <v>0</v>
      </c>
      <c r="J38" s="22">
        <v>1394656</v>
      </c>
      <c r="K38" s="22">
        <v>762325</v>
      </c>
      <c r="L38" s="22">
        <v>11426197</v>
      </c>
      <c r="M38" s="22">
        <v>35000</v>
      </c>
      <c r="N38" s="22">
        <v>2254331</v>
      </c>
      <c r="O38" s="22">
        <v>436949825</v>
      </c>
      <c r="P38" s="22">
        <v>17287949</v>
      </c>
      <c r="Q38" s="22">
        <v>88233188</v>
      </c>
      <c r="R38" s="22">
        <v>0</v>
      </c>
      <c r="S38" s="22">
        <v>1797670</v>
      </c>
      <c r="T38" s="22">
        <v>1786027</v>
      </c>
      <c r="U38" s="23">
        <v>731038796</v>
      </c>
    </row>
    <row r="39" spans="1:21" ht="14.25" customHeight="1" x14ac:dyDescent="0.2">
      <c r="A39" s="20" t="s">
        <v>45</v>
      </c>
      <c r="B39" s="21" t="str">
        <f>'Parcel Ct by Type'!B39</f>
        <v>R-NVAB</v>
      </c>
      <c r="C39" s="22">
        <v>1031402283</v>
      </c>
      <c r="D39" s="22">
        <v>25447352929</v>
      </c>
      <c r="E39" s="22">
        <v>1451517311</v>
      </c>
      <c r="F39" s="22">
        <v>629075194</v>
      </c>
      <c r="G39" s="22">
        <v>210039245</v>
      </c>
      <c r="H39" s="22">
        <v>916608454</v>
      </c>
      <c r="I39" s="22">
        <v>161741046</v>
      </c>
      <c r="J39" s="22">
        <v>235635313</v>
      </c>
      <c r="K39" s="22">
        <v>408925512</v>
      </c>
      <c r="L39" s="22">
        <v>3211836685</v>
      </c>
      <c r="M39" s="22">
        <v>60956206</v>
      </c>
      <c r="N39" s="22">
        <v>626572982</v>
      </c>
      <c r="O39" s="22">
        <v>1368603864</v>
      </c>
      <c r="P39" s="22">
        <v>550067669</v>
      </c>
      <c r="Q39" s="22">
        <v>1419075176</v>
      </c>
      <c r="R39" s="22">
        <v>0</v>
      </c>
      <c r="S39" s="22">
        <v>21063280</v>
      </c>
      <c r="T39" s="22">
        <v>199915833</v>
      </c>
      <c r="U39" s="23">
        <v>37950388982</v>
      </c>
    </row>
    <row r="40" spans="1:21" ht="14.25" customHeight="1" x14ac:dyDescent="0.2">
      <c r="A40" s="20" t="s">
        <v>46</v>
      </c>
      <c r="B40" s="21" t="str">
        <f>'Parcel Ct by Type'!B40</f>
        <v>R-NVAB</v>
      </c>
      <c r="C40" s="22">
        <v>3488161518</v>
      </c>
      <c r="D40" s="22">
        <v>71165412467</v>
      </c>
      <c r="E40" s="22">
        <v>1551917489</v>
      </c>
      <c r="F40" s="22">
        <v>19115115992</v>
      </c>
      <c r="G40" s="22">
        <v>2934355095</v>
      </c>
      <c r="H40" s="22">
        <v>3120894496</v>
      </c>
      <c r="I40" s="22">
        <v>318574917</v>
      </c>
      <c r="J40" s="22">
        <v>447836157</v>
      </c>
      <c r="K40" s="22">
        <v>916385847</v>
      </c>
      <c r="L40" s="22">
        <v>10301812515</v>
      </c>
      <c r="M40" s="22">
        <v>164024817</v>
      </c>
      <c r="N40" s="22">
        <v>2476973166</v>
      </c>
      <c r="O40" s="22">
        <v>1513843045</v>
      </c>
      <c r="P40" s="22">
        <v>2194710818</v>
      </c>
      <c r="Q40" s="22">
        <v>6965512007</v>
      </c>
      <c r="R40" s="22">
        <v>110125536</v>
      </c>
      <c r="S40" s="22">
        <v>247392982</v>
      </c>
      <c r="T40" s="22">
        <v>164819026</v>
      </c>
      <c r="U40" s="23">
        <v>127197867890</v>
      </c>
    </row>
    <row r="41" spans="1:21" ht="14.25" customHeight="1" x14ac:dyDescent="0.2">
      <c r="A41" s="20" t="s">
        <v>47</v>
      </c>
      <c r="B41" s="21" t="str">
        <f>'Parcel Ct by Type'!B41</f>
        <v>R-NVAB</v>
      </c>
      <c r="C41" s="22">
        <v>301104611</v>
      </c>
      <c r="D41" s="22">
        <v>15584154177</v>
      </c>
      <c r="E41" s="22">
        <v>260077358</v>
      </c>
      <c r="F41" s="22">
        <v>478708655</v>
      </c>
      <c r="G41" s="22">
        <v>371074463</v>
      </c>
      <c r="H41" s="22">
        <v>2723465140</v>
      </c>
      <c r="I41" s="22">
        <v>0</v>
      </c>
      <c r="J41" s="22">
        <v>106486156</v>
      </c>
      <c r="K41" s="22">
        <v>149344828</v>
      </c>
      <c r="L41" s="22">
        <v>3081824907</v>
      </c>
      <c r="M41" s="22">
        <v>15571423</v>
      </c>
      <c r="N41" s="22">
        <v>392245381</v>
      </c>
      <c r="O41" s="22">
        <v>753395815</v>
      </c>
      <c r="P41" s="22">
        <v>802686000</v>
      </c>
      <c r="Q41" s="22">
        <v>5329737248</v>
      </c>
      <c r="R41" s="22">
        <v>0</v>
      </c>
      <c r="S41" s="22">
        <v>29992878</v>
      </c>
      <c r="T41" s="22">
        <v>178698360</v>
      </c>
      <c r="U41" s="23">
        <v>30558567400</v>
      </c>
    </row>
    <row r="42" spans="1:21" ht="14.25" customHeight="1" x14ac:dyDescent="0.2">
      <c r="A42" s="20" t="s">
        <v>48</v>
      </c>
      <c r="B42" s="21" t="str">
        <f>'Parcel Ct by Type'!B42</f>
        <v>R-Final</v>
      </c>
      <c r="C42" s="22">
        <v>247693284</v>
      </c>
      <c r="D42" s="22">
        <v>1245878615</v>
      </c>
      <c r="E42" s="22">
        <v>610241190</v>
      </c>
      <c r="F42" s="22">
        <v>34460183</v>
      </c>
      <c r="G42" s="22">
        <v>8277213</v>
      </c>
      <c r="H42" s="22">
        <v>7779799</v>
      </c>
      <c r="I42" s="22">
        <v>0</v>
      </c>
      <c r="J42" s="22">
        <v>2990962</v>
      </c>
      <c r="K42" s="22">
        <v>18290017</v>
      </c>
      <c r="L42" s="22">
        <v>222543938</v>
      </c>
      <c r="M42" s="22">
        <v>218608</v>
      </c>
      <c r="N42" s="22">
        <v>23174682</v>
      </c>
      <c r="O42" s="22">
        <v>2038966622</v>
      </c>
      <c r="P42" s="22">
        <v>75859320</v>
      </c>
      <c r="Q42" s="22">
        <v>306194761</v>
      </c>
      <c r="R42" s="22">
        <v>3209784</v>
      </c>
      <c r="S42" s="22">
        <v>17761053</v>
      </c>
      <c r="T42" s="22">
        <v>24766854</v>
      </c>
      <c r="U42" s="23">
        <v>4888306885</v>
      </c>
    </row>
    <row r="43" spans="1:21" ht="14.25" customHeight="1" x14ac:dyDescent="0.2">
      <c r="A43" s="20" t="s">
        <v>49</v>
      </c>
      <c r="B43" s="21" t="str">
        <f>'Parcel Ct by Type'!B43</f>
        <v>R-Final</v>
      </c>
      <c r="C43" s="22">
        <v>13602326</v>
      </c>
      <c r="D43" s="22">
        <v>141053665</v>
      </c>
      <c r="E43" s="22">
        <v>22420370</v>
      </c>
      <c r="F43" s="22">
        <v>0</v>
      </c>
      <c r="G43" s="22">
        <v>5358640</v>
      </c>
      <c r="H43" s="22">
        <v>678071</v>
      </c>
      <c r="I43" s="22">
        <v>0</v>
      </c>
      <c r="J43" s="22">
        <v>239176</v>
      </c>
      <c r="K43" s="22">
        <v>894398</v>
      </c>
      <c r="L43" s="22">
        <v>13818245</v>
      </c>
      <c r="M43" s="22">
        <v>0</v>
      </c>
      <c r="N43" s="22">
        <v>20683734</v>
      </c>
      <c r="O43" s="22">
        <v>284021997</v>
      </c>
      <c r="P43" s="22">
        <v>22149694</v>
      </c>
      <c r="Q43" s="22">
        <v>347842977</v>
      </c>
      <c r="R43" s="22">
        <v>0</v>
      </c>
      <c r="S43" s="22">
        <v>1352570</v>
      </c>
      <c r="T43" s="22">
        <v>2113740</v>
      </c>
      <c r="U43" s="23">
        <v>876229603</v>
      </c>
    </row>
    <row r="44" spans="1:21" ht="14.25" customHeight="1" x14ac:dyDescent="0.2">
      <c r="A44" s="20" t="s">
        <v>50</v>
      </c>
      <c r="B44" s="21" t="str">
        <f>'Parcel Ct by Type'!B44</f>
        <v>R-Final</v>
      </c>
      <c r="C44" s="22">
        <v>51906630</v>
      </c>
      <c r="D44" s="22">
        <v>299609929</v>
      </c>
      <c r="E44" s="22">
        <v>81584214</v>
      </c>
      <c r="F44" s="22">
        <v>0</v>
      </c>
      <c r="G44" s="22">
        <v>12842581</v>
      </c>
      <c r="H44" s="22">
        <v>6989291</v>
      </c>
      <c r="I44" s="22">
        <v>0</v>
      </c>
      <c r="J44" s="22">
        <v>0</v>
      </c>
      <c r="K44" s="22">
        <v>3819660</v>
      </c>
      <c r="L44" s="22">
        <v>71122881</v>
      </c>
      <c r="M44" s="22">
        <v>73059</v>
      </c>
      <c r="N44" s="22">
        <v>41543329</v>
      </c>
      <c r="O44" s="22">
        <v>686046565</v>
      </c>
      <c r="P44" s="22">
        <v>38277043</v>
      </c>
      <c r="Q44" s="22">
        <v>80984076</v>
      </c>
      <c r="R44" s="22">
        <v>0</v>
      </c>
      <c r="S44" s="22">
        <v>3214001</v>
      </c>
      <c r="T44" s="22">
        <v>11374523</v>
      </c>
      <c r="U44" s="23">
        <v>1389387782</v>
      </c>
    </row>
    <row r="45" spans="1:21" ht="14.25" customHeight="1" x14ac:dyDescent="0.2">
      <c r="A45" s="20" t="s">
        <v>51</v>
      </c>
      <c r="B45" s="21" t="str">
        <f>'Parcel Ct by Type'!B45</f>
        <v>R-NVAB</v>
      </c>
      <c r="C45" s="22">
        <v>934376755</v>
      </c>
      <c r="D45" s="22">
        <v>34016268212</v>
      </c>
      <c r="E45" s="22">
        <v>356745436</v>
      </c>
      <c r="F45" s="22">
        <v>7030421141</v>
      </c>
      <c r="G45" s="22">
        <v>1313939901</v>
      </c>
      <c r="H45" s="22">
        <v>2039133514</v>
      </c>
      <c r="I45" s="22">
        <v>489041854</v>
      </c>
      <c r="J45" s="22">
        <v>103767111</v>
      </c>
      <c r="K45" s="22">
        <v>230427079</v>
      </c>
      <c r="L45" s="22">
        <v>3959138964</v>
      </c>
      <c r="M45" s="22">
        <v>58070918</v>
      </c>
      <c r="N45" s="22">
        <v>1455021191</v>
      </c>
      <c r="O45" s="22">
        <v>1238862733</v>
      </c>
      <c r="P45" s="22">
        <v>1322878232</v>
      </c>
      <c r="Q45" s="22">
        <v>1658401876</v>
      </c>
      <c r="R45" s="22">
        <v>38253871</v>
      </c>
      <c r="S45" s="22">
        <v>70633939</v>
      </c>
      <c r="T45" s="22">
        <v>165931385</v>
      </c>
      <c r="U45" s="23">
        <v>56481314112</v>
      </c>
    </row>
    <row r="46" spans="1:21" ht="14.25" customHeight="1" x14ac:dyDescent="0.2">
      <c r="A46" s="20" t="s">
        <v>52</v>
      </c>
      <c r="B46" s="21" t="str">
        <f>'Parcel Ct by Type'!B46</f>
        <v>R-NVAB</v>
      </c>
      <c r="C46" s="22">
        <v>926010009</v>
      </c>
      <c r="D46" s="22">
        <v>19816572179</v>
      </c>
      <c r="E46" s="22">
        <v>1426021351</v>
      </c>
      <c r="F46" s="22">
        <v>199960480</v>
      </c>
      <c r="G46" s="22">
        <v>604591507</v>
      </c>
      <c r="H46" s="22">
        <v>508973325</v>
      </c>
      <c r="I46" s="22">
        <v>0</v>
      </c>
      <c r="J46" s="22">
        <v>165054422</v>
      </c>
      <c r="K46" s="22">
        <v>298471095</v>
      </c>
      <c r="L46" s="22">
        <v>2871953660</v>
      </c>
      <c r="M46" s="22">
        <v>42579789</v>
      </c>
      <c r="N46" s="22">
        <v>1044506597</v>
      </c>
      <c r="O46" s="22">
        <v>4404128175</v>
      </c>
      <c r="P46" s="22">
        <v>891534365</v>
      </c>
      <c r="Q46" s="22">
        <v>1987618235</v>
      </c>
      <c r="R46" s="22">
        <v>13229222</v>
      </c>
      <c r="S46" s="22">
        <v>45277859</v>
      </c>
      <c r="T46" s="22">
        <v>195057840</v>
      </c>
      <c r="U46" s="23">
        <v>35441540110</v>
      </c>
    </row>
    <row r="47" spans="1:21" ht="14.25" customHeight="1" x14ac:dyDescent="0.2">
      <c r="A47" s="20" t="s">
        <v>53</v>
      </c>
      <c r="B47" s="21" t="str">
        <f>'Parcel Ct by Type'!B47</f>
        <v>R-NVAB</v>
      </c>
      <c r="C47" s="22">
        <v>469987127</v>
      </c>
      <c r="D47" s="22">
        <v>21448884927</v>
      </c>
      <c r="E47" s="22">
        <v>266112459</v>
      </c>
      <c r="F47" s="22">
        <v>2381743022</v>
      </c>
      <c r="G47" s="22">
        <v>262383189</v>
      </c>
      <c r="H47" s="22">
        <v>263666300</v>
      </c>
      <c r="I47" s="22">
        <v>76537920</v>
      </c>
      <c r="J47" s="22">
        <v>152879270</v>
      </c>
      <c r="K47" s="22">
        <v>178093871</v>
      </c>
      <c r="L47" s="22">
        <v>2147913251</v>
      </c>
      <c r="M47" s="22">
        <v>41916789</v>
      </c>
      <c r="N47" s="22">
        <v>623809851</v>
      </c>
      <c r="O47" s="22">
        <v>2055650170</v>
      </c>
      <c r="P47" s="22">
        <v>637770004</v>
      </c>
      <c r="Q47" s="22">
        <v>1705059762</v>
      </c>
      <c r="R47" s="22">
        <v>0</v>
      </c>
      <c r="S47" s="22">
        <v>154443560</v>
      </c>
      <c r="T47" s="22">
        <v>162368550</v>
      </c>
      <c r="U47" s="23">
        <v>33029220022</v>
      </c>
    </row>
    <row r="48" spans="1:21" ht="14.25" customHeight="1" x14ac:dyDescent="0.2">
      <c r="A48" s="20" t="s">
        <v>54</v>
      </c>
      <c r="B48" s="21" t="str">
        <f>'Parcel Ct by Type'!B48</f>
        <v>R-NVAB</v>
      </c>
      <c r="C48" s="22">
        <v>1286782771</v>
      </c>
      <c r="D48" s="22">
        <v>22457780444</v>
      </c>
      <c r="E48" s="22">
        <v>1192407615</v>
      </c>
      <c r="F48" s="22">
        <v>3946648312</v>
      </c>
      <c r="G48" s="22">
        <v>1195031788</v>
      </c>
      <c r="H48" s="22">
        <v>358496417</v>
      </c>
      <c r="I48" s="22">
        <v>10829340</v>
      </c>
      <c r="J48" s="22">
        <v>91795689</v>
      </c>
      <c r="K48" s="22">
        <v>209135185</v>
      </c>
      <c r="L48" s="22">
        <v>5658844804</v>
      </c>
      <c r="M48" s="22">
        <v>10287136</v>
      </c>
      <c r="N48" s="22">
        <v>261707873</v>
      </c>
      <c r="O48" s="22">
        <v>113593</v>
      </c>
      <c r="P48" s="22">
        <v>485308763</v>
      </c>
      <c r="Q48" s="22">
        <v>4445735279</v>
      </c>
      <c r="R48" s="22">
        <v>5053240</v>
      </c>
      <c r="S48" s="22">
        <v>149507173</v>
      </c>
      <c r="T48" s="22">
        <v>8258055</v>
      </c>
      <c r="U48" s="23">
        <v>41773723477</v>
      </c>
    </row>
    <row r="49" spans="1:21" ht="14.25" customHeight="1" x14ac:dyDescent="0.2">
      <c r="A49" s="20" t="s">
        <v>55</v>
      </c>
      <c r="B49" s="21" t="str">
        <f>'Parcel Ct by Type'!B49</f>
        <v>R-NVAB</v>
      </c>
      <c r="C49" s="22">
        <v>662017917</v>
      </c>
      <c r="D49" s="22">
        <v>8699128722</v>
      </c>
      <c r="E49" s="22">
        <v>620893997</v>
      </c>
      <c r="F49" s="22">
        <v>1852178809</v>
      </c>
      <c r="G49" s="22">
        <v>163740056</v>
      </c>
      <c r="H49" s="22">
        <v>197538946</v>
      </c>
      <c r="I49" s="22">
        <v>0</v>
      </c>
      <c r="J49" s="22">
        <v>69029597</v>
      </c>
      <c r="K49" s="22">
        <v>93999932</v>
      </c>
      <c r="L49" s="22">
        <v>844830912</v>
      </c>
      <c r="M49" s="22">
        <v>8866804</v>
      </c>
      <c r="N49" s="22">
        <v>154324712</v>
      </c>
      <c r="O49" s="22">
        <v>1231517023</v>
      </c>
      <c r="P49" s="22">
        <v>193887755</v>
      </c>
      <c r="Q49" s="22">
        <v>939298432</v>
      </c>
      <c r="R49" s="22">
        <v>1131702</v>
      </c>
      <c r="S49" s="22">
        <v>42130542</v>
      </c>
      <c r="T49" s="22">
        <v>50953272</v>
      </c>
      <c r="U49" s="23">
        <v>15825469130</v>
      </c>
    </row>
    <row r="50" spans="1:21" ht="14.25" customHeight="1" x14ac:dyDescent="0.2">
      <c r="A50" s="20" t="s">
        <v>56</v>
      </c>
      <c r="B50" s="21" t="str">
        <f>'Parcel Ct by Type'!B50</f>
        <v>R-NVAB</v>
      </c>
      <c r="C50" s="22">
        <v>544769219</v>
      </c>
      <c r="D50" s="22">
        <v>17234163592</v>
      </c>
      <c r="E50" s="22">
        <v>220602653</v>
      </c>
      <c r="F50" s="22">
        <v>4260492755</v>
      </c>
      <c r="G50" s="22">
        <v>162773609</v>
      </c>
      <c r="H50" s="22">
        <v>717127345</v>
      </c>
      <c r="I50" s="22">
        <v>840000</v>
      </c>
      <c r="J50" s="22">
        <v>14927652</v>
      </c>
      <c r="K50" s="22">
        <v>167684345</v>
      </c>
      <c r="L50" s="22">
        <v>2168354773</v>
      </c>
      <c r="M50" s="22">
        <v>2276683</v>
      </c>
      <c r="N50" s="22">
        <v>334886834</v>
      </c>
      <c r="O50" s="22">
        <v>490155528</v>
      </c>
      <c r="P50" s="22">
        <v>368732756</v>
      </c>
      <c r="Q50" s="22">
        <v>1996410088</v>
      </c>
      <c r="R50" s="22">
        <v>0</v>
      </c>
      <c r="S50" s="22">
        <v>40391446</v>
      </c>
      <c r="T50" s="22">
        <v>62052617</v>
      </c>
      <c r="U50" s="23">
        <v>28786641895</v>
      </c>
    </row>
    <row r="51" spans="1:21" ht="14.25" customHeight="1" x14ac:dyDescent="0.2">
      <c r="A51" s="20" t="s">
        <v>57</v>
      </c>
      <c r="B51" s="21" t="str">
        <f>'Parcel Ct by Type'!B51</f>
        <v>R-NVAB</v>
      </c>
      <c r="C51" s="22">
        <v>138712890</v>
      </c>
      <c r="D51" s="22">
        <v>1262522245</v>
      </c>
      <c r="E51" s="22">
        <v>462421732</v>
      </c>
      <c r="F51" s="22">
        <v>13848732</v>
      </c>
      <c r="G51" s="22">
        <v>74247055</v>
      </c>
      <c r="H51" s="22">
        <v>11405019</v>
      </c>
      <c r="I51" s="22" t="s">
        <v>106</v>
      </c>
      <c r="J51" s="22">
        <v>483449</v>
      </c>
      <c r="K51" s="22">
        <v>14983385</v>
      </c>
      <c r="L51" s="22">
        <v>312564256</v>
      </c>
      <c r="M51" s="22">
        <v>7415438</v>
      </c>
      <c r="N51" s="22">
        <v>62962500</v>
      </c>
      <c r="O51" s="22">
        <v>1881079133</v>
      </c>
      <c r="P51" s="22">
        <v>75107203</v>
      </c>
      <c r="Q51" s="22">
        <v>511510136</v>
      </c>
      <c r="R51" s="22">
        <v>4486075</v>
      </c>
      <c r="S51" s="22">
        <v>54875828</v>
      </c>
      <c r="T51" s="22">
        <v>23966657</v>
      </c>
      <c r="U51" s="23">
        <v>4912591733</v>
      </c>
    </row>
    <row r="52" spans="1:21" ht="14.25" customHeight="1" x14ac:dyDescent="0.2">
      <c r="A52" s="20" t="s">
        <v>58</v>
      </c>
      <c r="B52" s="21" t="str">
        <f>'Parcel Ct by Type'!B52</f>
        <v>R-NVAB</v>
      </c>
      <c r="C52" s="22">
        <v>1675785392</v>
      </c>
      <c r="D52" s="22">
        <v>96491970055</v>
      </c>
      <c r="E52" s="22">
        <v>447347074</v>
      </c>
      <c r="F52" s="22">
        <v>7057542930</v>
      </c>
      <c r="G52" s="22">
        <v>980863263</v>
      </c>
      <c r="H52" s="22">
        <v>18825943824</v>
      </c>
      <c r="I52" s="22">
        <v>11464866</v>
      </c>
      <c r="J52" s="22">
        <v>64946349</v>
      </c>
      <c r="K52" s="22">
        <v>2135972698</v>
      </c>
      <c r="L52" s="22">
        <v>46084042740</v>
      </c>
      <c r="M52" s="22">
        <v>304978504</v>
      </c>
      <c r="N52" s="22">
        <v>10169027188</v>
      </c>
      <c r="O52" s="22">
        <v>2650276059</v>
      </c>
      <c r="P52" s="22">
        <v>2988301075</v>
      </c>
      <c r="Q52" s="22">
        <v>20770713796</v>
      </c>
      <c r="R52" s="22">
        <v>3591959</v>
      </c>
      <c r="S52" s="22">
        <v>83789321</v>
      </c>
      <c r="T52" s="22">
        <v>570636754</v>
      </c>
      <c r="U52" s="23">
        <v>211317193847</v>
      </c>
    </row>
    <row r="53" spans="1:21" ht="14.25" customHeight="1" x14ac:dyDescent="0.2">
      <c r="A53" s="20" t="s">
        <v>59</v>
      </c>
      <c r="B53" s="21" t="str">
        <f>'Parcel Ct by Type'!B53</f>
        <v>R-NVAB</v>
      </c>
      <c r="C53" s="22">
        <v>798263417</v>
      </c>
      <c r="D53" s="22">
        <v>26378514930</v>
      </c>
      <c r="E53" s="22">
        <v>540188000</v>
      </c>
      <c r="F53" s="22">
        <v>4745418114</v>
      </c>
      <c r="G53" s="22">
        <v>191831300</v>
      </c>
      <c r="H53" s="22">
        <v>2341607702</v>
      </c>
      <c r="I53" s="22">
        <v>0</v>
      </c>
      <c r="J53" s="22">
        <v>14053493</v>
      </c>
      <c r="K53" s="22">
        <v>493225882</v>
      </c>
      <c r="L53" s="22">
        <v>4065099641</v>
      </c>
      <c r="M53" s="22">
        <v>43763209</v>
      </c>
      <c r="N53" s="22">
        <v>610946683</v>
      </c>
      <c r="O53" s="22">
        <v>3453501100</v>
      </c>
      <c r="P53" s="22">
        <v>954035431</v>
      </c>
      <c r="Q53" s="22">
        <v>2315637672</v>
      </c>
      <c r="R53" s="22">
        <v>3555600</v>
      </c>
      <c r="S53" s="22">
        <v>66629502</v>
      </c>
      <c r="T53" s="22">
        <v>279350819</v>
      </c>
      <c r="U53" s="23">
        <v>47295622495</v>
      </c>
    </row>
    <row r="54" spans="1:21" ht="14.25" customHeight="1" x14ac:dyDescent="0.2">
      <c r="A54" s="20" t="s">
        <v>60</v>
      </c>
      <c r="B54" s="21" t="str">
        <f>'Parcel Ct by Type'!B54</f>
        <v>R-NVAB</v>
      </c>
      <c r="C54" s="22">
        <v>4448540136</v>
      </c>
      <c r="D54" s="22">
        <v>169050792251</v>
      </c>
      <c r="E54" s="22">
        <v>299442897</v>
      </c>
      <c r="F54" s="22">
        <v>42687737163</v>
      </c>
      <c r="G54" s="22">
        <v>3328664035</v>
      </c>
      <c r="H54" s="22">
        <v>10478654369</v>
      </c>
      <c r="I54" s="22">
        <v>1296368663</v>
      </c>
      <c r="J54" s="22">
        <v>785557247</v>
      </c>
      <c r="K54" s="22">
        <v>1367449602</v>
      </c>
      <c r="L54" s="22">
        <v>27938155234</v>
      </c>
      <c r="M54" s="22">
        <v>204406625</v>
      </c>
      <c r="N54" s="22">
        <v>6735407447</v>
      </c>
      <c r="O54" s="22">
        <v>8465755720</v>
      </c>
      <c r="P54" s="22">
        <v>5346447151</v>
      </c>
      <c r="Q54" s="22">
        <v>12869784191</v>
      </c>
      <c r="R54" s="22">
        <v>812600739</v>
      </c>
      <c r="S54" s="22">
        <v>441062707</v>
      </c>
      <c r="T54" s="22">
        <v>17397620</v>
      </c>
      <c r="U54" s="23">
        <v>296574223797</v>
      </c>
    </row>
    <row r="55" spans="1:21" ht="14.25" customHeight="1" x14ac:dyDescent="0.2">
      <c r="A55" s="20" t="s">
        <v>61</v>
      </c>
      <c r="B55" s="21" t="str">
        <f>'Parcel Ct by Type'!B55</f>
        <v>R-NVAB</v>
      </c>
      <c r="C55" s="22">
        <v>1045099684</v>
      </c>
      <c r="D55" s="22">
        <v>35723615960</v>
      </c>
      <c r="E55" s="22">
        <v>1847302081</v>
      </c>
      <c r="F55" s="22">
        <v>992389821</v>
      </c>
      <c r="G55" s="22">
        <v>501466778</v>
      </c>
      <c r="H55" s="22">
        <v>1777557036</v>
      </c>
      <c r="I55" s="22">
        <v>0</v>
      </c>
      <c r="J55" s="22">
        <v>69183363</v>
      </c>
      <c r="K55" s="22">
        <v>542516442</v>
      </c>
      <c r="L55" s="22">
        <v>4078038555</v>
      </c>
      <c r="M55" s="22">
        <v>51250891</v>
      </c>
      <c r="N55" s="22">
        <v>922212809</v>
      </c>
      <c r="O55" s="22">
        <v>1696413079</v>
      </c>
      <c r="P55" s="22">
        <v>809451938</v>
      </c>
      <c r="Q55" s="22">
        <v>1977901883</v>
      </c>
      <c r="R55" s="22">
        <v>251761</v>
      </c>
      <c r="S55" s="22">
        <v>57905883</v>
      </c>
      <c r="T55" s="22">
        <v>131108688</v>
      </c>
      <c r="U55" s="23">
        <v>52223666652</v>
      </c>
    </row>
    <row r="56" spans="1:21" ht="14.25" customHeight="1" x14ac:dyDescent="0.2">
      <c r="A56" s="20" t="s">
        <v>62</v>
      </c>
      <c r="B56" s="21" t="str">
        <f>'Parcel Ct by Type'!B56</f>
        <v>R-NVAB</v>
      </c>
      <c r="C56" s="22">
        <v>1314716182</v>
      </c>
      <c r="D56" s="22">
        <v>76288809632</v>
      </c>
      <c r="E56" s="22">
        <v>1142294049</v>
      </c>
      <c r="F56" s="22">
        <v>22640052743</v>
      </c>
      <c r="G56" s="22">
        <v>4256103039</v>
      </c>
      <c r="H56" s="22">
        <v>7596129751</v>
      </c>
      <c r="I56" s="22">
        <v>153047057</v>
      </c>
      <c r="J56" s="22">
        <v>27046291</v>
      </c>
      <c r="K56" s="22">
        <v>1391361586</v>
      </c>
      <c r="L56" s="22">
        <v>14601811604</v>
      </c>
      <c r="M56" s="22">
        <v>164259394</v>
      </c>
      <c r="N56" s="22">
        <v>3908301954</v>
      </c>
      <c r="O56" s="22">
        <v>59788336</v>
      </c>
      <c r="P56" s="22">
        <v>4713654062</v>
      </c>
      <c r="Q56" s="22">
        <v>5017854846</v>
      </c>
      <c r="R56" s="22">
        <v>738690913</v>
      </c>
      <c r="S56" s="22">
        <v>329240657</v>
      </c>
      <c r="T56" s="22">
        <v>154283352</v>
      </c>
      <c r="U56" s="23">
        <v>144497445448</v>
      </c>
    </row>
    <row r="57" spans="1:21" ht="14.25" customHeight="1" x14ac:dyDescent="0.2">
      <c r="A57" s="20" t="s">
        <v>63</v>
      </c>
      <c r="B57" s="21" t="str">
        <f>'Parcel Ct by Type'!B57</f>
        <v>R-NVAB</v>
      </c>
      <c r="C57" s="22">
        <v>1093453053</v>
      </c>
      <c r="D57" s="22">
        <v>35674235189</v>
      </c>
      <c r="E57" s="22">
        <v>2242376103</v>
      </c>
      <c r="F57" s="22">
        <v>699604982</v>
      </c>
      <c r="G57" s="22">
        <v>873600641</v>
      </c>
      <c r="H57" s="22">
        <v>1973481169</v>
      </c>
      <c r="I57" s="22">
        <v>6083400</v>
      </c>
      <c r="J57" s="22">
        <v>271767825</v>
      </c>
      <c r="K57" s="22">
        <v>460269409</v>
      </c>
      <c r="L57" s="22">
        <v>5343101011</v>
      </c>
      <c r="M57" s="22">
        <v>120277526</v>
      </c>
      <c r="N57" s="22">
        <v>3677987708</v>
      </c>
      <c r="O57" s="22">
        <v>2281778406</v>
      </c>
      <c r="P57" s="22">
        <v>1669336234</v>
      </c>
      <c r="Q57" s="22">
        <v>2341997483</v>
      </c>
      <c r="R57" s="22">
        <v>0</v>
      </c>
      <c r="S57" s="22">
        <v>247500543</v>
      </c>
      <c r="T57" s="22">
        <v>305566712</v>
      </c>
      <c r="U57" s="23">
        <v>59282417394</v>
      </c>
    </row>
    <row r="58" spans="1:21" ht="14.25" customHeight="1" x14ac:dyDescent="0.2">
      <c r="A58" s="20" t="s">
        <v>64</v>
      </c>
      <c r="B58" s="21" t="str">
        <f>'Parcel Ct by Type'!B58</f>
        <v>R-NVAB</v>
      </c>
      <c r="C58" s="22">
        <v>265055688</v>
      </c>
      <c r="D58" s="22">
        <v>2632991458</v>
      </c>
      <c r="E58" s="22">
        <v>942187162</v>
      </c>
      <c r="F58" s="22">
        <v>29701470</v>
      </c>
      <c r="G58" s="22">
        <v>20047221</v>
      </c>
      <c r="H58" s="22">
        <v>38908418</v>
      </c>
      <c r="I58" s="22">
        <v>0</v>
      </c>
      <c r="J58" s="22">
        <v>100982628</v>
      </c>
      <c r="K58" s="22">
        <v>25374078</v>
      </c>
      <c r="L58" s="22">
        <v>728683194</v>
      </c>
      <c r="M58" s="22">
        <v>9405685</v>
      </c>
      <c r="N58" s="22">
        <v>167701137</v>
      </c>
      <c r="O58" s="22">
        <v>532646798</v>
      </c>
      <c r="P58" s="22">
        <v>209793099</v>
      </c>
      <c r="Q58" s="22">
        <v>500316839</v>
      </c>
      <c r="R58" s="22">
        <v>7072590</v>
      </c>
      <c r="S58" s="22">
        <v>91101501</v>
      </c>
      <c r="T58" s="22">
        <v>102284494</v>
      </c>
      <c r="U58" s="23">
        <v>6404253460</v>
      </c>
    </row>
    <row r="59" spans="1:21" ht="14.25" customHeight="1" x14ac:dyDescent="0.2">
      <c r="A59" s="20" t="s">
        <v>65</v>
      </c>
      <c r="B59" s="21" t="str">
        <f>'Parcel Ct by Type'!B59</f>
        <v>R-NVAB</v>
      </c>
      <c r="C59" s="22">
        <v>1387829301</v>
      </c>
      <c r="D59" s="22">
        <v>33072442792</v>
      </c>
      <c r="E59" s="22">
        <v>599544690</v>
      </c>
      <c r="F59" s="22">
        <v>3583250439</v>
      </c>
      <c r="G59" s="22">
        <v>716152184</v>
      </c>
      <c r="H59" s="22">
        <v>398572993</v>
      </c>
      <c r="I59" s="22">
        <v>0</v>
      </c>
      <c r="J59" s="22">
        <v>294344</v>
      </c>
      <c r="K59" s="22">
        <v>366834632</v>
      </c>
      <c r="L59" s="22">
        <v>2627792634</v>
      </c>
      <c r="M59" s="22">
        <v>16065022</v>
      </c>
      <c r="N59" s="22">
        <v>461319778</v>
      </c>
      <c r="O59" s="22">
        <v>930013987</v>
      </c>
      <c r="P59" s="22">
        <v>770079498</v>
      </c>
      <c r="Q59" s="22">
        <v>1630547782</v>
      </c>
      <c r="R59" s="22">
        <v>22984780</v>
      </c>
      <c r="S59" s="22">
        <v>177070774</v>
      </c>
      <c r="T59" s="22">
        <v>167454042</v>
      </c>
      <c r="U59" s="23">
        <v>46928249672</v>
      </c>
    </row>
    <row r="60" spans="1:21" ht="14.25" customHeight="1" x14ac:dyDescent="0.2">
      <c r="A60" s="20" t="s">
        <v>66</v>
      </c>
      <c r="B60" s="21" t="str">
        <f>'Parcel Ct by Type'!B60</f>
        <v>R-NVAB</v>
      </c>
      <c r="C60" s="22">
        <v>1119143680</v>
      </c>
      <c r="D60" s="22">
        <v>23421342305</v>
      </c>
      <c r="E60" s="22">
        <v>542102021</v>
      </c>
      <c r="F60" s="22">
        <v>2924554200</v>
      </c>
      <c r="G60" s="22">
        <v>266177900</v>
      </c>
      <c r="H60" s="22">
        <v>464254300</v>
      </c>
      <c r="I60" s="22">
        <v>1032400</v>
      </c>
      <c r="J60" s="22">
        <v>18362710</v>
      </c>
      <c r="K60" s="22">
        <v>330158151</v>
      </c>
      <c r="L60" s="22">
        <v>2652163240</v>
      </c>
      <c r="M60" s="22">
        <v>95244500</v>
      </c>
      <c r="N60" s="22">
        <v>969843501</v>
      </c>
      <c r="O60" s="22">
        <v>1497433022</v>
      </c>
      <c r="P60" s="22">
        <v>614517321</v>
      </c>
      <c r="Q60" s="22">
        <v>1466517200</v>
      </c>
      <c r="R60" s="22">
        <v>7014700</v>
      </c>
      <c r="S60" s="22">
        <v>274290513</v>
      </c>
      <c r="T60" s="22">
        <v>145421130</v>
      </c>
      <c r="U60" s="23">
        <v>36809572794</v>
      </c>
    </row>
    <row r="61" spans="1:21" ht="14.25" customHeight="1" x14ac:dyDescent="0.2">
      <c r="A61" s="20" t="s">
        <v>67</v>
      </c>
      <c r="B61" s="21" t="str">
        <f>'Parcel Ct by Type'!B61</f>
        <v>R-NVAB</v>
      </c>
      <c r="C61" s="22">
        <v>658337385</v>
      </c>
      <c r="D61" s="22">
        <v>13364137926</v>
      </c>
      <c r="E61" s="22">
        <v>356873615</v>
      </c>
      <c r="F61" s="22">
        <v>549229251</v>
      </c>
      <c r="G61" s="22">
        <v>87520143</v>
      </c>
      <c r="H61" s="22">
        <v>125734444</v>
      </c>
      <c r="I61" s="22">
        <v>0</v>
      </c>
      <c r="J61" s="22">
        <v>2828437</v>
      </c>
      <c r="K61" s="22">
        <v>169108264</v>
      </c>
      <c r="L61" s="22">
        <v>820305730</v>
      </c>
      <c r="M61" s="22">
        <v>17946147</v>
      </c>
      <c r="N61" s="22">
        <v>184510939</v>
      </c>
      <c r="O61" s="22">
        <v>920876424</v>
      </c>
      <c r="P61" s="22">
        <v>308645090</v>
      </c>
      <c r="Q61" s="22">
        <v>1309853395</v>
      </c>
      <c r="R61" s="22">
        <v>102</v>
      </c>
      <c r="S61" s="22">
        <v>133729884</v>
      </c>
      <c r="T61" s="22">
        <v>71556055</v>
      </c>
      <c r="U61" s="23">
        <v>19081193231</v>
      </c>
    </row>
    <row r="62" spans="1:21" ht="14.25" customHeight="1" x14ac:dyDescent="0.2">
      <c r="A62" s="20" t="s">
        <v>68</v>
      </c>
      <c r="B62" s="21" t="str">
        <f>'Parcel Ct by Type'!B62</f>
        <v>R-NVAB</v>
      </c>
      <c r="C62" s="22">
        <v>1941212400</v>
      </c>
      <c r="D62" s="22">
        <v>49436337100</v>
      </c>
      <c r="E62" s="22">
        <v>1105155700</v>
      </c>
      <c r="F62" s="22">
        <v>16326783000</v>
      </c>
      <c r="G62" s="22">
        <v>2641009900</v>
      </c>
      <c r="H62" s="22">
        <v>2017332600</v>
      </c>
      <c r="I62" s="22">
        <v>85453200</v>
      </c>
      <c r="J62" s="22">
        <v>578225300</v>
      </c>
      <c r="K62" s="22">
        <v>495139200</v>
      </c>
      <c r="L62" s="22">
        <v>8719123400</v>
      </c>
      <c r="M62" s="22">
        <v>43220900</v>
      </c>
      <c r="N62" s="22">
        <v>1560298500</v>
      </c>
      <c r="O62" s="22">
        <v>1363716300</v>
      </c>
      <c r="P62" s="22">
        <v>2248624200</v>
      </c>
      <c r="Q62" s="22">
        <v>3919391300</v>
      </c>
      <c r="R62" s="22">
        <v>8995700</v>
      </c>
      <c r="S62" s="22">
        <v>297952900</v>
      </c>
      <c r="T62" s="22">
        <v>264273800</v>
      </c>
      <c r="U62" s="23">
        <v>93052245400</v>
      </c>
    </row>
    <row r="63" spans="1:21" ht="14.25" customHeight="1" x14ac:dyDescent="0.2">
      <c r="A63" s="20" t="s">
        <v>69</v>
      </c>
      <c r="B63" s="21" t="str">
        <f>'Parcel Ct by Type'!B63</f>
        <v>R-NVAB</v>
      </c>
      <c r="C63" s="22">
        <v>498086300</v>
      </c>
      <c r="D63" s="22">
        <v>36014824887</v>
      </c>
      <c r="E63" s="22">
        <v>179617133</v>
      </c>
      <c r="F63" s="22">
        <v>1748239577</v>
      </c>
      <c r="G63" s="22">
        <v>226986702</v>
      </c>
      <c r="H63" s="22">
        <v>4102526580</v>
      </c>
      <c r="I63" s="22">
        <v>18698285</v>
      </c>
      <c r="J63" s="22">
        <v>44117702</v>
      </c>
      <c r="K63" s="22">
        <v>452655639</v>
      </c>
      <c r="L63" s="22">
        <v>5722294656</v>
      </c>
      <c r="M63" s="22">
        <v>78547258</v>
      </c>
      <c r="N63" s="22">
        <v>1678182177</v>
      </c>
      <c r="O63" s="22">
        <v>334689641</v>
      </c>
      <c r="P63" s="22">
        <v>1300998991</v>
      </c>
      <c r="Q63" s="22">
        <v>1710634181</v>
      </c>
      <c r="R63" s="22" t="s">
        <v>106</v>
      </c>
      <c r="S63" s="22">
        <v>63019095</v>
      </c>
      <c r="T63" s="22">
        <v>371011</v>
      </c>
      <c r="U63" s="23">
        <v>54174489815</v>
      </c>
    </row>
    <row r="64" spans="1:21" ht="14.25" customHeight="1" x14ac:dyDescent="0.2">
      <c r="A64" s="20" t="s">
        <v>70</v>
      </c>
      <c r="B64" s="21" t="str">
        <f>'Parcel Ct by Type'!B64</f>
        <v>R-NVAB</v>
      </c>
      <c r="C64" s="22">
        <v>172666575</v>
      </c>
      <c r="D64" s="22">
        <v>16244710891</v>
      </c>
      <c r="E64" s="22">
        <v>311506043</v>
      </c>
      <c r="F64" s="22">
        <v>63109930</v>
      </c>
      <c r="G64" s="22">
        <v>8336230</v>
      </c>
      <c r="H64" s="22">
        <v>122667380</v>
      </c>
      <c r="I64" s="22">
        <v>200</v>
      </c>
      <c r="J64" s="22">
        <v>16273700</v>
      </c>
      <c r="K64" s="22">
        <v>122508202</v>
      </c>
      <c r="L64" s="22">
        <v>1190095248</v>
      </c>
      <c r="M64" s="22">
        <v>4454100</v>
      </c>
      <c r="N64" s="22">
        <v>231221840</v>
      </c>
      <c r="O64" s="22">
        <v>1106822504</v>
      </c>
      <c r="P64" s="22">
        <v>451370265</v>
      </c>
      <c r="Q64" s="22">
        <v>430294960</v>
      </c>
      <c r="R64" s="22" t="s">
        <v>106</v>
      </c>
      <c r="S64" s="22">
        <v>23543070</v>
      </c>
      <c r="T64" s="22">
        <v>53111886</v>
      </c>
      <c r="U64" s="23">
        <v>20552693024</v>
      </c>
    </row>
    <row r="65" spans="1:21" ht="14.25" customHeight="1" x14ac:dyDescent="0.2">
      <c r="A65" s="20" t="s">
        <v>71</v>
      </c>
      <c r="B65" s="21" t="str">
        <f>'Parcel Ct by Type'!B65</f>
        <v>R-Final</v>
      </c>
      <c r="C65" s="22">
        <v>155691426</v>
      </c>
      <c r="D65" s="22">
        <v>704355877</v>
      </c>
      <c r="E65" s="22">
        <v>418240479</v>
      </c>
      <c r="F65" s="22">
        <v>0</v>
      </c>
      <c r="G65" s="22">
        <v>8080331</v>
      </c>
      <c r="H65" s="22">
        <v>5807979</v>
      </c>
      <c r="I65" s="22">
        <v>0</v>
      </c>
      <c r="J65" s="22">
        <v>0</v>
      </c>
      <c r="K65" s="22">
        <v>19587779</v>
      </c>
      <c r="L65" s="22">
        <v>163914494</v>
      </c>
      <c r="M65" s="22">
        <v>31824</v>
      </c>
      <c r="N65" s="22">
        <v>100664892</v>
      </c>
      <c r="O65" s="22">
        <v>904066240</v>
      </c>
      <c r="P65" s="22">
        <v>74178779</v>
      </c>
      <c r="Q65" s="22">
        <v>122700616</v>
      </c>
      <c r="R65" s="22">
        <v>0</v>
      </c>
      <c r="S65" s="22">
        <v>10857603</v>
      </c>
      <c r="T65" s="22">
        <v>54107848</v>
      </c>
      <c r="U65" s="23">
        <v>2742286167</v>
      </c>
    </row>
    <row r="66" spans="1:21" ht="14.25" customHeight="1" x14ac:dyDescent="0.2">
      <c r="A66" s="20" t="s">
        <v>72</v>
      </c>
      <c r="B66" s="21" t="str">
        <f>'Parcel Ct by Type'!B66</f>
        <v>R-Final</v>
      </c>
      <c r="C66" s="22">
        <v>122550840</v>
      </c>
      <c r="D66" s="22">
        <v>589286166</v>
      </c>
      <c r="E66" s="22">
        <v>183113030</v>
      </c>
      <c r="F66" s="22">
        <v>13665300</v>
      </c>
      <c r="G66" s="22">
        <v>3858020</v>
      </c>
      <c r="H66" s="22">
        <v>7893220</v>
      </c>
      <c r="I66" s="22">
        <v>0</v>
      </c>
      <c r="J66" s="22">
        <v>0</v>
      </c>
      <c r="K66" s="22">
        <v>3323260</v>
      </c>
      <c r="L66" s="22">
        <v>96003270</v>
      </c>
      <c r="M66" s="22">
        <v>0</v>
      </c>
      <c r="N66" s="22">
        <v>29377900</v>
      </c>
      <c r="O66" s="22">
        <v>591690740</v>
      </c>
      <c r="P66" s="22">
        <v>36580770</v>
      </c>
      <c r="Q66" s="22">
        <v>173734540</v>
      </c>
      <c r="R66" s="22">
        <v>150290</v>
      </c>
      <c r="S66" s="22">
        <v>11997806</v>
      </c>
      <c r="T66" s="22">
        <v>27572710</v>
      </c>
      <c r="U66" s="23">
        <v>1890797862</v>
      </c>
    </row>
    <row r="67" spans="1:21" ht="14.25" customHeight="1" x14ac:dyDescent="0.2">
      <c r="A67" s="20" t="s">
        <v>73</v>
      </c>
      <c r="B67" s="21" t="str">
        <f>'Parcel Ct by Type'!B67</f>
        <v>R-Final</v>
      </c>
      <c r="C67" s="22">
        <v>10159204</v>
      </c>
      <c r="D67" s="22">
        <v>126385697</v>
      </c>
      <c r="E67" s="22">
        <v>53765237</v>
      </c>
      <c r="F67" s="22">
        <v>1260000</v>
      </c>
      <c r="G67" s="22">
        <v>37710</v>
      </c>
      <c r="H67" s="22">
        <v>2034504</v>
      </c>
      <c r="I67" s="22">
        <v>0</v>
      </c>
      <c r="J67" s="22">
        <v>1654491</v>
      </c>
      <c r="K67" s="22">
        <v>502305</v>
      </c>
      <c r="L67" s="22">
        <v>14632348</v>
      </c>
      <c r="M67" s="22">
        <v>250000</v>
      </c>
      <c r="N67" s="22">
        <v>3143952</v>
      </c>
      <c r="O67" s="22">
        <v>480336049</v>
      </c>
      <c r="P67" s="22">
        <v>15732911</v>
      </c>
      <c r="Q67" s="22">
        <v>99804643</v>
      </c>
      <c r="R67" s="22">
        <v>0</v>
      </c>
      <c r="S67" s="22">
        <v>8642809</v>
      </c>
      <c r="T67" s="22">
        <v>0</v>
      </c>
      <c r="U67" s="23">
        <v>818341860</v>
      </c>
    </row>
    <row r="68" spans="1:21" ht="14.25" customHeight="1" x14ac:dyDescent="0.2">
      <c r="A68" s="20" t="s">
        <v>74</v>
      </c>
      <c r="B68" s="21" t="str">
        <f>'Parcel Ct by Type'!B68</f>
        <v>R-NVAB</v>
      </c>
      <c r="C68" s="22">
        <v>1006670856</v>
      </c>
      <c r="D68" s="22">
        <v>39613013615</v>
      </c>
      <c r="E68" s="22">
        <v>700555400</v>
      </c>
      <c r="F68" s="22">
        <v>6734633310</v>
      </c>
      <c r="G68" s="22">
        <v>544147755</v>
      </c>
      <c r="H68" s="22">
        <v>1706348531</v>
      </c>
      <c r="I68" s="22">
        <v>39043482</v>
      </c>
      <c r="J68" s="22">
        <v>47775</v>
      </c>
      <c r="K68" s="22">
        <v>517218207</v>
      </c>
      <c r="L68" s="22">
        <v>5327599614</v>
      </c>
      <c r="M68" s="22">
        <v>56418937</v>
      </c>
      <c r="N68" s="22">
        <v>1105127396</v>
      </c>
      <c r="O68" s="22">
        <v>1300046339</v>
      </c>
      <c r="P68" s="22">
        <v>1492901690</v>
      </c>
      <c r="Q68" s="22">
        <v>3697779238</v>
      </c>
      <c r="R68" s="22">
        <v>99820848</v>
      </c>
      <c r="S68" s="22">
        <v>64830489</v>
      </c>
      <c r="T68" s="22">
        <v>205608406</v>
      </c>
      <c r="U68" s="23">
        <v>64211811888</v>
      </c>
    </row>
    <row r="69" spans="1:21" ht="14.25" customHeight="1" x14ac:dyDescent="0.2">
      <c r="A69" s="20" t="s">
        <v>75</v>
      </c>
      <c r="B69" s="21" t="str">
        <f>'Parcel Ct by Type'!B69</f>
        <v>R-Final</v>
      </c>
      <c r="C69" s="22">
        <v>101284055</v>
      </c>
      <c r="D69" s="22">
        <v>1429555331</v>
      </c>
      <c r="E69" s="22">
        <v>234452335</v>
      </c>
      <c r="F69" s="22">
        <v>47787853</v>
      </c>
      <c r="G69" s="22">
        <v>2425487</v>
      </c>
      <c r="H69" s="22">
        <v>6842096</v>
      </c>
      <c r="I69" s="22">
        <v>29091</v>
      </c>
      <c r="J69" s="22">
        <v>10080149</v>
      </c>
      <c r="K69" s="22">
        <v>14084167</v>
      </c>
      <c r="L69" s="22">
        <v>82389445</v>
      </c>
      <c r="M69" s="22">
        <v>394808</v>
      </c>
      <c r="N69" s="22">
        <v>27094098</v>
      </c>
      <c r="O69" s="22">
        <v>423976663</v>
      </c>
      <c r="P69" s="22">
        <v>28629944</v>
      </c>
      <c r="Q69" s="22">
        <v>520902789</v>
      </c>
      <c r="R69" s="22">
        <v>0</v>
      </c>
      <c r="S69" s="22">
        <v>1990149</v>
      </c>
      <c r="T69" s="22">
        <v>14243377</v>
      </c>
      <c r="U69" s="23">
        <v>2946161837</v>
      </c>
    </row>
    <row r="70" spans="1:21" ht="14.25" customHeight="1" x14ac:dyDescent="0.2">
      <c r="A70" s="20" t="s">
        <v>76</v>
      </c>
      <c r="B70" s="21" t="str">
        <f>'Parcel Ct by Type'!B70</f>
        <v>R-Final</v>
      </c>
      <c r="C70" s="22">
        <v>2062025018</v>
      </c>
      <c r="D70" s="22">
        <v>19403078163</v>
      </c>
      <c r="E70" s="22">
        <v>224253338</v>
      </c>
      <c r="F70" s="22">
        <v>4534135277</v>
      </c>
      <c r="G70" s="22">
        <v>187801053</v>
      </c>
      <c r="H70" s="22">
        <v>208641659</v>
      </c>
      <c r="I70" s="22">
        <v>0</v>
      </c>
      <c r="J70" s="22">
        <v>108737401</v>
      </c>
      <c r="K70" s="22">
        <v>59213285</v>
      </c>
      <c r="L70" s="22">
        <v>1127535146</v>
      </c>
      <c r="M70" s="22">
        <v>2649587</v>
      </c>
      <c r="N70" s="22">
        <v>154858418</v>
      </c>
      <c r="O70" s="22">
        <v>562688246</v>
      </c>
      <c r="P70" s="22">
        <v>179655396</v>
      </c>
      <c r="Q70" s="22">
        <v>1528912351</v>
      </c>
      <c r="R70" s="22">
        <v>0</v>
      </c>
      <c r="S70" s="22">
        <v>42582641</v>
      </c>
      <c r="T70" s="22">
        <v>168571081</v>
      </c>
      <c r="U70" s="23">
        <v>30555338060</v>
      </c>
    </row>
    <row r="71" spans="1:21" ht="14.25" customHeight="1" x14ac:dyDescent="0.2">
      <c r="A71" s="20" t="s">
        <v>77</v>
      </c>
      <c r="B71" s="21" t="str">
        <f>'Parcel Ct by Type'!B71</f>
        <v>R-Final</v>
      </c>
      <c r="C71" s="22">
        <v>109710199</v>
      </c>
      <c r="D71" s="22">
        <v>517946064</v>
      </c>
      <c r="E71" s="22">
        <v>135098111</v>
      </c>
      <c r="F71" s="22">
        <v>0</v>
      </c>
      <c r="G71" s="22">
        <v>8341754</v>
      </c>
      <c r="H71" s="22">
        <v>1615417</v>
      </c>
      <c r="I71" s="22">
        <v>0</v>
      </c>
      <c r="J71" s="22">
        <v>56172</v>
      </c>
      <c r="K71" s="22">
        <v>8076672</v>
      </c>
      <c r="L71" s="22">
        <v>66657788</v>
      </c>
      <c r="M71" s="22">
        <v>41080</v>
      </c>
      <c r="N71" s="22">
        <v>20658080</v>
      </c>
      <c r="O71" s="22">
        <v>499018029</v>
      </c>
      <c r="P71" s="22">
        <v>50520245</v>
      </c>
      <c r="Q71" s="22">
        <v>146393826</v>
      </c>
      <c r="R71" s="22">
        <v>0</v>
      </c>
      <c r="S71" s="22">
        <v>6160711</v>
      </c>
      <c r="T71" s="22">
        <v>17560540</v>
      </c>
      <c r="U71" s="23">
        <v>1587854688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 t="shared" ref="C73:T73" si="0">SUM(C5:C71)</f>
        <v>51316468844</v>
      </c>
      <c r="D73" s="26">
        <f t="shared" si="0"/>
        <v>1639038645127</v>
      </c>
      <c r="E73" s="26">
        <f t="shared" si="0"/>
        <v>32269065788</v>
      </c>
      <c r="F73" s="26">
        <f>SUM(F5:F71)</f>
        <v>390359216537</v>
      </c>
      <c r="G73" s="26">
        <f>SUM(G5:G71)</f>
        <v>47748042516</v>
      </c>
      <c r="H73" s="26">
        <f>SUM(H5:H71)</f>
        <v>132933681485</v>
      </c>
      <c r="I73" s="26">
        <f t="shared" si="0"/>
        <v>6167680836</v>
      </c>
      <c r="J73" s="26">
        <f t="shared" si="0"/>
        <v>7034250375</v>
      </c>
      <c r="K73" s="26">
        <f t="shared" si="0"/>
        <v>23575072619</v>
      </c>
      <c r="L73" s="26">
        <f t="shared" si="0"/>
        <v>337713032517</v>
      </c>
      <c r="M73" s="26">
        <f t="shared" si="0"/>
        <v>4486705524</v>
      </c>
      <c r="N73" s="26">
        <f t="shared" si="0"/>
        <v>98454195205</v>
      </c>
      <c r="O73" s="26">
        <f t="shared" si="0"/>
        <v>84377176764</v>
      </c>
      <c r="P73" s="26">
        <f t="shared" si="0"/>
        <v>66587179266</v>
      </c>
      <c r="Q73" s="26">
        <f t="shared" si="0"/>
        <v>178887169726</v>
      </c>
      <c r="R73" s="26">
        <f t="shared" si="0"/>
        <v>5259641715</v>
      </c>
      <c r="S73" s="26">
        <f t="shared" si="0"/>
        <v>8051162881</v>
      </c>
      <c r="T73" s="26">
        <f t="shared" si="0"/>
        <v>7213414608</v>
      </c>
      <c r="U73" s="28">
        <f>SUM(U5:U71)</f>
        <v>3121471802333</v>
      </c>
    </row>
    <row r="75" spans="1:21" x14ac:dyDescent="0.2">
      <c r="A75" s="3" t="s">
        <v>113</v>
      </c>
    </row>
    <row r="76" spans="1:21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</sheetData>
  <phoneticPr fontId="0" type="noConversion"/>
  <conditionalFormatting sqref="A4:U73">
    <cfRule type="expression" dxfId="1" priority="1" stopIfTrue="1">
      <formula>MOD(ROW(),3)=1</formula>
    </cfRule>
  </conditionalFormatting>
  <pageMargins left="0.7" right="0.7" top="0.75" bottom="0.75" header="0.3" footer="0.3"/>
  <pageSetup scale="63" fitToWidth="2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76"/>
  <sheetViews>
    <sheetView zoomScaleNormal="100" workbookViewId="0">
      <pane xSplit="1" ySplit="4" topLeftCell="I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7.7109375" style="3" customWidth="1"/>
    <col min="2" max="2" width="9.28515625" style="18" bestFit="1" customWidth="1"/>
    <col min="3" max="3" width="18.42578125" style="3" bestFit="1" customWidth="1"/>
    <col min="4" max="4" width="19.42578125" style="3" bestFit="1" customWidth="1"/>
    <col min="5" max="5" width="18.42578125" style="3" bestFit="1" customWidth="1"/>
    <col min="6" max="6" width="19" style="3" bestFit="1" customWidth="1"/>
    <col min="7" max="7" width="19.42578125" style="3" bestFit="1" customWidth="1"/>
    <col min="8" max="8" width="20.7109375" style="3" bestFit="1" customWidth="1"/>
    <col min="9" max="9" width="17.42578125" style="3" bestFit="1" customWidth="1"/>
    <col min="10" max="10" width="17.140625" style="3" bestFit="1" customWidth="1"/>
    <col min="11" max="11" width="22.42578125" style="3" bestFit="1" customWidth="1"/>
    <col min="12" max="12" width="24.28515625" style="3" bestFit="1" customWidth="1"/>
    <col min="13" max="13" width="17.42578125" style="3" bestFit="1" customWidth="1"/>
    <col min="14" max="14" width="18.42578125" style="3" bestFit="1" customWidth="1"/>
    <col min="15" max="15" width="18" style="3" bestFit="1" customWidth="1"/>
    <col min="16" max="16" width="17.140625" style="3" bestFit="1" customWidth="1"/>
    <col min="17" max="17" width="15.42578125" style="3" bestFit="1" customWidth="1"/>
    <col min="18" max="18" width="16.7109375" style="3" bestFit="1" customWidth="1"/>
    <col min="19" max="19" width="17.140625" style="3" bestFit="1" customWidth="1"/>
    <col min="20" max="20" width="19.42578125" style="3" bestFit="1" customWidth="1"/>
    <col min="21" max="21" width="22.28515625" style="3" bestFit="1" customWidth="1"/>
    <col min="22" max="16384" width="9.140625" style="12"/>
  </cols>
  <sheetData>
    <row r="1" spans="1:21" ht="23.25" x14ac:dyDescent="0.35">
      <c r="A1" s="1" t="s">
        <v>87</v>
      </c>
    </row>
    <row r="2" spans="1:21" ht="15" x14ac:dyDescent="0.25">
      <c r="A2" s="19">
        <v>2021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tr">
        <f>'Parcel Ct by Type'!B5</f>
        <v>R-NVAB</v>
      </c>
      <c r="C5" s="22">
        <v>267011425</v>
      </c>
      <c r="D5" s="22">
        <v>8036373658</v>
      </c>
      <c r="E5" s="22">
        <v>187430301</v>
      </c>
      <c r="F5" s="22">
        <v>650177796</v>
      </c>
      <c r="G5" s="22">
        <v>221064312</v>
      </c>
      <c r="H5" s="22">
        <v>2269904526</v>
      </c>
      <c r="I5" s="22">
        <v>0</v>
      </c>
      <c r="J5" s="22">
        <v>94927521</v>
      </c>
      <c r="K5" s="22">
        <v>172010450</v>
      </c>
      <c r="L5" s="22">
        <v>2486899831</v>
      </c>
      <c r="M5" s="22">
        <v>22862246</v>
      </c>
      <c r="N5" s="22">
        <v>541652748</v>
      </c>
      <c r="O5" s="22">
        <v>443903642</v>
      </c>
      <c r="P5" s="22">
        <v>276456791</v>
      </c>
      <c r="Q5" s="22">
        <v>83937884</v>
      </c>
      <c r="R5" s="22">
        <v>54600</v>
      </c>
      <c r="S5" s="22">
        <v>59773703</v>
      </c>
      <c r="T5" s="22">
        <v>29580593</v>
      </c>
      <c r="U5" s="23">
        <v>15844022027</v>
      </c>
    </row>
    <row r="6" spans="1:21" ht="14.25" customHeight="1" x14ac:dyDescent="0.2">
      <c r="A6" s="20" t="s">
        <v>13</v>
      </c>
      <c r="B6" s="21" t="str">
        <f>'Parcel Ct by Type'!B6</f>
        <v>R-Final</v>
      </c>
      <c r="C6" s="22">
        <v>30273085</v>
      </c>
      <c r="D6" s="22">
        <v>460107324</v>
      </c>
      <c r="E6" s="22">
        <v>94383118</v>
      </c>
      <c r="F6" s="22">
        <v>0</v>
      </c>
      <c r="G6" s="22">
        <v>6138552</v>
      </c>
      <c r="H6" s="22">
        <v>2535427</v>
      </c>
      <c r="I6" s="22">
        <v>0</v>
      </c>
      <c r="J6" s="22">
        <v>0</v>
      </c>
      <c r="K6" s="22">
        <v>3556291</v>
      </c>
      <c r="L6" s="22">
        <v>98823854</v>
      </c>
      <c r="M6" s="22">
        <v>210347</v>
      </c>
      <c r="N6" s="22">
        <v>43546539</v>
      </c>
      <c r="O6" s="22">
        <v>140637845</v>
      </c>
      <c r="P6" s="22">
        <v>5487374</v>
      </c>
      <c r="Q6" s="22">
        <v>465236</v>
      </c>
      <c r="R6" s="22">
        <v>2345064</v>
      </c>
      <c r="S6" s="22">
        <v>10414078</v>
      </c>
      <c r="T6" s="22">
        <v>34191244</v>
      </c>
      <c r="U6" s="23">
        <v>933115378</v>
      </c>
    </row>
    <row r="7" spans="1:21" ht="14.25" customHeight="1" x14ac:dyDescent="0.2">
      <c r="A7" s="20" t="s">
        <v>14</v>
      </c>
      <c r="B7" s="21" t="str">
        <f>'Parcel Ct by Type'!B7</f>
        <v>R-NVAB</v>
      </c>
      <c r="C7" s="22">
        <v>930123315</v>
      </c>
      <c r="D7" s="22">
        <v>8136989247</v>
      </c>
      <c r="E7" s="22">
        <v>335560935</v>
      </c>
      <c r="F7" s="22">
        <v>4303486412</v>
      </c>
      <c r="G7" s="22">
        <v>287290374</v>
      </c>
      <c r="H7" s="22">
        <v>617361586</v>
      </c>
      <c r="I7" s="22">
        <v>1468707</v>
      </c>
      <c r="J7" s="22">
        <v>4976974</v>
      </c>
      <c r="K7" s="22">
        <v>508321157</v>
      </c>
      <c r="L7" s="22">
        <v>2073010959</v>
      </c>
      <c r="M7" s="22">
        <v>10008929</v>
      </c>
      <c r="N7" s="22">
        <v>366197246</v>
      </c>
      <c r="O7" s="22">
        <v>68843776</v>
      </c>
      <c r="P7" s="22">
        <v>116069865</v>
      </c>
      <c r="Q7" s="22">
        <v>1634077</v>
      </c>
      <c r="R7" s="22">
        <v>26408781</v>
      </c>
      <c r="S7" s="22">
        <v>30317935</v>
      </c>
      <c r="T7" s="22">
        <v>95687042</v>
      </c>
      <c r="U7" s="23">
        <v>17913757317</v>
      </c>
    </row>
    <row r="8" spans="1:21" ht="14.25" customHeight="1" x14ac:dyDescent="0.2">
      <c r="A8" s="20" t="s">
        <v>15</v>
      </c>
      <c r="B8" s="21" t="str">
        <f>'Parcel Ct by Type'!B8</f>
        <v>R-Final</v>
      </c>
      <c r="C8" s="22">
        <v>45215487</v>
      </c>
      <c r="D8" s="22">
        <v>419923434</v>
      </c>
      <c r="E8" s="22">
        <v>78917805</v>
      </c>
      <c r="F8" s="22">
        <v>1434621</v>
      </c>
      <c r="G8" s="22">
        <v>2362298</v>
      </c>
      <c r="H8" s="22">
        <v>9826257</v>
      </c>
      <c r="I8" s="22">
        <v>0</v>
      </c>
      <c r="J8" s="22">
        <v>409375</v>
      </c>
      <c r="K8" s="22">
        <v>2950123</v>
      </c>
      <c r="L8" s="22">
        <v>95661646</v>
      </c>
      <c r="M8" s="22">
        <v>214316</v>
      </c>
      <c r="N8" s="22">
        <v>12688009</v>
      </c>
      <c r="O8" s="22">
        <v>104704888</v>
      </c>
      <c r="P8" s="22">
        <v>5327861</v>
      </c>
      <c r="Q8" s="22">
        <v>5720857</v>
      </c>
      <c r="R8" s="22">
        <v>752194</v>
      </c>
      <c r="S8" s="22">
        <v>3240346</v>
      </c>
      <c r="T8" s="22">
        <v>9793949</v>
      </c>
      <c r="U8" s="23">
        <v>799143466</v>
      </c>
    </row>
    <row r="9" spans="1:21" ht="14.25" customHeight="1" x14ac:dyDescent="0.2">
      <c r="A9" s="20" t="s">
        <v>16</v>
      </c>
      <c r="B9" s="21" t="str">
        <f>'Parcel Ct by Type'!B9</f>
        <v>R-NVAB</v>
      </c>
      <c r="C9" s="22">
        <v>901211120</v>
      </c>
      <c r="D9" s="22">
        <v>26754715885</v>
      </c>
      <c r="E9" s="22">
        <v>440065722</v>
      </c>
      <c r="F9" s="22">
        <v>5152202326</v>
      </c>
      <c r="G9" s="22">
        <v>657083654</v>
      </c>
      <c r="H9" s="22">
        <v>1539573347</v>
      </c>
      <c r="I9" s="22">
        <v>28603856</v>
      </c>
      <c r="J9" s="22">
        <v>90000</v>
      </c>
      <c r="K9" s="22">
        <v>339342710</v>
      </c>
      <c r="L9" s="22">
        <v>5231470703</v>
      </c>
      <c r="M9" s="22">
        <v>88683380</v>
      </c>
      <c r="N9" s="22">
        <v>1319671363</v>
      </c>
      <c r="O9" s="22">
        <v>132880004</v>
      </c>
      <c r="P9" s="22">
        <v>436008934</v>
      </c>
      <c r="Q9" s="22">
        <v>203617170</v>
      </c>
      <c r="R9" s="22">
        <v>61200</v>
      </c>
      <c r="S9" s="22">
        <v>51651979</v>
      </c>
      <c r="T9" s="22">
        <v>123412570</v>
      </c>
      <c r="U9" s="23">
        <v>43400345923</v>
      </c>
    </row>
    <row r="10" spans="1:21" ht="14.25" customHeight="1" x14ac:dyDescent="0.2">
      <c r="A10" s="20" t="s">
        <v>17</v>
      </c>
      <c r="B10" s="21" t="str">
        <f>'Parcel Ct by Type'!B10</f>
        <v>R-NVAB</v>
      </c>
      <c r="C10" s="22">
        <v>1593118750</v>
      </c>
      <c r="D10" s="22">
        <v>97639443120</v>
      </c>
      <c r="E10" s="22">
        <v>261959460</v>
      </c>
      <c r="F10" s="22">
        <v>37056864590</v>
      </c>
      <c r="G10" s="22">
        <v>5183411080</v>
      </c>
      <c r="H10" s="22">
        <v>15226295210</v>
      </c>
      <c r="I10" s="22">
        <v>1495031980</v>
      </c>
      <c r="J10" s="22">
        <v>44711320</v>
      </c>
      <c r="K10" s="22">
        <v>1001299380</v>
      </c>
      <c r="L10" s="22">
        <v>36196050720</v>
      </c>
      <c r="M10" s="22">
        <v>263301770</v>
      </c>
      <c r="N10" s="22">
        <v>13922748770</v>
      </c>
      <c r="O10" s="22">
        <v>355832040</v>
      </c>
      <c r="P10" s="22">
        <v>1652268240</v>
      </c>
      <c r="Q10" s="22">
        <v>95082010</v>
      </c>
      <c r="R10" s="22">
        <v>0</v>
      </c>
      <c r="S10" s="22">
        <v>336230780</v>
      </c>
      <c r="T10" s="22">
        <v>32948390</v>
      </c>
      <c r="U10" s="23">
        <v>212356597610</v>
      </c>
    </row>
    <row r="11" spans="1:21" ht="14.25" customHeight="1" x14ac:dyDescent="0.2">
      <c r="A11" s="20" t="s">
        <v>18</v>
      </c>
      <c r="B11" s="21" t="str">
        <f>'Parcel Ct by Type'!B11</f>
        <v>R-Final</v>
      </c>
      <c r="C11" s="22">
        <v>23318686</v>
      </c>
      <c r="D11" s="22">
        <v>115294061</v>
      </c>
      <c r="E11" s="22">
        <v>17685310</v>
      </c>
      <c r="F11" s="22">
        <v>0</v>
      </c>
      <c r="G11" s="22">
        <v>947512</v>
      </c>
      <c r="H11" s="22">
        <v>1823792</v>
      </c>
      <c r="I11" s="22">
        <v>0</v>
      </c>
      <c r="J11" s="22">
        <v>164974</v>
      </c>
      <c r="K11" s="22">
        <v>2638320</v>
      </c>
      <c r="L11" s="22">
        <v>34342467</v>
      </c>
      <c r="M11" s="22">
        <v>0</v>
      </c>
      <c r="N11" s="22">
        <v>3891573</v>
      </c>
      <c r="O11" s="22">
        <v>122484988</v>
      </c>
      <c r="P11" s="22">
        <v>2230016</v>
      </c>
      <c r="Q11" s="22">
        <v>293332</v>
      </c>
      <c r="R11" s="22">
        <v>0</v>
      </c>
      <c r="S11" s="22">
        <v>1591062</v>
      </c>
      <c r="T11" s="22">
        <v>1641351</v>
      </c>
      <c r="U11" s="23">
        <v>328347444</v>
      </c>
    </row>
    <row r="12" spans="1:21" ht="14.25" customHeight="1" x14ac:dyDescent="0.2">
      <c r="A12" s="20" t="s">
        <v>19</v>
      </c>
      <c r="B12" s="21" t="str">
        <f>'Parcel Ct by Type'!B12</f>
        <v>R-NVAB</v>
      </c>
      <c r="C12" s="22">
        <v>1271145247</v>
      </c>
      <c r="D12" s="22">
        <v>12092332156</v>
      </c>
      <c r="E12" s="22">
        <v>314811327</v>
      </c>
      <c r="F12" s="22">
        <v>2317474817</v>
      </c>
      <c r="G12" s="22">
        <v>278023112</v>
      </c>
      <c r="H12" s="22">
        <v>107171792</v>
      </c>
      <c r="I12" s="22">
        <v>237363037</v>
      </c>
      <c r="J12" s="22">
        <v>85273937</v>
      </c>
      <c r="K12" s="22">
        <v>204488016</v>
      </c>
      <c r="L12" s="22">
        <v>1528051539</v>
      </c>
      <c r="M12" s="22">
        <v>18815185</v>
      </c>
      <c r="N12" s="22">
        <v>323544450</v>
      </c>
      <c r="O12" s="22">
        <v>121864578</v>
      </c>
      <c r="P12" s="22">
        <v>165845506</v>
      </c>
      <c r="Q12" s="22">
        <v>2745214</v>
      </c>
      <c r="R12" s="22">
        <v>9948989</v>
      </c>
      <c r="S12" s="22">
        <v>31834447</v>
      </c>
      <c r="T12" s="22">
        <v>52318907</v>
      </c>
      <c r="U12" s="23">
        <v>19163052256</v>
      </c>
    </row>
    <row r="13" spans="1:21" ht="14.25" customHeight="1" x14ac:dyDescent="0.2">
      <c r="A13" s="20" t="s">
        <v>20</v>
      </c>
      <c r="B13" s="21" t="str">
        <f>'Parcel Ct by Type'!B13</f>
        <v>R-NVAB</v>
      </c>
      <c r="C13" s="22">
        <v>502010428</v>
      </c>
      <c r="D13" s="22">
        <v>5726471138</v>
      </c>
      <c r="E13" s="22">
        <v>554212786</v>
      </c>
      <c r="F13" s="22">
        <v>137197290</v>
      </c>
      <c r="G13" s="22">
        <v>68203601</v>
      </c>
      <c r="H13" s="22">
        <v>33164543</v>
      </c>
      <c r="I13" s="22">
        <v>0</v>
      </c>
      <c r="J13" s="22">
        <v>10152601</v>
      </c>
      <c r="K13" s="22">
        <v>138096561</v>
      </c>
      <c r="L13" s="22">
        <v>1016235390</v>
      </c>
      <c r="M13" s="22">
        <v>9057232</v>
      </c>
      <c r="N13" s="22">
        <v>117929170</v>
      </c>
      <c r="O13" s="22">
        <v>117484263</v>
      </c>
      <c r="P13" s="22">
        <v>226017665</v>
      </c>
      <c r="Q13" s="22">
        <v>4205897</v>
      </c>
      <c r="R13" s="22">
        <v>0</v>
      </c>
      <c r="S13" s="22">
        <v>365425847</v>
      </c>
      <c r="T13" s="22">
        <v>51235352</v>
      </c>
      <c r="U13" s="23">
        <v>9077099764</v>
      </c>
    </row>
    <row r="14" spans="1:21" ht="14.25" customHeight="1" x14ac:dyDescent="0.2">
      <c r="A14" s="20" t="s">
        <v>21</v>
      </c>
      <c r="B14" s="21" t="str">
        <f>'Parcel Ct by Type'!B14</f>
        <v>R-NVAB</v>
      </c>
      <c r="C14" s="22">
        <v>289973896</v>
      </c>
      <c r="D14" s="22">
        <v>8490532430</v>
      </c>
      <c r="E14" s="22">
        <v>374631286</v>
      </c>
      <c r="F14" s="22">
        <v>190225190</v>
      </c>
      <c r="G14" s="22">
        <v>47248075</v>
      </c>
      <c r="H14" s="22">
        <v>551531350</v>
      </c>
      <c r="I14" s="22">
        <v>0</v>
      </c>
      <c r="J14" s="22">
        <v>13606642</v>
      </c>
      <c r="K14" s="22">
        <v>97590847</v>
      </c>
      <c r="L14" s="22">
        <v>1345932252</v>
      </c>
      <c r="M14" s="22">
        <v>4014400</v>
      </c>
      <c r="N14" s="22">
        <v>266895031</v>
      </c>
      <c r="O14" s="22">
        <v>101907532</v>
      </c>
      <c r="P14" s="22">
        <v>201956421</v>
      </c>
      <c r="Q14" s="22">
        <v>2222595</v>
      </c>
      <c r="R14" s="22">
        <v>0</v>
      </c>
      <c r="S14" s="22">
        <v>24478624</v>
      </c>
      <c r="T14" s="22">
        <v>59661965</v>
      </c>
      <c r="U14" s="23">
        <v>12062408536</v>
      </c>
    </row>
    <row r="15" spans="1:21" ht="14.25" customHeight="1" x14ac:dyDescent="0.2">
      <c r="A15" s="20" t="s">
        <v>22</v>
      </c>
      <c r="B15" s="21" t="str">
        <f>'Parcel Ct by Type'!B15</f>
        <v>R-NVAB</v>
      </c>
      <c r="C15" s="22">
        <v>2248965333</v>
      </c>
      <c r="D15" s="22">
        <v>52574020249</v>
      </c>
      <c r="E15" s="22">
        <v>253912137</v>
      </c>
      <c r="F15" s="22">
        <v>34582874112</v>
      </c>
      <c r="G15" s="22">
        <v>550348261</v>
      </c>
      <c r="H15" s="22">
        <v>1400003798</v>
      </c>
      <c r="I15" s="22">
        <v>615458255</v>
      </c>
      <c r="J15" s="22">
        <v>1250530388</v>
      </c>
      <c r="K15" s="22">
        <v>374624370</v>
      </c>
      <c r="L15" s="22">
        <v>6257272642</v>
      </c>
      <c r="M15" s="22">
        <v>56405443</v>
      </c>
      <c r="N15" s="22">
        <v>1217941613</v>
      </c>
      <c r="O15" s="22">
        <v>292671919</v>
      </c>
      <c r="P15" s="22">
        <v>240012804</v>
      </c>
      <c r="Q15" s="22">
        <v>14906656</v>
      </c>
      <c r="R15" s="22">
        <v>0</v>
      </c>
      <c r="S15" s="22">
        <v>58874434</v>
      </c>
      <c r="T15" s="22">
        <v>323903532</v>
      </c>
      <c r="U15" s="23">
        <v>102312725946</v>
      </c>
    </row>
    <row r="16" spans="1:21" ht="14.25" customHeight="1" x14ac:dyDescent="0.2">
      <c r="A16" s="20" t="s">
        <v>23</v>
      </c>
      <c r="B16" s="21" t="str">
        <f>'Parcel Ct by Type'!B16</f>
        <v>R-Final</v>
      </c>
      <c r="C16" s="22">
        <v>102669083</v>
      </c>
      <c r="D16" s="22">
        <v>1179823500</v>
      </c>
      <c r="E16" s="22">
        <v>249664786</v>
      </c>
      <c r="F16" s="22">
        <v>2484408</v>
      </c>
      <c r="G16" s="22">
        <v>26270644</v>
      </c>
      <c r="H16" s="22">
        <v>41267764</v>
      </c>
      <c r="I16" s="22">
        <v>0</v>
      </c>
      <c r="J16" s="22">
        <v>22786870</v>
      </c>
      <c r="K16" s="22">
        <v>41330126</v>
      </c>
      <c r="L16" s="22">
        <v>468131826</v>
      </c>
      <c r="M16" s="22">
        <v>1599204</v>
      </c>
      <c r="N16" s="22">
        <v>136906284</v>
      </c>
      <c r="O16" s="22">
        <v>247921140</v>
      </c>
      <c r="P16" s="22">
        <v>72776132</v>
      </c>
      <c r="Q16" s="22">
        <v>8278527</v>
      </c>
      <c r="R16" s="22">
        <v>0</v>
      </c>
      <c r="S16" s="22">
        <v>13216414</v>
      </c>
      <c r="T16" s="22">
        <v>38611840</v>
      </c>
      <c r="U16" s="23">
        <v>2653738548</v>
      </c>
    </row>
    <row r="17" spans="1:21" ht="14.25" customHeight="1" x14ac:dyDescent="0.2">
      <c r="A17" s="20" t="s">
        <v>104</v>
      </c>
      <c r="B17" s="21" t="str">
        <f>'Parcel Ct by Type'!B17</f>
        <v>R-NVAB</v>
      </c>
      <c r="C17" s="22">
        <v>3723749072</v>
      </c>
      <c r="D17" s="22">
        <v>101461214680</v>
      </c>
      <c r="E17" s="22">
        <v>14248443</v>
      </c>
      <c r="F17" s="22">
        <v>96234037898</v>
      </c>
      <c r="G17" s="22">
        <v>9755696872</v>
      </c>
      <c r="H17" s="22">
        <v>18496989236</v>
      </c>
      <c r="I17" s="22">
        <v>298645915</v>
      </c>
      <c r="J17" s="22">
        <v>169092029</v>
      </c>
      <c r="K17" s="22">
        <v>5022117600</v>
      </c>
      <c r="L17" s="22">
        <v>59699958515</v>
      </c>
      <c r="M17" s="22">
        <v>1333416499</v>
      </c>
      <c r="N17" s="22">
        <v>20230267155</v>
      </c>
      <c r="O17" s="22">
        <v>1122966988</v>
      </c>
      <c r="P17" s="22">
        <v>1607625591</v>
      </c>
      <c r="Q17" s="22">
        <v>196091155</v>
      </c>
      <c r="R17" s="22">
        <v>745959735</v>
      </c>
      <c r="S17" s="22">
        <v>598577303</v>
      </c>
      <c r="T17" s="22">
        <v>934601249</v>
      </c>
      <c r="U17" s="23">
        <v>321645255935</v>
      </c>
    </row>
    <row r="18" spans="1:21" ht="14.25" customHeight="1" x14ac:dyDescent="0.2">
      <c r="A18" s="20" t="s">
        <v>24</v>
      </c>
      <c r="B18" s="21" t="str">
        <f>'Parcel Ct by Type'!B18</f>
        <v>R-NVAB</v>
      </c>
      <c r="C18" s="22">
        <v>54888276</v>
      </c>
      <c r="D18" s="22">
        <v>503078994</v>
      </c>
      <c r="E18" s="22">
        <v>98358992</v>
      </c>
      <c r="F18" s="22">
        <v>48395883</v>
      </c>
      <c r="G18" s="22">
        <v>30521306</v>
      </c>
      <c r="H18" s="22">
        <v>13376236</v>
      </c>
      <c r="I18" s="22">
        <v>0</v>
      </c>
      <c r="J18" s="22">
        <v>235298</v>
      </c>
      <c r="K18" s="22">
        <v>15231544</v>
      </c>
      <c r="L18" s="22">
        <v>151919989</v>
      </c>
      <c r="M18" s="22">
        <v>2680023</v>
      </c>
      <c r="N18" s="22">
        <v>82932906</v>
      </c>
      <c r="O18" s="22">
        <v>318865861</v>
      </c>
      <c r="P18" s="22">
        <v>6199220</v>
      </c>
      <c r="Q18" s="22">
        <v>416251</v>
      </c>
      <c r="R18" s="22">
        <v>0</v>
      </c>
      <c r="S18" s="22">
        <v>16809422</v>
      </c>
      <c r="T18" s="22">
        <v>36910522</v>
      </c>
      <c r="U18" s="23">
        <v>1380820723</v>
      </c>
    </row>
    <row r="19" spans="1:21" ht="14.25" customHeight="1" x14ac:dyDescent="0.2">
      <c r="A19" s="20" t="s">
        <v>25</v>
      </c>
      <c r="B19" s="21" t="str">
        <f>'Parcel Ct by Type'!B19</f>
        <v>R-Final</v>
      </c>
      <c r="C19" s="22">
        <v>72921377</v>
      </c>
      <c r="D19" s="22">
        <v>175786530</v>
      </c>
      <c r="E19" s="22">
        <v>100330135</v>
      </c>
      <c r="F19" s="22">
        <v>17926138</v>
      </c>
      <c r="G19" s="22">
        <v>180857</v>
      </c>
      <c r="H19" s="22">
        <v>876000</v>
      </c>
      <c r="I19" s="22">
        <v>40900</v>
      </c>
      <c r="J19" s="22">
        <v>0</v>
      </c>
      <c r="K19" s="22">
        <v>4248082</v>
      </c>
      <c r="L19" s="22">
        <v>33887590</v>
      </c>
      <c r="M19" s="22">
        <v>673900</v>
      </c>
      <c r="N19" s="22">
        <v>10953286</v>
      </c>
      <c r="O19" s="22">
        <v>83795222</v>
      </c>
      <c r="P19" s="22">
        <v>3353400</v>
      </c>
      <c r="Q19" s="22">
        <v>406000</v>
      </c>
      <c r="R19" s="22">
        <v>0</v>
      </c>
      <c r="S19" s="22">
        <v>710939</v>
      </c>
      <c r="T19" s="22">
        <v>423100</v>
      </c>
      <c r="U19" s="23">
        <v>506513456</v>
      </c>
    </row>
    <row r="20" spans="1:21" ht="14.25" customHeight="1" x14ac:dyDescent="0.2">
      <c r="A20" s="20" t="s">
        <v>26</v>
      </c>
      <c r="B20" s="21" t="str">
        <f>'Parcel Ct by Type'!B20</f>
        <v>R-NVAB</v>
      </c>
      <c r="C20" s="22">
        <v>933040427</v>
      </c>
      <c r="D20" s="22">
        <v>37217695903</v>
      </c>
      <c r="E20" s="22">
        <v>371226643</v>
      </c>
      <c r="F20" s="22">
        <v>3209346972</v>
      </c>
      <c r="G20" s="22">
        <v>1075978303</v>
      </c>
      <c r="H20" s="22">
        <v>8691161434</v>
      </c>
      <c r="I20" s="22">
        <v>874237</v>
      </c>
      <c r="J20" s="22">
        <v>428754262</v>
      </c>
      <c r="K20" s="22">
        <v>551158787</v>
      </c>
      <c r="L20" s="22">
        <v>13267228785</v>
      </c>
      <c r="M20" s="22">
        <v>213423407</v>
      </c>
      <c r="N20" s="22">
        <v>5655290575</v>
      </c>
      <c r="O20" s="22">
        <v>192575324</v>
      </c>
      <c r="P20" s="22">
        <v>357342899</v>
      </c>
      <c r="Q20" s="22">
        <v>1396391</v>
      </c>
      <c r="R20" s="22">
        <v>37018001</v>
      </c>
      <c r="S20" s="22">
        <v>98232024</v>
      </c>
      <c r="T20" s="22">
        <v>87463637</v>
      </c>
      <c r="U20" s="23">
        <v>72389208011</v>
      </c>
    </row>
    <row r="21" spans="1:21" ht="14.25" customHeight="1" x14ac:dyDescent="0.2">
      <c r="A21" s="20" t="s">
        <v>27</v>
      </c>
      <c r="B21" s="21" t="str">
        <f>'Parcel Ct by Type'!B21</f>
        <v>R-NVAB</v>
      </c>
      <c r="C21" s="22">
        <v>482318056</v>
      </c>
      <c r="D21" s="22">
        <v>10267596476</v>
      </c>
      <c r="E21" s="22">
        <v>108569461</v>
      </c>
      <c r="F21" s="22">
        <v>1843685355</v>
      </c>
      <c r="G21" s="22">
        <v>537217807</v>
      </c>
      <c r="H21" s="22">
        <v>1023836546</v>
      </c>
      <c r="I21" s="22">
        <v>0</v>
      </c>
      <c r="J21" s="22">
        <v>90209375</v>
      </c>
      <c r="K21" s="22">
        <v>227067112</v>
      </c>
      <c r="L21" s="22">
        <v>2937915192</v>
      </c>
      <c r="M21" s="22">
        <v>6787329</v>
      </c>
      <c r="N21" s="22">
        <v>534235400</v>
      </c>
      <c r="O21" s="22">
        <v>102303163</v>
      </c>
      <c r="P21" s="22">
        <v>197347503</v>
      </c>
      <c r="Q21" s="22">
        <v>3949470</v>
      </c>
      <c r="R21" s="22">
        <v>54074747</v>
      </c>
      <c r="S21" s="22">
        <v>31173453</v>
      </c>
      <c r="T21" s="22">
        <v>41802757</v>
      </c>
      <c r="U21" s="23">
        <v>18490089202</v>
      </c>
    </row>
    <row r="22" spans="1:21" ht="14.25" customHeight="1" x14ac:dyDescent="0.2">
      <c r="A22" s="20" t="s">
        <v>28</v>
      </c>
      <c r="B22" s="21" t="str">
        <f>'Parcel Ct by Type'!B22</f>
        <v>R-NVAB</v>
      </c>
      <c r="C22" s="22">
        <v>663158268</v>
      </c>
      <c r="D22" s="22">
        <v>7130549528</v>
      </c>
      <c r="E22" s="22">
        <v>75619329</v>
      </c>
      <c r="F22" s="22">
        <v>966920434</v>
      </c>
      <c r="G22" s="22">
        <v>245604702</v>
      </c>
      <c r="H22" s="22">
        <v>96368048</v>
      </c>
      <c r="I22" s="22">
        <v>19404886</v>
      </c>
      <c r="J22" s="22">
        <v>68903814</v>
      </c>
      <c r="K22" s="22">
        <v>161080739</v>
      </c>
      <c r="L22" s="22">
        <v>614186866</v>
      </c>
      <c r="M22" s="22">
        <v>12400118</v>
      </c>
      <c r="N22" s="22">
        <v>115258745</v>
      </c>
      <c r="O22" s="22">
        <v>67239659</v>
      </c>
      <c r="P22" s="22">
        <v>63346314</v>
      </c>
      <c r="Q22" s="22">
        <v>1580246</v>
      </c>
      <c r="R22" s="22">
        <v>133990</v>
      </c>
      <c r="S22" s="22">
        <v>9003345</v>
      </c>
      <c r="T22" s="22">
        <v>18916843</v>
      </c>
      <c r="U22" s="23">
        <v>10329675874</v>
      </c>
    </row>
    <row r="23" spans="1:21" ht="14.25" customHeight="1" x14ac:dyDescent="0.2">
      <c r="A23" s="20" t="s">
        <v>29</v>
      </c>
      <c r="B23" s="21" t="str">
        <f>'Parcel Ct by Type'!B23</f>
        <v>R-Final</v>
      </c>
      <c r="C23" s="22">
        <v>344796779</v>
      </c>
      <c r="D23" s="22">
        <v>1635378265</v>
      </c>
      <c r="E23" s="22">
        <v>35332751</v>
      </c>
      <c r="F23" s="22">
        <v>87016724</v>
      </c>
      <c r="G23" s="22">
        <v>2023468</v>
      </c>
      <c r="H23" s="22">
        <v>481313</v>
      </c>
      <c r="I23" s="22">
        <v>0</v>
      </c>
      <c r="J23" s="22">
        <v>17909706</v>
      </c>
      <c r="K23" s="22">
        <v>11510626</v>
      </c>
      <c r="L23" s="22">
        <v>80723368</v>
      </c>
      <c r="M23" s="22">
        <v>128675</v>
      </c>
      <c r="N23" s="22">
        <v>13963089</v>
      </c>
      <c r="O23" s="22">
        <v>4248259</v>
      </c>
      <c r="P23" s="22">
        <v>7599409</v>
      </c>
      <c r="Q23" s="22">
        <v>94640</v>
      </c>
      <c r="R23" s="22">
        <v>1669512</v>
      </c>
      <c r="S23" s="22">
        <v>2844685</v>
      </c>
      <c r="T23" s="22">
        <v>4434583</v>
      </c>
      <c r="U23" s="23">
        <v>2250155852</v>
      </c>
    </row>
    <row r="24" spans="1:21" ht="14.25" customHeight="1" x14ac:dyDescent="0.2">
      <c r="A24" s="20" t="s">
        <v>30</v>
      </c>
      <c r="B24" s="21" t="str">
        <f>'Parcel Ct by Type'!B24</f>
        <v>R-Final</v>
      </c>
      <c r="C24" s="22">
        <v>61647479</v>
      </c>
      <c r="D24" s="22">
        <v>674362483</v>
      </c>
      <c r="E24" s="22">
        <v>85849589</v>
      </c>
      <c r="F24" s="22">
        <v>0</v>
      </c>
      <c r="G24" s="22">
        <v>7747736</v>
      </c>
      <c r="H24" s="22">
        <v>15139406</v>
      </c>
      <c r="I24" s="22">
        <v>0</v>
      </c>
      <c r="J24" s="22">
        <v>1285963</v>
      </c>
      <c r="K24" s="22">
        <v>11661920</v>
      </c>
      <c r="L24" s="22">
        <v>120659975</v>
      </c>
      <c r="M24" s="22">
        <v>0</v>
      </c>
      <c r="N24" s="22">
        <v>67861854</v>
      </c>
      <c r="O24" s="22">
        <v>142664247</v>
      </c>
      <c r="P24" s="22">
        <v>20754201</v>
      </c>
      <c r="Q24" s="22">
        <v>621959</v>
      </c>
      <c r="R24" s="22">
        <v>0</v>
      </c>
      <c r="S24" s="22">
        <v>4622939</v>
      </c>
      <c r="T24" s="22">
        <v>25542497</v>
      </c>
      <c r="U24" s="23">
        <v>1240422248</v>
      </c>
    </row>
    <row r="25" spans="1:21" ht="14.25" customHeight="1" x14ac:dyDescent="0.2">
      <c r="A25" s="20" t="s">
        <v>31</v>
      </c>
      <c r="B25" s="21" t="str">
        <f>'Parcel Ct by Type'!B25</f>
        <v>R-Final</v>
      </c>
      <c r="C25" s="22">
        <v>46304711</v>
      </c>
      <c r="D25" s="22">
        <v>231424870</v>
      </c>
      <c r="E25" s="22">
        <v>96141323</v>
      </c>
      <c r="F25" s="22">
        <v>0</v>
      </c>
      <c r="G25" s="22">
        <v>2835313</v>
      </c>
      <c r="H25" s="22">
        <v>1540973</v>
      </c>
      <c r="I25" s="22">
        <v>7726712</v>
      </c>
      <c r="J25" s="22">
        <v>14622086</v>
      </c>
      <c r="K25" s="22">
        <v>747985</v>
      </c>
      <c r="L25" s="22">
        <v>34528387</v>
      </c>
      <c r="M25" s="22">
        <v>68654</v>
      </c>
      <c r="N25" s="22">
        <v>14843795</v>
      </c>
      <c r="O25" s="22">
        <v>159821872</v>
      </c>
      <c r="P25" s="22">
        <v>4712684</v>
      </c>
      <c r="Q25" s="22">
        <v>0</v>
      </c>
      <c r="R25" s="22">
        <v>0</v>
      </c>
      <c r="S25" s="22">
        <v>3508267</v>
      </c>
      <c r="T25" s="22">
        <v>14353328</v>
      </c>
      <c r="U25" s="23">
        <v>633180960</v>
      </c>
    </row>
    <row r="26" spans="1:21" ht="14.25" customHeight="1" x14ac:dyDescent="0.2">
      <c r="A26" s="20" t="s">
        <v>32</v>
      </c>
      <c r="B26" s="21" t="str">
        <f>'Parcel Ct by Type'!B26</f>
        <v>R-NVAB</v>
      </c>
      <c r="C26" s="22">
        <v>37657317</v>
      </c>
      <c r="D26" s="22">
        <v>147953622</v>
      </c>
      <c r="E26" s="22">
        <v>95028972</v>
      </c>
      <c r="F26" s="22">
        <v>9065665</v>
      </c>
      <c r="G26" s="22">
        <v>14175956</v>
      </c>
      <c r="H26" s="22">
        <v>478593</v>
      </c>
      <c r="I26" s="22">
        <v>0</v>
      </c>
      <c r="J26" s="22">
        <v>4467140</v>
      </c>
      <c r="K26" s="22">
        <v>2229622</v>
      </c>
      <c r="L26" s="22">
        <v>59561343</v>
      </c>
      <c r="M26" s="22">
        <v>2006747</v>
      </c>
      <c r="N26" s="22">
        <v>15777087</v>
      </c>
      <c r="O26" s="22">
        <v>200649166</v>
      </c>
      <c r="P26" s="22">
        <v>236344</v>
      </c>
      <c r="Q26" s="22">
        <v>0</v>
      </c>
      <c r="R26" s="22">
        <v>0</v>
      </c>
      <c r="S26" s="22">
        <v>21324337</v>
      </c>
      <c r="T26" s="22">
        <v>4965106</v>
      </c>
      <c r="U26" s="23">
        <v>615577017</v>
      </c>
    </row>
    <row r="27" spans="1:21" ht="14.25" customHeight="1" x14ac:dyDescent="0.2">
      <c r="A27" s="20" t="s">
        <v>33</v>
      </c>
      <c r="B27" s="21" t="str">
        <f>'Parcel Ct by Type'!B27</f>
        <v>R-Final</v>
      </c>
      <c r="C27" s="22">
        <v>431012176</v>
      </c>
      <c r="D27" s="22">
        <v>1178911039</v>
      </c>
      <c r="E27" s="22">
        <v>49016657</v>
      </c>
      <c r="F27" s="22">
        <v>26526888</v>
      </c>
      <c r="G27" s="22">
        <v>15264455</v>
      </c>
      <c r="H27" s="22">
        <v>11442261</v>
      </c>
      <c r="I27" s="22">
        <v>0</v>
      </c>
      <c r="J27" s="22">
        <v>4146928</v>
      </c>
      <c r="K27" s="22">
        <v>994816</v>
      </c>
      <c r="L27" s="22">
        <v>81205330</v>
      </c>
      <c r="M27" s="22">
        <v>0</v>
      </c>
      <c r="N27" s="22">
        <v>12085990</v>
      </c>
      <c r="O27" s="22">
        <v>56231976</v>
      </c>
      <c r="P27" s="22">
        <v>4067575</v>
      </c>
      <c r="Q27" s="22">
        <v>2856950</v>
      </c>
      <c r="R27" s="22">
        <v>332436</v>
      </c>
      <c r="S27" s="22">
        <v>5382543</v>
      </c>
      <c r="T27" s="22">
        <v>50937491</v>
      </c>
      <c r="U27" s="23">
        <v>1930415511</v>
      </c>
    </row>
    <row r="28" spans="1:21" ht="14.25" customHeight="1" x14ac:dyDescent="0.2">
      <c r="A28" s="20" t="s">
        <v>34</v>
      </c>
      <c r="B28" s="21" t="str">
        <f>'Parcel Ct by Type'!B28</f>
        <v>R-Final</v>
      </c>
      <c r="C28" s="22">
        <v>40054143</v>
      </c>
      <c r="D28" s="22">
        <v>94946304</v>
      </c>
      <c r="E28" s="22">
        <v>33147977</v>
      </c>
      <c r="F28" s="22">
        <v>0</v>
      </c>
      <c r="G28" s="22">
        <v>8027539</v>
      </c>
      <c r="H28" s="22">
        <v>3774875</v>
      </c>
      <c r="I28" s="22">
        <v>0</v>
      </c>
      <c r="J28" s="22">
        <v>441832</v>
      </c>
      <c r="K28" s="22">
        <v>4545390</v>
      </c>
      <c r="L28" s="22">
        <v>32836339</v>
      </c>
      <c r="M28" s="22">
        <v>110191</v>
      </c>
      <c r="N28" s="22">
        <v>5449512</v>
      </c>
      <c r="O28" s="22">
        <v>113475960</v>
      </c>
      <c r="P28" s="22">
        <v>1281267</v>
      </c>
      <c r="Q28" s="22">
        <v>317856</v>
      </c>
      <c r="R28" s="22">
        <v>0</v>
      </c>
      <c r="S28" s="22">
        <v>73303782</v>
      </c>
      <c r="T28" s="22">
        <v>11305171</v>
      </c>
      <c r="U28" s="23">
        <v>423018138</v>
      </c>
    </row>
    <row r="29" spans="1:21" ht="14.25" customHeight="1" x14ac:dyDescent="0.2">
      <c r="A29" s="20" t="s">
        <v>35</v>
      </c>
      <c r="B29" s="21" t="str">
        <f>'Parcel Ct by Type'!B29</f>
        <v>R-NVAB</v>
      </c>
      <c r="C29" s="22">
        <v>37161027</v>
      </c>
      <c r="D29" s="22">
        <v>264034759</v>
      </c>
      <c r="E29" s="22">
        <v>46215826</v>
      </c>
      <c r="F29" s="22">
        <v>9212986</v>
      </c>
      <c r="G29" s="22">
        <v>17599180</v>
      </c>
      <c r="H29" s="22">
        <v>14378453</v>
      </c>
      <c r="I29" s="22">
        <v>0</v>
      </c>
      <c r="J29" s="22">
        <v>2314759</v>
      </c>
      <c r="K29" s="22">
        <v>8495002</v>
      </c>
      <c r="L29" s="22">
        <v>106649242</v>
      </c>
      <c r="M29" s="22">
        <v>1022350</v>
      </c>
      <c r="N29" s="22">
        <v>25880113</v>
      </c>
      <c r="O29" s="22">
        <v>264810025</v>
      </c>
      <c r="P29" s="22">
        <v>20648977</v>
      </c>
      <c r="Q29" s="22">
        <v>7378857</v>
      </c>
      <c r="R29" s="22">
        <v>0</v>
      </c>
      <c r="S29" s="22">
        <v>158883135</v>
      </c>
      <c r="T29" s="22">
        <v>29259729</v>
      </c>
      <c r="U29" s="23">
        <v>1013944420</v>
      </c>
    </row>
    <row r="30" spans="1:21" ht="14.25" customHeight="1" x14ac:dyDescent="0.2">
      <c r="A30" s="20" t="s">
        <v>36</v>
      </c>
      <c r="B30" s="21" t="str">
        <f>'Parcel Ct by Type'!B30</f>
        <v>R-NVAB</v>
      </c>
      <c r="C30" s="22">
        <v>191692516</v>
      </c>
      <c r="D30" s="22">
        <v>578373134</v>
      </c>
      <c r="E30" s="22">
        <v>156308612</v>
      </c>
      <c r="F30" s="22">
        <v>16889242</v>
      </c>
      <c r="G30" s="22">
        <v>39163490</v>
      </c>
      <c r="H30" s="22">
        <v>5805347</v>
      </c>
      <c r="I30" s="22">
        <v>0</v>
      </c>
      <c r="J30" s="22">
        <v>32605353</v>
      </c>
      <c r="K30" s="22">
        <v>22873165</v>
      </c>
      <c r="L30" s="22">
        <v>208861207</v>
      </c>
      <c r="M30" s="22">
        <v>56472160</v>
      </c>
      <c r="N30" s="22">
        <v>91810033</v>
      </c>
      <c r="O30" s="22">
        <v>395223891</v>
      </c>
      <c r="P30" s="22">
        <v>2966876</v>
      </c>
      <c r="Q30" s="22">
        <v>165104</v>
      </c>
      <c r="R30" s="22">
        <v>41635147</v>
      </c>
      <c r="S30" s="22">
        <v>27634708</v>
      </c>
      <c r="T30" s="22">
        <v>44000</v>
      </c>
      <c r="U30" s="23">
        <v>1868523985</v>
      </c>
    </row>
    <row r="31" spans="1:21" ht="14.25" customHeight="1" x14ac:dyDescent="0.2">
      <c r="A31" s="20" t="s">
        <v>37</v>
      </c>
      <c r="B31" s="21" t="str">
        <f>'Parcel Ct by Type'!B31</f>
        <v>R-NVAB</v>
      </c>
      <c r="C31" s="22">
        <v>330715412</v>
      </c>
      <c r="D31" s="22">
        <v>6374660155</v>
      </c>
      <c r="E31" s="22">
        <v>528179231</v>
      </c>
      <c r="F31" s="22">
        <v>33131760</v>
      </c>
      <c r="G31" s="22">
        <v>68334662</v>
      </c>
      <c r="H31" s="22">
        <v>180048127</v>
      </c>
      <c r="I31" s="22">
        <v>1166853</v>
      </c>
      <c r="J31" s="22">
        <v>9478</v>
      </c>
      <c r="K31" s="22">
        <v>163724451</v>
      </c>
      <c r="L31" s="22">
        <v>1164629704</v>
      </c>
      <c r="M31" s="22">
        <v>8184952</v>
      </c>
      <c r="N31" s="22">
        <v>279056067</v>
      </c>
      <c r="O31" s="22">
        <v>179603707</v>
      </c>
      <c r="P31" s="22">
        <v>194664633</v>
      </c>
      <c r="Q31" s="22">
        <v>0</v>
      </c>
      <c r="R31" s="22">
        <v>2692133</v>
      </c>
      <c r="S31" s="22">
        <v>25795623</v>
      </c>
      <c r="T31" s="22">
        <v>138021579</v>
      </c>
      <c r="U31" s="23">
        <v>9672618527</v>
      </c>
    </row>
    <row r="32" spans="1:21" ht="14.25" customHeight="1" x14ac:dyDescent="0.2">
      <c r="A32" s="20" t="s">
        <v>38</v>
      </c>
      <c r="B32" s="21" t="str">
        <f>'Parcel Ct by Type'!B32</f>
        <v>R-NVAB</v>
      </c>
      <c r="C32" s="22">
        <v>248173828</v>
      </c>
      <c r="D32" s="22">
        <v>2796129004</v>
      </c>
      <c r="E32" s="22">
        <v>156624284</v>
      </c>
      <c r="F32" s="22">
        <v>80722555</v>
      </c>
      <c r="G32" s="22">
        <v>74047532</v>
      </c>
      <c r="H32" s="22">
        <v>38864737</v>
      </c>
      <c r="I32" s="22">
        <v>17311531</v>
      </c>
      <c r="J32" s="22">
        <v>91842133</v>
      </c>
      <c r="K32" s="22">
        <v>40308359</v>
      </c>
      <c r="L32" s="22">
        <v>826918693</v>
      </c>
      <c r="M32" s="22">
        <v>4541045</v>
      </c>
      <c r="N32" s="22">
        <v>97647546</v>
      </c>
      <c r="O32" s="22">
        <v>376121908</v>
      </c>
      <c r="P32" s="22">
        <v>32513678</v>
      </c>
      <c r="Q32" s="22">
        <v>2258942</v>
      </c>
      <c r="R32" s="22">
        <v>80559562</v>
      </c>
      <c r="S32" s="22">
        <v>9315749</v>
      </c>
      <c r="T32" s="22">
        <v>37685118</v>
      </c>
      <c r="U32" s="23">
        <v>5011586204</v>
      </c>
    </row>
    <row r="33" spans="1:21" ht="14.25" customHeight="1" x14ac:dyDescent="0.2">
      <c r="A33" s="20" t="s">
        <v>39</v>
      </c>
      <c r="B33" s="21" t="str">
        <f>'Parcel Ct by Type'!B33</f>
        <v>R-NVAB</v>
      </c>
      <c r="C33" s="22">
        <v>1475461824</v>
      </c>
      <c r="D33" s="22">
        <v>59469713124</v>
      </c>
      <c r="E33" s="22">
        <v>745904010</v>
      </c>
      <c r="F33" s="22">
        <v>4549765847</v>
      </c>
      <c r="G33" s="22">
        <v>832334311</v>
      </c>
      <c r="H33" s="22">
        <v>13205398564</v>
      </c>
      <c r="I33" s="22">
        <v>40060638</v>
      </c>
      <c r="J33" s="22">
        <v>588864547</v>
      </c>
      <c r="K33" s="22">
        <v>568386076</v>
      </c>
      <c r="L33" s="22">
        <v>20812939994</v>
      </c>
      <c r="M33" s="22">
        <v>127408007</v>
      </c>
      <c r="N33" s="22">
        <v>6859764990</v>
      </c>
      <c r="O33" s="22">
        <v>669157505</v>
      </c>
      <c r="P33" s="22">
        <v>706470177</v>
      </c>
      <c r="Q33" s="22">
        <v>32996692</v>
      </c>
      <c r="R33" s="22">
        <v>1314235011</v>
      </c>
      <c r="S33" s="22">
        <v>324981579</v>
      </c>
      <c r="T33" s="22">
        <v>207237632</v>
      </c>
      <c r="U33" s="23">
        <v>112531080528</v>
      </c>
    </row>
    <row r="34" spans="1:21" ht="14.25" customHeight="1" x14ac:dyDescent="0.2">
      <c r="A34" s="20" t="s">
        <v>40</v>
      </c>
      <c r="B34" s="21" t="str">
        <f>'Parcel Ct by Type'!B34</f>
        <v>R-Final</v>
      </c>
      <c r="C34" s="22">
        <v>21428041</v>
      </c>
      <c r="D34" s="22">
        <v>135441956</v>
      </c>
      <c r="E34" s="22">
        <v>21794773</v>
      </c>
      <c r="F34" s="22">
        <v>0</v>
      </c>
      <c r="G34" s="22">
        <v>1684235</v>
      </c>
      <c r="H34" s="22">
        <v>3239703</v>
      </c>
      <c r="I34" s="22">
        <v>0</v>
      </c>
      <c r="J34" s="22">
        <v>212520</v>
      </c>
      <c r="K34" s="22">
        <v>3173683</v>
      </c>
      <c r="L34" s="22">
        <v>49379523</v>
      </c>
      <c r="M34" s="22">
        <v>14974</v>
      </c>
      <c r="N34" s="22">
        <v>6221898</v>
      </c>
      <c r="O34" s="22">
        <v>152501237</v>
      </c>
      <c r="P34" s="22">
        <v>2944864</v>
      </c>
      <c r="Q34" s="22">
        <v>602431</v>
      </c>
      <c r="R34" s="22">
        <v>0</v>
      </c>
      <c r="S34" s="22">
        <v>2267990</v>
      </c>
      <c r="T34" s="22">
        <v>6260779</v>
      </c>
      <c r="U34" s="23">
        <v>407168607</v>
      </c>
    </row>
    <row r="35" spans="1:21" ht="14.25" customHeight="1" x14ac:dyDescent="0.2">
      <c r="A35" s="20" t="s">
        <v>41</v>
      </c>
      <c r="B35" s="21" t="str">
        <f>'Parcel Ct by Type'!B35</f>
        <v>R-NVAB</v>
      </c>
      <c r="C35" s="22">
        <v>663699408</v>
      </c>
      <c r="D35" s="22">
        <v>13318164511</v>
      </c>
      <c r="E35" s="22">
        <v>41151497</v>
      </c>
      <c r="F35" s="22">
        <v>3001722025</v>
      </c>
      <c r="G35" s="22">
        <v>131611313</v>
      </c>
      <c r="H35" s="22">
        <v>109191093</v>
      </c>
      <c r="I35" s="22">
        <v>6804626</v>
      </c>
      <c r="J35" s="22">
        <v>136765032</v>
      </c>
      <c r="K35" s="22">
        <v>121318202</v>
      </c>
      <c r="L35" s="22">
        <v>1419445703</v>
      </c>
      <c r="M35" s="22">
        <v>18019867</v>
      </c>
      <c r="N35" s="22">
        <v>271280130</v>
      </c>
      <c r="O35" s="22">
        <v>191832631</v>
      </c>
      <c r="P35" s="22">
        <v>255516995</v>
      </c>
      <c r="Q35" s="22">
        <v>3787650</v>
      </c>
      <c r="R35" s="22">
        <v>26600123</v>
      </c>
      <c r="S35" s="22">
        <v>13000513</v>
      </c>
      <c r="T35" s="22">
        <v>77934059</v>
      </c>
      <c r="U35" s="23">
        <v>19807845378</v>
      </c>
    </row>
    <row r="36" spans="1:21" ht="14.25" customHeight="1" x14ac:dyDescent="0.2">
      <c r="A36" s="20" t="s">
        <v>42</v>
      </c>
      <c r="B36" s="21" t="str">
        <f>'Parcel Ct by Type'!B36</f>
        <v>R-Final</v>
      </c>
      <c r="C36" s="22">
        <v>107954985</v>
      </c>
      <c r="D36" s="22">
        <v>569962829</v>
      </c>
      <c r="E36" s="22">
        <v>52360864</v>
      </c>
      <c r="F36" s="22">
        <v>0</v>
      </c>
      <c r="G36" s="22">
        <v>5263602</v>
      </c>
      <c r="H36" s="22">
        <v>19608340</v>
      </c>
      <c r="I36" s="22">
        <v>0</v>
      </c>
      <c r="J36" s="22">
        <v>2333233</v>
      </c>
      <c r="K36" s="22">
        <v>15077693</v>
      </c>
      <c r="L36" s="22">
        <v>187627395</v>
      </c>
      <c r="M36" s="22">
        <v>755766</v>
      </c>
      <c r="N36" s="22">
        <v>78010886</v>
      </c>
      <c r="O36" s="22">
        <v>275459453</v>
      </c>
      <c r="P36" s="22">
        <v>14869441</v>
      </c>
      <c r="Q36" s="22">
        <v>1893023</v>
      </c>
      <c r="R36" s="22">
        <v>0</v>
      </c>
      <c r="S36" s="22">
        <v>14087663</v>
      </c>
      <c r="T36" s="22">
        <v>5476807</v>
      </c>
      <c r="U36" s="23">
        <v>1350741980</v>
      </c>
    </row>
    <row r="37" spans="1:21" ht="14.25" customHeight="1" x14ac:dyDescent="0.2">
      <c r="A37" s="20" t="s">
        <v>43</v>
      </c>
      <c r="B37" s="21" t="str">
        <f>'Parcel Ct by Type'!B37</f>
        <v>R-Final</v>
      </c>
      <c r="C37" s="22">
        <v>29741904</v>
      </c>
      <c r="D37" s="22">
        <v>223618911</v>
      </c>
      <c r="E37" s="22">
        <v>35065307</v>
      </c>
      <c r="F37" s="22">
        <v>0</v>
      </c>
      <c r="G37" s="22">
        <v>4036921</v>
      </c>
      <c r="H37" s="22">
        <v>5491496</v>
      </c>
      <c r="I37" s="22">
        <v>146148</v>
      </c>
      <c r="J37" s="22">
        <v>209334</v>
      </c>
      <c r="K37" s="22">
        <v>2255573</v>
      </c>
      <c r="L37" s="22">
        <v>32685647</v>
      </c>
      <c r="M37" s="22">
        <v>340933</v>
      </c>
      <c r="N37" s="22">
        <v>8934465</v>
      </c>
      <c r="O37" s="22">
        <v>196460670</v>
      </c>
      <c r="P37" s="22">
        <v>3127440</v>
      </c>
      <c r="Q37" s="22">
        <v>273189</v>
      </c>
      <c r="R37" s="22">
        <v>0</v>
      </c>
      <c r="S37" s="22">
        <v>11725558</v>
      </c>
      <c r="T37" s="22">
        <v>4354631</v>
      </c>
      <c r="U37" s="23">
        <v>558468127</v>
      </c>
    </row>
    <row r="38" spans="1:21" ht="14.25" customHeight="1" x14ac:dyDescent="0.2">
      <c r="A38" s="20" t="s">
        <v>44</v>
      </c>
      <c r="B38" s="21" t="str">
        <f>'Parcel Ct by Type'!B38</f>
        <v>R-Final</v>
      </c>
      <c r="C38" s="22">
        <v>18950528</v>
      </c>
      <c r="D38" s="22">
        <v>64558144</v>
      </c>
      <c r="E38" s="22">
        <v>20875634</v>
      </c>
      <c r="F38" s="22">
        <v>0</v>
      </c>
      <c r="G38" s="22">
        <v>691862</v>
      </c>
      <c r="H38" s="22">
        <v>1379842</v>
      </c>
      <c r="I38" s="22">
        <v>0</v>
      </c>
      <c r="J38" s="22">
        <v>1377012</v>
      </c>
      <c r="K38" s="22">
        <v>761977</v>
      </c>
      <c r="L38" s="22">
        <v>10559395</v>
      </c>
      <c r="M38" s="22">
        <v>35000</v>
      </c>
      <c r="N38" s="22">
        <v>2254331</v>
      </c>
      <c r="O38" s="22">
        <v>101363271</v>
      </c>
      <c r="P38" s="22">
        <v>2409667</v>
      </c>
      <c r="Q38" s="22">
        <v>0</v>
      </c>
      <c r="R38" s="22">
        <v>0</v>
      </c>
      <c r="S38" s="22">
        <v>1479691</v>
      </c>
      <c r="T38" s="22">
        <v>1777824</v>
      </c>
      <c r="U38" s="23">
        <v>228474178</v>
      </c>
    </row>
    <row r="39" spans="1:21" ht="14.25" customHeight="1" x14ac:dyDescent="0.2">
      <c r="A39" s="20" t="s">
        <v>45</v>
      </c>
      <c r="B39" s="21" t="str">
        <f>'Parcel Ct by Type'!B39</f>
        <v>R-NVAB</v>
      </c>
      <c r="C39" s="22">
        <v>852411670</v>
      </c>
      <c r="D39" s="22">
        <v>16701232918</v>
      </c>
      <c r="E39" s="22">
        <v>806201931</v>
      </c>
      <c r="F39" s="22">
        <v>476209262</v>
      </c>
      <c r="G39" s="22">
        <v>190623857</v>
      </c>
      <c r="H39" s="22">
        <v>831353035</v>
      </c>
      <c r="I39" s="22">
        <v>91657975</v>
      </c>
      <c r="J39" s="22">
        <v>189359240</v>
      </c>
      <c r="K39" s="22">
        <v>377950716</v>
      </c>
      <c r="L39" s="22">
        <v>3049061804</v>
      </c>
      <c r="M39" s="22">
        <v>54332294</v>
      </c>
      <c r="N39" s="22">
        <v>595669481</v>
      </c>
      <c r="O39" s="22">
        <v>378316784</v>
      </c>
      <c r="P39" s="22">
        <v>61022758</v>
      </c>
      <c r="Q39" s="22">
        <v>5330185</v>
      </c>
      <c r="R39" s="22">
        <v>0</v>
      </c>
      <c r="S39" s="22">
        <v>16791282</v>
      </c>
      <c r="T39" s="22">
        <v>169129376</v>
      </c>
      <c r="U39" s="23">
        <v>24846654568</v>
      </c>
    </row>
    <row r="40" spans="1:21" ht="14.25" customHeight="1" x14ac:dyDescent="0.2">
      <c r="A40" s="20" t="s">
        <v>46</v>
      </c>
      <c r="B40" s="21" t="str">
        <f>'Parcel Ct by Type'!B40</f>
        <v>R-NVAB</v>
      </c>
      <c r="C40" s="22">
        <v>3003315077</v>
      </c>
      <c r="D40" s="22">
        <v>51987120518</v>
      </c>
      <c r="E40" s="22">
        <v>1073844576</v>
      </c>
      <c r="F40" s="22">
        <v>16569084503</v>
      </c>
      <c r="G40" s="22">
        <v>2418768581</v>
      </c>
      <c r="H40" s="22">
        <v>2679459408</v>
      </c>
      <c r="I40" s="22">
        <v>212544184</v>
      </c>
      <c r="J40" s="22">
        <v>439295239</v>
      </c>
      <c r="K40" s="22">
        <v>751073582</v>
      </c>
      <c r="L40" s="22">
        <v>8797449010</v>
      </c>
      <c r="M40" s="22">
        <v>136018836</v>
      </c>
      <c r="N40" s="22">
        <v>2002148021</v>
      </c>
      <c r="O40" s="22">
        <v>272745133</v>
      </c>
      <c r="P40" s="22">
        <v>298478216</v>
      </c>
      <c r="Q40" s="22">
        <v>38215808</v>
      </c>
      <c r="R40" s="22">
        <v>86992882</v>
      </c>
      <c r="S40" s="22">
        <v>154380250</v>
      </c>
      <c r="T40" s="22">
        <v>132936249</v>
      </c>
      <c r="U40" s="23">
        <v>91053870073</v>
      </c>
    </row>
    <row r="41" spans="1:21" ht="14.25" customHeight="1" x14ac:dyDescent="0.2">
      <c r="A41" s="20" t="s">
        <v>47</v>
      </c>
      <c r="B41" s="21" t="str">
        <f>'Parcel Ct by Type'!B41</f>
        <v>R-NVAB</v>
      </c>
      <c r="C41" s="22">
        <v>280786918</v>
      </c>
      <c r="D41" s="22">
        <v>10582040968</v>
      </c>
      <c r="E41" s="22">
        <v>148050116</v>
      </c>
      <c r="F41" s="22">
        <v>431349942</v>
      </c>
      <c r="G41" s="22">
        <v>356515024</v>
      </c>
      <c r="H41" s="22">
        <v>2552804264</v>
      </c>
      <c r="I41" s="22">
        <v>0</v>
      </c>
      <c r="J41" s="22">
        <v>104467380</v>
      </c>
      <c r="K41" s="22">
        <v>126486478</v>
      </c>
      <c r="L41" s="22">
        <v>2924913351</v>
      </c>
      <c r="M41" s="22">
        <v>13477081</v>
      </c>
      <c r="N41" s="22">
        <v>381663367</v>
      </c>
      <c r="O41" s="22">
        <v>157373830</v>
      </c>
      <c r="P41" s="22">
        <v>219604314</v>
      </c>
      <c r="Q41" s="22">
        <v>30111102</v>
      </c>
      <c r="R41" s="22">
        <v>0</v>
      </c>
      <c r="S41" s="22">
        <v>9186596</v>
      </c>
      <c r="T41" s="22">
        <v>77359378</v>
      </c>
      <c r="U41" s="23">
        <v>18396190109</v>
      </c>
    </row>
    <row r="42" spans="1:21" ht="14.25" customHeight="1" x14ac:dyDescent="0.2">
      <c r="A42" s="20" t="s">
        <v>48</v>
      </c>
      <c r="B42" s="21" t="str">
        <f>'Parcel Ct by Type'!B42</f>
        <v>R-Final</v>
      </c>
      <c r="C42" s="22">
        <v>213670529</v>
      </c>
      <c r="D42" s="22">
        <v>681563834</v>
      </c>
      <c r="E42" s="22">
        <v>284192937</v>
      </c>
      <c r="F42" s="22">
        <v>31759818</v>
      </c>
      <c r="G42" s="22">
        <v>7763535</v>
      </c>
      <c r="H42" s="22">
        <v>7639500</v>
      </c>
      <c r="I42" s="22">
        <v>0</v>
      </c>
      <c r="J42" s="22">
        <v>2700025</v>
      </c>
      <c r="K42" s="22">
        <v>17965227</v>
      </c>
      <c r="L42" s="22">
        <v>199095925</v>
      </c>
      <c r="M42" s="22">
        <v>215293</v>
      </c>
      <c r="N42" s="22">
        <v>22729105</v>
      </c>
      <c r="O42" s="22">
        <v>341519660</v>
      </c>
      <c r="P42" s="22">
        <v>6895741</v>
      </c>
      <c r="Q42" s="22">
        <v>0</v>
      </c>
      <c r="R42" s="22">
        <v>3206651</v>
      </c>
      <c r="S42" s="22">
        <v>17001465</v>
      </c>
      <c r="T42" s="22">
        <v>18014214</v>
      </c>
      <c r="U42" s="23">
        <v>1855933459</v>
      </c>
    </row>
    <row r="43" spans="1:21" ht="14.25" customHeight="1" x14ac:dyDescent="0.2">
      <c r="A43" s="20" t="s">
        <v>49</v>
      </c>
      <c r="B43" s="21" t="str">
        <f>'Parcel Ct by Type'!B43</f>
        <v>R-Final</v>
      </c>
      <c r="C43" s="22">
        <v>12809875</v>
      </c>
      <c r="D43" s="22">
        <v>75934510</v>
      </c>
      <c r="E43" s="22">
        <v>11439946</v>
      </c>
      <c r="F43" s="22">
        <v>0</v>
      </c>
      <c r="G43" s="22">
        <v>2295853</v>
      </c>
      <c r="H43" s="22">
        <v>175834</v>
      </c>
      <c r="I43" s="22">
        <v>0</v>
      </c>
      <c r="J43" s="22">
        <v>239176</v>
      </c>
      <c r="K43" s="22">
        <v>890690</v>
      </c>
      <c r="L43" s="22">
        <v>12887169</v>
      </c>
      <c r="M43" s="22">
        <v>0</v>
      </c>
      <c r="N43" s="22">
        <v>19193113</v>
      </c>
      <c r="O43" s="22">
        <v>45741981</v>
      </c>
      <c r="P43" s="22">
        <v>396432</v>
      </c>
      <c r="Q43" s="22">
        <v>0</v>
      </c>
      <c r="R43" s="22">
        <v>0</v>
      </c>
      <c r="S43" s="22">
        <v>1294424</v>
      </c>
      <c r="T43" s="22">
        <v>2038135</v>
      </c>
      <c r="U43" s="23">
        <v>185337138</v>
      </c>
    </row>
    <row r="44" spans="1:21" ht="14.25" customHeight="1" x14ac:dyDescent="0.2">
      <c r="A44" s="20" t="s">
        <v>50</v>
      </c>
      <c r="B44" s="21" t="str">
        <f>'Parcel Ct by Type'!B44</f>
        <v>R-Final</v>
      </c>
      <c r="C44" s="22">
        <v>46735198</v>
      </c>
      <c r="D44" s="22">
        <v>165379832</v>
      </c>
      <c r="E44" s="22">
        <v>38605011</v>
      </c>
      <c r="F44" s="22">
        <v>0</v>
      </c>
      <c r="G44" s="22">
        <v>8729908</v>
      </c>
      <c r="H44" s="22">
        <v>6983568</v>
      </c>
      <c r="I44" s="22">
        <v>0</v>
      </c>
      <c r="J44" s="22">
        <v>0</v>
      </c>
      <c r="K44" s="22">
        <v>3668651</v>
      </c>
      <c r="L44" s="22">
        <v>62523125</v>
      </c>
      <c r="M44" s="22">
        <v>73059</v>
      </c>
      <c r="N44" s="22">
        <v>40619921</v>
      </c>
      <c r="O44" s="22">
        <v>189715904</v>
      </c>
      <c r="P44" s="22">
        <v>9638871</v>
      </c>
      <c r="Q44" s="22">
        <v>446052</v>
      </c>
      <c r="R44" s="22">
        <v>0</v>
      </c>
      <c r="S44" s="22">
        <v>2390884</v>
      </c>
      <c r="T44" s="22">
        <v>10118000</v>
      </c>
      <c r="U44" s="23">
        <v>585627984</v>
      </c>
    </row>
    <row r="45" spans="1:21" ht="14.25" customHeight="1" x14ac:dyDescent="0.2">
      <c r="A45" s="20" t="s">
        <v>51</v>
      </c>
      <c r="B45" s="21" t="str">
        <f>'Parcel Ct by Type'!B45</f>
        <v>R-NVAB</v>
      </c>
      <c r="C45" s="22">
        <v>872825489</v>
      </c>
      <c r="D45" s="22">
        <v>24767483095</v>
      </c>
      <c r="E45" s="22">
        <v>240942715</v>
      </c>
      <c r="F45" s="22">
        <v>5770426920</v>
      </c>
      <c r="G45" s="22">
        <v>1051639055</v>
      </c>
      <c r="H45" s="22">
        <v>1949026320</v>
      </c>
      <c r="I45" s="22">
        <v>342084070</v>
      </c>
      <c r="J45" s="22">
        <v>95955806</v>
      </c>
      <c r="K45" s="22">
        <v>205253730</v>
      </c>
      <c r="L45" s="22">
        <v>3817187276</v>
      </c>
      <c r="M45" s="22">
        <v>52773278</v>
      </c>
      <c r="N45" s="22">
        <v>1421559523</v>
      </c>
      <c r="O45" s="22">
        <v>290046758</v>
      </c>
      <c r="P45" s="22">
        <v>542168367</v>
      </c>
      <c r="Q45" s="22">
        <v>6269172</v>
      </c>
      <c r="R45" s="22">
        <v>14154200</v>
      </c>
      <c r="S45" s="22">
        <v>62666085</v>
      </c>
      <c r="T45" s="22">
        <v>159522188</v>
      </c>
      <c r="U45" s="23">
        <v>41661984047</v>
      </c>
    </row>
    <row r="46" spans="1:21" ht="14.25" customHeight="1" x14ac:dyDescent="0.2">
      <c r="A46" s="20" t="s">
        <v>52</v>
      </c>
      <c r="B46" s="21" t="str">
        <f>'Parcel Ct by Type'!B46</f>
        <v>R-NVAB</v>
      </c>
      <c r="C46" s="22">
        <v>760307475</v>
      </c>
      <c r="D46" s="22">
        <v>11685040603</v>
      </c>
      <c r="E46" s="22">
        <v>717873328</v>
      </c>
      <c r="F46" s="22">
        <v>136179043</v>
      </c>
      <c r="G46" s="22">
        <v>457922427</v>
      </c>
      <c r="H46" s="22">
        <v>494592474</v>
      </c>
      <c r="I46" s="22">
        <v>0</v>
      </c>
      <c r="J46" s="22">
        <v>103111698</v>
      </c>
      <c r="K46" s="22">
        <v>248070918</v>
      </c>
      <c r="L46" s="22">
        <v>2767350038</v>
      </c>
      <c r="M46" s="22">
        <v>36198522</v>
      </c>
      <c r="N46" s="22">
        <v>1035471252</v>
      </c>
      <c r="O46" s="22">
        <v>1254661574</v>
      </c>
      <c r="P46" s="22">
        <v>233762872</v>
      </c>
      <c r="Q46" s="22">
        <v>3210601</v>
      </c>
      <c r="R46" s="22">
        <v>6489659</v>
      </c>
      <c r="S46" s="22">
        <v>32368156</v>
      </c>
      <c r="T46" s="22">
        <v>155948037</v>
      </c>
      <c r="U46" s="23">
        <v>20128558677</v>
      </c>
    </row>
    <row r="47" spans="1:21" ht="14.25" customHeight="1" x14ac:dyDescent="0.2">
      <c r="A47" s="20" t="s">
        <v>53</v>
      </c>
      <c r="B47" s="21" t="str">
        <f>'Parcel Ct by Type'!B47</f>
        <v>R-NVAB</v>
      </c>
      <c r="C47" s="22">
        <v>423222429</v>
      </c>
      <c r="D47" s="22">
        <v>15387461173</v>
      </c>
      <c r="E47" s="22">
        <v>140815170</v>
      </c>
      <c r="F47" s="22">
        <v>1791749900</v>
      </c>
      <c r="G47" s="22">
        <v>202550633</v>
      </c>
      <c r="H47" s="22">
        <v>232536913</v>
      </c>
      <c r="I47" s="22">
        <v>51321314</v>
      </c>
      <c r="J47" s="22">
        <v>143803504</v>
      </c>
      <c r="K47" s="22">
        <v>160313518</v>
      </c>
      <c r="L47" s="22">
        <v>2080276686</v>
      </c>
      <c r="M47" s="22">
        <v>37077467</v>
      </c>
      <c r="N47" s="22">
        <v>607365684</v>
      </c>
      <c r="O47" s="22">
        <v>296826037</v>
      </c>
      <c r="P47" s="22">
        <v>296816666</v>
      </c>
      <c r="Q47" s="22">
        <v>43167107</v>
      </c>
      <c r="R47" s="22">
        <v>0</v>
      </c>
      <c r="S47" s="22">
        <v>144620288</v>
      </c>
      <c r="T47" s="22">
        <v>119490310</v>
      </c>
      <c r="U47" s="23">
        <v>22159414799</v>
      </c>
    </row>
    <row r="48" spans="1:21" ht="14.25" customHeight="1" x14ac:dyDescent="0.2">
      <c r="A48" s="20" t="s">
        <v>54</v>
      </c>
      <c r="B48" s="21" t="str">
        <f>'Parcel Ct by Type'!B48</f>
        <v>R-NVAB</v>
      </c>
      <c r="C48" s="22">
        <v>1002511259</v>
      </c>
      <c r="D48" s="22">
        <v>18572038192</v>
      </c>
      <c r="E48" s="22">
        <v>977027597</v>
      </c>
      <c r="F48" s="22">
        <v>3606719554</v>
      </c>
      <c r="G48" s="22">
        <v>1064749995</v>
      </c>
      <c r="H48" s="22">
        <v>335498771</v>
      </c>
      <c r="I48" s="22">
        <v>10349645</v>
      </c>
      <c r="J48" s="22">
        <v>81234401</v>
      </c>
      <c r="K48" s="22">
        <v>129548507</v>
      </c>
      <c r="L48" s="22">
        <v>4966198526</v>
      </c>
      <c r="M48" s="22">
        <v>6038275</v>
      </c>
      <c r="N48" s="22">
        <v>206426256</v>
      </c>
      <c r="O48" s="22">
        <v>93109</v>
      </c>
      <c r="P48" s="22">
        <v>74022355</v>
      </c>
      <c r="Q48" s="22">
        <v>10865453</v>
      </c>
      <c r="R48" s="22">
        <v>3832865</v>
      </c>
      <c r="S48" s="22">
        <v>47008753</v>
      </c>
      <c r="T48" s="22">
        <v>4569216</v>
      </c>
      <c r="U48" s="23">
        <v>31098732729</v>
      </c>
    </row>
    <row r="49" spans="1:21" ht="14.25" customHeight="1" x14ac:dyDescent="0.2">
      <c r="A49" s="20" t="s">
        <v>55</v>
      </c>
      <c r="B49" s="21" t="str">
        <f>'Parcel Ct by Type'!B49</f>
        <v>R-NVAB</v>
      </c>
      <c r="C49" s="22">
        <v>570539249</v>
      </c>
      <c r="D49" s="22">
        <v>5986350676</v>
      </c>
      <c r="E49" s="22">
        <v>312774326</v>
      </c>
      <c r="F49" s="22">
        <v>1603245082</v>
      </c>
      <c r="G49" s="22">
        <v>133638419</v>
      </c>
      <c r="H49" s="22">
        <v>188347957</v>
      </c>
      <c r="I49" s="22">
        <v>0</v>
      </c>
      <c r="J49" s="22">
        <v>65278955</v>
      </c>
      <c r="K49" s="22">
        <v>78139830</v>
      </c>
      <c r="L49" s="22">
        <v>814034631</v>
      </c>
      <c r="M49" s="22">
        <v>7675174</v>
      </c>
      <c r="N49" s="22">
        <v>152447320</v>
      </c>
      <c r="O49" s="22">
        <v>240536306</v>
      </c>
      <c r="P49" s="22">
        <v>19709577</v>
      </c>
      <c r="Q49" s="22">
        <v>27959754</v>
      </c>
      <c r="R49" s="22">
        <v>995040</v>
      </c>
      <c r="S49" s="22">
        <v>11765537</v>
      </c>
      <c r="T49" s="22">
        <v>36380828</v>
      </c>
      <c r="U49" s="23">
        <v>10249818661</v>
      </c>
    </row>
    <row r="50" spans="1:21" ht="14.25" customHeight="1" x14ac:dyDescent="0.2">
      <c r="A50" s="20" t="s">
        <v>56</v>
      </c>
      <c r="B50" s="21" t="str">
        <f>'Parcel Ct by Type'!B50</f>
        <v>R-NVAB</v>
      </c>
      <c r="C50" s="22">
        <v>511750007</v>
      </c>
      <c r="D50" s="22">
        <v>11852678918</v>
      </c>
      <c r="E50" s="22">
        <v>147104817</v>
      </c>
      <c r="F50" s="22">
        <v>3992554069</v>
      </c>
      <c r="G50" s="22">
        <v>152019546</v>
      </c>
      <c r="H50" s="22">
        <v>591580936</v>
      </c>
      <c r="I50" s="22">
        <v>840000</v>
      </c>
      <c r="J50" s="22">
        <v>698627</v>
      </c>
      <c r="K50" s="22">
        <v>151883523</v>
      </c>
      <c r="L50" s="22">
        <v>2130106961</v>
      </c>
      <c r="M50" s="22">
        <v>2223283</v>
      </c>
      <c r="N50" s="22">
        <v>317227741</v>
      </c>
      <c r="O50" s="22">
        <v>130990043</v>
      </c>
      <c r="P50" s="22">
        <v>123422444</v>
      </c>
      <c r="Q50" s="22">
        <v>14228385</v>
      </c>
      <c r="R50" s="22">
        <v>0</v>
      </c>
      <c r="S50" s="22">
        <v>9230290</v>
      </c>
      <c r="T50" s="22">
        <v>57067768</v>
      </c>
      <c r="U50" s="23">
        <v>20185607358</v>
      </c>
    </row>
    <row r="51" spans="1:21" ht="14.25" customHeight="1" x14ac:dyDescent="0.2">
      <c r="A51" s="20" t="s">
        <v>57</v>
      </c>
      <c r="B51" s="21" t="str">
        <f>'Parcel Ct by Type'!B51</f>
        <v>R-NVAB</v>
      </c>
      <c r="C51" s="22">
        <v>116615755</v>
      </c>
      <c r="D51" s="22">
        <v>715493412</v>
      </c>
      <c r="E51" s="22">
        <v>278889272</v>
      </c>
      <c r="F51" s="22">
        <v>10192040</v>
      </c>
      <c r="G51" s="22">
        <v>54047545</v>
      </c>
      <c r="H51" s="22">
        <v>10483103</v>
      </c>
      <c r="I51" s="22" t="s">
        <v>106</v>
      </c>
      <c r="J51" s="22">
        <v>459086</v>
      </c>
      <c r="K51" s="22">
        <v>13961037</v>
      </c>
      <c r="L51" s="22">
        <v>292879443</v>
      </c>
      <c r="M51" s="22">
        <v>6680501</v>
      </c>
      <c r="N51" s="22">
        <v>61079144</v>
      </c>
      <c r="O51" s="22">
        <v>249281670</v>
      </c>
      <c r="P51" s="22">
        <v>21668731</v>
      </c>
      <c r="Q51" s="22">
        <v>0</v>
      </c>
      <c r="R51" s="22">
        <v>2352402</v>
      </c>
      <c r="S51" s="22">
        <v>48331941</v>
      </c>
      <c r="T51" s="22">
        <v>17367058</v>
      </c>
      <c r="U51" s="23">
        <v>1899782140</v>
      </c>
    </row>
    <row r="52" spans="1:21" ht="14.25" customHeight="1" x14ac:dyDescent="0.2">
      <c r="A52" s="20" t="s">
        <v>58</v>
      </c>
      <c r="B52" s="21" t="str">
        <f>'Parcel Ct by Type'!B52</f>
        <v>R-NVAB</v>
      </c>
      <c r="C52" s="22">
        <v>1514293136</v>
      </c>
      <c r="D52" s="22">
        <v>66610603871</v>
      </c>
      <c r="E52" s="22">
        <v>237366811</v>
      </c>
      <c r="F52" s="22">
        <v>5631622817</v>
      </c>
      <c r="G52" s="22">
        <v>824777192</v>
      </c>
      <c r="H52" s="22">
        <v>17380852542</v>
      </c>
      <c r="I52" s="22">
        <v>4020759</v>
      </c>
      <c r="J52" s="22">
        <v>59840599</v>
      </c>
      <c r="K52" s="22">
        <v>1994227296</v>
      </c>
      <c r="L52" s="22">
        <v>43327510390</v>
      </c>
      <c r="M52" s="22">
        <v>285295396</v>
      </c>
      <c r="N52" s="22">
        <v>9160216543</v>
      </c>
      <c r="O52" s="22">
        <v>321568540</v>
      </c>
      <c r="P52" s="22">
        <v>632943244</v>
      </c>
      <c r="Q52" s="22">
        <v>397603335</v>
      </c>
      <c r="R52" s="22">
        <v>3551029</v>
      </c>
      <c r="S52" s="22">
        <v>76321462</v>
      </c>
      <c r="T52" s="22">
        <v>483286247</v>
      </c>
      <c r="U52" s="23">
        <v>148945901209</v>
      </c>
    </row>
    <row r="53" spans="1:21" ht="14.25" customHeight="1" x14ac:dyDescent="0.2">
      <c r="A53" s="20" t="s">
        <v>59</v>
      </c>
      <c r="B53" s="21" t="str">
        <f>'Parcel Ct by Type'!B53</f>
        <v>R-NVAB</v>
      </c>
      <c r="C53" s="22">
        <v>754502568</v>
      </c>
      <c r="D53" s="22">
        <v>18920250838</v>
      </c>
      <c r="E53" s="22">
        <v>296588500</v>
      </c>
      <c r="F53" s="22">
        <v>4507621113</v>
      </c>
      <c r="G53" s="22">
        <v>167916198</v>
      </c>
      <c r="H53" s="22">
        <v>2091678619</v>
      </c>
      <c r="I53" s="22">
        <v>0</v>
      </c>
      <c r="J53" s="22">
        <v>13092226</v>
      </c>
      <c r="K53" s="22">
        <v>441112610</v>
      </c>
      <c r="L53" s="22">
        <v>3927030838</v>
      </c>
      <c r="M53" s="22">
        <v>38134510</v>
      </c>
      <c r="N53" s="22">
        <v>582963200</v>
      </c>
      <c r="O53" s="22">
        <v>206442317</v>
      </c>
      <c r="P53" s="22">
        <v>341244354</v>
      </c>
      <c r="Q53" s="22">
        <v>8031134</v>
      </c>
      <c r="R53" s="22">
        <v>3075623</v>
      </c>
      <c r="S53" s="22">
        <v>41676458</v>
      </c>
      <c r="T53" s="22">
        <v>125740388</v>
      </c>
      <c r="U53" s="23">
        <v>32467101494</v>
      </c>
    </row>
    <row r="54" spans="1:21" ht="14.25" customHeight="1" x14ac:dyDescent="0.2">
      <c r="A54" s="20" t="s">
        <v>60</v>
      </c>
      <c r="B54" s="21" t="str">
        <f>'Parcel Ct by Type'!B54</f>
        <v>R-NVAB</v>
      </c>
      <c r="C54" s="22">
        <v>3977911502</v>
      </c>
      <c r="D54" s="22">
        <v>118995363076</v>
      </c>
      <c r="E54" s="22">
        <v>180525902</v>
      </c>
      <c r="F54" s="22">
        <v>34137322102</v>
      </c>
      <c r="G54" s="22">
        <v>2612065986</v>
      </c>
      <c r="H54" s="22">
        <v>10031791255</v>
      </c>
      <c r="I54" s="22">
        <v>1040011111</v>
      </c>
      <c r="J54" s="22">
        <v>513446456</v>
      </c>
      <c r="K54" s="22">
        <v>1176566018</v>
      </c>
      <c r="L54" s="22">
        <v>26948763142</v>
      </c>
      <c r="M54" s="22">
        <v>198271712</v>
      </c>
      <c r="N54" s="22">
        <v>6452026117</v>
      </c>
      <c r="O54" s="22">
        <v>2326612789</v>
      </c>
      <c r="P54" s="22">
        <v>2105716502</v>
      </c>
      <c r="Q54" s="22">
        <v>24581753</v>
      </c>
      <c r="R54" s="22">
        <v>313804042</v>
      </c>
      <c r="S54" s="22">
        <v>371726173</v>
      </c>
      <c r="T54" s="22">
        <v>12035643</v>
      </c>
      <c r="U54" s="23">
        <v>211418541281</v>
      </c>
    </row>
    <row r="55" spans="1:21" ht="14.25" customHeight="1" x14ac:dyDescent="0.2">
      <c r="A55" s="20" t="s">
        <v>61</v>
      </c>
      <c r="B55" s="21" t="str">
        <f>'Parcel Ct by Type'!B55</f>
        <v>R-NVAB</v>
      </c>
      <c r="C55" s="22">
        <v>979177125</v>
      </c>
      <c r="D55" s="22">
        <v>22348896023</v>
      </c>
      <c r="E55" s="22">
        <v>1044993881</v>
      </c>
      <c r="F55" s="22">
        <v>642134338</v>
      </c>
      <c r="G55" s="22">
        <v>333234723</v>
      </c>
      <c r="H55" s="22">
        <v>1557752554</v>
      </c>
      <c r="I55" s="22">
        <v>0</v>
      </c>
      <c r="J55" s="22">
        <v>58220855</v>
      </c>
      <c r="K55" s="22">
        <v>494819705</v>
      </c>
      <c r="L55" s="22">
        <v>3672294141</v>
      </c>
      <c r="M55" s="22">
        <v>42069743</v>
      </c>
      <c r="N55" s="22">
        <v>808749440</v>
      </c>
      <c r="O55" s="22">
        <v>312694322</v>
      </c>
      <c r="P55" s="22">
        <v>382002033</v>
      </c>
      <c r="Q55" s="22">
        <v>5806471</v>
      </c>
      <c r="R55" s="22">
        <v>251761</v>
      </c>
      <c r="S55" s="22">
        <v>51896488</v>
      </c>
      <c r="T55" s="22">
        <v>110614787</v>
      </c>
      <c r="U55" s="23">
        <v>32845608390</v>
      </c>
    </row>
    <row r="56" spans="1:21" ht="14.25" customHeight="1" x14ac:dyDescent="0.2">
      <c r="A56" s="20" t="s">
        <v>62</v>
      </c>
      <c r="B56" s="21" t="str">
        <f>'Parcel Ct by Type'!B56</f>
        <v>R-NVAB</v>
      </c>
      <c r="C56" s="22">
        <v>929268277</v>
      </c>
      <c r="D56" s="22">
        <v>44527990615</v>
      </c>
      <c r="E56" s="22">
        <v>710020859</v>
      </c>
      <c r="F56" s="22">
        <v>17088303493</v>
      </c>
      <c r="G56" s="22">
        <v>3138082419</v>
      </c>
      <c r="H56" s="22">
        <v>6623547691</v>
      </c>
      <c r="I56" s="22">
        <v>108449322</v>
      </c>
      <c r="J56" s="22">
        <v>19723991</v>
      </c>
      <c r="K56" s="22">
        <v>680803481</v>
      </c>
      <c r="L56" s="22">
        <v>13852515848</v>
      </c>
      <c r="M56" s="22">
        <v>127579529</v>
      </c>
      <c r="N56" s="22">
        <v>3776280626</v>
      </c>
      <c r="O56" s="22">
        <v>16200850</v>
      </c>
      <c r="P56" s="22">
        <v>1074639518</v>
      </c>
      <c r="Q56" s="22">
        <v>5393246</v>
      </c>
      <c r="R56" s="22">
        <v>95611186</v>
      </c>
      <c r="S56" s="22">
        <v>175479562</v>
      </c>
      <c r="T56" s="22">
        <v>8324235</v>
      </c>
      <c r="U56" s="23">
        <v>92958214748</v>
      </c>
    </row>
    <row r="57" spans="1:21" ht="14.25" customHeight="1" x14ac:dyDescent="0.2">
      <c r="A57" s="20" t="s">
        <v>63</v>
      </c>
      <c r="B57" s="21" t="str">
        <f>'Parcel Ct by Type'!B57</f>
        <v>R-NVAB</v>
      </c>
      <c r="C57" s="22">
        <v>1000981734</v>
      </c>
      <c r="D57" s="22">
        <v>22049312220</v>
      </c>
      <c r="E57" s="22">
        <v>1234342397</v>
      </c>
      <c r="F57" s="22">
        <v>484451723</v>
      </c>
      <c r="G57" s="22">
        <v>635288282</v>
      </c>
      <c r="H57" s="22">
        <v>1526683151</v>
      </c>
      <c r="I57" s="22">
        <v>5301351</v>
      </c>
      <c r="J57" s="22">
        <v>269840690</v>
      </c>
      <c r="K57" s="22">
        <v>427110344</v>
      </c>
      <c r="L57" s="22">
        <v>5172865775</v>
      </c>
      <c r="M57" s="22">
        <v>113053538</v>
      </c>
      <c r="N57" s="22">
        <v>3412835559</v>
      </c>
      <c r="O57" s="22">
        <v>546226743</v>
      </c>
      <c r="P57" s="22">
        <v>58583343</v>
      </c>
      <c r="Q57" s="22">
        <v>5752455</v>
      </c>
      <c r="R57" s="22">
        <v>0</v>
      </c>
      <c r="S57" s="22">
        <v>222988340</v>
      </c>
      <c r="T57" s="22">
        <v>275497275</v>
      </c>
      <c r="U57" s="23">
        <v>37441114920</v>
      </c>
    </row>
    <row r="58" spans="1:21" ht="14.25" customHeight="1" x14ac:dyDescent="0.2">
      <c r="A58" s="20" t="s">
        <v>64</v>
      </c>
      <c r="B58" s="21" t="str">
        <f>'Parcel Ct by Type'!B58</f>
        <v>R-NVAB</v>
      </c>
      <c r="C58" s="22">
        <v>240930992</v>
      </c>
      <c r="D58" s="22">
        <v>1475490144</v>
      </c>
      <c r="E58" s="22">
        <v>497853841</v>
      </c>
      <c r="F58" s="22">
        <v>22807270</v>
      </c>
      <c r="G58" s="22">
        <v>17084837</v>
      </c>
      <c r="H58" s="22">
        <v>29196003</v>
      </c>
      <c r="I58" s="22">
        <v>0</v>
      </c>
      <c r="J58" s="22">
        <v>81779975</v>
      </c>
      <c r="K58" s="22">
        <v>23054303</v>
      </c>
      <c r="L58" s="22">
        <v>690934362</v>
      </c>
      <c r="M58" s="22">
        <v>5882905</v>
      </c>
      <c r="N58" s="22">
        <v>158527312</v>
      </c>
      <c r="O58" s="22">
        <v>73815122</v>
      </c>
      <c r="P58" s="22">
        <v>42429898</v>
      </c>
      <c r="Q58" s="22">
        <v>4376270</v>
      </c>
      <c r="R58" s="22">
        <v>0</v>
      </c>
      <c r="S58" s="22">
        <v>61945844</v>
      </c>
      <c r="T58" s="22">
        <v>58193320</v>
      </c>
      <c r="U58" s="23">
        <v>3484302398</v>
      </c>
    </row>
    <row r="59" spans="1:21" ht="14.25" customHeight="1" x14ac:dyDescent="0.2">
      <c r="A59" s="20" t="s">
        <v>65</v>
      </c>
      <c r="B59" s="21" t="str">
        <f>'Parcel Ct by Type'!B59</f>
        <v>R-NVAB</v>
      </c>
      <c r="C59" s="22">
        <v>1280539095</v>
      </c>
      <c r="D59" s="22">
        <v>24036255305</v>
      </c>
      <c r="E59" s="22">
        <v>293769271</v>
      </c>
      <c r="F59" s="22">
        <v>3013582848</v>
      </c>
      <c r="G59" s="22">
        <v>534432550</v>
      </c>
      <c r="H59" s="22">
        <v>370903319</v>
      </c>
      <c r="I59" s="22">
        <v>0</v>
      </c>
      <c r="J59" s="22">
        <v>249494</v>
      </c>
      <c r="K59" s="22">
        <v>324188297</v>
      </c>
      <c r="L59" s="22">
        <v>2473758043</v>
      </c>
      <c r="M59" s="22">
        <v>14230065</v>
      </c>
      <c r="N59" s="22">
        <v>449413569</v>
      </c>
      <c r="O59" s="22">
        <v>136710308</v>
      </c>
      <c r="P59" s="22">
        <v>254109925</v>
      </c>
      <c r="Q59" s="22">
        <v>19242910</v>
      </c>
      <c r="R59" s="22">
        <v>5482226</v>
      </c>
      <c r="S59" s="22">
        <v>35397738</v>
      </c>
      <c r="T59" s="22">
        <v>135879360</v>
      </c>
      <c r="U59" s="23">
        <v>33378144323</v>
      </c>
    </row>
    <row r="60" spans="1:21" ht="14.25" customHeight="1" x14ac:dyDescent="0.2">
      <c r="A60" s="20" t="s">
        <v>66</v>
      </c>
      <c r="B60" s="21" t="str">
        <f>'Parcel Ct by Type'!B60</f>
        <v>R-NVAB</v>
      </c>
      <c r="C60" s="22">
        <v>816846929</v>
      </c>
      <c r="D60" s="22">
        <v>13536932263</v>
      </c>
      <c r="E60" s="22">
        <v>313054868</v>
      </c>
      <c r="F60" s="22">
        <v>2363581004</v>
      </c>
      <c r="G60" s="22">
        <v>191596195</v>
      </c>
      <c r="H60" s="22">
        <v>357846138</v>
      </c>
      <c r="I60" s="22">
        <v>0</v>
      </c>
      <c r="J60" s="22">
        <v>10921242</v>
      </c>
      <c r="K60" s="22">
        <v>287347512</v>
      </c>
      <c r="L60" s="22">
        <v>2410696659</v>
      </c>
      <c r="M60" s="22">
        <v>79344348</v>
      </c>
      <c r="N60" s="22">
        <v>805422475</v>
      </c>
      <c r="O60" s="22">
        <v>172744124</v>
      </c>
      <c r="P60" s="22">
        <v>252115727</v>
      </c>
      <c r="Q60" s="22">
        <v>5053425</v>
      </c>
      <c r="R60" s="22">
        <v>0</v>
      </c>
      <c r="S60" s="22">
        <v>222997325</v>
      </c>
      <c r="T60" s="22">
        <v>124840855</v>
      </c>
      <c r="U60" s="23">
        <v>21951341089</v>
      </c>
    </row>
    <row r="61" spans="1:21" ht="14.25" customHeight="1" x14ac:dyDescent="0.2">
      <c r="A61" s="20" t="s">
        <v>67</v>
      </c>
      <c r="B61" s="21" t="str">
        <f>'Parcel Ct by Type'!B61</f>
        <v>R-NVAB</v>
      </c>
      <c r="C61" s="22">
        <v>591680890</v>
      </c>
      <c r="D61" s="22">
        <v>8450174071</v>
      </c>
      <c r="E61" s="22">
        <v>199359848</v>
      </c>
      <c r="F61" s="22">
        <v>487919767</v>
      </c>
      <c r="G61" s="22">
        <v>81723047</v>
      </c>
      <c r="H61" s="22">
        <v>121860185</v>
      </c>
      <c r="I61" s="22">
        <v>0</v>
      </c>
      <c r="J61" s="22">
        <v>2778840</v>
      </c>
      <c r="K61" s="22">
        <v>148660195</v>
      </c>
      <c r="L61" s="22">
        <v>771589326</v>
      </c>
      <c r="M61" s="22">
        <v>15332405</v>
      </c>
      <c r="N61" s="22">
        <v>170765018</v>
      </c>
      <c r="O61" s="22">
        <v>181301812</v>
      </c>
      <c r="P61" s="22">
        <v>103079008</v>
      </c>
      <c r="Q61" s="22">
        <v>4483145</v>
      </c>
      <c r="R61" s="22">
        <v>102</v>
      </c>
      <c r="S61" s="22">
        <v>84969031</v>
      </c>
      <c r="T61" s="22">
        <v>65472615</v>
      </c>
      <c r="U61" s="23">
        <v>11481149305</v>
      </c>
    </row>
    <row r="62" spans="1:21" ht="14.25" customHeight="1" x14ac:dyDescent="0.2">
      <c r="A62" s="20" t="s">
        <v>68</v>
      </c>
      <c r="B62" s="21" t="str">
        <f>'Parcel Ct by Type'!B62</f>
        <v>R-NVAB</v>
      </c>
      <c r="C62" s="22">
        <v>1704126391</v>
      </c>
      <c r="D62" s="22">
        <v>35743137842</v>
      </c>
      <c r="E62" s="22">
        <v>794348953</v>
      </c>
      <c r="F62" s="22">
        <v>14207708773</v>
      </c>
      <c r="G62" s="22">
        <v>2060638682</v>
      </c>
      <c r="H62" s="22">
        <v>1846901370</v>
      </c>
      <c r="I62" s="22">
        <v>80024927</v>
      </c>
      <c r="J62" s="22">
        <v>421179832</v>
      </c>
      <c r="K62" s="22">
        <v>443916915</v>
      </c>
      <c r="L62" s="22">
        <v>7902219504</v>
      </c>
      <c r="M62" s="22">
        <v>35473338</v>
      </c>
      <c r="N62" s="22">
        <v>1503603268</v>
      </c>
      <c r="O62" s="22">
        <v>108330637</v>
      </c>
      <c r="P62" s="22">
        <v>805114125</v>
      </c>
      <c r="Q62" s="22">
        <v>4518848</v>
      </c>
      <c r="R62" s="22">
        <v>831590</v>
      </c>
      <c r="S62" s="22">
        <v>85438001</v>
      </c>
      <c r="T62" s="22">
        <v>225955790</v>
      </c>
      <c r="U62" s="23">
        <v>67973468786</v>
      </c>
    </row>
    <row r="63" spans="1:21" ht="14.25" customHeight="1" x14ac:dyDescent="0.2">
      <c r="A63" s="20" t="s">
        <v>69</v>
      </c>
      <c r="B63" s="21" t="str">
        <f>'Parcel Ct by Type'!B63</f>
        <v>R-NVAB</v>
      </c>
      <c r="C63" s="22">
        <v>441572667</v>
      </c>
      <c r="D63" s="22">
        <v>23716263370</v>
      </c>
      <c r="E63" s="22">
        <v>93359800</v>
      </c>
      <c r="F63" s="22">
        <v>1201573559</v>
      </c>
      <c r="G63" s="22">
        <v>187389016</v>
      </c>
      <c r="H63" s="22">
        <v>3963352315</v>
      </c>
      <c r="I63" s="22">
        <v>9384828</v>
      </c>
      <c r="J63" s="22">
        <v>39489650</v>
      </c>
      <c r="K63" s="22">
        <v>408725718</v>
      </c>
      <c r="L63" s="22">
        <v>5469589015</v>
      </c>
      <c r="M63" s="22">
        <v>72465220</v>
      </c>
      <c r="N63" s="22">
        <v>1607648041</v>
      </c>
      <c r="O63" s="22">
        <v>32613485</v>
      </c>
      <c r="P63" s="22">
        <v>520183692</v>
      </c>
      <c r="Q63" s="22">
        <v>5116853</v>
      </c>
      <c r="R63" s="22" t="s">
        <v>106</v>
      </c>
      <c r="S63" s="22">
        <v>54393887</v>
      </c>
      <c r="T63" s="22">
        <v>294759</v>
      </c>
      <c r="U63" s="23">
        <v>37823415875</v>
      </c>
    </row>
    <row r="64" spans="1:21" ht="14.25" customHeight="1" x14ac:dyDescent="0.2">
      <c r="A64" s="20" t="s">
        <v>70</v>
      </c>
      <c r="B64" s="21" t="str">
        <f>'Parcel Ct by Type'!B64</f>
        <v>R-NVAB</v>
      </c>
      <c r="C64" s="22">
        <v>147058615</v>
      </c>
      <c r="D64" s="22">
        <v>11745248768</v>
      </c>
      <c r="E64" s="22">
        <v>179818335</v>
      </c>
      <c r="F64" s="22">
        <v>39387746</v>
      </c>
      <c r="G64" s="22">
        <v>7515320</v>
      </c>
      <c r="H64" s="22">
        <v>112628770</v>
      </c>
      <c r="I64" s="22">
        <v>200</v>
      </c>
      <c r="J64" s="22">
        <v>14598870</v>
      </c>
      <c r="K64" s="22">
        <v>108569130</v>
      </c>
      <c r="L64" s="22">
        <v>1075244673</v>
      </c>
      <c r="M64" s="22">
        <v>3117540</v>
      </c>
      <c r="N64" s="22">
        <v>185865070</v>
      </c>
      <c r="O64" s="22">
        <v>290636126</v>
      </c>
      <c r="P64" s="22">
        <v>324624236</v>
      </c>
      <c r="Q64" s="22">
        <v>10167480</v>
      </c>
      <c r="R64" s="22" t="s">
        <v>106</v>
      </c>
      <c r="S64" s="22">
        <v>21380990</v>
      </c>
      <c r="T64" s="22">
        <v>48115436</v>
      </c>
      <c r="U64" s="23">
        <v>14313977305</v>
      </c>
    </row>
    <row r="65" spans="1:21" ht="14.25" customHeight="1" x14ac:dyDescent="0.2">
      <c r="A65" s="20" t="s">
        <v>71</v>
      </c>
      <c r="B65" s="21" t="str">
        <f>'Parcel Ct by Type'!B65</f>
        <v>R-Final</v>
      </c>
      <c r="C65" s="22">
        <v>143268753</v>
      </c>
      <c r="D65" s="22">
        <v>434595800</v>
      </c>
      <c r="E65" s="22">
        <v>214214110</v>
      </c>
      <c r="F65" s="22">
        <v>0</v>
      </c>
      <c r="G65" s="22">
        <v>6784350</v>
      </c>
      <c r="H65" s="22">
        <v>5785055</v>
      </c>
      <c r="I65" s="22">
        <v>0</v>
      </c>
      <c r="J65" s="22">
        <v>0</v>
      </c>
      <c r="K65" s="22">
        <v>18268899</v>
      </c>
      <c r="L65" s="22">
        <v>157348611</v>
      </c>
      <c r="M65" s="22">
        <v>31824</v>
      </c>
      <c r="N65" s="22">
        <v>100267083</v>
      </c>
      <c r="O65" s="22">
        <v>268652865</v>
      </c>
      <c r="P65" s="22">
        <v>13669927</v>
      </c>
      <c r="Q65" s="22">
        <v>2988073</v>
      </c>
      <c r="R65" s="22">
        <v>0</v>
      </c>
      <c r="S65" s="22">
        <v>9562412</v>
      </c>
      <c r="T65" s="22">
        <v>41364421</v>
      </c>
      <c r="U65" s="23">
        <v>1416802183</v>
      </c>
    </row>
    <row r="66" spans="1:21" ht="14.25" customHeight="1" x14ac:dyDescent="0.2">
      <c r="A66" s="20" t="s">
        <v>72</v>
      </c>
      <c r="B66" s="21" t="str">
        <f>'Parcel Ct by Type'!B66</f>
        <v>R-Final</v>
      </c>
      <c r="C66" s="22">
        <v>100276400</v>
      </c>
      <c r="D66" s="22">
        <v>343556497</v>
      </c>
      <c r="E66" s="22">
        <v>90622544</v>
      </c>
      <c r="F66" s="22">
        <v>12033240</v>
      </c>
      <c r="G66" s="22">
        <v>3236440</v>
      </c>
      <c r="H66" s="22">
        <v>7025100</v>
      </c>
      <c r="I66" s="22">
        <v>0</v>
      </c>
      <c r="J66" s="22">
        <v>0</v>
      </c>
      <c r="K66" s="22">
        <v>2596810</v>
      </c>
      <c r="L66" s="22">
        <v>90512570</v>
      </c>
      <c r="M66" s="22">
        <v>0</v>
      </c>
      <c r="N66" s="22">
        <v>24386775</v>
      </c>
      <c r="O66" s="22">
        <v>187146616</v>
      </c>
      <c r="P66" s="22">
        <v>2424370</v>
      </c>
      <c r="Q66" s="22">
        <v>0</v>
      </c>
      <c r="R66" s="22">
        <v>150290</v>
      </c>
      <c r="S66" s="22">
        <v>5968086</v>
      </c>
      <c r="T66" s="22">
        <v>18987046</v>
      </c>
      <c r="U66" s="23">
        <v>888922784</v>
      </c>
    </row>
    <row r="67" spans="1:21" ht="14.25" customHeight="1" x14ac:dyDescent="0.2">
      <c r="A67" s="20" t="s">
        <v>73</v>
      </c>
      <c r="B67" s="21" t="str">
        <f>'Parcel Ct by Type'!B67</f>
        <v>R-Final</v>
      </c>
      <c r="C67" s="22">
        <v>9375906</v>
      </c>
      <c r="D67" s="22">
        <v>69238998</v>
      </c>
      <c r="E67" s="22">
        <v>26270535</v>
      </c>
      <c r="F67" s="22">
        <v>1215000</v>
      </c>
      <c r="G67" s="22">
        <v>37710</v>
      </c>
      <c r="H67" s="22">
        <v>2000095</v>
      </c>
      <c r="I67" s="22">
        <v>0</v>
      </c>
      <c r="J67" s="22">
        <v>1320445</v>
      </c>
      <c r="K67" s="22">
        <v>471397</v>
      </c>
      <c r="L67" s="22">
        <v>14219606</v>
      </c>
      <c r="M67" s="22">
        <v>250000</v>
      </c>
      <c r="N67" s="22">
        <v>3143952</v>
      </c>
      <c r="O67" s="22">
        <v>89775993</v>
      </c>
      <c r="P67" s="22">
        <v>1366825</v>
      </c>
      <c r="Q67" s="22">
        <v>51008</v>
      </c>
      <c r="R67" s="22">
        <v>0</v>
      </c>
      <c r="S67" s="22">
        <v>6536933</v>
      </c>
      <c r="T67" s="22">
        <v>0</v>
      </c>
      <c r="U67" s="23">
        <v>225274403</v>
      </c>
    </row>
    <row r="68" spans="1:21" ht="14.25" customHeight="1" x14ac:dyDescent="0.2">
      <c r="A68" s="20" t="s">
        <v>74</v>
      </c>
      <c r="B68" s="21" t="str">
        <f>'Parcel Ct by Type'!B68</f>
        <v>R-NVAB</v>
      </c>
      <c r="C68" s="22">
        <v>833908828</v>
      </c>
      <c r="D68" s="22">
        <v>22728669245</v>
      </c>
      <c r="E68" s="22">
        <v>353766644</v>
      </c>
      <c r="F68" s="22">
        <v>5676027616</v>
      </c>
      <c r="G68" s="22">
        <v>450433796</v>
      </c>
      <c r="H68" s="22">
        <v>1489180737</v>
      </c>
      <c r="I68" s="22">
        <v>27381277</v>
      </c>
      <c r="J68" s="22">
        <v>47759</v>
      </c>
      <c r="K68" s="22">
        <v>475510875</v>
      </c>
      <c r="L68" s="22">
        <v>5044402500</v>
      </c>
      <c r="M68" s="22">
        <v>50816848</v>
      </c>
      <c r="N68" s="22">
        <v>1087627208</v>
      </c>
      <c r="O68" s="22">
        <v>292273542</v>
      </c>
      <c r="P68" s="22">
        <v>333114488</v>
      </c>
      <c r="Q68" s="22">
        <v>25222392</v>
      </c>
      <c r="R68" s="22">
        <v>78614335</v>
      </c>
      <c r="S68" s="22">
        <v>61649183</v>
      </c>
      <c r="T68" s="22">
        <v>163395757</v>
      </c>
      <c r="U68" s="23">
        <v>39172043030</v>
      </c>
    </row>
    <row r="69" spans="1:21" ht="14.25" customHeight="1" x14ac:dyDescent="0.2">
      <c r="A69" s="20" t="s">
        <v>75</v>
      </c>
      <c r="B69" s="21" t="str">
        <f>'Parcel Ct by Type'!B69</f>
        <v>R-Final</v>
      </c>
      <c r="C69" s="22">
        <v>91337974</v>
      </c>
      <c r="D69" s="22">
        <v>861780401</v>
      </c>
      <c r="E69" s="22">
        <v>99506799</v>
      </c>
      <c r="F69" s="22">
        <v>32930498</v>
      </c>
      <c r="G69" s="22">
        <v>2367466</v>
      </c>
      <c r="H69" s="22">
        <v>6675361</v>
      </c>
      <c r="I69" s="22">
        <v>0</v>
      </c>
      <c r="J69" s="22">
        <v>9353410</v>
      </c>
      <c r="K69" s="22">
        <v>13424131</v>
      </c>
      <c r="L69" s="22">
        <v>76432738</v>
      </c>
      <c r="M69" s="22">
        <v>394808</v>
      </c>
      <c r="N69" s="22">
        <v>26663303</v>
      </c>
      <c r="O69" s="22">
        <v>101923821</v>
      </c>
      <c r="P69" s="22">
        <v>3104388</v>
      </c>
      <c r="Q69" s="22">
        <v>712400</v>
      </c>
      <c r="R69" s="22">
        <v>0</v>
      </c>
      <c r="S69" s="22">
        <v>1787235</v>
      </c>
      <c r="T69" s="22">
        <v>11379056</v>
      </c>
      <c r="U69" s="23">
        <v>1339773789</v>
      </c>
    </row>
    <row r="70" spans="1:21" ht="14.25" customHeight="1" x14ac:dyDescent="0.2">
      <c r="A70" s="20" t="s">
        <v>76</v>
      </c>
      <c r="B70" s="21" t="str">
        <f>'Parcel Ct by Type'!B70</f>
        <v>R-Final</v>
      </c>
      <c r="C70" s="22">
        <v>1757705155</v>
      </c>
      <c r="D70" s="22">
        <v>16640690507</v>
      </c>
      <c r="E70" s="22">
        <v>134293415</v>
      </c>
      <c r="F70" s="22">
        <v>4318883960</v>
      </c>
      <c r="G70" s="22">
        <v>148095828</v>
      </c>
      <c r="H70" s="22">
        <v>199487717</v>
      </c>
      <c r="I70" s="22">
        <v>0</v>
      </c>
      <c r="J70" s="22">
        <v>98088597</v>
      </c>
      <c r="K70" s="22">
        <v>53661859</v>
      </c>
      <c r="L70" s="22">
        <v>1031400191</v>
      </c>
      <c r="M70" s="22">
        <v>2569752</v>
      </c>
      <c r="N70" s="22">
        <v>144932757</v>
      </c>
      <c r="O70" s="22">
        <v>136671730</v>
      </c>
      <c r="P70" s="22">
        <v>48989621</v>
      </c>
      <c r="Q70" s="22">
        <v>9265495</v>
      </c>
      <c r="R70" s="22">
        <v>0</v>
      </c>
      <c r="S70" s="22">
        <v>12004859</v>
      </c>
      <c r="T70" s="22">
        <v>149400193</v>
      </c>
      <c r="U70" s="23">
        <v>24886141636</v>
      </c>
    </row>
    <row r="71" spans="1:21" ht="14.25" customHeight="1" x14ac:dyDescent="0.2">
      <c r="A71" s="20" t="s">
        <v>77</v>
      </c>
      <c r="B71" s="21" t="str">
        <f>'Parcel Ct by Type'!B71</f>
        <v>R-Final</v>
      </c>
      <c r="C71" s="22">
        <v>107563840</v>
      </c>
      <c r="D71" s="22">
        <v>296537105</v>
      </c>
      <c r="E71" s="22">
        <v>74951874</v>
      </c>
      <c r="F71" s="22">
        <v>0</v>
      </c>
      <c r="G71" s="22">
        <v>6857997</v>
      </c>
      <c r="H71" s="22">
        <v>1199940</v>
      </c>
      <c r="I71" s="22">
        <v>0</v>
      </c>
      <c r="J71" s="22">
        <v>56172</v>
      </c>
      <c r="K71" s="22">
        <v>7700013</v>
      </c>
      <c r="L71" s="22">
        <v>64182423</v>
      </c>
      <c r="M71" s="22">
        <v>41080</v>
      </c>
      <c r="N71" s="22">
        <v>20496668</v>
      </c>
      <c r="O71" s="22">
        <v>127861152</v>
      </c>
      <c r="P71" s="22">
        <v>3903963</v>
      </c>
      <c r="Q71" s="22">
        <v>8477974</v>
      </c>
      <c r="R71" s="22">
        <v>0</v>
      </c>
      <c r="S71" s="22">
        <v>5615520</v>
      </c>
      <c r="T71" s="22">
        <v>16722618</v>
      </c>
      <c r="U71" s="23">
        <v>742168339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>SUM(C5:C71)</f>
        <v>44311391116</v>
      </c>
      <c r="D73" s="26">
        <f t="shared" ref="D73:T73" si="0">SUM(D5:D71)</f>
        <v>1088830387031</v>
      </c>
      <c r="E73" s="26">
        <f t="shared" si="0"/>
        <v>18377376212</v>
      </c>
      <c r="F73" s="26">
        <f t="shared" si="0"/>
        <v>322817364934</v>
      </c>
      <c r="G73" s="26">
        <f t="shared" si="0"/>
        <v>37709255309</v>
      </c>
      <c r="H73" s="26">
        <f t="shared" si="0"/>
        <v>121346160015</v>
      </c>
      <c r="I73" s="26">
        <f t="shared" si="0"/>
        <v>4753479244</v>
      </c>
      <c r="J73" s="26">
        <f t="shared" si="0"/>
        <v>6024864676</v>
      </c>
      <c r="K73" s="26">
        <f t="shared" si="0"/>
        <v>19641158670</v>
      </c>
      <c r="L73" s="26">
        <f t="shared" si="0"/>
        <v>314853666311</v>
      </c>
      <c r="M73" s="26">
        <f t="shared" si="0"/>
        <v>3700800673</v>
      </c>
      <c r="N73" s="26">
        <f t="shared" si="0"/>
        <v>90098826561</v>
      </c>
      <c r="O73" s="26">
        <f t="shared" si="0"/>
        <v>17396560293</v>
      </c>
      <c r="P73" s="26">
        <f t="shared" si="0"/>
        <v>16121423295</v>
      </c>
      <c r="Q73" s="26">
        <f t="shared" si="0"/>
        <v>1406844547</v>
      </c>
      <c r="R73" s="26">
        <f t="shared" si="0"/>
        <v>2963877108</v>
      </c>
      <c r="S73" s="26">
        <f t="shared" si="0"/>
        <v>4608486375</v>
      </c>
      <c r="T73" s="26">
        <f t="shared" si="0"/>
        <v>5628135735</v>
      </c>
      <c r="U73" s="28">
        <f>SUM(U5:U71)</f>
        <v>2120590058105</v>
      </c>
    </row>
    <row r="75" spans="1:21" x14ac:dyDescent="0.2">
      <c r="A75" s="3" t="s">
        <v>113</v>
      </c>
    </row>
    <row r="76" spans="1:21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</sheetData>
  <phoneticPr fontId="0" type="noConversion"/>
  <conditionalFormatting sqref="A4:U73">
    <cfRule type="expression" dxfId="0" priority="1" stopIfTrue="1">
      <formula>MOD(ROW(),3)=1</formula>
    </cfRule>
  </conditionalFormatting>
  <pageMargins left="0.7" right="0.7" top="0.75" bottom="0.75" header="0.3" footer="0.3"/>
  <pageSetup scale="70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5E859D7-437E-421E-8659-4A69DCCB192F}"/>
</file>

<file path=customXml/itemProps2.xml><?xml version="1.0" encoding="utf-8"?>
<ds:datastoreItem xmlns:ds="http://schemas.openxmlformats.org/officeDocument/2006/customXml" ds:itemID="{EF99098F-CC24-4E49-B80F-0A43E76C4DE0}"/>
</file>

<file path=customXml/itemProps3.xml><?xml version="1.0" encoding="utf-8"?>
<ds:datastoreItem xmlns:ds="http://schemas.openxmlformats.org/officeDocument/2006/customXml" ds:itemID="{896D579C-EE7D-4054-AAB1-A0483BD94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State Summary by Type</vt:lpstr>
      <vt:lpstr>Parcel Ct by Type</vt:lpstr>
      <vt:lpstr>Just Value by Type </vt:lpstr>
      <vt:lpstr>Taxable Value by Type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Allison Kever</cp:lastModifiedBy>
  <cp:lastPrinted>2011-02-11T15:38:45Z</cp:lastPrinted>
  <dcterms:created xsi:type="dcterms:W3CDTF">2010-10-01T18:06:46Z</dcterms:created>
  <dcterms:modified xsi:type="dcterms:W3CDTF">2021-12-14T14:40:59Z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