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Final Drafts\"/>
    </mc:Choice>
  </mc:AlternateContent>
  <xr:revisionPtr revIDLastSave="0" documentId="13_ncr:1_{919C4103-142F-453E-B47C-389881EDB65B}" xr6:coauthVersionLast="46" xr6:coauthVersionMax="46" xr10:uidLastSave="{00000000-0000-0000-0000-000000000000}"/>
  <bookViews>
    <workbookView xWindow="-120" yWindow="-120" windowWidth="29040" windowHeight="15840" tabRatio="708" xr2:uid="{00000000-000D-0000-FFFF-FFFF00000000}"/>
  </bookViews>
  <sheets>
    <sheet name="Report Index" sheetId="10" r:id="rId1"/>
    <sheet name="Assessed Value All Property" sheetId="9" r:id="rId2"/>
    <sheet name="All Property Assessed Value" sheetId="4" r:id="rId3"/>
    <sheet name="Real Property Assessed Value" sheetId="6" r:id="rId4"/>
    <sheet name="Personal Prop Assessed Value" sheetId="7" r:id="rId5"/>
    <sheet name="Centrally Prop Assessed Value " sheetId="8" r:id="rId6"/>
  </sheets>
  <definedNames>
    <definedName name="_xlnm.Print_Area" localSheetId="2">'All Property Assessed Value'!$A$1:$G$75</definedName>
    <definedName name="_xlnm.Print_Area" localSheetId="1">'Assessed Value All Property'!$A$1:$F$75</definedName>
    <definedName name="_xlnm.Print_Area" localSheetId="5">'Centrally Prop Assessed Value '!$A$1:$G$73</definedName>
    <definedName name="_xlnm.Print_Area" localSheetId="4">'Personal Prop Assessed Value'!$A$1:$G$73</definedName>
    <definedName name="_xlnm.Print_Area" localSheetId="3">'Real Property Assessed Value'!$A$1:$G$73</definedName>
    <definedName name="_xlnm.Print_Area" localSheetId="0">'Report Index'!$A$1:$H$20</definedName>
    <definedName name="_xlnm.Print_Titles" localSheetId="2">'All Property Assessed Value'!$1:$4</definedName>
    <definedName name="_xlnm.Print_Titles" localSheetId="1">'Assessed Value All Property'!$1:$4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9" l="1"/>
  <c r="B5" i="4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67" i="4"/>
  <c r="F48" i="4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F71" i="9"/>
  <c r="C71" i="4"/>
  <c r="D71" i="4"/>
  <c r="F70" i="9"/>
  <c r="C70" i="4"/>
  <c r="D70" i="4"/>
  <c r="F69" i="9"/>
  <c r="C69" i="4"/>
  <c r="D69" i="4" s="1"/>
  <c r="F68" i="9"/>
  <c r="C68" i="4"/>
  <c r="D68" i="4"/>
  <c r="F67" i="9"/>
  <c r="C67" i="4"/>
  <c r="D67" i="4"/>
  <c r="F66" i="9"/>
  <c r="C66" i="4"/>
  <c r="D66" i="4"/>
  <c r="F65" i="9"/>
  <c r="C65" i="4"/>
  <c r="D65" i="4" s="1"/>
  <c r="F64" i="9"/>
  <c r="C64" i="4"/>
  <c r="D64" i="4"/>
  <c r="F63" i="9"/>
  <c r="C63" i="4"/>
  <c r="D63" i="4"/>
  <c r="F62" i="9"/>
  <c r="C62" i="4"/>
  <c r="D62" i="4"/>
  <c r="F61" i="9"/>
  <c r="C61" i="4"/>
  <c r="D61" i="4" s="1"/>
  <c r="F60" i="9"/>
  <c r="C60" i="4"/>
  <c r="D60" i="4"/>
  <c r="F59" i="9"/>
  <c r="C59" i="4"/>
  <c r="D59" i="4"/>
  <c r="F58" i="9"/>
  <c r="C58" i="4"/>
  <c r="D58" i="4"/>
  <c r="F57" i="9"/>
  <c r="C57" i="4"/>
  <c r="D57" i="4" s="1"/>
  <c r="F56" i="9"/>
  <c r="C56" i="4"/>
  <c r="D56" i="4"/>
  <c r="F55" i="9"/>
  <c r="C55" i="4"/>
  <c r="D55" i="4"/>
  <c r="F54" i="9"/>
  <c r="C54" i="4"/>
  <c r="D54" i="4"/>
  <c r="F53" i="9"/>
  <c r="C53" i="4"/>
  <c r="D53" i="4" s="1"/>
  <c r="F52" i="9"/>
  <c r="C52" i="4"/>
  <c r="D52" i="4"/>
  <c r="F51" i="9"/>
  <c r="C51" i="4"/>
  <c r="D51" i="4"/>
  <c r="F50" i="9"/>
  <c r="C50" i="4"/>
  <c r="D50" i="4"/>
  <c r="F49" i="9"/>
  <c r="C49" i="4"/>
  <c r="D49" i="4" s="1"/>
  <c r="F48" i="9"/>
  <c r="C48" i="4"/>
  <c r="D48" i="4"/>
  <c r="F47" i="9"/>
  <c r="C47" i="4"/>
  <c r="D47" i="4"/>
  <c r="F46" i="9"/>
  <c r="C46" i="4"/>
  <c r="D46" i="4"/>
  <c r="F45" i="9"/>
  <c r="C45" i="4"/>
  <c r="D45" i="4" s="1"/>
  <c r="F44" i="9"/>
  <c r="C44" i="4"/>
  <c r="D44" i="4"/>
  <c r="F43" i="9"/>
  <c r="C43" i="4"/>
  <c r="D43" i="4"/>
  <c r="F42" i="9"/>
  <c r="C42" i="4"/>
  <c r="D42" i="4"/>
  <c r="F41" i="9"/>
  <c r="C41" i="4"/>
  <c r="D41" i="4" s="1"/>
  <c r="F40" i="9"/>
  <c r="C40" i="4"/>
  <c r="D40" i="4"/>
  <c r="F39" i="9"/>
  <c r="C39" i="4"/>
  <c r="D39" i="4"/>
  <c r="F38" i="9"/>
  <c r="C38" i="4"/>
  <c r="D38" i="4"/>
  <c r="F37" i="9"/>
  <c r="C37" i="4"/>
  <c r="D37" i="4" s="1"/>
  <c r="F36" i="9"/>
  <c r="C36" i="4"/>
  <c r="D36" i="4"/>
  <c r="F35" i="9"/>
  <c r="C35" i="4"/>
  <c r="D35" i="4"/>
  <c r="F34" i="9"/>
  <c r="C34" i="4"/>
  <c r="D34" i="4"/>
  <c r="F33" i="9"/>
  <c r="C33" i="4"/>
  <c r="D33" i="4" s="1"/>
  <c r="F32" i="9"/>
  <c r="C32" i="4"/>
  <c r="D32" i="4"/>
  <c r="F31" i="9"/>
  <c r="C31" i="4"/>
  <c r="D31" i="4"/>
  <c r="F30" i="9"/>
  <c r="C30" i="4"/>
  <c r="D30" i="4"/>
  <c r="F29" i="9"/>
  <c r="C29" i="4"/>
  <c r="D29" i="4" s="1"/>
  <c r="F28" i="9"/>
  <c r="C28" i="4"/>
  <c r="D28" i="4"/>
  <c r="F27" i="9"/>
  <c r="C27" i="4"/>
  <c r="D27" i="4"/>
  <c r="F26" i="9"/>
  <c r="C26" i="4"/>
  <c r="D26" i="4"/>
  <c r="F25" i="9"/>
  <c r="C25" i="4"/>
  <c r="D25" i="4" s="1"/>
  <c r="F24" i="9"/>
  <c r="C24" i="4"/>
  <c r="D24" i="4"/>
  <c r="F23" i="9"/>
  <c r="C23" i="4"/>
  <c r="D23" i="4"/>
  <c r="F22" i="9"/>
  <c r="C22" i="4"/>
  <c r="D22" i="4"/>
  <c r="F21" i="9"/>
  <c r="C21" i="4"/>
  <c r="D21" i="4" s="1"/>
  <c r="F20" i="9"/>
  <c r="C20" i="4"/>
  <c r="D20" i="4"/>
  <c r="F19" i="9"/>
  <c r="C19" i="4"/>
  <c r="D19" i="4"/>
  <c r="F18" i="9"/>
  <c r="C18" i="4"/>
  <c r="D18" i="4"/>
  <c r="F17" i="9"/>
  <c r="C17" i="4"/>
  <c r="D17" i="4" s="1"/>
  <c r="F16" i="9"/>
  <c r="C16" i="4"/>
  <c r="D16" i="4"/>
  <c r="F15" i="9"/>
  <c r="C15" i="4"/>
  <c r="D15" i="4"/>
  <c r="F14" i="9"/>
  <c r="C14" i="4"/>
  <c r="D14" i="4"/>
  <c r="F13" i="9"/>
  <c r="C13" i="4"/>
  <c r="D13" i="4" s="1"/>
  <c r="F12" i="9"/>
  <c r="C12" i="4"/>
  <c r="D12" i="4"/>
  <c r="F11" i="9"/>
  <c r="C11" i="4"/>
  <c r="D11" i="4"/>
  <c r="F10" i="9"/>
  <c r="C10" i="4"/>
  <c r="D10" i="4"/>
  <c r="F9" i="9"/>
  <c r="C9" i="4"/>
  <c r="D9" i="4" s="1"/>
  <c r="F8" i="9"/>
  <c r="F7" i="9"/>
  <c r="C7" i="4"/>
  <c r="D7" i="4" s="1"/>
  <c r="F6" i="9"/>
  <c r="C6" i="4"/>
  <c r="D6" i="4"/>
  <c r="F5" i="9"/>
  <c r="C5" i="4"/>
  <c r="D5" i="4"/>
  <c r="C8" i="8"/>
  <c r="D8" i="8"/>
  <c r="C7" i="8"/>
  <c r="D7" i="8"/>
  <c r="C6" i="8"/>
  <c r="D6" i="8"/>
  <c r="C5" i="8"/>
  <c r="D5" i="8"/>
  <c r="C71" i="8"/>
  <c r="D71" i="8"/>
  <c r="C70" i="8"/>
  <c r="D70" i="8"/>
  <c r="C68" i="8"/>
  <c r="D68" i="8"/>
  <c r="C66" i="8"/>
  <c r="D66" i="8"/>
  <c r="C65" i="8"/>
  <c r="D65" i="8"/>
  <c r="C64" i="8"/>
  <c r="D64" i="8"/>
  <c r="C63" i="8"/>
  <c r="D63" i="8"/>
  <c r="C62" i="8"/>
  <c r="D62" i="8"/>
  <c r="C61" i="8"/>
  <c r="D61" i="8"/>
  <c r="C60" i="8"/>
  <c r="D60" i="8"/>
  <c r="C59" i="8"/>
  <c r="D59" i="8"/>
  <c r="C58" i="8"/>
  <c r="D58" i="8"/>
  <c r="C57" i="8"/>
  <c r="D57" i="8"/>
  <c r="C56" i="8"/>
  <c r="D56" i="8"/>
  <c r="C55" i="8"/>
  <c r="D55" i="8"/>
  <c r="C54" i="8"/>
  <c r="D54" i="8"/>
  <c r="C53" i="8"/>
  <c r="D53" i="8"/>
  <c r="C52" i="8"/>
  <c r="D52" i="8"/>
  <c r="C51" i="8"/>
  <c r="D51" i="8"/>
  <c r="C50" i="8"/>
  <c r="D50" i="8"/>
  <c r="C49" i="8"/>
  <c r="D49" i="8"/>
  <c r="C47" i="8"/>
  <c r="D47" i="8"/>
  <c r="C46" i="8"/>
  <c r="D46" i="8"/>
  <c r="C45" i="8"/>
  <c r="D45" i="8"/>
  <c r="C44" i="8"/>
  <c r="D44" i="8"/>
  <c r="C43" i="8"/>
  <c r="D43" i="8"/>
  <c r="C42" i="8"/>
  <c r="D42" i="8"/>
  <c r="C41" i="8"/>
  <c r="D41" i="8"/>
  <c r="C40" i="8"/>
  <c r="D40" i="8"/>
  <c r="C39" i="8"/>
  <c r="D39" i="8"/>
  <c r="C37" i="8"/>
  <c r="D37" i="8"/>
  <c r="C36" i="8"/>
  <c r="D36" i="8"/>
  <c r="C35" i="8"/>
  <c r="D35" i="8"/>
  <c r="C34" i="8"/>
  <c r="D34" i="8"/>
  <c r="C33" i="8"/>
  <c r="D33" i="8"/>
  <c r="C32" i="8"/>
  <c r="D32" i="8"/>
  <c r="C31" i="8"/>
  <c r="D31" i="8"/>
  <c r="C30" i="8"/>
  <c r="D30" i="8"/>
  <c r="C29" i="8"/>
  <c r="D29" i="8"/>
  <c r="C28" i="8"/>
  <c r="D28" i="8"/>
  <c r="C27" i="8"/>
  <c r="D27" i="8"/>
  <c r="C26" i="8"/>
  <c r="D26" i="8"/>
  <c r="C24" i="8"/>
  <c r="D24" i="8"/>
  <c r="C23" i="8"/>
  <c r="D23" i="8"/>
  <c r="C22" i="8"/>
  <c r="D22" i="8"/>
  <c r="C21" i="8"/>
  <c r="D21" i="8"/>
  <c r="C20" i="8"/>
  <c r="D20" i="8"/>
  <c r="C18" i="8"/>
  <c r="D18" i="8"/>
  <c r="C17" i="8"/>
  <c r="D17" i="8"/>
  <c r="C16" i="8"/>
  <c r="D16" i="8"/>
  <c r="C15" i="8"/>
  <c r="D15" i="8"/>
  <c r="C14" i="8"/>
  <c r="D14" i="8"/>
  <c r="C13" i="8"/>
  <c r="D13" i="8"/>
  <c r="C12" i="8"/>
  <c r="D12" i="8"/>
  <c r="C10" i="8"/>
  <c r="D10" i="8"/>
  <c r="C9" i="8"/>
  <c r="C71" i="7"/>
  <c r="D71" i="7"/>
  <c r="C70" i="7"/>
  <c r="D70" i="7"/>
  <c r="C69" i="7"/>
  <c r="D69" i="7"/>
  <c r="C68" i="7"/>
  <c r="D68" i="7"/>
  <c r="C67" i="7"/>
  <c r="D67" i="7"/>
  <c r="C66" i="7"/>
  <c r="D66" i="7"/>
  <c r="C65" i="7"/>
  <c r="D65" i="7"/>
  <c r="C64" i="7"/>
  <c r="D64" i="7"/>
  <c r="C63" i="7"/>
  <c r="D63" i="7"/>
  <c r="C62" i="7"/>
  <c r="D62" i="7"/>
  <c r="C61" i="7"/>
  <c r="D61" i="7"/>
  <c r="C60" i="7"/>
  <c r="D60" i="7"/>
  <c r="C59" i="7"/>
  <c r="D59" i="7"/>
  <c r="C58" i="7"/>
  <c r="D58" i="7"/>
  <c r="C57" i="7"/>
  <c r="D57" i="7"/>
  <c r="C56" i="7"/>
  <c r="D56" i="7"/>
  <c r="C55" i="7"/>
  <c r="D55" i="7"/>
  <c r="C54" i="7"/>
  <c r="D54" i="7"/>
  <c r="C53" i="7"/>
  <c r="D53" i="7"/>
  <c r="C52" i="7"/>
  <c r="D52" i="7"/>
  <c r="C51" i="7"/>
  <c r="D51" i="7"/>
  <c r="C50" i="7"/>
  <c r="D50" i="7"/>
  <c r="C49" i="7"/>
  <c r="D49" i="7"/>
  <c r="C48" i="7"/>
  <c r="D48" i="7"/>
  <c r="C47" i="7"/>
  <c r="D47" i="7"/>
  <c r="C46" i="7"/>
  <c r="D46" i="7"/>
  <c r="C45" i="7"/>
  <c r="D45" i="7"/>
  <c r="C44" i="7"/>
  <c r="D44" i="7"/>
  <c r="C43" i="7"/>
  <c r="D43" i="7"/>
  <c r="C42" i="7"/>
  <c r="D42" i="7"/>
  <c r="C41" i="7"/>
  <c r="D41" i="7"/>
  <c r="C40" i="7"/>
  <c r="D40" i="7"/>
  <c r="C39" i="7"/>
  <c r="D39" i="7"/>
  <c r="C38" i="7"/>
  <c r="D38" i="7"/>
  <c r="C37" i="7"/>
  <c r="D37" i="7"/>
  <c r="C36" i="7"/>
  <c r="D36" i="7"/>
  <c r="C35" i="7"/>
  <c r="D35" i="7"/>
  <c r="C34" i="7"/>
  <c r="D34" i="7"/>
  <c r="C33" i="7"/>
  <c r="D33" i="7"/>
  <c r="C32" i="7"/>
  <c r="D32" i="7"/>
  <c r="C31" i="7"/>
  <c r="D31" i="7"/>
  <c r="C30" i="7"/>
  <c r="D30" i="7"/>
  <c r="C29" i="7"/>
  <c r="D29" i="7"/>
  <c r="C28" i="7"/>
  <c r="D28" i="7"/>
  <c r="C27" i="7"/>
  <c r="D27" i="7"/>
  <c r="C26" i="7"/>
  <c r="C25" i="7"/>
  <c r="D25" i="7"/>
  <c r="C24" i="7"/>
  <c r="D24" i="7"/>
  <c r="C23" i="7"/>
  <c r="D23" i="7"/>
  <c r="C22" i="7"/>
  <c r="D22" i="7"/>
  <c r="C21" i="7"/>
  <c r="D21" i="7"/>
  <c r="C20" i="7"/>
  <c r="D20" i="7"/>
  <c r="C19" i="7"/>
  <c r="D19" i="7"/>
  <c r="C18" i="7"/>
  <c r="D18" i="7"/>
  <c r="C17" i="7"/>
  <c r="D17" i="7"/>
  <c r="C16" i="7"/>
  <c r="D16" i="7"/>
  <c r="C15" i="7"/>
  <c r="D15" i="7"/>
  <c r="C14" i="7"/>
  <c r="D14" i="7"/>
  <c r="C13" i="7"/>
  <c r="D13" i="7"/>
  <c r="C12" i="7"/>
  <c r="D12" i="7"/>
  <c r="C11" i="7"/>
  <c r="D11" i="7"/>
  <c r="C10" i="7"/>
  <c r="D10" i="7"/>
  <c r="C9" i="7"/>
  <c r="D9" i="7"/>
  <c r="C8" i="7"/>
  <c r="D8" i="7"/>
  <c r="C7" i="7"/>
  <c r="D7" i="7"/>
  <c r="C6" i="7"/>
  <c r="D6" i="7"/>
  <c r="C5" i="7"/>
  <c r="D5" i="7"/>
  <c r="C8" i="6"/>
  <c r="D8" i="6"/>
  <c r="C7" i="6"/>
  <c r="D7" i="6"/>
  <c r="C6" i="6"/>
  <c r="D6" i="6"/>
  <c r="C71" i="6"/>
  <c r="D71" i="6"/>
  <c r="C70" i="6"/>
  <c r="D70" i="6"/>
  <c r="C69" i="6"/>
  <c r="D69" i="6"/>
  <c r="C68" i="6"/>
  <c r="D68" i="6"/>
  <c r="C67" i="6"/>
  <c r="D67" i="6"/>
  <c r="C66" i="6"/>
  <c r="D66" i="6"/>
  <c r="C65" i="6"/>
  <c r="D65" i="6"/>
  <c r="C64" i="6"/>
  <c r="D64" i="6"/>
  <c r="C63" i="6"/>
  <c r="D63" i="6"/>
  <c r="C62" i="6"/>
  <c r="D62" i="6"/>
  <c r="C61" i="6"/>
  <c r="D61" i="6"/>
  <c r="C60" i="6"/>
  <c r="D60" i="6"/>
  <c r="C59" i="6"/>
  <c r="D59" i="6"/>
  <c r="C58" i="6"/>
  <c r="D58" i="6"/>
  <c r="C57" i="6"/>
  <c r="D57" i="6"/>
  <c r="C56" i="6"/>
  <c r="D56" i="6"/>
  <c r="C55" i="6"/>
  <c r="D55" i="6"/>
  <c r="C54" i="6"/>
  <c r="D54" i="6"/>
  <c r="C53" i="6"/>
  <c r="D53" i="6"/>
  <c r="C52" i="6"/>
  <c r="D52" i="6"/>
  <c r="C51" i="6"/>
  <c r="D51" i="6"/>
  <c r="C50" i="6"/>
  <c r="D50" i="6"/>
  <c r="C49" i="6"/>
  <c r="D49" i="6"/>
  <c r="C48" i="6"/>
  <c r="D48" i="6"/>
  <c r="C47" i="6"/>
  <c r="D47" i="6"/>
  <c r="C46" i="6"/>
  <c r="D46" i="6"/>
  <c r="C45" i="6"/>
  <c r="D45" i="6"/>
  <c r="C44" i="6"/>
  <c r="D44" i="6"/>
  <c r="C43" i="6"/>
  <c r="D43" i="6"/>
  <c r="C42" i="6"/>
  <c r="D42" i="6"/>
  <c r="C41" i="6"/>
  <c r="D41" i="6"/>
  <c r="C40" i="6"/>
  <c r="D40" i="6"/>
  <c r="C39" i="6"/>
  <c r="D39" i="6"/>
  <c r="C38" i="6"/>
  <c r="D38" i="6"/>
  <c r="C37" i="6"/>
  <c r="D37" i="6"/>
  <c r="C36" i="6"/>
  <c r="D36" i="6"/>
  <c r="C35" i="6"/>
  <c r="D35" i="6"/>
  <c r="C34" i="6"/>
  <c r="D34" i="6"/>
  <c r="C33" i="6"/>
  <c r="D33" i="6"/>
  <c r="C32" i="6"/>
  <c r="D32" i="6"/>
  <c r="C31" i="6"/>
  <c r="D31" i="6"/>
  <c r="C30" i="6"/>
  <c r="D30" i="6"/>
  <c r="C29" i="6"/>
  <c r="D29" i="6"/>
  <c r="C28" i="6"/>
  <c r="D28" i="6"/>
  <c r="C27" i="6"/>
  <c r="D27" i="6"/>
  <c r="C26" i="6"/>
  <c r="D26" i="6"/>
  <c r="C25" i="6"/>
  <c r="D25" i="6"/>
  <c r="C24" i="6"/>
  <c r="D24" i="6"/>
  <c r="C23" i="6"/>
  <c r="D23" i="6"/>
  <c r="C22" i="6"/>
  <c r="D22" i="6"/>
  <c r="C21" i="6"/>
  <c r="D21" i="6"/>
  <c r="C20" i="6"/>
  <c r="D20" i="6"/>
  <c r="C19" i="6"/>
  <c r="D19" i="6"/>
  <c r="C18" i="6"/>
  <c r="D18" i="6"/>
  <c r="C17" i="6"/>
  <c r="D17" i="6"/>
  <c r="C16" i="6"/>
  <c r="D16" i="6"/>
  <c r="C15" i="6"/>
  <c r="D15" i="6"/>
  <c r="C14" i="6"/>
  <c r="D14" i="6"/>
  <c r="C13" i="6"/>
  <c r="D13" i="6"/>
  <c r="C12" i="6"/>
  <c r="D12" i="6"/>
  <c r="C11" i="6"/>
  <c r="D11" i="6"/>
  <c r="C10" i="6"/>
  <c r="C9" i="6"/>
  <c r="D9" i="6"/>
  <c r="C5" i="6"/>
  <c r="G73" i="6"/>
  <c r="F73" i="6"/>
  <c r="E73" i="6"/>
  <c r="G73" i="7"/>
  <c r="G73" i="8"/>
  <c r="D73" i="9"/>
  <c r="E73" i="9"/>
  <c r="E73" i="8"/>
  <c r="E73" i="7"/>
  <c r="F19" i="4"/>
  <c r="F22" i="4"/>
  <c r="F46" i="4"/>
  <c r="F21" i="4"/>
  <c r="F45" i="4"/>
  <c r="F69" i="4"/>
  <c r="G73" i="4"/>
  <c r="E73" i="4"/>
  <c r="F20" i="4"/>
  <c r="F44" i="4"/>
  <c r="F49" i="4"/>
  <c r="F25" i="4"/>
  <c r="F47" i="4"/>
  <c r="F71" i="4"/>
  <c r="F50" i="4"/>
  <c r="F24" i="4"/>
  <c r="F23" i="4"/>
  <c r="F26" i="4"/>
  <c r="F51" i="4"/>
  <c r="F27" i="4"/>
  <c r="F52" i="4"/>
  <c r="F28" i="4"/>
  <c r="F53" i="4"/>
  <c r="F29" i="4"/>
  <c r="F54" i="4"/>
  <c r="F5" i="4"/>
  <c r="F30" i="4"/>
  <c r="F55" i="4"/>
  <c r="F6" i="4"/>
  <c r="F31" i="4"/>
  <c r="F56" i="4"/>
  <c r="F7" i="4"/>
  <c r="F32" i="4"/>
  <c r="F57" i="4"/>
  <c r="F8" i="4"/>
  <c r="F33" i="4"/>
  <c r="F58" i="4"/>
  <c r="F9" i="4"/>
  <c r="F34" i="4"/>
  <c r="F59" i="4"/>
  <c r="F10" i="4"/>
  <c r="F35" i="4"/>
  <c r="F60" i="4"/>
  <c r="F11" i="4"/>
  <c r="F36" i="4"/>
  <c r="F61" i="4"/>
  <c r="F12" i="4"/>
  <c r="F37" i="4"/>
  <c r="F62" i="4"/>
  <c r="F13" i="4"/>
  <c r="F38" i="4"/>
  <c r="F63" i="4"/>
  <c r="F14" i="4"/>
  <c r="F39" i="4"/>
  <c r="F64" i="4"/>
  <c r="F15" i="4"/>
  <c r="F40" i="4"/>
  <c r="F65" i="4"/>
  <c r="F16" i="4"/>
  <c r="F41" i="4"/>
  <c r="F66" i="4"/>
  <c r="F17" i="4"/>
  <c r="F42" i="4"/>
  <c r="F68" i="4"/>
  <c r="F18" i="4"/>
  <c r="F43" i="4"/>
  <c r="F70" i="4"/>
  <c r="D10" i="6"/>
  <c r="F73" i="7"/>
  <c r="C73" i="6"/>
  <c r="D73" i="6"/>
  <c r="F73" i="8"/>
  <c r="F73" i="4"/>
  <c r="D5" i="6"/>
  <c r="D9" i="8"/>
  <c r="C73" i="8"/>
  <c r="D73" i="8" s="1"/>
  <c r="C8" i="4"/>
  <c r="F73" i="9"/>
  <c r="C73" i="7"/>
  <c r="D73" i="7" s="1"/>
  <c r="D26" i="7"/>
  <c r="D8" i="4"/>
  <c r="C73" i="4"/>
  <c r="D73" i="4" s="1"/>
</calcChain>
</file>

<file path=xl/sharedStrings.xml><?xml version="1.0" encoding="utf-8"?>
<sst xmlns="http://schemas.openxmlformats.org/spreadsheetml/2006/main" count="548" uniqueCount="96">
  <si>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</si>
  <si>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</si>
  <si>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</si>
  <si>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</si>
  <si>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</si>
  <si>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</si>
  <si>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</si>
  <si>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</si>
  <si>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</si>
  <si>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</si>
  <si>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</si>
  <si>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</si>
  <si>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</si>
  <si>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</si>
  <si>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</si>
  <si>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</si>
  <si>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</si>
  <si>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</si>
  <si>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</si>
  <si>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</si>
  <si>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</si>
  <si>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</si>
  <si>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</si>
  <si>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</si>
  <si>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</si>
  <si>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</si>
  <si>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</si>
  <si>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</si>
  <si>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</si>
  <si>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</si>
  <si>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</si>
  <si>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</si>
  <si>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</si>
  <si>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</si>
  <si>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</si>
  <si>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</si>
  <si>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</si>
  <si>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</si>
  <si>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</si>
  <si>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</si>
  <si>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</si>
  <si>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</si>
  <si>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</si>
  <si>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</si>
  <si>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</si>
  <si>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</si>
  <si>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</si>
  <si>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</si>
  <si>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</si>
  <si>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</si>
  <si>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</si>
  <si>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</si>
  <si>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</si>
  <si>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</si>
  <si>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</si>
  <si>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</si>
  <si>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</si>
  <si>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</si>
  <si>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</si>
  <si>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</si>
  <si>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</si>
  <si>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</si>
  <si>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</si>
  <si>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</si>
  <si>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</si>
  <si>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</si>
  <si>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</si>
  <si>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</si>
  <si>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</si>
  <si>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Assessed Value All Property Types</t>
  </si>
  <si>
    <t>All Property Types Assessed Value and Growth Rate</t>
  </si>
  <si>
    <t>Real Property Assessed Value and Growth Rate</t>
  </si>
  <si>
    <t>Personal Property Assessed Value and Growth Rate</t>
  </si>
  <si>
    <t>Centrally Assessed Property Assessed Value and Growth Rate</t>
  </si>
  <si>
    <t>Statewide Assessed Value Summary Information by County</t>
  </si>
  <si>
    <t>Assessed Value is the value of the property with regard to a possible Agricultural classification and any deferred amount accumulated because of Save Our Homes, Amendment 1.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</si>
  <si>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</si>
  <si>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</si>
  <si>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</si>
  <si>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</si>
  <si>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</si>
  <si>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2019 Value</t>
  </si>
  <si>
    <t>2020 Value</t>
  </si>
  <si>
    <t>Percent increase 2019-2020</t>
  </si>
  <si>
    <t xml:space="preserve"> 2021 Real Property
 Assessed Value</t>
  </si>
  <si>
    <t>2021 Personal Property Assessed Value</t>
  </si>
  <si>
    <t xml:space="preserve"> 2021 Central Assessment Assessed Value</t>
  </si>
  <si>
    <t>2021 Total
 Assessed Value</t>
  </si>
  <si>
    <t>2021 Value</t>
  </si>
  <si>
    <t>Percent increase 2020-2021</t>
  </si>
  <si>
    <t>2019-2021</t>
  </si>
  <si>
    <t>F</t>
  </si>
  <si>
    <t xml:space="preserve"> </t>
  </si>
  <si>
    <t>R-NVAB</t>
  </si>
  <si>
    <t>R-Final</t>
  </si>
  <si>
    <t>Data Extract: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</si>
</sst>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0" applyFont="1"/>
    <xf numFmtId="0" fontId="7" fillId="0" borderId="0" xfId="0" applyFont="1"/>
    <xf numFmtId="3" fontId="7" fillId="0" borderId="0" xfId="0" applyNumberFormat="1" applyFont="1" applyBorder="1" applyAlignment="1">
      <alignment horizontal="left" vertical="center" wrapText="1"/>
    </xf>
    <xf numFmtId="0" fontId="8" fillId="0" borderId="0" xfId="3" applyFont="1" applyAlignment="1" applyProtection="1"/>
    <xf numFmtId="0" fontId="9" fillId="0" borderId="0" xfId="0" applyFont="1"/>
    <xf numFmtId="0" fontId="1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/>
    <xf numFmtId="10" fontId="7" fillId="0" borderId="2" xfId="5" applyNumberFormat="1" applyFont="1" applyBorder="1" applyAlignment="1">
      <alignment horizontal="right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3" fontId="6" fillId="2" borderId="7" xfId="0" applyNumberFormat="1" applyFont="1" applyFill="1" applyBorder="1"/>
    <xf numFmtId="10" fontId="6" fillId="2" borderId="7" xfId="5" applyNumberFormat="1" applyFont="1" applyFill="1" applyBorder="1" applyAlignment="1">
      <alignment horizontal="right"/>
    </xf>
    <xf numFmtId="3" fontId="6" fillId="2" borderId="8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/>
    <xf numFmtId="3" fontId="7" fillId="0" borderId="2" xfId="1" applyNumberFormat="1" applyFont="1" applyBorder="1" applyAlignment="1"/>
    <xf numFmtId="3" fontId="7" fillId="0" borderId="2" xfId="1" applyNumberFormat="1" applyFont="1" applyBorder="1"/>
    <xf numFmtId="3" fontId="7" fillId="0" borderId="3" xfId="1" applyNumberFormat="1" applyFont="1" applyBorder="1"/>
    <xf numFmtId="3" fontId="7" fillId="0" borderId="5" xfId="1" applyNumberFormat="1" applyFont="1" applyBorder="1" applyAlignment="1"/>
    <xf numFmtId="3" fontId="7" fillId="0" borderId="5" xfId="1" applyNumberFormat="1" applyFont="1" applyBorder="1"/>
    <xf numFmtId="3" fontId="7" fillId="0" borderId="9" xfId="1" applyNumberFormat="1" applyFont="1" applyBorder="1"/>
    <xf numFmtId="3" fontId="6" fillId="2" borderId="7" xfId="1" applyNumberFormat="1" applyFont="1" applyFill="1" applyBorder="1"/>
    <xf numFmtId="3" fontId="6" fillId="2" borderId="8" xfId="1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left" vertical="center" wrapText="1"/>
    </xf>
    <xf numFmtId="3" fontId="7" fillId="0" borderId="17" xfId="0" applyNumberFormat="1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left" vertical="center" wrapText="1"/>
    </xf>
    <xf numFmtId="3" fontId="7" fillId="0" borderId="20" xfId="0" applyNumberFormat="1" applyFont="1" applyBorder="1" applyAlignment="1">
      <alignment horizontal="left" vertical="center" wrapText="1"/>
    </xf>
    <xf numFmtId="3" fontId="7" fillId="0" borderId="21" xfId="0" applyNumberFormat="1" applyFont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left" vertical="center" wrapText="1"/>
    </xf>
    <xf numFmtId="0" fontId="8" fillId="0" borderId="0" xfId="3" applyFont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</cellStyles>
  <dxfs count="10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/>
  </sheetViews>
  <sheetFormatPr defaultRowHeight="14.25" x14ac:dyDescent="0.2"/>
  <cols>
    <col min="1" max="7" width="9.140625" style="2"/>
    <col min="8" max="8" width="9.140625" style="2" customWidth="1"/>
    <col min="9" max="16384" width="9.140625" style="2"/>
  </cols>
  <sheetData>
    <row r="2" spans="1:8" ht="15" x14ac:dyDescent="0.25">
      <c r="A2" s="1" t="s">
        <v>74</v>
      </c>
    </row>
    <row r="3" spans="1:8" ht="15" thickBot="1" x14ac:dyDescent="0.25"/>
    <row r="4" spans="1:8" x14ac:dyDescent="0.2">
      <c r="B4" s="40" t="s">
        <v>75</v>
      </c>
      <c r="C4" s="41"/>
      <c r="D4" s="41"/>
      <c r="E4" s="41"/>
      <c r="F4" s="41"/>
      <c r="G4" s="41"/>
      <c r="H4" s="42"/>
    </row>
    <row r="5" spans="1:8" x14ac:dyDescent="0.2">
      <c r="B5" s="43"/>
      <c r="C5" s="44"/>
      <c r="D5" s="44"/>
      <c r="E5" s="44"/>
      <c r="F5" s="44"/>
      <c r="G5" s="44"/>
      <c r="H5" s="45"/>
    </row>
    <row r="6" spans="1:8" x14ac:dyDescent="0.2">
      <c r="B6" s="43"/>
      <c r="C6" s="44"/>
      <c r="D6" s="44"/>
      <c r="E6" s="44"/>
      <c r="F6" s="44"/>
      <c r="G6" s="44"/>
      <c r="H6" s="45"/>
    </row>
    <row r="7" spans="1:8" x14ac:dyDescent="0.2">
      <c r="B7" s="43"/>
      <c r="C7" s="44"/>
      <c r="D7" s="44"/>
      <c r="E7" s="44"/>
      <c r="F7" s="44"/>
      <c r="G7" s="44"/>
      <c r="H7" s="45"/>
    </row>
    <row r="8" spans="1:8" x14ac:dyDescent="0.2">
      <c r="B8" s="43"/>
      <c r="C8" s="44"/>
      <c r="D8" s="44"/>
      <c r="E8" s="44"/>
      <c r="F8" s="44"/>
      <c r="G8" s="44"/>
      <c r="H8" s="45"/>
    </row>
    <row r="9" spans="1:8" ht="15" thickBot="1" x14ac:dyDescent="0.25">
      <c r="B9" s="46"/>
      <c r="C9" s="47"/>
      <c r="D9" s="47"/>
      <c r="E9" s="47"/>
      <c r="F9" s="47"/>
      <c r="G9" s="47"/>
      <c r="H9" s="48"/>
    </row>
    <row r="10" spans="1:8" x14ac:dyDescent="0.2">
      <c r="B10" s="3"/>
      <c r="C10" s="3"/>
      <c r="D10" s="3"/>
      <c r="E10" s="3"/>
      <c r="F10" s="3"/>
      <c r="G10" s="3"/>
      <c r="H10" s="3"/>
    </row>
    <row r="11" spans="1:8" x14ac:dyDescent="0.2">
      <c r="B11" s="49" t="s">
        <v>69</v>
      </c>
      <c r="C11" s="49"/>
      <c r="D11" s="49"/>
      <c r="E11" s="49"/>
      <c r="F11" s="49"/>
      <c r="G11" s="49"/>
      <c r="H11" s="49"/>
    </row>
    <row r="13" spans="1:8" x14ac:dyDescent="0.2">
      <c r="B13" s="49" t="s">
        <v>70</v>
      </c>
      <c r="C13" s="49"/>
      <c r="D13" s="49"/>
      <c r="E13" s="49"/>
      <c r="F13" s="49"/>
      <c r="G13" s="49"/>
      <c r="H13" s="49"/>
    </row>
    <row r="15" spans="1:8" x14ac:dyDescent="0.2">
      <c r="B15" s="49" t="s">
        <v>71</v>
      </c>
      <c r="C15" s="49"/>
      <c r="D15" s="49"/>
      <c r="E15" s="49"/>
      <c r="F15" s="49"/>
      <c r="G15" s="49"/>
      <c r="H15" s="49"/>
    </row>
    <row r="17" spans="1:9" x14ac:dyDescent="0.2">
      <c r="B17" s="49" t="s">
        <v>72</v>
      </c>
      <c r="C17" s="49"/>
      <c r="D17" s="49"/>
      <c r="E17" s="49"/>
      <c r="F17" s="49"/>
      <c r="G17" s="49"/>
      <c r="H17" s="49"/>
    </row>
    <row r="19" spans="1:9" x14ac:dyDescent="0.2">
      <c r="B19" s="49" t="s">
        <v>73</v>
      </c>
      <c r="C19" s="49"/>
      <c r="D19" s="49"/>
      <c r="E19" s="49"/>
      <c r="F19" s="49"/>
      <c r="G19" s="49"/>
      <c r="H19" s="49"/>
      <c r="I19" s="4"/>
    </row>
    <row r="25" spans="1:9" x14ac:dyDescent="0.2">
      <c r="A25" s="5" t="s">
        <v>76</v>
      </c>
      <c r="D25" s="5" t="s">
        <v>77</v>
      </c>
    </row>
    <row r="26" spans="1:9" x14ac:dyDescent="0.2">
      <c r="D26" s="4" t="s">
        <v>80</v>
      </c>
    </row>
  </sheetData>
  <mergeCells count="6">
    <mergeCell ref="B4:H9"/>
    <mergeCell ref="B11:H11"/>
    <mergeCell ref="B19:H19"/>
    <mergeCell ref="B13:H13"/>
    <mergeCell ref="B15:H15"/>
    <mergeCell ref="B17:H17"/>
  </mergeCells>
  <phoneticPr fontId="3" type="noConversion"/>
  <hyperlinks>
    <hyperlink ref="B11" location="'Assessed Value All Property'!A1" display="Assessed Value All Property Types 2010" xr:uid="{00000000-0004-0000-0000-000000000000}"/>
    <hyperlink ref="B13" location="'All Property Assessed Value'!A1" display="All Property Types Assessed Value and Growth Rate 2008 - 2010" xr:uid="{00000000-0004-0000-0000-000001000000}"/>
    <hyperlink ref="B15" location="'Real Property Assessed Value'!A1" display="Real Property Assessed Value and Growth Rate 2008 - 2010" xr:uid="{00000000-0004-0000-0000-000002000000}"/>
    <hyperlink ref="B17" location="'Personal Prop Assessed Value'!A1" display="Personal Property Assessed Value and Growth Rate 2008 - 2010" xr:uid="{00000000-0004-0000-0000-000003000000}"/>
    <hyperlink ref="B19" location="'Centrally Prop Assessed Value '!A1" display="Centrally Assessed Property Assessed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pane ySplit="4" topLeftCell="A50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9" style="2" bestFit="1" customWidth="1"/>
    <col min="4" max="4" width="22.42578125" style="2" bestFit="1" customWidth="1"/>
    <col min="5" max="5" width="24.28515625" style="2" bestFit="1" customWidth="1"/>
    <col min="6" max="6" width="18.42578125" style="2" bestFit="1" customWidth="1"/>
    <col min="7" max="7" width="9.140625" style="2"/>
    <col min="8" max="8" width="14.140625" style="2" bestFit="1" customWidth="1"/>
    <col min="9" max="16384" width="9.140625" style="2"/>
  </cols>
  <sheetData>
    <row r="1" spans="1:6" ht="23.25" x14ac:dyDescent="0.35">
      <c r="A1" s="6" t="s">
        <v>69</v>
      </c>
      <c r="B1" s="7"/>
      <c r="C1" s="8"/>
      <c r="D1" s="8"/>
      <c r="E1" s="8"/>
      <c r="F1" s="8"/>
    </row>
    <row r="2" spans="1:6" ht="15" x14ac:dyDescent="0.25">
      <c r="A2" s="9">
        <v>2021</v>
      </c>
      <c r="B2" s="9"/>
      <c r="C2" s="9"/>
      <c r="D2" s="9"/>
      <c r="E2" s="9"/>
      <c r="F2" s="9"/>
    </row>
    <row r="3" spans="1:6" ht="15" thickBot="1" x14ac:dyDescent="0.25"/>
    <row r="4" spans="1:6" s="37" customFormat="1" ht="25.5" x14ac:dyDescent="0.2">
      <c r="A4" s="34" t="s">
        <v>0</v>
      </c>
      <c r="B4" s="35" t="s">
        <v>1</v>
      </c>
      <c r="C4" s="35" t="s">
        <v>84</v>
      </c>
      <c r="D4" s="35" t="s">
        <v>85</v>
      </c>
      <c r="E4" s="35" t="s">
        <v>86</v>
      </c>
      <c r="F4" s="36" t="s">
        <v>87</v>
      </c>
    </row>
    <row r="5" spans="1:6" x14ac:dyDescent="0.2">
      <c r="A5" s="11" t="s">
        <v>4</v>
      </c>
      <c r="B5" s="12" t="s">
        <v>93</v>
      </c>
      <c r="C5" s="26">
        <v>24759727963</v>
      </c>
      <c r="D5" s="26">
        <v>3941012646</v>
      </c>
      <c r="E5" s="27">
        <v>28013196</v>
      </c>
      <c r="F5" s="28">
        <f>SUM(C5:E5)</f>
        <v>28728753805</v>
      </c>
    </row>
    <row r="6" spans="1:6" x14ac:dyDescent="0.2">
      <c r="A6" s="11" t="s">
        <v>5</v>
      </c>
      <c r="B6" s="12" t="s">
        <v>94</v>
      </c>
      <c r="C6" s="26">
        <v>1540092747</v>
      </c>
      <c r="D6" s="26">
        <v>212565492</v>
      </c>
      <c r="E6" s="27">
        <v>14240453</v>
      </c>
      <c r="F6" s="28">
        <f t="shared" ref="F6:F69" si="0">SUM(C6:E6)</f>
        <v>1766898692</v>
      </c>
    </row>
    <row r="7" spans="1:6" x14ac:dyDescent="0.2">
      <c r="A7" s="11" t="s">
        <v>6</v>
      </c>
      <c r="B7" s="12" t="s">
        <v>93</v>
      </c>
      <c r="C7" s="26">
        <v>22443781199</v>
      </c>
      <c r="D7" s="26">
        <v>2100383350</v>
      </c>
      <c r="E7" s="27">
        <v>30050162</v>
      </c>
      <c r="F7" s="28">
        <f t="shared" si="0"/>
        <v>24574214711</v>
      </c>
    </row>
    <row r="8" spans="1:6" x14ac:dyDescent="0.2">
      <c r="A8" s="11" t="s">
        <v>7</v>
      </c>
      <c r="B8" s="12" t="s">
        <v>94</v>
      </c>
      <c r="C8" s="26">
        <v>1233663304</v>
      </c>
      <c r="D8" s="26">
        <v>280307914</v>
      </c>
      <c r="E8" s="27">
        <v>17642751</v>
      </c>
      <c r="F8" s="28">
        <f t="shared" si="0"/>
        <v>1531613969</v>
      </c>
    </row>
    <row r="9" spans="1:6" x14ac:dyDescent="0.2">
      <c r="A9" s="11" t="s">
        <v>8</v>
      </c>
      <c r="B9" s="12" t="s">
        <v>93</v>
      </c>
      <c r="C9" s="26">
        <v>58924030860</v>
      </c>
      <c r="D9" s="26">
        <v>10218862749</v>
      </c>
      <c r="E9" s="27">
        <v>84590111</v>
      </c>
      <c r="F9" s="28">
        <f t="shared" si="0"/>
        <v>69227483720</v>
      </c>
    </row>
    <row r="10" spans="1:6" x14ac:dyDescent="0.2">
      <c r="A10" s="11" t="s">
        <v>9</v>
      </c>
      <c r="B10" s="12" t="s">
        <v>93</v>
      </c>
      <c r="C10" s="26">
        <v>257820804350</v>
      </c>
      <c r="D10" s="26">
        <v>10097482335</v>
      </c>
      <c r="E10" s="27">
        <v>98149701</v>
      </c>
      <c r="F10" s="28">
        <f t="shared" si="0"/>
        <v>268016436386</v>
      </c>
    </row>
    <row r="11" spans="1:6" x14ac:dyDescent="0.2">
      <c r="A11" s="11" t="s">
        <v>10</v>
      </c>
      <c r="B11" s="12" t="s">
        <v>94</v>
      </c>
      <c r="C11" s="26">
        <v>509163396</v>
      </c>
      <c r="D11" s="26">
        <v>133383210</v>
      </c>
      <c r="E11" s="27">
        <v>0</v>
      </c>
      <c r="F11" s="28">
        <f t="shared" si="0"/>
        <v>642546606</v>
      </c>
    </row>
    <row r="12" spans="1:6" x14ac:dyDescent="0.2">
      <c r="A12" s="11" t="s">
        <v>11</v>
      </c>
      <c r="B12" s="12" t="s">
        <v>93</v>
      </c>
      <c r="C12" s="26">
        <v>23856032045</v>
      </c>
      <c r="D12" s="26">
        <v>1424298660</v>
      </c>
      <c r="E12" s="27">
        <v>3007341</v>
      </c>
      <c r="F12" s="28">
        <f t="shared" si="0"/>
        <v>25283338046</v>
      </c>
    </row>
    <row r="13" spans="1:6" x14ac:dyDescent="0.2">
      <c r="A13" s="11" t="s">
        <v>12</v>
      </c>
      <c r="B13" s="12" t="s">
        <v>93</v>
      </c>
      <c r="C13" s="26">
        <v>12687268028</v>
      </c>
      <c r="D13" s="26">
        <v>2178464345</v>
      </c>
      <c r="E13" s="27">
        <v>1838974</v>
      </c>
      <c r="F13" s="28">
        <f t="shared" si="0"/>
        <v>14867571347</v>
      </c>
    </row>
    <row r="14" spans="1:6" x14ac:dyDescent="0.2">
      <c r="A14" s="11" t="s">
        <v>13</v>
      </c>
      <c r="B14" s="12" t="s">
        <v>93</v>
      </c>
      <c r="C14" s="26">
        <v>16392278837</v>
      </c>
      <c r="D14" s="26">
        <v>1541520833</v>
      </c>
      <c r="E14" s="27">
        <v>16027266</v>
      </c>
      <c r="F14" s="28">
        <f t="shared" si="0"/>
        <v>17949826936</v>
      </c>
    </row>
    <row r="15" spans="1:6" x14ac:dyDescent="0.2">
      <c r="A15" s="11" t="s">
        <v>14</v>
      </c>
      <c r="B15" s="12" t="s">
        <v>93</v>
      </c>
      <c r="C15" s="26">
        <v>113466259603</v>
      </c>
      <c r="D15" s="26">
        <v>2835230083</v>
      </c>
      <c r="E15" s="27">
        <v>192903</v>
      </c>
      <c r="F15" s="28">
        <f t="shared" si="0"/>
        <v>116301682589</v>
      </c>
    </row>
    <row r="16" spans="1:6" x14ac:dyDescent="0.2">
      <c r="A16" s="11" t="s">
        <v>15</v>
      </c>
      <c r="B16" s="12" t="s">
        <v>94</v>
      </c>
      <c r="C16" s="26">
        <v>3974125555</v>
      </c>
      <c r="D16" s="26">
        <v>690369074</v>
      </c>
      <c r="E16" s="27">
        <v>14358759</v>
      </c>
      <c r="F16" s="28">
        <f t="shared" si="0"/>
        <v>4678853388</v>
      </c>
    </row>
    <row r="17" spans="1:6" x14ac:dyDescent="0.2">
      <c r="A17" s="11" t="s">
        <v>78</v>
      </c>
      <c r="B17" s="12" t="s">
        <v>93</v>
      </c>
      <c r="C17" s="26">
        <v>377156746041</v>
      </c>
      <c r="D17" s="26">
        <v>18749078831</v>
      </c>
      <c r="E17" s="27">
        <v>148156192</v>
      </c>
      <c r="F17" s="28">
        <f t="shared" si="0"/>
        <v>396053981064</v>
      </c>
    </row>
    <row r="18" spans="1:6" x14ac:dyDescent="0.2">
      <c r="A18" s="11" t="s">
        <v>16</v>
      </c>
      <c r="B18" s="12" t="s">
        <v>93</v>
      </c>
      <c r="C18" s="26">
        <v>2017403471</v>
      </c>
      <c r="D18" s="26">
        <v>701968938</v>
      </c>
      <c r="E18" s="27">
        <v>4441811</v>
      </c>
      <c r="F18" s="28">
        <f t="shared" si="0"/>
        <v>2723814220</v>
      </c>
    </row>
    <row r="19" spans="1:6" x14ac:dyDescent="0.2">
      <c r="A19" s="11" t="s">
        <v>17</v>
      </c>
      <c r="B19" s="12" t="s">
        <v>94</v>
      </c>
      <c r="C19" s="26">
        <v>822890851</v>
      </c>
      <c r="D19" s="26">
        <v>93860975</v>
      </c>
      <c r="E19" s="27">
        <v>0</v>
      </c>
      <c r="F19" s="28">
        <f t="shared" si="0"/>
        <v>916751826</v>
      </c>
    </row>
    <row r="20" spans="1:6" x14ac:dyDescent="0.2">
      <c r="A20" s="11" t="s">
        <v>18</v>
      </c>
      <c r="B20" s="12" t="s">
        <v>93</v>
      </c>
      <c r="C20" s="26">
        <v>93035123249</v>
      </c>
      <c r="D20" s="26">
        <v>14710612218</v>
      </c>
      <c r="E20" s="27">
        <v>222451451</v>
      </c>
      <c r="F20" s="28">
        <f t="shared" si="0"/>
        <v>107968186918</v>
      </c>
    </row>
    <row r="21" spans="1:6" x14ac:dyDescent="0.2">
      <c r="A21" s="11" t="s">
        <v>19</v>
      </c>
      <c r="B21" s="12" t="s">
        <v>93</v>
      </c>
      <c r="C21" s="26">
        <v>27756703273</v>
      </c>
      <c r="D21" s="26">
        <v>2844099168</v>
      </c>
      <c r="E21" s="27">
        <v>29048500</v>
      </c>
      <c r="F21" s="28">
        <f t="shared" si="0"/>
        <v>30629850941</v>
      </c>
    </row>
    <row r="22" spans="1:6" x14ac:dyDescent="0.2">
      <c r="A22" s="11" t="s">
        <v>20</v>
      </c>
      <c r="B22" s="12" t="s">
        <v>93</v>
      </c>
      <c r="C22" s="26">
        <v>13120382091</v>
      </c>
      <c r="D22" s="26">
        <v>710973206</v>
      </c>
      <c r="E22" s="27">
        <v>25509054</v>
      </c>
      <c r="F22" s="28">
        <f t="shared" si="0"/>
        <v>13856864351</v>
      </c>
    </row>
    <row r="23" spans="1:6" x14ac:dyDescent="0.2">
      <c r="A23" s="11" t="s">
        <v>21</v>
      </c>
      <c r="B23" s="12" t="s">
        <v>94</v>
      </c>
      <c r="C23" s="26">
        <v>2982949480</v>
      </c>
      <c r="D23" s="26">
        <v>94797882</v>
      </c>
      <c r="E23" s="27">
        <v>491829</v>
      </c>
      <c r="F23" s="28">
        <f t="shared" si="0"/>
        <v>3078239191</v>
      </c>
    </row>
    <row r="24" spans="1:6" x14ac:dyDescent="0.2">
      <c r="A24" s="11" t="s">
        <v>22</v>
      </c>
      <c r="B24" s="12" t="s">
        <v>94</v>
      </c>
      <c r="C24" s="26">
        <v>1918482382</v>
      </c>
      <c r="D24" s="26">
        <v>668532174</v>
      </c>
      <c r="E24" s="27">
        <v>7718778</v>
      </c>
      <c r="F24" s="28">
        <f t="shared" si="0"/>
        <v>2594733334</v>
      </c>
    </row>
    <row r="25" spans="1:6" x14ac:dyDescent="0.2">
      <c r="A25" s="11" t="s">
        <v>23</v>
      </c>
      <c r="B25" s="12" t="s">
        <v>94</v>
      </c>
      <c r="C25" s="26">
        <v>972747244</v>
      </c>
      <c r="D25" s="26">
        <v>321385564</v>
      </c>
      <c r="E25" s="27">
        <v>0</v>
      </c>
      <c r="F25" s="28">
        <f t="shared" si="0"/>
        <v>1294132808</v>
      </c>
    </row>
    <row r="26" spans="1:6" x14ac:dyDescent="0.2">
      <c r="A26" s="11" t="s">
        <v>24</v>
      </c>
      <c r="B26" s="12" t="s">
        <v>93</v>
      </c>
      <c r="C26" s="26">
        <v>1532586490</v>
      </c>
      <c r="D26" s="26">
        <v>155993595</v>
      </c>
      <c r="E26" s="27">
        <v>19085359</v>
      </c>
      <c r="F26" s="28">
        <f t="shared" si="0"/>
        <v>1707665444</v>
      </c>
    </row>
    <row r="27" spans="1:6" x14ac:dyDescent="0.2">
      <c r="A27" s="11" t="s">
        <v>25</v>
      </c>
      <c r="B27" s="12" t="s">
        <v>94</v>
      </c>
      <c r="C27" s="26">
        <v>2667381761</v>
      </c>
      <c r="D27" s="26">
        <v>116444943</v>
      </c>
      <c r="E27" s="27">
        <v>453220</v>
      </c>
      <c r="F27" s="28">
        <f t="shared" si="0"/>
        <v>2784279924</v>
      </c>
    </row>
    <row r="28" spans="1:6" x14ac:dyDescent="0.2">
      <c r="A28" s="11" t="s">
        <v>26</v>
      </c>
      <c r="B28" s="12" t="s">
        <v>94</v>
      </c>
      <c r="C28" s="26">
        <v>677623206</v>
      </c>
      <c r="D28" s="26">
        <v>583469261</v>
      </c>
      <c r="E28" s="27">
        <v>25771239</v>
      </c>
      <c r="F28" s="28">
        <f t="shared" si="0"/>
        <v>1286863706</v>
      </c>
    </row>
    <row r="29" spans="1:6" x14ac:dyDescent="0.2">
      <c r="A29" s="11" t="s">
        <v>27</v>
      </c>
      <c r="B29" s="12" t="s">
        <v>93</v>
      </c>
      <c r="C29" s="26">
        <v>1471487260</v>
      </c>
      <c r="D29" s="26">
        <v>831531431</v>
      </c>
      <c r="E29" s="27">
        <v>8761092</v>
      </c>
      <c r="F29" s="28">
        <f t="shared" si="0"/>
        <v>2311779783</v>
      </c>
    </row>
    <row r="30" spans="1:6" x14ac:dyDescent="0.2">
      <c r="A30" s="11" t="s">
        <v>28</v>
      </c>
      <c r="B30" s="12" t="s">
        <v>93</v>
      </c>
      <c r="C30" s="26">
        <v>3399987214</v>
      </c>
      <c r="D30" s="26">
        <v>939563531</v>
      </c>
      <c r="E30" s="27">
        <v>6152374</v>
      </c>
      <c r="F30" s="28">
        <f t="shared" si="0"/>
        <v>4345703119</v>
      </c>
    </row>
    <row r="31" spans="1:6" x14ac:dyDescent="0.2">
      <c r="A31" s="11" t="s">
        <v>29</v>
      </c>
      <c r="B31" s="12" t="s">
        <v>93</v>
      </c>
      <c r="C31" s="26">
        <v>13794061391</v>
      </c>
      <c r="D31" s="26">
        <v>1790065157</v>
      </c>
      <c r="E31" s="27">
        <v>10968325</v>
      </c>
      <c r="F31" s="28">
        <f t="shared" si="0"/>
        <v>15595094873</v>
      </c>
    </row>
    <row r="32" spans="1:6" x14ac:dyDescent="0.2">
      <c r="A32" s="11" t="s">
        <v>30</v>
      </c>
      <c r="B32" s="12" t="s">
        <v>93</v>
      </c>
      <c r="C32" s="26">
        <v>7134486242</v>
      </c>
      <c r="D32" s="26">
        <v>751757665</v>
      </c>
      <c r="E32" s="27">
        <v>38105775</v>
      </c>
      <c r="F32" s="28">
        <f t="shared" si="0"/>
        <v>7924349682</v>
      </c>
    </row>
    <row r="33" spans="1:6" x14ac:dyDescent="0.2">
      <c r="A33" s="11" t="s">
        <v>31</v>
      </c>
      <c r="B33" s="12" t="s">
        <v>93</v>
      </c>
      <c r="C33" s="26">
        <v>143472470007</v>
      </c>
      <c r="D33" s="26">
        <v>11845650280</v>
      </c>
      <c r="E33" s="27">
        <v>130723891</v>
      </c>
      <c r="F33" s="28">
        <f t="shared" si="0"/>
        <v>155448844178</v>
      </c>
    </row>
    <row r="34" spans="1:6" x14ac:dyDescent="0.2">
      <c r="A34" s="11" t="s">
        <v>32</v>
      </c>
      <c r="B34" s="12" t="s">
        <v>94</v>
      </c>
      <c r="C34" s="26">
        <v>728374081</v>
      </c>
      <c r="D34" s="26">
        <v>99918420</v>
      </c>
      <c r="E34" s="27">
        <v>3560975</v>
      </c>
      <c r="F34" s="28">
        <f t="shared" si="0"/>
        <v>831853476</v>
      </c>
    </row>
    <row r="35" spans="1:6" x14ac:dyDescent="0.2">
      <c r="A35" s="11" t="s">
        <v>33</v>
      </c>
      <c r="B35" s="12" t="s">
        <v>93</v>
      </c>
      <c r="C35" s="26">
        <v>23911890418</v>
      </c>
      <c r="D35" s="26">
        <v>850268303</v>
      </c>
      <c r="E35" s="27">
        <v>24551919</v>
      </c>
      <c r="F35" s="28">
        <f t="shared" si="0"/>
        <v>24786710640</v>
      </c>
    </row>
    <row r="36" spans="1:6" x14ac:dyDescent="0.2">
      <c r="A36" s="11" t="s">
        <v>34</v>
      </c>
      <c r="B36" s="12" t="s">
        <v>94</v>
      </c>
      <c r="C36" s="26">
        <v>2232466487</v>
      </c>
      <c r="D36" s="26">
        <v>452186698</v>
      </c>
      <c r="E36" s="27">
        <v>24949650</v>
      </c>
      <c r="F36" s="28">
        <f t="shared" si="0"/>
        <v>2709602835</v>
      </c>
    </row>
    <row r="37" spans="1:6" x14ac:dyDescent="0.2">
      <c r="A37" s="11" t="s">
        <v>35</v>
      </c>
      <c r="B37" s="12" t="s">
        <v>94</v>
      </c>
      <c r="C37" s="26">
        <v>882476544</v>
      </c>
      <c r="D37" s="26">
        <v>171059426</v>
      </c>
      <c r="E37" s="27">
        <v>2910419</v>
      </c>
      <c r="F37" s="28">
        <f t="shared" si="0"/>
        <v>1056446389</v>
      </c>
    </row>
    <row r="38" spans="1:6" x14ac:dyDescent="0.2">
      <c r="A38" s="11" t="s">
        <v>36</v>
      </c>
      <c r="B38" s="12" t="s">
        <v>94</v>
      </c>
      <c r="C38" s="26">
        <v>401836779</v>
      </c>
      <c r="D38" s="26">
        <v>73281607</v>
      </c>
      <c r="E38" s="27">
        <v>0</v>
      </c>
      <c r="F38" s="28">
        <f t="shared" si="0"/>
        <v>475118386</v>
      </c>
    </row>
    <row r="39" spans="1:6" x14ac:dyDescent="0.2">
      <c r="A39" s="11" t="s">
        <v>37</v>
      </c>
      <c r="B39" s="12" t="s">
        <v>93</v>
      </c>
      <c r="C39" s="26">
        <v>32255781855</v>
      </c>
      <c r="D39" s="26">
        <v>2097201257</v>
      </c>
      <c r="E39" s="27">
        <v>20096964</v>
      </c>
      <c r="F39" s="28">
        <f t="shared" si="0"/>
        <v>34373080076</v>
      </c>
    </row>
    <row r="40" spans="1:6" x14ac:dyDescent="0.2">
      <c r="A40" s="11" t="s">
        <v>38</v>
      </c>
      <c r="B40" s="12" t="s">
        <v>93</v>
      </c>
      <c r="C40" s="26">
        <v>107971527560</v>
      </c>
      <c r="D40" s="26">
        <v>5797237250</v>
      </c>
      <c r="E40" s="27">
        <v>5191529</v>
      </c>
      <c r="F40" s="28">
        <f t="shared" si="0"/>
        <v>113773956339</v>
      </c>
    </row>
    <row r="41" spans="1:6" x14ac:dyDescent="0.2">
      <c r="A41" s="11" t="s">
        <v>39</v>
      </c>
      <c r="B41" s="12" t="s">
        <v>93</v>
      </c>
      <c r="C41" s="26">
        <v>27486646372</v>
      </c>
      <c r="D41" s="26">
        <v>2209042587</v>
      </c>
      <c r="E41" s="27">
        <v>5535968</v>
      </c>
      <c r="F41" s="28">
        <f t="shared" si="0"/>
        <v>29701224927</v>
      </c>
    </row>
    <row r="42" spans="1:6" x14ac:dyDescent="0.2">
      <c r="A42" s="11" t="s">
        <v>40</v>
      </c>
      <c r="B42" s="12" t="s">
        <v>94</v>
      </c>
      <c r="C42" s="26">
        <v>2759180565</v>
      </c>
      <c r="D42" s="26">
        <v>401320838</v>
      </c>
      <c r="E42" s="27">
        <v>3693700</v>
      </c>
      <c r="F42" s="28">
        <f t="shared" si="0"/>
        <v>3164195103</v>
      </c>
    </row>
    <row r="43" spans="1:6" x14ac:dyDescent="0.2">
      <c r="A43" s="11" t="s">
        <v>41</v>
      </c>
      <c r="B43" s="12" t="s">
        <v>94</v>
      </c>
      <c r="C43" s="26">
        <v>606801654</v>
      </c>
      <c r="D43" s="26">
        <v>134282881</v>
      </c>
      <c r="E43" s="27">
        <v>593282</v>
      </c>
      <c r="F43" s="28">
        <f t="shared" si="0"/>
        <v>741677817</v>
      </c>
    </row>
    <row r="44" spans="1:6" x14ac:dyDescent="0.2">
      <c r="A44" s="11" t="s">
        <v>42</v>
      </c>
      <c r="B44" s="12" t="s">
        <v>94</v>
      </c>
      <c r="C44" s="26">
        <v>872727880</v>
      </c>
      <c r="D44" s="26">
        <v>221209577</v>
      </c>
      <c r="E44" s="27">
        <v>7769697</v>
      </c>
      <c r="F44" s="28">
        <f t="shared" si="0"/>
        <v>1101707154</v>
      </c>
    </row>
    <row r="45" spans="1:6" x14ac:dyDescent="0.2">
      <c r="A45" s="11" t="s">
        <v>43</v>
      </c>
      <c r="B45" s="12" t="s">
        <v>93</v>
      </c>
      <c r="C45" s="26">
        <v>49075239330</v>
      </c>
      <c r="D45" s="26">
        <v>3449570973</v>
      </c>
      <c r="E45" s="27">
        <v>9629951</v>
      </c>
      <c r="F45" s="28">
        <f t="shared" si="0"/>
        <v>52534440254</v>
      </c>
    </row>
    <row r="46" spans="1:6" x14ac:dyDescent="0.2">
      <c r="A46" s="11" t="s">
        <v>44</v>
      </c>
      <c r="B46" s="12" t="s">
        <v>93</v>
      </c>
      <c r="C46" s="26">
        <v>27660254310</v>
      </c>
      <c r="D46" s="26">
        <v>2083707138</v>
      </c>
      <c r="E46" s="27">
        <v>28519034</v>
      </c>
      <c r="F46" s="28">
        <f t="shared" si="0"/>
        <v>29772480482</v>
      </c>
    </row>
    <row r="47" spans="1:6" x14ac:dyDescent="0.2">
      <c r="A47" s="11" t="s">
        <v>45</v>
      </c>
      <c r="B47" s="12" t="s">
        <v>93</v>
      </c>
      <c r="C47" s="26">
        <v>26458628756</v>
      </c>
      <c r="D47" s="26">
        <v>3125407152</v>
      </c>
      <c r="E47" s="27">
        <v>68352425</v>
      </c>
      <c r="F47" s="28">
        <f t="shared" si="0"/>
        <v>29652388333</v>
      </c>
    </row>
    <row r="48" spans="1:6" x14ac:dyDescent="0.2">
      <c r="A48" s="11" t="s">
        <v>46</v>
      </c>
      <c r="B48" s="12" t="s">
        <v>93</v>
      </c>
      <c r="C48" s="26">
        <v>37023946605</v>
      </c>
      <c r="D48" s="26">
        <v>905787545</v>
      </c>
      <c r="E48" s="27">
        <v>0</v>
      </c>
      <c r="F48" s="28">
        <f t="shared" si="0"/>
        <v>37929734150</v>
      </c>
    </row>
    <row r="49" spans="1:6" x14ac:dyDescent="0.2">
      <c r="A49" s="11" t="s">
        <v>47</v>
      </c>
      <c r="B49" s="12" t="s">
        <v>93</v>
      </c>
      <c r="C49" s="26">
        <v>12435231485</v>
      </c>
      <c r="D49" s="26">
        <v>1260164802</v>
      </c>
      <c r="E49" s="27">
        <v>44817698</v>
      </c>
      <c r="F49" s="28">
        <f t="shared" si="0"/>
        <v>13740213985</v>
      </c>
    </row>
    <row r="50" spans="1:6" x14ac:dyDescent="0.2">
      <c r="A50" s="11" t="s">
        <v>48</v>
      </c>
      <c r="B50" s="12" t="s">
        <v>93</v>
      </c>
      <c r="C50" s="26">
        <v>25278473908</v>
      </c>
      <c r="D50" s="26">
        <v>1039271284</v>
      </c>
      <c r="E50" s="27">
        <v>4111036</v>
      </c>
      <c r="F50" s="28">
        <f t="shared" si="0"/>
        <v>26321856228</v>
      </c>
    </row>
    <row r="51" spans="1:6" x14ac:dyDescent="0.2">
      <c r="A51" s="11" t="s">
        <v>49</v>
      </c>
      <c r="B51" s="12" t="s">
        <v>93</v>
      </c>
      <c r="C51" s="26">
        <v>2702355770</v>
      </c>
      <c r="D51" s="26">
        <v>1733762694</v>
      </c>
      <c r="E51" s="27">
        <v>11388330</v>
      </c>
      <c r="F51" s="28">
        <f t="shared" si="0"/>
        <v>4447506794</v>
      </c>
    </row>
    <row r="52" spans="1:6" x14ac:dyDescent="0.2">
      <c r="A52" s="11" t="s">
        <v>50</v>
      </c>
      <c r="B52" s="12" t="s">
        <v>93</v>
      </c>
      <c r="C52" s="26">
        <v>184938638555</v>
      </c>
      <c r="D52" s="26">
        <v>16728860444</v>
      </c>
      <c r="E52" s="27">
        <v>59815275</v>
      </c>
      <c r="F52" s="28">
        <f t="shared" si="0"/>
        <v>201727314274</v>
      </c>
    </row>
    <row r="53" spans="1:6" x14ac:dyDescent="0.2">
      <c r="A53" s="11" t="s">
        <v>51</v>
      </c>
      <c r="B53" s="12" t="s">
        <v>93</v>
      </c>
      <c r="C53" s="26">
        <v>39613259025</v>
      </c>
      <c r="D53" s="26">
        <v>3293289564</v>
      </c>
      <c r="E53" s="27">
        <v>6391045</v>
      </c>
      <c r="F53" s="28">
        <f t="shared" si="0"/>
        <v>42912939634</v>
      </c>
    </row>
    <row r="54" spans="1:6" x14ac:dyDescent="0.2">
      <c r="A54" s="11" t="s">
        <v>52</v>
      </c>
      <c r="B54" s="12" t="s">
        <v>93</v>
      </c>
      <c r="C54" s="26">
        <v>246507401825</v>
      </c>
      <c r="D54" s="26">
        <v>11895431997</v>
      </c>
      <c r="E54" s="27">
        <v>186232691</v>
      </c>
      <c r="F54" s="28">
        <f t="shared" si="0"/>
        <v>258589066513</v>
      </c>
    </row>
    <row r="55" spans="1:6" x14ac:dyDescent="0.2">
      <c r="A55" s="11" t="s">
        <v>53</v>
      </c>
      <c r="B55" s="12" t="s">
        <v>93</v>
      </c>
      <c r="C55" s="26">
        <v>42530163529</v>
      </c>
      <c r="D55" s="26">
        <v>3241443520</v>
      </c>
      <c r="E55" s="27">
        <v>21440225</v>
      </c>
      <c r="F55" s="28">
        <f t="shared" si="0"/>
        <v>45793047274</v>
      </c>
    </row>
    <row r="56" spans="1:6" x14ac:dyDescent="0.2">
      <c r="A56" s="11" t="s">
        <v>54</v>
      </c>
      <c r="B56" s="12" t="s">
        <v>93</v>
      </c>
      <c r="C56" s="26">
        <v>115939949723</v>
      </c>
      <c r="D56" s="26">
        <v>6489459200</v>
      </c>
      <c r="E56" s="27">
        <v>12583233</v>
      </c>
      <c r="F56" s="28">
        <f t="shared" si="0"/>
        <v>122441992156</v>
      </c>
    </row>
    <row r="57" spans="1:6" x14ac:dyDescent="0.2">
      <c r="A57" s="11" t="s">
        <v>55</v>
      </c>
      <c r="B57" s="12" t="s">
        <v>93</v>
      </c>
      <c r="C57" s="26">
        <v>48624582223</v>
      </c>
      <c r="D57" s="26">
        <v>7857002953</v>
      </c>
      <c r="E57" s="27">
        <v>125299945</v>
      </c>
      <c r="F57" s="28">
        <f t="shared" si="0"/>
        <v>56606885121</v>
      </c>
    </row>
    <row r="58" spans="1:6" x14ac:dyDescent="0.2">
      <c r="A58" s="11" t="s">
        <v>56</v>
      </c>
      <c r="B58" s="12" t="s">
        <v>93</v>
      </c>
      <c r="C58" s="26">
        <v>5055028601</v>
      </c>
      <c r="D58" s="26">
        <v>1608755240</v>
      </c>
      <c r="E58" s="27">
        <v>17240716</v>
      </c>
      <c r="F58" s="28">
        <f t="shared" si="0"/>
        <v>6681024557</v>
      </c>
    </row>
    <row r="59" spans="1:6" x14ac:dyDescent="0.2">
      <c r="A59" s="11" t="s">
        <v>2</v>
      </c>
      <c r="B59" s="12" t="s">
        <v>93</v>
      </c>
      <c r="C59" s="26">
        <v>39861694215</v>
      </c>
      <c r="D59" s="26">
        <v>1634017229</v>
      </c>
      <c r="E59" s="27">
        <v>39390286</v>
      </c>
      <c r="F59" s="28">
        <f t="shared" si="0"/>
        <v>41535101730</v>
      </c>
    </row>
    <row r="60" spans="1:6" x14ac:dyDescent="0.2">
      <c r="A60" s="11" t="s">
        <v>3</v>
      </c>
      <c r="B60" s="12" t="s">
        <v>93</v>
      </c>
      <c r="C60" s="26">
        <v>28424907816</v>
      </c>
      <c r="D60" s="26">
        <v>4952388012</v>
      </c>
      <c r="E60" s="27">
        <v>55286149</v>
      </c>
      <c r="F60" s="28">
        <f t="shared" si="0"/>
        <v>33432581977</v>
      </c>
    </row>
    <row r="61" spans="1:6" x14ac:dyDescent="0.2">
      <c r="A61" s="11" t="s">
        <v>57</v>
      </c>
      <c r="B61" s="12" t="s">
        <v>93</v>
      </c>
      <c r="C61" s="26">
        <v>15857979672</v>
      </c>
      <c r="D61" s="26">
        <v>855960190</v>
      </c>
      <c r="E61" s="27">
        <v>3831123</v>
      </c>
      <c r="F61" s="28">
        <f t="shared" si="0"/>
        <v>16717770985</v>
      </c>
    </row>
    <row r="62" spans="1:6" x14ac:dyDescent="0.2">
      <c r="A62" s="11" t="s">
        <v>58</v>
      </c>
      <c r="B62" s="12" t="s">
        <v>93</v>
      </c>
      <c r="C62" s="26">
        <v>79987829710</v>
      </c>
      <c r="D62" s="26">
        <v>2953230673</v>
      </c>
      <c r="E62" s="27">
        <v>893996</v>
      </c>
      <c r="F62" s="28">
        <f t="shared" si="0"/>
        <v>82941954379</v>
      </c>
    </row>
    <row r="63" spans="1:6" x14ac:dyDescent="0.2">
      <c r="A63" s="11" t="s">
        <v>59</v>
      </c>
      <c r="B63" s="12" t="s">
        <v>93</v>
      </c>
      <c r="C63" s="26">
        <v>45448659440</v>
      </c>
      <c r="D63" s="26">
        <v>2780602095</v>
      </c>
      <c r="E63" s="27">
        <v>13863051</v>
      </c>
      <c r="F63" s="28">
        <f t="shared" si="0"/>
        <v>48243124586</v>
      </c>
    </row>
    <row r="64" spans="1:6" x14ac:dyDescent="0.2">
      <c r="A64" s="11" t="s">
        <v>60</v>
      </c>
      <c r="B64" s="12" t="s">
        <v>93</v>
      </c>
      <c r="C64" s="26">
        <v>17515476477</v>
      </c>
      <c r="D64" s="26">
        <v>1034127981</v>
      </c>
      <c r="E64" s="27">
        <v>16195160</v>
      </c>
      <c r="F64" s="28">
        <f t="shared" si="0"/>
        <v>18565799618</v>
      </c>
    </row>
    <row r="65" spans="1:6" x14ac:dyDescent="0.2">
      <c r="A65" s="11" t="s">
        <v>61</v>
      </c>
      <c r="B65" s="12" t="s">
        <v>94</v>
      </c>
      <c r="C65" s="26">
        <v>2067844428</v>
      </c>
      <c r="D65" s="26">
        <v>702908697</v>
      </c>
      <c r="E65" s="27">
        <v>3886571</v>
      </c>
      <c r="F65" s="28">
        <f t="shared" si="0"/>
        <v>2774639696</v>
      </c>
    </row>
    <row r="66" spans="1:6" x14ac:dyDescent="0.2">
      <c r="A66" s="11" t="s">
        <v>62</v>
      </c>
      <c r="B66" s="12" t="s">
        <v>94</v>
      </c>
      <c r="C66" s="26">
        <v>1309670638</v>
      </c>
      <c r="D66" s="26">
        <v>776876686</v>
      </c>
      <c r="E66" s="27">
        <v>10828331</v>
      </c>
      <c r="F66" s="28">
        <f t="shared" si="0"/>
        <v>2097375655</v>
      </c>
    </row>
    <row r="67" spans="1:6" x14ac:dyDescent="0.2">
      <c r="A67" s="11" t="s">
        <v>63</v>
      </c>
      <c r="B67" s="12" t="s">
        <v>94</v>
      </c>
      <c r="C67" s="26">
        <v>452664262</v>
      </c>
      <c r="D67" s="26">
        <v>88506542</v>
      </c>
      <c r="E67" s="27" t="s">
        <v>92</v>
      </c>
      <c r="F67" s="28">
        <f t="shared" si="0"/>
        <v>541170804</v>
      </c>
    </row>
    <row r="68" spans="1:6" x14ac:dyDescent="0.2">
      <c r="A68" s="11" t="s">
        <v>64</v>
      </c>
      <c r="B68" s="12" t="s">
        <v>93</v>
      </c>
      <c r="C68" s="26">
        <v>52047550400</v>
      </c>
      <c r="D68" s="26">
        <v>4267178585</v>
      </c>
      <c r="E68" s="27">
        <v>70234706</v>
      </c>
      <c r="F68" s="28">
        <f t="shared" si="0"/>
        <v>56384963691</v>
      </c>
    </row>
    <row r="69" spans="1:6" x14ac:dyDescent="0.2">
      <c r="A69" s="11" t="s">
        <v>65</v>
      </c>
      <c r="B69" s="12" t="s">
        <v>94</v>
      </c>
      <c r="C69" s="26">
        <v>2194740831</v>
      </c>
      <c r="D69" s="26">
        <v>195831629</v>
      </c>
      <c r="E69" s="27">
        <v>0</v>
      </c>
      <c r="F69" s="28">
        <f t="shared" si="0"/>
        <v>2390572460</v>
      </c>
    </row>
    <row r="70" spans="1:6" x14ac:dyDescent="0.2">
      <c r="A70" s="11" t="s">
        <v>66</v>
      </c>
      <c r="B70" s="12" t="s">
        <v>94</v>
      </c>
      <c r="C70" s="26">
        <v>27333830021</v>
      </c>
      <c r="D70" s="26">
        <v>693919502</v>
      </c>
      <c r="E70" s="27">
        <v>3314174</v>
      </c>
      <c r="F70" s="28">
        <f>SUM(C70:E70)</f>
        <v>28031063697</v>
      </c>
    </row>
    <row r="71" spans="1:6" x14ac:dyDescent="0.2">
      <c r="A71" s="11" t="s">
        <v>67</v>
      </c>
      <c r="B71" s="12" t="s">
        <v>94</v>
      </c>
      <c r="C71" s="26">
        <v>1187083451</v>
      </c>
      <c r="D71" s="26">
        <v>263038611</v>
      </c>
      <c r="E71" s="27">
        <v>1947076</v>
      </c>
      <c r="F71" s="28">
        <f>SUM(C71:E71)</f>
        <v>1452069138</v>
      </c>
    </row>
    <row r="72" spans="1:6" x14ac:dyDescent="0.2">
      <c r="A72" s="16"/>
      <c r="B72" s="17" t="s">
        <v>91</v>
      </c>
      <c r="C72" s="29"/>
      <c r="D72" s="29"/>
      <c r="E72" s="30"/>
      <c r="F72" s="31"/>
    </row>
    <row r="73" spans="1:6" ht="15.75" thickBot="1" x14ac:dyDescent="0.3">
      <c r="A73" s="19" t="s">
        <v>68</v>
      </c>
      <c r="B73" s="20"/>
      <c r="C73" s="32">
        <f>SUM(C5:C71)</f>
        <v>2609183534741</v>
      </c>
      <c r="D73" s="32">
        <f>SUM(D5:D71)</f>
        <v>189981175292</v>
      </c>
      <c r="E73" s="32">
        <f>SUM(E5:E71)</f>
        <v>1900296837</v>
      </c>
      <c r="F73" s="33">
        <f>SUM(F5:F71)</f>
        <v>2801065006870</v>
      </c>
    </row>
    <row r="75" spans="1:6" x14ac:dyDescent="0.2">
      <c r="A75" s="24" t="s">
        <v>95</v>
      </c>
    </row>
  </sheetData>
  <phoneticPr fontId="3" type="noConversion"/>
  <conditionalFormatting sqref="A75">
    <cfRule type="expression" dxfId="9" priority="1" stopIfTrue="1">
      <formula>MOD(ROW(),5)=1</formula>
    </cfRule>
  </conditionalFormatting>
  <conditionalFormatting sqref="A4:F73">
    <cfRule type="expression" dxfId="8" priority="2" stopIfTrue="1">
      <formula>MOD(ROW(),3)=1</formula>
    </cfRule>
  </conditionalFormatting>
  <pageMargins left="0.75" right="0.75" top="1" bottom="1" header="0.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70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88</v>
      </c>
      <c r="D4" s="38" t="s">
        <v>89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Property'!F5</f>
        <v>28728753805</v>
      </c>
      <c r="D5" s="14">
        <f>((C5-E5)/E5)</f>
        <v>4.0087562513552964E-2</v>
      </c>
      <c r="E5" s="13">
        <v>27621476153</v>
      </c>
      <c r="F5" s="14">
        <f>((E5-G5)/G5)</f>
        <v>3.8484567164711596E-2</v>
      </c>
      <c r="G5" s="15">
        <v>26597868689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Property'!F6</f>
        <v>1766898692</v>
      </c>
      <c r="D6" s="14">
        <f t="shared" ref="D6:D69" si="0">((C6-E6)/E6)</f>
        <v>6.7385958917263275E-2</v>
      </c>
      <c r="E6" s="13">
        <v>1655351260</v>
      </c>
      <c r="F6" s="14">
        <f t="shared" ref="F6:F69" si="1">((E6-G6)/G6)</f>
        <v>5.3050489935701287E-2</v>
      </c>
      <c r="G6" s="15">
        <v>1571958112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Property'!F7</f>
        <v>24574214711</v>
      </c>
      <c r="D7" s="14">
        <f t="shared" si="0"/>
        <v>9.5848815016732494E-2</v>
      </c>
      <c r="E7" s="13">
        <v>22424822087</v>
      </c>
      <c r="F7" s="14">
        <f t="shared" si="1"/>
        <v>7.8721315871230629E-2</v>
      </c>
      <c r="G7" s="15">
        <v>20788336855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Property'!F8</f>
        <v>1531613969</v>
      </c>
      <c r="D8" s="14">
        <f t="shared" si="0"/>
        <v>4.544800833042726E-2</v>
      </c>
      <c r="E8" s="13">
        <v>1465031218</v>
      </c>
      <c r="F8" s="14">
        <f t="shared" si="1"/>
        <v>5.7154859713066129E-2</v>
      </c>
      <c r="G8" s="15">
        <v>1385824607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Property'!F9</f>
        <v>69227483720</v>
      </c>
      <c r="D9" s="14">
        <f t="shared" si="0"/>
        <v>5.8924645309910095E-2</v>
      </c>
      <c r="E9" s="13">
        <v>65375269172</v>
      </c>
      <c r="F9" s="14">
        <f t="shared" si="1"/>
        <v>6.2404663780320065E-2</v>
      </c>
      <c r="G9" s="15">
        <v>61535186545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Property'!F10</f>
        <v>268016436386</v>
      </c>
      <c r="D10" s="14">
        <f t="shared" si="0"/>
        <v>5.0994112528307912E-2</v>
      </c>
      <c r="E10" s="13">
        <v>255012309956</v>
      </c>
      <c r="F10" s="14">
        <f t="shared" si="1"/>
        <v>4.9019943056019005E-2</v>
      </c>
      <c r="G10" s="15">
        <v>243095769193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Property'!F11</f>
        <v>642546606</v>
      </c>
      <c r="D11" s="14">
        <f t="shared" si="0"/>
        <v>4.3603877865065296E-2</v>
      </c>
      <c r="E11" s="13">
        <v>615699711</v>
      </c>
      <c r="F11" s="14">
        <f t="shared" si="1"/>
        <v>8.492699748004133E-2</v>
      </c>
      <c r="G11" s="15">
        <v>567503355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Property'!F12</f>
        <v>25283338046</v>
      </c>
      <c r="D12" s="14">
        <f t="shared" si="0"/>
        <v>6.3796579054585911E-2</v>
      </c>
      <c r="E12" s="13">
        <v>23767079669</v>
      </c>
      <c r="F12" s="14">
        <f t="shared" si="1"/>
        <v>6.5120392166335556E-2</v>
      </c>
      <c r="G12" s="15">
        <v>22313984263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Property'!F13</f>
        <v>14867571347</v>
      </c>
      <c r="D13" s="14">
        <f t="shared" si="0"/>
        <v>4.595461791488039E-2</v>
      </c>
      <c r="E13" s="13">
        <v>14214356046</v>
      </c>
      <c r="F13" s="14">
        <f t="shared" si="1"/>
        <v>4.4972537025017682E-2</v>
      </c>
      <c r="G13" s="15">
        <v>13602612071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Property'!F14</f>
        <v>17949826936</v>
      </c>
      <c r="D14" s="14">
        <f t="shared" si="0"/>
        <v>6.2212818815882268E-2</v>
      </c>
      <c r="E14" s="13">
        <v>16898522234</v>
      </c>
      <c r="F14" s="14">
        <f t="shared" si="1"/>
        <v>6.0092719236405759E-2</v>
      </c>
      <c r="G14" s="15">
        <v>15940607767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Property'!F15</f>
        <v>116301682589</v>
      </c>
      <c r="D15" s="14">
        <f t="shared" si="0"/>
        <v>5.4595990233387862E-2</v>
      </c>
      <c r="E15" s="13">
        <v>110280793466</v>
      </c>
      <c r="F15" s="14">
        <f t="shared" si="1"/>
        <v>6.1902751998465413E-2</v>
      </c>
      <c r="G15" s="15">
        <v>103852064851</v>
      </c>
    </row>
    <row r="16" spans="1:7" x14ac:dyDescent="0.2">
      <c r="A16" s="11" t="s">
        <v>15</v>
      </c>
      <c r="B16" s="12" t="str">
        <f>'Assessed Value All Property'!B16</f>
        <v>R-Final</v>
      </c>
      <c r="C16" s="13">
        <f>'Assessed Value All Property'!F16</f>
        <v>4678853388</v>
      </c>
      <c r="D16" s="14">
        <f t="shared" si="0"/>
        <v>7.3345105700488425E-2</v>
      </c>
      <c r="E16" s="13">
        <v>4359132364</v>
      </c>
      <c r="F16" s="14">
        <f t="shared" si="1"/>
        <v>4.9822429325007161E-2</v>
      </c>
      <c r="G16" s="15">
        <v>4152256841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Property'!F17</f>
        <v>396053981064</v>
      </c>
      <c r="D17" s="14">
        <f t="shared" si="0"/>
        <v>5.6552355120144289E-2</v>
      </c>
      <c r="E17" s="13">
        <v>374855045417</v>
      </c>
      <c r="F17" s="14">
        <f t="shared" si="1"/>
        <v>3.5369919918600515E-2</v>
      </c>
      <c r="G17" s="15">
        <v>362049387572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Property'!F18</f>
        <v>2723814220</v>
      </c>
      <c r="D18" s="14">
        <f t="shared" si="0"/>
        <v>3.479366814906449E-2</v>
      </c>
      <c r="E18" s="13">
        <v>2632229307</v>
      </c>
      <c r="F18" s="14">
        <f t="shared" si="1"/>
        <v>6.5858024226255543E-2</v>
      </c>
      <c r="G18" s="15">
        <v>2469587175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Property'!F19</f>
        <v>916751826</v>
      </c>
      <c r="D19" s="14">
        <f t="shared" si="0"/>
        <v>2.9262282121369165E-2</v>
      </c>
      <c r="E19" s="13">
        <v>890688255</v>
      </c>
      <c r="F19" s="14">
        <f t="shared" si="1"/>
        <v>3.934661084572455E-2</v>
      </c>
      <c r="G19" s="15">
        <v>856969413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Property'!F20</f>
        <v>107968186918</v>
      </c>
      <c r="D20" s="14">
        <f t="shared" si="0"/>
        <v>6.2598768181770598E-2</v>
      </c>
      <c r="E20" s="13">
        <v>101607671824</v>
      </c>
      <c r="F20" s="14">
        <f t="shared" si="1"/>
        <v>6.2957633674180891E-2</v>
      </c>
      <c r="G20" s="15">
        <v>95589578178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Property'!F21</f>
        <v>30629850941</v>
      </c>
      <c r="D21" s="14">
        <f t="shared" si="0"/>
        <v>5.3230624446289461E-2</v>
      </c>
      <c r="E21" s="13">
        <v>29081808134</v>
      </c>
      <c r="F21" s="14">
        <f t="shared" si="1"/>
        <v>5.0851383913820401E-2</v>
      </c>
      <c r="G21" s="15">
        <v>27674520469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Property'!F22</f>
        <v>13856864351</v>
      </c>
      <c r="D22" s="14">
        <f t="shared" si="0"/>
        <v>7.9963838806149379E-2</v>
      </c>
      <c r="E22" s="13">
        <v>12830859565</v>
      </c>
      <c r="F22" s="14">
        <f t="shared" si="1"/>
        <v>6.7215769876085879E-2</v>
      </c>
      <c r="G22" s="15">
        <v>12022741724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Property'!F23</f>
        <v>3078239191</v>
      </c>
      <c r="D23" s="14">
        <f t="shared" si="0"/>
        <v>6.6870955978645674E-2</v>
      </c>
      <c r="E23" s="13">
        <v>2885296646</v>
      </c>
      <c r="F23" s="14">
        <f t="shared" si="1"/>
        <v>4.8032913869885625E-2</v>
      </c>
      <c r="G23" s="15">
        <v>2753059191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Property'!F24</f>
        <v>2594733334</v>
      </c>
      <c r="D24" s="14">
        <f t="shared" si="0"/>
        <v>5.4565974839482945E-2</v>
      </c>
      <c r="E24" s="13">
        <v>2460475111</v>
      </c>
      <c r="F24" s="14">
        <f t="shared" si="1"/>
        <v>1.9522136203314843E-2</v>
      </c>
      <c r="G24" s="15">
        <v>2413361146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Property'!F25</f>
        <v>1294132808</v>
      </c>
      <c r="D25" s="14">
        <f t="shared" si="0"/>
        <v>8.8479822376304348E-2</v>
      </c>
      <c r="E25" s="13">
        <v>1188935965</v>
      </c>
      <c r="F25" s="14">
        <f t="shared" si="1"/>
        <v>0.11216981587666593</v>
      </c>
      <c r="G25" s="15">
        <v>1069023766</v>
      </c>
    </row>
    <row r="26" spans="1:7" x14ac:dyDescent="0.2">
      <c r="A26" s="11" t="s">
        <v>24</v>
      </c>
      <c r="B26" s="12" t="str">
        <f>'Assessed Value All Property'!B26</f>
        <v>R-NVAB</v>
      </c>
      <c r="C26" s="13">
        <f>'Assessed Value All Property'!F26</f>
        <v>1707665444</v>
      </c>
      <c r="D26" s="14">
        <f t="shared" si="0"/>
        <v>4.3977213775507534E-2</v>
      </c>
      <c r="E26" s="13">
        <v>1635730571</v>
      </c>
      <c r="F26" s="14">
        <f t="shared" si="1"/>
        <v>3.9322116804476462E-2</v>
      </c>
      <c r="G26" s="15">
        <v>1573843705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Property'!F27</f>
        <v>2784279924</v>
      </c>
      <c r="D27" s="14">
        <f t="shared" si="0"/>
        <v>9.7875160807162603E-2</v>
      </c>
      <c r="E27" s="13">
        <v>2536062408</v>
      </c>
      <c r="F27" s="14">
        <f t="shared" si="1"/>
        <v>7.8980300179108953E-2</v>
      </c>
      <c r="G27" s="15">
        <v>2350425126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Property'!F28</f>
        <v>1286863706</v>
      </c>
      <c r="D28" s="14">
        <f t="shared" si="0"/>
        <v>6.3213889387888789E-3</v>
      </c>
      <c r="E28" s="13">
        <v>1278780040</v>
      </c>
      <c r="F28" s="14">
        <f t="shared" si="1"/>
        <v>6.9824542188178712E-2</v>
      </c>
      <c r="G28" s="15">
        <v>1195317540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Property'!F29</f>
        <v>2311779783</v>
      </c>
      <c r="D29" s="14">
        <f t="shared" si="0"/>
        <v>3.1799450774481722E-2</v>
      </c>
      <c r="E29" s="13">
        <v>2240532093</v>
      </c>
      <c r="F29" s="14">
        <f t="shared" si="1"/>
        <v>5.7450158659687188E-2</v>
      </c>
      <c r="G29" s="15">
        <v>2118806333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Property'!F30</f>
        <v>4345703119</v>
      </c>
      <c r="D30" s="14">
        <f t="shared" si="0"/>
        <v>7.8392153170009526E-2</v>
      </c>
      <c r="E30" s="13">
        <v>4029798535</v>
      </c>
      <c r="F30" s="14">
        <f t="shared" si="1"/>
        <v>9.4767529388437563E-2</v>
      </c>
      <c r="G30" s="15">
        <v>3680962786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Property'!F31</f>
        <v>15595094873</v>
      </c>
      <c r="D31" s="14">
        <f t="shared" si="0"/>
        <v>7.1724134766415912E-2</v>
      </c>
      <c r="E31" s="13">
        <v>14551407743</v>
      </c>
      <c r="F31" s="14">
        <f t="shared" si="1"/>
        <v>7.1785058066064666E-2</v>
      </c>
      <c r="G31" s="15">
        <v>13576796610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Property'!F32</f>
        <v>7924349682</v>
      </c>
      <c r="D32" s="14">
        <f t="shared" si="0"/>
        <v>5.3227672943075018E-2</v>
      </c>
      <c r="E32" s="13">
        <v>7523871510</v>
      </c>
      <c r="F32" s="14">
        <f t="shared" si="1"/>
        <v>4.5523374714416039E-2</v>
      </c>
      <c r="G32" s="15">
        <v>7196272883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Property'!F33</f>
        <v>155448844178</v>
      </c>
      <c r="D33" s="14">
        <f t="shared" si="0"/>
        <v>8.1123271314053849E-2</v>
      </c>
      <c r="E33" s="13">
        <v>143784569533</v>
      </c>
      <c r="F33" s="14">
        <f t="shared" si="1"/>
        <v>8.2448845672648319E-2</v>
      </c>
      <c r="G33" s="15">
        <v>132832669283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Property'!F34</f>
        <v>831853476</v>
      </c>
      <c r="D34" s="14">
        <f t="shared" si="0"/>
        <v>3.8298299991567586E-2</v>
      </c>
      <c r="E34" s="13">
        <v>801170026</v>
      </c>
      <c r="F34" s="14">
        <f t="shared" si="1"/>
        <v>1.1123712137580163E-2</v>
      </c>
      <c r="G34" s="15">
        <v>792356085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Property'!F35</f>
        <v>24786710640</v>
      </c>
      <c r="D35" s="14">
        <f t="shared" si="0"/>
        <v>4.9232254139332014E-2</v>
      </c>
      <c r="E35" s="13">
        <v>23623664391</v>
      </c>
      <c r="F35" s="14">
        <f t="shared" si="1"/>
        <v>5.2832965852803983E-2</v>
      </c>
      <c r="G35" s="15">
        <v>22438188352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Property'!F36</f>
        <v>2709602835</v>
      </c>
      <c r="D36" s="14">
        <f t="shared" si="0"/>
        <v>6.2134684271070183E-2</v>
      </c>
      <c r="E36" s="13">
        <v>2551091566</v>
      </c>
      <c r="F36" s="14">
        <f t="shared" si="1"/>
        <v>4.3623775964476669E-2</v>
      </c>
      <c r="G36" s="15">
        <v>2444455200</v>
      </c>
    </row>
    <row r="37" spans="1:7" x14ac:dyDescent="0.2">
      <c r="A37" s="11" t="s">
        <v>35</v>
      </c>
      <c r="B37" s="12" t="str">
        <f>'Assessed Value All Property'!B37</f>
        <v>R-Final</v>
      </c>
      <c r="C37" s="13">
        <f>'Assessed Value All Property'!F37</f>
        <v>1056446389</v>
      </c>
      <c r="D37" s="14">
        <f t="shared" si="0"/>
        <v>5.4189764036359667E-2</v>
      </c>
      <c r="E37" s="13">
        <v>1002140625</v>
      </c>
      <c r="F37" s="14">
        <f t="shared" si="1"/>
        <v>4.8756627970521708E-2</v>
      </c>
      <c r="G37" s="15">
        <v>955551172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Property'!F38</f>
        <v>475118386</v>
      </c>
      <c r="D38" s="14">
        <f t="shared" si="0"/>
        <v>3.3066161437209515E-2</v>
      </c>
      <c r="E38" s="13">
        <v>459910898</v>
      </c>
      <c r="F38" s="14">
        <f t="shared" si="1"/>
        <v>2.5203236319840762E-2</v>
      </c>
      <c r="G38" s="15">
        <v>448604610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Property'!F39</f>
        <v>34373080076</v>
      </c>
      <c r="D39" s="14">
        <f t="shared" si="0"/>
        <v>6.8281727277454393E-2</v>
      </c>
      <c r="E39" s="13">
        <v>32176044201</v>
      </c>
      <c r="F39" s="14">
        <f t="shared" si="1"/>
        <v>8.4936256945946698E-2</v>
      </c>
      <c r="G39" s="15">
        <v>29657082612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Property'!F40</f>
        <v>113773956339</v>
      </c>
      <c r="D40" s="14">
        <f t="shared" si="0"/>
        <v>7.318207028337767E-2</v>
      </c>
      <c r="E40" s="13">
        <v>106015521028</v>
      </c>
      <c r="F40" s="14">
        <f t="shared" si="1"/>
        <v>6.7670721691294705E-2</v>
      </c>
      <c r="G40" s="15">
        <v>99296083403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Property'!F41</f>
        <v>29701224927</v>
      </c>
      <c r="D41" s="14">
        <f t="shared" si="0"/>
        <v>3.8523361688784209E-2</v>
      </c>
      <c r="E41" s="13">
        <v>28599476933</v>
      </c>
      <c r="F41" s="14">
        <f t="shared" si="1"/>
        <v>5.0059836679730671E-2</v>
      </c>
      <c r="G41" s="15">
        <v>27236044970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Property'!F42</f>
        <v>3164195103</v>
      </c>
      <c r="D42" s="14">
        <f t="shared" si="0"/>
        <v>6.3832276550226719E-2</v>
      </c>
      <c r="E42" s="13">
        <v>2974336437</v>
      </c>
      <c r="F42" s="14">
        <f t="shared" si="1"/>
        <v>5.8997665018330626E-2</v>
      </c>
      <c r="G42" s="15">
        <v>2808633612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Property'!F43</f>
        <v>741677817</v>
      </c>
      <c r="D43" s="14">
        <f t="shared" si="0"/>
        <v>5.0771590049285026E-2</v>
      </c>
      <c r="E43" s="13">
        <v>705841140</v>
      </c>
      <c r="F43" s="14">
        <f t="shared" si="1"/>
        <v>2.1710678501254469E-2</v>
      </c>
      <c r="G43" s="15">
        <v>690842481</v>
      </c>
    </row>
    <row r="44" spans="1:7" x14ac:dyDescent="0.2">
      <c r="A44" s="11" t="s">
        <v>42</v>
      </c>
      <c r="B44" s="12" t="str">
        <f>'Assessed Value All Property'!B44</f>
        <v>R-Final</v>
      </c>
      <c r="C44" s="13">
        <f>'Assessed Value All Property'!F44</f>
        <v>1101707154</v>
      </c>
      <c r="D44" s="14">
        <f t="shared" si="0"/>
        <v>5.5985373839686457E-2</v>
      </c>
      <c r="E44" s="13">
        <v>1043297740</v>
      </c>
      <c r="F44" s="14">
        <f t="shared" si="1"/>
        <v>4.3255451640267763E-2</v>
      </c>
      <c r="G44" s="15">
        <v>1000040535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Property'!F45</f>
        <v>52534440254</v>
      </c>
      <c r="D45" s="14">
        <f t="shared" si="0"/>
        <v>7.446283551527158E-2</v>
      </c>
      <c r="E45" s="13">
        <v>48893678327</v>
      </c>
      <c r="F45" s="14">
        <f t="shared" si="1"/>
        <v>6.8813044957963865E-2</v>
      </c>
      <c r="G45" s="15">
        <v>45745772432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Property'!F46</f>
        <v>29772480482</v>
      </c>
      <c r="D46" s="14">
        <f t="shared" si="0"/>
        <v>7.2267138731472585E-2</v>
      </c>
      <c r="E46" s="13">
        <v>27765917099</v>
      </c>
      <c r="F46" s="14">
        <f t="shared" si="1"/>
        <v>6.8073695225324637E-2</v>
      </c>
      <c r="G46" s="15">
        <v>25996255898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Property'!F47</f>
        <v>29652388333</v>
      </c>
      <c r="D47" s="14">
        <f t="shared" si="0"/>
        <v>5.1175710935345148E-2</v>
      </c>
      <c r="E47" s="13">
        <v>28208783769</v>
      </c>
      <c r="F47" s="14">
        <f t="shared" si="1"/>
        <v>4.8490435430286881E-2</v>
      </c>
      <c r="G47" s="15">
        <v>26904187979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Property'!F48</f>
        <v>37929734150</v>
      </c>
      <c r="D48" s="14">
        <f t="shared" si="0"/>
        <v>4.97273405326593E-2</v>
      </c>
      <c r="E48" s="13">
        <v>36132939179</v>
      </c>
      <c r="F48" s="14">
        <f t="shared" si="1"/>
        <v>4.8322617963107037E-2</v>
      </c>
      <c r="G48" s="15">
        <v>34467384906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Property'!F49</f>
        <v>13740213985</v>
      </c>
      <c r="D49" s="14">
        <f t="shared" si="0"/>
        <v>8.4929150257695846E-2</v>
      </c>
      <c r="E49" s="13">
        <v>12664618682</v>
      </c>
      <c r="F49" s="14">
        <f t="shared" si="1"/>
        <v>9.1326366623292451E-2</v>
      </c>
      <c r="G49" s="15">
        <v>11604794926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Property'!F50</f>
        <v>26321856228</v>
      </c>
      <c r="D50" s="14">
        <f t="shared" si="0"/>
        <v>5.9775660105655638E-2</v>
      </c>
      <c r="E50" s="13">
        <v>24837196417</v>
      </c>
      <c r="F50" s="14">
        <f t="shared" si="1"/>
        <v>5.8600811737889356E-2</v>
      </c>
      <c r="G50" s="15">
        <v>23462287334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Property'!F51</f>
        <v>4447506794</v>
      </c>
      <c r="D51" s="14">
        <f t="shared" si="0"/>
        <v>7.9743079358946325E-2</v>
      </c>
      <c r="E51" s="13">
        <v>4119041723</v>
      </c>
      <c r="F51" s="14">
        <f t="shared" si="1"/>
        <v>0.19981634175797386</v>
      </c>
      <c r="G51" s="15">
        <v>3433060194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Property'!F52</f>
        <v>201727314274</v>
      </c>
      <c r="D52" s="14">
        <f t="shared" si="0"/>
        <v>3.5372966333919113E-2</v>
      </c>
      <c r="E52" s="13">
        <v>194835407948</v>
      </c>
      <c r="F52" s="14">
        <f t="shared" si="1"/>
        <v>7.8175025134682191E-2</v>
      </c>
      <c r="G52" s="15">
        <v>180708515228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Property'!F53</f>
        <v>42912939634</v>
      </c>
      <c r="D53" s="14">
        <f t="shared" si="0"/>
        <v>8.7991874819714336E-2</v>
      </c>
      <c r="E53" s="13">
        <v>39442334660</v>
      </c>
      <c r="F53" s="14">
        <f t="shared" si="1"/>
        <v>9.532880236861184E-2</v>
      </c>
      <c r="G53" s="15">
        <v>36009584131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Property'!F54</f>
        <v>258589066513</v>
      </c>
      <c r="D54" s="14">
        <f t="shared" si="0"/>
        <v>5.1536136106894503E-2</v>
      </c>
      <c r="E54" s="13">
        <v>245915530274</v>
      </c>
      <c r="F54" s="14">
        <f t="shared" si="1"/>
        <v>5.5219133996271971E-2</v>
      </c>
      <c r="G54" s="15">
        <v>233046883203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Property'!F55</f>
        <v>45793047274</v>
      </c>
      <c r="D55" s="14">
        <f t="shared" si="0"/>
        <v>8.9592032874809185E-2</v>
      </c>
      <c r="E55" s="13">
        <v>42027700178</v>
      </c>
      <c r="F55" s="14">
        <f t="shared" si="1"/>
        <v>6.5683243026353075E-2</v>
      </c>
      <c r="G55" s="15">
        <v>39437328543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Property'!F56</f>
        <v>122441992156</v>
      </c>
      <c r="D56" s="14">
        <f t="shared" si="0"/>
        <v>6.3367116476799559E-2</v>
      </c>
      <c r="E56" s="13">
        <v>115145550637</v>
      </c>
      <c r="F56" s="14">
        <f t="shared" si="1"/>
        <v>6.9823260284805996E-2</v>
      </c>
      <c r="G56" s="15">
        <v>107630442253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Property'!F57</f>
        <v>56606885121</v>
      </c>
      <c r="D57" s="14">
        <f t="shared" si="0"/>
        <v>8.5809395981215675E-2</v>
      </c>
      <c r="E57" s="13">
        <v>52133353543</v>
      </c>
      <c r="F57" s="14">
        <f t="shared" si="1"/>
        <v>8.5288860782667134E-2</v>
      </c>
      <c r="G57" s="15">
        <v>48036384991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Property'!F58</f>
        <v>6681024557</v>
      </c>
      <c r="D58" s="14">
        <f t="shared" si="0"/>
        <v>5.5595830753641301E-2</v>
      </c>
      <c r="E58" s="13">
        <v>6329150194</v>
      </c>
      <c r="F58" s="14">
        <f t="shared" si="1"/>
        <v>0.15114022044515607</v>
      </c>
      <c r="G58" s="15">
        <v>5498157463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Property'!F59</f>
        <v>41535101730</v>
      </c>
      <c r="D59" s="14">
        <f t="shared" si="0"/>
        <v>9.0339467651168529E-2</v>
      </c>
      <c r="E59" s="13">
        <v>38093734073</v>
      </c>
      <c r="F59" s="14">
        <f t="shared" si="1"/>
        <v>0.1053020296232678</v>
      </c>
      <c r="G59" s="15">
        <v>34464547293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Property'!F60</f>
        <v>33432581977</v>
      </c>
      <c r="D60" s="14">
        <f t="shared" si="0"/>
        <v>8.0404374067684956E-2</v>
      </c>
      <c r="E60" s="13">
        <v>30944508167</v>
      </c>
      <c r="F60" s="14">
        <f t="shared" si="1"/>
        <v>5.9857430420456235E-2</v>
      </c>
      <c r="G60" s="15">
        <v>29196859199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Property'!F61</f>
        <v>16717770985</v>
      </c>
      <c r="D61" s="14">
        <f t="shared" si="0"/>
        <v>8.0447435750341856E-2</v>
      </c>
      <c r="E61" s="13">
        <v>15473007230</v>
      </c>
      <c r="F61" s="14">
        <f t="shared" si="1"/>
        <v>6.9182798091355441E-2</v>
      </c>
      <c r="G61" s="15">
        <v>14471807120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Property'!F62</f>
        <v>82941954379</v>
      </c>
      <c r="D62" s="14">
        <f t="shared" si="0"/>
        <v>6.8787147214067271E-2</v>
      </c>
      <c r="E62" s="13">
        <v>77603809697</v>
      </c>
      <c r="F62" s="14">
        <f t="shared" si="1"/>
        <v>4.7032347723472041E-2</v>
      </c>
      <c r="G62" s="15">
        <v>74117872161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Property'!F63</f>
        <v>48243124586</v>
      </c>
      <c r="D63" s="14">
        <f t="shared" si="0"/>
        <v>5.0366127128188498E-2</v>
      </c>
      <c r="E63" s="13">
        <v>45929817556</v>
      </c>
      <c r="F63" s="14">
        <f t="shared" si="1"/>
        <v>5.905931001065938E-2</v>
      </c>
      <c r="G63" s="15">
        <v>43368503654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Property'!F64</f>
        <v>18565799618</v>
      </c>
      <c r="D64" s="14">
        <f t="shared" si="0"/>
        <v>8.092455501367668E-2</v>
      </c>
      <c r="E64" s="13">
        <v>17175851480</v>
      </c>
      <c r="F64" s="14">
        <f t="shared" si="1"/>
        <v>8.4376350949154397E-2</v>
      </c>
      <c r="G64" s="15">
        <v>15839382208</v>
      </c>
    </row>
    <row r="65" spans="1:7" x14ac:dyDescent="0.2">
      <c r="A65" s="11" t="s">
        <v>61</v>
      </c>
      <c r="B65" s="12" t="str">
        <f>'Assessed Value All Property'!B65</f>
        <v>R-Final</v>
      </c>
      <c r="C65" s="13">
        <f>'Assessed Value All Property'!F65</f>
        <v>2774639696</v>
      </c>
      <c r="D65" s="14">
        <f t="shared" si="0"/>
        <v>5.2926812706201698E-2</v>
      </c>
      <c r="E65" s="13">
        <v>2635168620</v>
      </c>
      <c r="F65" s="14">
        <f t="shared" si="1"/>
        <v>1.5221500227696144E-2</v>
      </c>
      <c r="G65" s="15">
        <v>2595658799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Property'!F66</f>
        <v>2097375655</v>
      </c>
      <c r="D66" s="14">
        <f t="shared" si="0"/>
        <v>4.5241936597940104E-2</v>
      </c>
      <c r="E66" s="13">
        <v>2006593480</v>
      </c>
      <c r="F66" s="14">
        <f t="shared" si="1"/>
        <v>8.2544855643515089E-2</v>
      </c>
      <c r="G66" s="15">
        <v>1853589225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Property'!F67</f>
        <v>541170804</v>
      </c>
      <c r="D67" s="14">
        <f t="shared" si="0"/>
        <v>6.9665525987628346E-2</v>
      </c>
      <c r="E67" s="13">
        <v>505925255</v>
      </c>
      <c r="F67" s="14">
        <f t="shared" si="1"/>
        <v>2.7356014200604468E-2</v>
      </c>
      <c r="G67" s="15">
        <v>492453685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Property'!F68</f>
        <v>56384963691</v>
      </c>
      <c r="D68" s="14">
        <f t="shared" si="0"/>
        <v>6.7581802490743137E-2</v>
      </c>
      <c r="E68" s="13">
        <v>52815590861</v>
      </c>
      <c r="F68" s="14">
        <f t="shared" si="1"/>
        <v>8.0319010614762695E-2</v>
      </c>
      <c r="G68" s="15">
        <v>48888884063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Property'!F69</f>
        <v>2390572460</v>
      </c>
      <c r="D69" s="14">
        <f t="shared" si="0"/>
        <v>8.1334574061972933E-2</v>
      </c>
      <c r="E69" s="13">
        <v>2210761144</v>
      </c>
      <c r="F69" s="14">
        <f t="shared" si="1"/>
        <v>6.8956148329621811E-2</v>
      </c>
      <c r="G69" s="15">
        <v>2068149519</v>
      </c>
    </row>
    <row r="70" spans="1:7" x14ac:dyDescent="0.2">
      <c r="A70" s="11" t="s">
        <v>66</v>
      </c>
      <c r="B70" s="12" t="str">
        <f>'Assessed Value All Property'!B70</f>
        <v>R-Final</v>
      </c>
      <c r="C70" s="13">
        <f>'Assessed Value All Property'!F70</f>
        <v>28031063697</v>
      </c>
      <c r="D70" s="14">
        <f>((C70-E70)/E70)</f>
        <v>0.12678805077650013</v>
      </c>
      <c r="E70" s="13">
        <v>24876962156</v>
      </c>
      <c r="F70" s="14">
        <f>((E70-G70)/G70)</f>
        <v>8.5777091423113128E-2</v>
      </c>
      <c r="G70" s="15">
        <v>22911666080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Property'!F71</f>
        <v>1452069138</v>
      </c>
      <c r="D71" s="14">
        <f>((C71-E71)/E71)</f>
        <v>5.1260485577902561E-2</v>
      </c>
      <c r="E71" s="13">
        <v>1381264832</v>
      </c>
      <c r="F71" s="14">
        <f>((E71-G71)/G71)</f>
        <v>0.11332370973621794</v>
      </c>
      <c r="G71" s="15">
        <v>1240667759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2801065006870</v>
      </c>
      <c r="D73" s="22">
        <f>((C73-E73)/E73)</f>
        <v>6.1105816624144174E-2</v>
      </c>
      <c r="E73" s="21">
        <f>SUM(E5:E72)</f>
        <v>2639760298159</v>
      </c>
      <c r="F73" s="22">
        <f>((E73-G73)/G73)</f>
        <v>6.0960120760855843E-2</v>
      </c>
      <c r="G73" s="23">
        <f>SUM(G5:G71)</f>
        <v>2488086259327</v>
      </c>
    </row>
    <row r="75" spans="1:7" x14ac:dyDescent="0.2">
      <c r="A75" s="24" t="s">
        <v>95</v>
      </c>
    </row>
    <row r="76" spans="1:7" x14ac:dyDescent="0.2">
      <c r="G76" s="25"/>
    </row>
  </sheetData>
  <phoneticPr fontId="3" type="noConversion"/>
  <conditionalFormatting sqref="A75">
    <cfRule type="expression" dxfId="7" priority="7" stopIfTrue="1">
      <formula>MOD(ROW(),5)=1</formula>
    </cfRule>
  </conditionalFormatting>
  <conditionalFormatting sqref="A4:G73">
    <cfRule type="expression" dxfId="6" priority="1" stopIfTrue="1">
      <formula>MOD(ROW(),3)=1</formula>
    </cfRule>
  </conditionalFormatting>
  <pageMargins left="0.7" right="0.7" top="0.5" bottom="0.5" header="0.05" footer="0.05"/>
  <pageSetup scale="90" fitToHeight="2" orientation="landscape" r:id="rId1"/>
  <rowBreaks count="1" manualBreakCount="1">
    <brk id="37" max="6" man="1"/>
  </rowBreaks>
  <ignoredErrors>
    <ignoredError sqref="E73 G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71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88</v>
      </c>
      <c r="D4" s="38" t="s">
        <v>89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Property'!C5</f>
        <v>24759727963</v>
      </c>
      <c r="D5" s="14">
        <f>((C5-E5)/E5)</f>
        <v>4.7074818737195046E-2</v>
      </c>
      <c r="E5" s="13">
        <v>23646569968</v>
      </c>
      <c r="F5" s="14">
        <f>((E5-G5)/G5)</f>
        <v>4.3366119577504907E-2</v>
      </c>
      <c r="G5" s="15">
        <v>22663731862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Property'!C6</f>
        <v>1540092747</v>
      </c>
      <c r="D6" s="14">
        <f t="shared" ref="D6:D69" si="0">((C6-E6)/E6)</f>
        <v>5.8836825425621582E-2</v>
      </c>
      <c r="E6" s="13">
        <v>1454513774</v>
      </c>
      <c r="F6" s="14">
        <f t="shared" ref="F6:F69" si="1">((E6-G6)/G6)</f>
        <v>5.6944504499284038E-2</v>
      </c>
      <c r="G6" s="15">
        <v>1376149616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Property'!C7</f>
        <v>22443781199</v>
      </c>
      <c r="D7" s="14">
        <f t="shared" si="0"/>
        <v>0.10225282771878848</v>
      </c>
      <c r="E7" s="13">
        <v>20361736105</v>
      </c>
      <c r="F7" s="14">
        <f t="shared" si="1"/>
        <v>8.4169867097911688E-2</v>
      </c>
      <c r="G7" s="15">
        <v>18780946347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Property'!C8</f>
        <v>1233663304</v>
      </c>
      <c r="D8" s="14">
        <f t="shared" si="0"/>
        <v>4.2319456596926867E-2</v>
      </c>
      <c r="E8" s="13">
        <v>1183575051</v>
      </c>
      <c r="F8" s="14">
        <f t="shared" si="1"/>
        <v>2.9152678834679212E-2</v>
      </c>
      <c r="G8" s="15">
        <v>1150048069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Property'!C9</f>
        <v>58924030860</v>
      </c>
      <c r="D9" s="14">
        <f t="shared" si="0"/>
        <v>6.4396794039619232E-2</v>
      </c>
      <c r="E9" s="13">
        <v>55359083370</v>
      </c>
      <c r="F9" s="14">
        <f t="shared" si="1"/>
        <v>6.8785959944644204E-2</v>
      </c>
      <c r="G9" s="15">
        <v>51796229970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Property'!C10</f>
        <v>257820804350</v>
      </c>
      <c r="D10" s="14">
        <f t="shared" si="0"/>
        <v>5.3234042827234838E-2</v>
      </c>
      <c r="E10" s="13">
        <v>244789661050</v>
      </c>
      <c r="F10" s="14">
        <f t="shared" si="1"/>
        <v>5.069421509235237E-2</v>
      </c>
      <c r="G10" s="15">
        <v>232978974790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Property'!C11</f>
        <v>509163396</v>
      </c>
      <c r="D11" s="14">
        <f t="shared" si="0"/>
        <v>3.8778385507273458E-2</v>
      </c>
      <c r="E11" s="13">
        <v>490155940</v>
      </c>
      <c r="F11" s="14">
        <f t="shared" si="1"/>
        <v>6.6502931203668139E-2</v>
      </c>
      <c r="G11" s="15">
        <v>459591742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Property'!C12</f>
        <v>23856032045</v>
      </c>
      <c r="D12" s="14">
        <f t="shared" si="0"/>
        <v>7.0881388483974739E-2</v>
      </c>
      <c r="E12" s="13">
        <v>22277006867</v>
      </c>
      <c r="F12" s="14">
        <f t="shared" si="1"/>
        <v>6.5493889349731715E-2</v>
      </c>
      <c r="G12" s="15">
        <v>20907681489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Property'!C13</f>
        <v>12687268028</v>
      </c>
      <c r="D13" s="14">
        <f t="shared" si="0"/>
        <v>5.674183620631993E-2</v>
      </c>
      <c r="E13" s="13">
        <v>12006024171</v>
      </c>
      <c r="F13" s="14">
        <f t="shared" si="1"/>
        <v>5.4083509860629847E-2</v>
      </c>
      <c r="G13" s="15">
        <v>11390012327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Property'!C14</f>
        <v>16392278837</v>
      </c>
      <c r="D14" s="14">
        <f t="shared" si="0"/>
        <v>6.3444734206882972E-2</v>
      </c>
      <c r="E14" s="13">
        <v>15414321318</v>
      </c>
      <c r="F14" s="14">
        <f t="shared" si="1"/>
        <v>5.7571614833196734E-2</v>
      </c>
      <c r="G14" s="15">
        <v>14575203326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Property'!C15</f>
        <v>113466259603</v>
      </c>
      <c r="D15" s="14">
        <f t="shared" si="0"/>
        <v>5.5249158972510974E-2</v>
      </c>
      <c r="E15" s="13">
        <v>107525562696</v>
      </c>
      <c r="F15" s="14">
        <f t="shared" si="1"/>
        <v>6.2168803742753007E-2</v>
      </c>
      <c r="G15" s="15">
        <v>101232085067</v>
      </c>
    </row>
    <row r="16" spans="1:7" x14ac:dyDescent="0.2">
      <c r="A16" s="11" t="s">
        <v>15</v>
      </c>
      <c r="B16" s="12" t="str">
        <f>'Assessed Value All Property'!B16</f>
        <v>R-Final</v>
      </c>
      <c r="C16" s="13">
        <f>'Assessed Value All Property'!C16</f>
        <v>3974125555</v>
      </c>
      <c r="D16" s="14">
        <f t="shared" si="0"/>
        <v>4.9187861018173025E-2</v>
      </c>
      <c r="E16" s="13">
        <v>3787811223</v>
      </c>
      <c r="F16" s="14">
        <f t="shared" si="1"/>
        <v>4.8703584899413364E-2</v>
      </c>
      <c r="G16" s="15">
        <v>3611898803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Property'!C17</f>
        <v>377156746041</v>
      </c>
      <c r="D17" s="14">
        <f t="shared" si="0"/>
        <v>5.5975830636757921E-2</v>
      </c>
      <c r="E17" s="13">
        <v>357164184159</v>
      </c>
      <c r="F17" s="14">
        <f t="shared" si="1"/>
        <v>4.7992996222744763E-2</v>
      </c>
      <c r="G17" s="15">
        <v>340807796852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Property'!C18</f>
        <v>2017403471</v>
      </c>
      <c r="D18" s="14">
        <f t="shared" si="0"/>
        <v>5.7142848683812517E-2</v>
      </c>
      <c r="E18" s="13">
        <v>1908354650</v>
      </c>
      <c r="F18" s="14">
        <f t="shared" si="1"/>
        <v>4.9879663761192822E-2</v>
      </c>
      <c r="G18" s="15">
        <v>1817688937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Property'!C19</f>
        <v>822890851</v>
      </c>
      <c r="D19" s="14">
        <f t="shared" si="0"/>
        <v>3.1809577148311265E-2</v>
      </c>
      <c r="E19" s="13">
        <v>797522013</v>
      </c>
      <c r="F19" s="14">
        <f t="shared" si="1"/>
        <v>4.1493750937040996E-2</v>
      </c>
      <c r="G19" s="15">
        <v>765748246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Property'!C20</f>
        <v>93035123249</v>
      </c>
      <c r="D20" s="14">
        <f t="shared" si="0"/>
        <v>7.0715027523020627E-2</v>
      </c>
      <c r="E20" s="13">
        <v>86890648639</v>
      </c>
      <c r="F20" s="14">
        <f t="shared" si="1"/>
        <v>6.5582033905210543E-2</v>
      </c>
      <c r="G20" s="15">
        <v>81542899443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Property'!C21</f>
        <v>27756703273</v>
      </c>
      <c r="D21" s="14">
        <f t="shared" si="0"/>
        <v>4.8234196227422282E-2</v>
      </c>
      <c r="E21" s="13">
        <v>26479486524</v>
      </c>
      <c r="F21" s="14">
        <f t="shared" si="1"/>
        <v>5.7694981695487056E-2</v>
      </c>
      <c r="G21" s="15">
        <v>25035087603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Property'!C22</f>
        <v>13120382091</v>
      </c>
      <c r="D22" s="14">
        <f t="shared" si="0"/>
        <v>8.1308842423823302E-2</v>
      </c>
      <c r="E22" s="13">
        <v>12133797095</v>
      </c>
      <c r="F22" s="14">
        <f t="shared" si="1"/>
        <v>6.2275371368920959E-2</v>
      </c>
      <c r="G22" s="15">
        <v>11422459206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Property'!C23</f>
        <v>2982949480</v>
      </c>
      <c r="D23" s="14">
        <f t="shared" si="0"/>
        <v>6.4495606227466432E-2</v>
      </c>
      <c r="E23" s="13">
        <v>2802218687</v>
      </c>
      <c r="F23" s="14">
        <f t="shared" si="1"/>
        <v>5.1862900060353302E-2</v>
      </c>
      <c r="G23" s="15">
        <v>2664053164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Property'!C24</f>
        <v>1918482382</v>
      </c>
      <c r="D24" s="14">
        <f t="shared" si="0"/>
        <v>4.8380784670129261E-2</v>
      </c>
      <c r="E24" s="13">
        <v>1829948059</v>
      </c>
      <c r="F24" s="14">
        <f t="shared" si="1"/>
        <v>1.8464438974755477E-2</v>
      </c>
      <c r="G24" s="15">
        <v>1796771678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Property'!C25</f>
        <v>972747244</v>
      </c>
      <c r="D25" s="14">
        <f t="shared" si="0"/>
        <v>9.6752646977309745E-2</v>
      </c>
      <c r="E25" s="13">
        <v>886934029</v>
      </c>
      <c r="F25" s="14">
        <f t="shared" si="1"/>
        <v>6.9130655616621767E-2</v>
      </c>
      <c r="G25" s="15">
        <v>829584321</v>
      </c>
    </row>
    <row r="26" spans="1:7" x14ac:dyDescent="0.2">
      <c r="A26" s="11" t="s">
        <v>24</v>
      </c>
      <c r="B26" s="12" t="str">
        <f>'Assessed Value All Property'!B26</f>
        <v>R-NVAB</v>
      </c>
      <c r="C26" s="13">
        <f>'Assessed Value All Property'!C26</f>
        <v>1532586490</v>
      </c>
      <c r="D26" s="14">
        <f t="shared" si="0"/>
        <v>5.2276849671317266E-2</v>
      </c>
      <c r="E26" s="13">
        <v>1456447978</v>
      </c>
      <c r="F26" s="14">
        <f t="shared" si="1"/>
        <v>2.9401200748604181E-2</v>
      </c>
      <c r="G26" s="15">
        <v>1414849698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Property'!C27</f>
        <v>2667381761</v>
      </c>
      <c r="D27" s="14">
        <f t="shared" si="0"/>
        <v>9.8327468884463226E-2</v>
      </c>
      <c r="E27" s="13">
        <v>2428585132</v>
      </c>
      <c r="F27" s="14">
        <f t="shared" si="1"/>
        <v>7.8737263488893872E-2</v>
      </c>
      <c r="G27" s="15">
        <v>2251322184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Property'!C28</f>
        <v>677623206</v>
      </c>
      <c r="D28" s="14">
        <f t="shared" si="0"/>
        <v>4.1858252305272681E-2</v>
      </c>
      <c r="E28" s="13">
        <v>650398655</v>
      </c>
      <c r="F28" s="14">
        <f t="shared" si="1"/>
        <v>3.7518663510231871E-2</v>
      </c>
      <c r="G28" s="15">
        <v>626878993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Property'!C29</f>
        <v>1471487260</v>
      </c>
      <c r="D29" s="14">
        <f t="shared" si="0"/>
        <v>4.1608573834358689E-2</v>
      </c>
      <c r="E29" s="13">
        <v>1412706555</v>
      </c>
      <c r="F29" s="14">
        <f t="shared" si="1"/>
        <v>6.9084314213451098E-2</v>
      </c>
      <c r="G29" s="15">
        <v>1321417344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Property'!C30</f>
        <v>3399987214</v>
      </c>
      <c r="D30" s="14">
        <f t="shared" si="0"/>
        <v>9.132504004070581E-2</v>
      </c>
      <c r="E30" s="13">
        <v>3115467060</v>
      </c>
      <c r="F30" s="14">
        <f t="shared" si="1"/>
        <v>5.4058921712833753E-2</v>
      </c>
      <c r="G30" s="15">
        <v>2955685869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Property'!C31</f>
        <v>13794061391</v>
      </c>
      <c r="D31" s="14">
        <f t="shared" si="0"/>
        <v>7.7551889407824315E-2</v>
      </c>
      <c r="E31" s="13">
        <v>12801296649</v>
      </c>
      <c r="F31" s="14">
        <f t="shared" si="1"/>
        <v>7.7797826073158341E-2</v>
      </c>
      <c r="G31" s="15">
        <v>11877270801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Property'!C32</f>
        <v>7134486242</v>
      </c>
      <c r="D32" s="14">
        <f t="shared" si="0"/>
        <v>5.364159423200747E-2</v>
      </c>
      <c r="E32" s="13">
        <v>6771264803</v>
      </c>
      <c r="F32" s="14">
        <f t="shared" si="1"/>
        <v>4.0443776867640516E-2</v>
      </c>
      <c r="G32" s="15">
        <v>6508054499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Property'!C33</f>
        <v>143472470007</v>
      </c>
      <c r="D33" s="14">
        <f t="shared" si="0"/>
        <v>8.724260101744867E-2</v>
      </c>
      <c r="E33" s="13">
        <v>131959941482</v>
      </c>
      <c r="F33" s="14">
        <f t="shared" si="1"/>
        <v>8.7586850660895485E-2</v>
      </c>
      <c r="G33" s="15">
        <v>121332784965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Property'!C34</f>
        <v>728374081</v>
      </c>
      <c r="D34" s="14">
        <f t="shared" si="0"/>
        <v>4.1273617932813068E-2</v>
      </c>
      <c r="E34" s="13">
        <v>699503059</v>
      </c>
      <c r="F34" s="14">
        <f t="shared" si="1"/>
        <v>1.3827093172975025E-2</v>
      </c>
      <c r="G34" s="15">
        <v>689962878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Property'!C35</f>
        <v>23911890418</v>
      </c>
      <c r="D35" s="14">
        <f t="shared" si="0"/>
        <v>4.8736724444624784E-2</v>
      </c>
      <c r="E35" s="13">
        <v>22800660891</v>
      </c>
      <c r="F35" s="14">
        <f t="shared" si="1"/>
        <v>5.172861794876063E-2</v>
      </c>
      <c r="G35" s="15">
        <v>21679224566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Property'!C36</f>
        <v>2232466487</v>
      </c>
      <c r="D36" s="14">
        <f t="shared" si="0"/>
        <v>4.8830232089027675E-2</v>
      </c>
      <c r="E36" s="13">
        <v>2128529879</v>
      </c>
      <c r="F36" s="14">
        <f t="shared" si="1"/>
        <v>3.4263665505798735E-2</v>
      </c>
      <c r="G36" s="15">
        <v>2058014750</v>
      </c>
    </row>
    <row r="37" spans="1:7" x14ac:dyDescent="0.2">
      <c r="A37" s="11" t="s">
        <v>35</v>
      </c>
      <c r="B37" s="12" t="str">
        <f>'Assessed Value All Property'!B37</f>
        <v>R-Final</v>
      </c>
      <c r="C37" s="13">
        <f>'Assessed Value All Property'!C37</f>
        <v>882476544</v>
      </c>
      <c r="D37" s="14">
        <f t="shared" si="0"/>
        <v>7.1245355510523259E-2</v>
      </c>
      <c r="E37" s="13">
        <v>823785643</v>
      </c>
      <c r="F37" s="14">
        <f t="shared" si="1"/>
        <v>5.2881909108524472E-2</v>
      </c>
      <c r="G37" s="15">
        <v>782410293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Property'!C38</f>
        <v>401836779</v>
      </c>
      <c r="D38" s="14">
        <f t="shared" si="0"/>
        <v>3.4996853413320983E-2</v>
      </c>
      <c r="E38" s="13">
        <v>388249276</v>
      </c>
      <c r="F38" s="14">
        <f t="shared" si="1"/>
        <v>1.4025245031528213E-2</v>
      </c>
      <c r="G38" s="15">
        <v>382879300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Property'!C39</f>
        <v>32255781855</v>
      </c>
      <c r="D39" s="14">
        <f t="shared" si="0"/>
        <v>7.2332889067327447E-2</v>
      </c>
      <c r="E39" s="13">
        <v>30080007975</v>
      </c>
      <c r="F39" s="14">
        <f t="shared" si="1"/>
        <v>8.8956259863584797E-2</v>
      </c>
      <c r="G39" s="15">
        <v>27622788062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Property'!C40</f>
        <v>107971527560</v>
      </c>
      <c r="D40" s="14">
        <f t="shared" si="0"/>
        <v>7.7079230372903637E-2</v>
      </c>
      <c r="E40" s="13">
        <v>100244740141</v>
      </c>
      <c r="F40" s="14">
        <f t="shared" si="1"/>
        <v>6.2004875004515882E-2</v>
      </c>
      <c r="G40" s="15">
        <v>94391977382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Property'!C41</f>
        <v>27486646372</v>
      </c>
      <c r="D41" s="14">
        <f t="shared" si="0"/>
        <v>4.0727936100613239E-2</v>
      </c>
      <c r="E41" s="13">
        <v>26410981601</v>
      </c>
      <c r="F41" s="14">
        <f t="shared" si="1"/>
        <v>5.4612674381756716E-2</v>
      </c>
      <c r="G41" s="15">
        <v>25043300012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Property'!C42</f>
        <v>2759180565</v>
      </c>
      <c r="D42" s="14">
        <f t="shared" si="0"/>
        <v>7.4244501465881615E-2</v>
      </c>
      <c r="E42" s="13">
        <v>2568484699</v>
      </c>
      <c r="F42" s="14">
        <f t="shared" si="1"/>
        <v>5.3376928718552714E-2</v>
      </c>
      <c r="G42" s="15">
        <v>2438333923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Property'!C43</f>
        <v>606801654</v>
      </c>
      <c r="D43" s="14">
        <f t="shared" si="0"/>
        <v>2.073715404279208E-2</v>
      </c>
      <c r="E43" s="13">
        <v>594473956</v>
      </c>
      <c r="F43" s="14">
        <f t="shared" si="1"/>
        <v>1.5335451367482269E-2</v>
      </c>
      <c r="G43" s="15">
        <v>585495124</v>
      </c>
    </row>
    <row r="44" spans="1:7" x14ac:dyDescent="0.2">
      <c r="A44" s="11" t="s">
        <v>42</v>
      </c>
      <c r="B44" s="12" t="str">
        <f>'Assessed Value All Property'!B44</f>
        <v>R-Final</v>
      </c>
      <c r="C44" s="13">
        <f>'Assessed Value All Property'!C44</f>
        <v>872727880</v>
      </c>
      <c r="D44" s="14">
        <f t="shared" si="0"/>
        <v>4.6019208676306288E-2</v>
      </c>
      <c r="E44" s="13">
        <v>834332556</v>
      </c>
      <c r="F44" s="14">
        <f t="shared" si="1"/>
        <v>4.3661828409789438E-2</v>
      </c>
      <c r="G44" s="15">
        <v>799428065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Property'!C45</f>
        <v>49075239330</v>
      </c>
      <c r="D45" s="14">
        <f t="shared" si="0"/>
        <v>7.9652208535711366E-2</v>
      </c>
      <c r="E45" s="13">
        <v>45454674146</v>
      </c>
      <c r="F45" s="14">
        <f t="shared" si="1"/>
        <v>7.0712052605744355E-2</v>
      </c>
      <c r="G45" s="15">
        <v>42452752853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Property'!C46</f>
        <v>27660254310</v>
      </c>
      <c r="D46" s="14">
        <f t="shared" si="0"/>
        <v>7.4130205906540445E-2</v>
      </c>
      <c r="E46" s="13">
        <v>25751304784</v>
      </c>
      <c r="F46" s="14">
        <f t="shared" si="1"/>
        <v>6.6593790840971626E-2</v>
      </c>
      <c r="G46" s="15">
        <v>24143497745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Property'!C47</f>
        <v>26458628756</v>
      </c>
      <c r="D47" s="14">
        <f t="shared" si="0"/>
        <v>5.4231760522021624E-2</v>
      </c>
      <c r="E47" s="13">
        <v>25097544721</v>
      </c>
      <c r="F47" s="14">
        <f t="shared" si="1"/>
        <v>4.9077878544256263E-2</v>
      </c>
      <c r="G47" s="15">
        <v>23923433364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Property'!C48</f>
        <v>37023946605</v>
      </c>
      <c r="D48" s="14">
        <f t="shared" si="0"/>
        <v>4.9491560578106941E-2</v>
      </c>
      <c r="E48" s="13">
        <v>35277984117</v>
      </c>
      <c r="F48" s="14">
        <f t="shared" si="1"/>
        <v>4.8446661086746896E-2</v>
      </c>
      <c r="G48" s="15">
        <v>33647857756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Property'!C49</f>
        <v>12435231485</v>
      </c>
      <c r="D49" s="14">
        <f t="shared" si="0"/>
        <v>8.3380722262533707E-2</v>
      </c>
      <c r="E49" s="13">
        <v>11478173120</v>
      </c>
      <c r="F49" s="14">
        <f t="shared" si="1"/>
        <v>8.8135271666419004E-2</v>
      </c>
      <c r="G49" s="15">
        <v>10548479972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Property'!C50</f>
        <v>25278473908</v>
      </c>
      <c r="D50" s="14">
        <f t="shared" si="0"/>
        <v>6.1690866979779102E-2</v>
      </c>
      <c r="E50" s="13">
        <v>23809636773</v>
      </c>
      <c r="F50" s="14">
        <f t="shared" si="1"/>
        <v>6.0315547836087266E-2</v>
      </c>
      <c r="G50" s="15">
        <v>22455236860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Property'!C51</f>
        <v>2702355770</v>
      </c>
      <c r="D51" s="14">
        <f t="shared" si="0"/>
        <v>6.9914817518163558E-2</v>
      </c>
      <c r="E51" s="13">
        <v>2525767216</v>
      </c>
      <c r="F51" s="14">
        <f t="shared" si="1"/>
        <v>7.7198015672120993E-2</v>
      </c>
      <c r="G51" s="15">
        <v>2344756655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Property'!C52</f>
        <v>184938638555</v>
      </c>
      <c r="D52" s="14">
        <f t="shared" si="0"/>
        <v>3.6673942627898658E-2</v>
      </c>
      <c r="E52" s="13">
        <v>178396148442</v>
      </c>
      <c r="F52" s="14">
        <f t="shared" si="1"/>
        <v>8.1988220850031449E-2</v>
      </c>
      <c r="G52" s="15">
        <v>164878087399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Property'!C53</f>
        <v>39613259025</v>
      </c>
      <c r="D53" s="14">
        <f t="shared" si="0"/>
        <v>8.9943155436530225E-2</v>
      </c>
      <c r="E53" s="13">
        <v>36344334865</v>
      </c>
      <c r="F53" s="14">
        <f t="shared" si="1"/>
        <v>0.10329489857145269</v>
      </c>
      <c r="G53" s="15">
        <v>32941632298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Property'!C54</f>
        <v>246507401825</v>
      </c>
      <c r="D54" s="14">
        <f t="shared" si="0"/>
        <v>5.3324117987063817E-2</v>
      </c>
      <c r="E54" s="13">
        <v>234028061843</v>
      </c>
      <c r="F54" s="14">
        <f t="shared" si="1"/>
        <v>5.4042487249517206E-2</v>
      </c>
      <c r="G54" s="15">
        <v>222029059240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Property'!C55</f>
        <v>42530163529</v>
      </c>
      <c r="D55" s="14">
        <f t="shared" si="0"/>
        <v>9.5190103891351893E-2</v>
      </c>
      <c r="E55" s="13">
        <v>38833590057</v>
      </c>
      <c r="F55" s="14">
        <f t="shared" si="1"/>
        <v>7.137387700353065E-2</v>
      </c>
      <c r="G55" s="15">
        <v>36246534371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Property'!C56</f>
        <v>115939949723</v>
      </c>
      <c r="D56" s="14">
        <f t="shared" si="0"/>
        <v>6.9441787211595996E-2</v>
      </c>
      <c r="E56" s="13">
        <v>108411650928</v>
      </c>
      <c r="F56" s="14">
        <f t="shared" si="1"/>
        <v>7.1576012883633133E-2</v>
      </c>
      <c r="G56" s="15">
        <v>101170285285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Property'!C57</f>
        <v>48624582223</v>
      </c>
      <c r="D57" s="14">
        <f t="shared" si="0"/>
        <v>8.9874376570925382E-2</v>
      </c>
      <c r="E57" s="13">
        <v>44614850361</v>
      </c>
      <c r="F57" s="14">
        <f t="shared" si="1"/>
        <v>9.2859300758207849E-2</v>
      </c>
      <c r="G57" s="15">
        <v>40823965473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Property'!C58</f>
        <v>5055028601</v>
      </c>
      <c r="D58" s="14">
        <f t="shared" si="0"/>
        <v>4.8797729672785589E-2</v>
      </c>
      <c r="E58" s="13">
        <v>4819831754</v>
      </c>
      <c r="F58" s="14">
        <f t="shared" si="1"/>
        <v>0.11373088285521919</v>
      </c>
      <c r="G58" s="15">
        <v>4327644881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Property'!C59</f>
        <v>39861694215</v>
      </c>
      <c r="D59" s="14">
        <f t="shared" si="0"/>
        <v>9.1740065401316032E-2</v>
      </c>
      <c r="E59" s="13">
        <v>36512074145</v>
      </c>
      <c r="F59" s="14">
        <f t="shared" si="1"/>
        <v>0.10554007936772807</v>
      </c>
      <c r="G59" s="15">
        <v>33026459037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Property'!C60</f>
        <v>28424907816</v>
      </c>
      <c r="D60" s="14">
        <f t="shared" si="0"/>
        <v>9.502502470711531E-2</v>
      </c>
      <c r="E60" s="13">
        <v>25958226684</v>
      </c>
      <c r="F60" s="14">
        <f t="shared" si="1"/>
        <v>6.976143001117438E-2</v>
      </c>
      <c r="G60" s="15">
        <v>24265435223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Property'!C61</f>
        <v>15857979672</v>
      </c>
      <c r="D61" s="14">
        <f t="shared" si="0"/>
        <v>8.2673914515248068E-2</v>
      </c>
      <c r="E61" s="13">
        <v>14647050658</v>
      </c>
      <c r="F61" s="14">
        <f t="shared" si="1"/>
        <v>7.050350994478527E-2</v>
      </c>
      <c r="G61" s="15">
        <v>13682393866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Property'!C62</f>
        <v>79987829710</v>
      </c>
      <c r="D62" s="14">
        <f t="shared" si="0"/>
        <v>7.0020727681343251E-2</v>
      </c>
      <c r="E62" s="13">
        <v>74753532937</v>
      </c>
      <c r="F62" s="14">
        <f t="shared" si="1"/>
        <v>4.6074718438450075E-2</v>
      </c>
      <c r="G62" s="15">
        <v>71460988034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Property'!C63</f>
        <v>45448659440</v>
      </c>
      <c r="D63" s="14">
        <f t="shared" si="0"/>
        <v>5.1175234888068417E-2</v>
      </c>
      <c r="E63" s="13">
        <v>43236044697</v>
      </c>
      <c r="F63" s="14">
        <f t="shared" si="1"/>
        <v>6.0782078684424472E-2</v>
      </c>
      <c r="G63" s="15">
        <v>40758649270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Property'!C64</f>
        <v>17515476477</v>
      </c>
      <c r="D64" s="14">
        <f t="shared" si="0"/>
        <v>7.9438723383212756E-2</v>
      </c>
      <c r="E64" s="13">
        <v>16226466679</v>
      </c>
      <c r="F64" s="14">
        <f t="shared" si="1"/>
        <v>9.1418228238024257E-2</v>
      </c>
      <c r="G64" s="15">
        <v>14867322406</v>
      </c>
    </row>
    <row r="65" spans="1:7" x14ac:dyDescent="0.2">
      <c r="A65" s="11" t="s">
        <v>61</v>
      </c>
      <c r="B65" s="12" t="str">
        <f>'Assessed Value All Property'!B65</f>
        <v>R-Final</v>
      </c>
      <c r="C65" s="13">
        <f>'Assessed Value All Property'!C65</f>
        <v>2067844428</v>
      </c>
      <c r="D65" s="14">
        <f t="shared" si="0"/>
        <v>5.8799729564457448E-2</v>
      </c>
      <c r="E65" s="13">
        <v>1953008081</v>
      </c>
      <c r="F65" s="14">
        <f t="shared" si="1"/>
        <v>1.8352458279235755E-2</v>
      </c>
      <c r="G65" s="15">
        <v>1917811525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Property'!C66</f>
        <v>1309670638</v>
      </c>
      <c r="D66" s="14">
        <f t="shared" si="0"/>
        <v>5.7254901850616005E-2</v>
      </c>
      <c r="E66" s="13">
        <v>1238746338</v>
      </c>
      <c r="F66" s="14">
        <f t="shared" si="1"/>
        <v>3.0048111001595434E-2</v>
      </c>
      <c r="G66" s="15">
        <v>1202610174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Property'!C67</f>
        <v>452664262</v>
      </c>
      <c r="D67" s="14">
        <f t="shared" si="0"/>
        <v>2.5444905095419381E-2</v>
      </c>
      <c r="E67" s="13">
        <v>441432065</v>
      </c>
      <c r="F67" s="14">
        <f t="shared" si="1"/>
        <v>2.4583444415619393E-2</v>
      </c>
      <c r="G67" s="15">
        <v>430840521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Property'!C68</f>
        <v>52047550400</v>
      </c>
      <c r="D68" s="14">
        <f t="shared" si="0"/>
        <v>6.7401005307532666E-2</v>
      </c>
      <c r="E68" s="13">
        <v>48761009350</v>
      </c>
      <c r="F68" s="14">
        <f t="shared" si="1"/>
        <v>7.7978723532541691E-2</v>
      </c>
      <c r="G68" s="15">
        <v>45233740041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Property'!C69</f>
        <v>2194740831</v>
      </c>
      <c r="D69" s="14">
        <f t="shared" si="0"/>
        <v>8.8349058591214724E-2</v>
      </c>
      <c r="E69" s="13">
        <v>2016578058</v>
      </c>
      <c r="F69" s="14">
        <f t="shared" si="1"/>
        <v>7.6276841923194616E-2</v>
      </c>
      <c r="G69" s="15">
        <v>1873661106</v>
      </c>
    </row>
    <row r="70" spans="1:7" x14ac:dyDescent="0.2">
      <c r="A70" s="11" t="s">
        <v>66</v>
      </c>
      <c r="B70" s="12" t="str">
        <f>'Assessed Value All Property'!B70</f>
        <v>R-Final</v>
      </c>
      <c r="C70" s="13">
        <f>'Assessed Value All Property'!C70</f>
        <v>27333830021</v>
      </c>
      <c r="D70" s="14">
        <f>((C70-E70)/E70)</f>
        <v>0.12833389965680611</v>
      </c>
      <c r="E70" s="13">
        <v>24224947978</v>
      </c>
      <c r="F70" s="14">
        <f>((E70-G70)/G70)</f>
        <v>8.6224275739890333E-2</v>
      </c>
      <c r="G70" s="15">
        <v>22301976230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Property'!C71</f>
        <v>1187083451</v>
      </c>
      <c r="D71" s="14">
        <f>((C71-E71)/E71)</f>
        <v>6.0788252634060812E-2</v>
      </c>
      <c r="E71" s="13">
        <v>1119057878</v>
      </c>
      <c r="F71" s="14">
        <f>((E71-G71)/G71)</f>
        <v>9.8359888893383193E-2</v>
      </c>
      <c r="G71" s="15">
        <v>1018844451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2609183534741</v>
      </c>
      <c r="D73" s="22">
        <f>((C73-E73)/E73)</f>
        <v>6.3544378396552595E-2</v>
      </c>
      <c r="E73" s="21">
        <f>SUM(E5:E72)</f>
        <v>2453290702053</v>
      </c>
      <c r="F73" s="22">
        <f>((E73-G73)/G73)</f>
        <v>6.3715662598376466E-2</v>
      </c>
      <c r="G73" s="23">
        <f>SUM(G5:G72)</f>
        <v>2306340677602</v>
      </c>
    </row>
    <row r="75" spans="1:7" x14ac:dyDescent="0.2">
      <c r="A75" s="24" t="s">
        <v>95</v>
      </c>
    </row>
  </sheetData>
  <phoneticPr fontId="3" type="noConversion"/>
  <conditionalFormatting sqref="A75">
    <cfRule type="expression" dxfId="5" priority="7" stopIfTrue="1">
      <formula>MOD(ROW(),5)=1</formula>
    </cfRule>
  </conditionalFormatting>
  <conditionalFormatting sqref="A4:G73">
    <cfRule type="expression" dxfId="4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72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88</v>
      </c>
      <c r="D4" s="38" t="s">
        <v>89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Property'!D5</f>
        <v>3941012646</v>
      </c>
      <c r="D5" s="14">
        <f>((C5-E5)/E5)</f>
        <v>-9.5521582221830563E-4</v>
      </c>
      <c r="E5" s="13">
        <v>3944780763</v>
      </c>
      <c r="F5" s="14">
        <f>((E5-G5)/G5)</f>
        <v>9.9590494734805978E-3</v>
      </c>
      <c r="G5" s="15">
        <v>3905881892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Property'!D6</f>
        <v>212565492</v>
      </c>
      <c r="D6" s="14">
        <f t="shared" ref="D6:D69" si="0">((C6-E6)/E6)</f>
        <v>0.1316309378797515</v>
      </c>
      <c r="E6" s="13">
        <v>187839944</v>
      </c>
      <c r="F6" s="14">
        <f t="shared" ref="F6:F69" si="1">((E6-G6)/G6)</f>
        <v>5.7544906740264246E-2</v>
      </c>
      <c r="G6" s="15">
        <v>177618882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Property'!D7</f>
        <v>2100383350</v>
      </c>
      <c r="D7" s="14">
        <f t="shared" si="0"/>
        <v>3.3287222615692051E-2</v>
      </c>
      <c r="E7" s="13">
        <v>2032719755</v>
      </c>
      <c r="F7" s="14">
        <f t="shared" si="1"/>
        <v>2.8357070028533174E-2</v>
      </c>
      <c r="G7" s="15">
        <v>1976667263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Property'!D8</f>
        <v>280307914</v>
      </c>
      <c r="D8" s="14">
        <f t="shared" si="0"/>
        <v>6.1932636691600797E-2</v>
      </c>
      <c r="E8" s="13">
        <v>263960165</v>
      </c>
      <c r="F8" s="14">
        <f t="shared" si="1"/>
        <v>0.19922017753654025</v>
      </c>
      <c r="G8" s="15">
        <v>220109843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Property'!D9</f>
        <v>10218862749</v>
      </c>
      <c r="D9" s="14">
        <f t="shared" si="0"/>
        <v>2.874035586855225E-2</v>
      </c>
      <c r="E9" s="13">
        <v>9933374044</v>
      </c>
      <c r="F9" s="14">
        <f t="shared" si="1"/>
        <v>2.8774615546592709E-2</v>
      </c>
      <c r="G9" s="15">
        <v>9655539604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Property'!D10</f>
        <v>10097482335</v>
      </c>
      <c r="D10" s="14">
        <f t="shared" si="0"/>
        <v>-1.9321430522721188E-3</v>
      </c>
      <c r="E10" s="13">
        <v>10117029884</v>
      </c>
      <c r="F10" s="14">
        <f t="shared" si="1"/>
        <v>1.1072098519786315E-2</v>
      </c>
      <c r="G10" s="15">
        <v>10006239811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Property'!D11</f>
        <v>133383210</v>
      </c>
      <c r="D11" s="14">
        <f t="shared" si="0"/>
        <v>6.2443870672006498E-2</v>
      </c>
      <c r="E11" s="13">
        <v>125543771</v>
      </c>
      <c r="F11" s="14">
        <f t="shared" si="1"/>
        <v>0.16339444393255431</v>
      </c>
      <c r="G11" s="15">
        <v>107911613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Property'!D12</f>
        <v>1424298660</v>
      </c>
      <c r="D12" s="14">
        <f t="shared" si="0"/>
        <v>-4.1937123996963456E-2</v>
      </c>
      <c r="E12" s="13">
        <v>1486644244</v>
      </c>
      <c r="F12" s="14">
        <f t="shared" si="1"/>
        <v>5.9863783596166953E-2</v>
      </c>
      <c r="G12" s="15">
        <v>1402674822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Property'!D13</f>
        <v>2178464345</v>
      </c>
      <c r="D13" s="14">
        <f t="shared" si="0"/>
        <v>-1.2823073528133834E-2</v>
      </c>
      <c r="E13" s="13">
        <v>2206761814</v>
      </c>
      <c r="F13" s="14">
        <f t="shared" si="1"/>
        <v>-1.9262663400264151E-3</v>
      </c>
      <c r="G13" s="15">
        <v>2211020829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Property'!D14</f>
        <v>1541520833</v>
      </c>
      <c r="D14" s="14">
        <f t="shared" si="0"/>
        <v>4.9796527802176034E-2</v>
      </c>
      <c r="E14" s="13">
        <v>1468399630</v>
      </c>
      <c r="F14" s="14">
        <f t="shared" si="1"/>
        <v>8.8348219516822701E-2</v>
      </c>
      <c r="G14" s="15">
        <v>1349200195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Property'!D15</f>
        <v>2835230083</v>
      </c>
      <c r="D15" s="14">
        <f t="shared" si="0"/>
        <v>2.9117979924516885E-2</v>
      </c>
      <c r="E15" s="13">
        <v>2755009764</v>
      </c>
      <c r="F15" s="14">
        <f t="shared" si="1"/>
        <v>5.1631534965117215E-2</v>
      </c>
      <c r="G15" s="15">
        <v>2619748146</v>
      </c>
    </row>
    <row r="16" spans="1:7" x14ac:dyDescent="0.2">
      <c r="A16" s="11" t="s">
        <v>15</v>
      </c>
      <c r="B16" s="12" t="str">
        <f>'Assessed Value All Property'!B16</f>
        <v>R-Final</v>
      </c>
      <c r="C16" s="13">
        <f>'Assessed Value All Property'!D16</f>
        <v>690369074</v>
      </c>
      <c r="D16" s="14">
        <f t="shared" si="0"/>
        <v>0.23663241325647077</v>
      </c>
      <c r="E16" s="13">
        <v>558265388</v>
      </c>
      <c r="F16" s="14">
        <f t="shared" si="1"/>
        <v>6.7084055754334293E-2</v>
      </c>
      <c r="G16" s="15">
        <v>523169084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Property'!D17</f>
        <v>18749078831</v>
      </c>
      <c r="D17" s="14">
        <f t="shared" si="0"/>
        <v>6.8876343272158233E-2</v>
      </c>
      <c r="E17" s="13">
        <v>17540924120</v>
      </c>
      <c r="F17" s="14">
        <f t="shared" si="1"/>
        <v>-0.16648364513893862</v>
      </c>
      <c r="G17" s="15">
        <v>21044487031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Property'!D18</f>
        <v>701968938</v>
      </c>
      <c r="D18" s="14">
        <f t="shared" si="0"/>
        <v>-2.276699770307785E-2</v>
      </c>
      <c r="E18" s="13">
        <v>718322996</v>
      </c>
      <c r="F18" s="14">
        <f t="shared" si="1"/>
        <v>0.11107718263939305</v>
      </c>
      <c r="G18" s="15">
        <v>646510438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Property'!D19</f>
        <v>93860975</v>
      </c>
      <c r="D19" s="14">
        <f t="shared" si="0"/>
        <v>7.4569177106016578E-3</v>
      </c>
      <c r="E19" s="13">
        <v>93166242</v>
      </c>
      <c r="F19" s="14">
        <f t="shared" si="1"/>
        <v>2.1322627894028147E-2</v>
      </c>
      <c r="G19" s="15">
        <v>91221167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Property'!D20</f>
        <v>14710612218</v>
      </c>
      <c r="D20" s="14">
        <f t="shared" si="0"/>
        <v>1.4684219074938666E-2</v>
      </c>
      <c r="E20" s="13">
        <v>14497724456</v>
      </c>
      <c r="F20" s="14">
        <f t="shared" si="1"/>
        <v>4.7748827903683143E-2</v>
      </c>
      <c r="G20" s="15">
        <v>13837022834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Property'!D21</f>
        <v>2844099168</v>
      </c>
      <c r="D21" s="14">
        <f t="shared" si="0"/>
        <v>0.10516776454099226</v>
      </c>
      <c r="E21" s="13">
        <v>2573454691</v>
      </c>
      <c r="F21" s="14">
        <f t="shared" si="1"/>
        <v>-1.4225322261793643E-2</v>
      </c>
      <c r="G21" s="15">
        <v>2610591192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Property'!D22</f>
        <v>710973206</v>
      </c>
      <c r="D22" s="14">
        <f t="shared" si="0"/>
        <v>5.7734633749694349E-2</v>
      </c>
      <c r="E22" s="13">
        <v>672165951</v>
      </c>
      <c r="F22" s="14">
        <f t="shared" si="1"/>
        <v>0.16885894060228152</v>
      </c>
      <c r="G22" s="15">
        <v>575061650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Property'!D23</f>
        <v>94797882</v>
      </c>
      <c r="D23" s="14">
        <f t="shared" si="0"/>
        <v>0.14825188431980751</v>
      </c>
      <c r="E23" s="13">
        <v>82558438</v>
      </c>
      <c r="F23" s="14">
        <f t="shared" si="1"/>
        <v>-6.6530625102312141E-2</v>
      </c>
      <c r="G23" s="15">
        <v>88442578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Property'!D24</f>
        <v>668532174</v>
      </c>
      <c r="D24" s="14">
        <f t="shared" si="0"/>
        <v>7.3010414750986519E-2</v>
      </c>
      <c r="E24" s="13">
        <v>623043509</v>
      </c>
      <c r="F24" s="14">
        <f t="shared" si="1"/>
        <v>4.085831696500241E-2</v>
      </c>
      <c r="G24" s="15">
        <v>598586281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Property'!D25</f>
        <v>321385564</v>
      </c>
      <c r="D25" s="14">
        <f t="shared" si="0"/>
        <v>6.4183787219165372E-2</v>
      </c>
      <c r="E25" s="13">
        <v>302001936</v>
      </c>
      <c r="F25" s="14">
        <f t="shared" si="1"/>
        <v>0.26128732047470288</v>
      </c>
      <c r="G25" s="15">
        <v>239439445</v>
      </c>
    </row>
    <row r="26" spans="1:7" x14ac:dyDescent="0.2">
      <c r="A26" s="11" t="s">
        <v>24</v>
      </c>
      <c r="B26" s="12" t="str">
        <f>'Assessed Value All Property'!B26</f>
        <v>R-NVAB</v>
      </c>
      <c r="C26" s="13">
        <f>'Assessed Value All Property'!D26</f>
        <v>155993595</v>
      </c>
      <c r="D26" s="14">
        <f t="shared" si="0"/>
        <v>-3.049544549699534E-2</v>
      </c>
      <c r="E26" s="13">
        <v>160900322</v>
      </c>
      <c r="F26" s="14">
        <f t="shared" si="1"/>
        <v>0.14831189995738336</v>
      </c>
      <c r="G26" s="15">
        <v>140119006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Property'!D27</f>
        <v>116444943</v>
      </c>
      <c r="D27" s="14">
        <f t="shared" si="0"/>
        <v>8.9334398348562813E-2</v>
      </c>
      <c r="E27" s="13">
        <v>106895498</v>
      </c>
      <c r="F27" s="14">
        <f t="shared" si="1"/>
        <v>8.5253732957981485E-2</v>
      </c>
      <c r="G27" s="15">
        <v>98498162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Property'!D28</f>
        <v>583469261</v>
      </c>
      <c r="D28" s="14">
        <f t="shared" si="0"/>
        <v>-3.6119770273252451E-2</v>
      </c>
      <c r="E28" s="13">
        <v>605333778</v>
      </c>
      <c r="F28" s="14">
        <f t="shared" si="1"/>
        <v>0.1077075524359183</v>
      </c>
      <c r="G28" s="15">
        <v>546474362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Property'!D29</f>
        <v>831531431</v>
      </c>
      <c r="D29" s="14">
        <f t="shared" si="0"/>
        <v>1.5051771085168529E-2</v>
      </c>
      <c r="E29" s="13">
        <v>819201005</v>
      </c>
      <c r="F29" s="14">
        <f t="shared" si="1"/>
        <v>3.7509811671518421E-2</v>
      </c>
      <c r="G29" s="15">
        <v>789583863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Property'!D30</f>
        <v>939563531</v>
      </c>
      <c r="D30" s="14">
        <f t="shared" si="0"/>
        <v>3.4319612059783615E-2</v>
      </c>
      <c r="E30" s="13">
        <v>908388007</v>
      </c>
      <c r="F30" s="14">
        <f t="shared" si="1"/>
        <v>0.26307666182885048</v>
      </c>
      <c r="G30" s="15">
        <v>719186756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Property'!D31</f>
        <v>1790065157</v>
      </c>
      <c r="D31" s="14">
        <f t="shared" si="0"/>
        <v>2.9092701917330786E-2</v>
      </c>
      <c r="E31" s="13">
        <v>1739459578</v>
      </c>
      <c r="F31" s="14">
        <f t="shared" si="1"/>
        <v>2.8781201734561272E-2</v>
      </c>
      <c r="G31" s="15">
        <v>1690796425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Property'!D32</f>
        <v>751757665</v>
      </c>
      <c r="D32" s="14">
        <f t="shared" si="0"/>
        <v>5.0315295638715098E-2</v>
      </c>
      <c r="E32" s="13">
        <v>715744756</v>
      </c>
      <c r="F32" s="14">
        <f t="shared" si="1"/>
        <v>9.6831173673658386E-2</v>
      </c>
      <c r="G32" s="15">
        <v>652556905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Property'!D33</f>
        <v>11845650280</v>
      </c>
      <c r="D33" s="14">
        <f t="shared" si="0"/>
        <v>1.2772143397393515E-2</v>
      </c>
      <c r="E33" s="13">
        <v>11696263920</v>
      </c>
      <c r="F33" s="14">
        <f t="shared" si="1"/>
        <v>2.7631635561461514E-2</v>
      </c>
      <c r="G33" s="15">
        <v>11381767080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Property'!D34</f>
        <v>99918420</v>
      </c>
      <c r="D34" s="14">
        <f t="shared" si="0"/>
        <v>1.7255499812855422E-2</v>
      </c>
      <c r="E34" s="13">
        <v>98223524</v>
      </c>
      <c r="F34" s="14">
        <f t="shared" si="1"/>
        <v>4.7050113035142054E-2</v>
      </c>
      <c r="G34" s="15">
        <v>93809764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Property'!D35</f>
        <v>850268303</v>
      </c>
      <c r="D35" s="14">
        <f t="shared" si="0"/>
        <v>6.0827328092380652E-2</v>
      </c>
      <c r="E35" s="13">
        <v>801514328</v>
      </c>
      <c r="F35" s="14">
        <f t="shared" si="1"/>
        <v>8.7245061258266254E-2</v>
      </c>
      <c r="G35" s="15">
        <v>737197488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Property'!D36</f>
        <v>452186698</v>
      </c>
      <c r="D36" s="14">
        <f t="shared" si="0"/>
        <v>0.13683607087548247</v>
      </c>
      <c r="E36" s="13">
        <v>397758929</v>
      </c>
      <c r="F36" s="14">
        <f t="shared" si="1"/>
        <v>0.12735908764932422</v>
      </c>
      <c r="G36" s="15">
        <v>352823633</v>
      </c>
    </row>
    <row r="37" spans="1:7" x14ac:dyDescent="0.2">
      <c r="A37" s="11" t="s">
        <v>35</v>
      </c>
      <c r="B37" s="12" t="str">
        <f>'Assessed Value All Property'!B37</f>
        <v>R-Final</v>
      </c>
      <c r="C37" s="13">
        <f>'Assessed Value All Property'!D37</f>
        <v>171059426</v>
      </c>
      <c r="D37" s="14">
        <f t="shared" si="0"/>
        <v>-2.0694737262496782E-2</v>
      </c>
      <c r="E37" s="13">
        <v>174674264</v>
      </c>
      <c r="F37" s="14">
        <f t="shared" si="1"/>
        <v>5.1524261799467279E-2</v>
      </c>
      <c r="G37" s="15">
        <v>166115296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Property'!D38</f>
        <v>73281607</v>
      </c>
      <c r="D38" s="14">
        <f t="shared" si="0"/>
        <v>2.2606033114907727E-2</v>
      </c>
      <c r="E38" s="13">
        <v>71661622</v>
      </c>
      <c r="F38" s="14">
        <f t="shared" si="1"/>
        <v>9.0320030441849566E-2</v>
      </c>
      <c r="G38" s="15">
        <v>65725310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Property'!D39</f>
        <v>2097201257</v>
      </c>
      <c r="D39" s="14">
        <f t="shared" si="0"/>
        <v>2.9036285451401389E-3</v>
      </c>
      <c r="E39" s="13">
        <v>2091129394</v>
      </c>
      <c r="F39" s="14">
        <f t="shared" si="1"/>
        <v>3.0351803004132118E-2</v>
      </c>
      <c r="G39" s="15">
        <v>2029529514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Property'!D40</f>
        <v>5797237250</v>
      </c>
      <c r="D40" s="14">
        <f t="shared" si="0"/>
        <v>5.6077543784239705E-3</v>
      </c>
      <c r="E40" s="13">
        <v>5764909056</v>
      </c>
      <c r="F40" s="14">
        <f t="shared" si="1"/>
        <v>0.17700432397458687</v>
      </c>
      <c r="G40" s="15">
        <v>4897950618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Property'!D41</f>
        <v>2209042587</v>
      </c>
      <c r="D41" s="14">
        <f t="shared" si="0"/>
        <v>1.1844828000454921E-2</v>
      </c>
      <c r="E41" s="13">
        <v>2183183158</v>
      </c>
      <c r="F41" s="14">
        <f t="shared" si="1"/>
        <v>1.6884940580125264E-3</v>
      </c>
      <c r="G41" s="15">
        <v>2179503080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Property'!D42</f>
        <v>401320838</v>
      </c>
      <c r="D42" s="14">
        <f t="shared" si="0"/>
        <v>-2.9945205232858735E-3</v>
      </c>
      <c r="E42" s="13">
        <v>402526211</v>
      </c>
      <c r="F42" s="14">
        <f t="shared" si="1"/>
        <v>9.6925949250195431E-2</v>
      </c>
      <c r="G42" s="15">
        <v>366958418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Property'!D43</f>
        <v>134282881</v>
      </c>
      <c r="D43" s="14">
        <f t="shared" si="0"/>
        <v>0.21309961015331025</v>
      </c>
      <c r="E43" s="13">
        <v>110694027</v>
      </c>
      <c r="F43" s="14">
        <f t="shared" si="1"/>
        <v>5.8084791862917574E-2</v>
      </c>
      <c r="G43" s="15">
        <v>104617350</v>
      </c>
    </row>
    <row r="44" spans="1:7" x14ac:dyDescent="0.2">
      <c r="A44" s="11" t="s">
        <v>42</v>
      </c>
      <c r="B44" s="12" t="str">
        <f>'Assessed Value All Property'!B44</f>
        <v>R-Final</v>
      </c>
      <c r="C44" s="13">
        <f>'Assessed Value All Property'!D44</f>
        <v>221209577</v>
      </c>
      <c r="D44" s="14">
        <f t="shared" si="0"/>
        <v>9.8362199850951945E-2</v>
      </c>
      <c r="E44" s="13">
        <v>201399481</v>
      </c>
      <c r="F44" s="14">
        <f t="shared" si="1"/>
        <v>8.862911954617432E-2</v>
      </c>
      <c r="G44" s="15">
        <v>185002842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Property'!D45</f>
        <v>3449570973</v>
      </c>
      <c r="D45" s="14">
        <f t="shared" si="0"/>
        <v>6.1624697222825145E-3</v>
      </c>
      <c r="E45" s="13">
        <v>3428443295</v>
      </c>
      <c r="F45" s="14">
        <f t="shared" si="1"/>
        <v>4.4032308681620357E-2</v>
      </c>
      <c r="G45" s="15">
        <v>3283847891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Property'!D46</f>
        <v>2083707138</v>
      </c>
      <c r="D46" s="14">
        <f t="shared" si="0"/>
        <v>4.776229559122435E-2</v>
      </c>
      <c r="E46" s="13">
        <v>1988721246</v>
      </c>
      <c r="F46" s="14">
        <f t="shared" si="1"/>
        <v>8.6335016978029894E-2</v>
      </c>
      <c r="G46" s="15">
        <v>1830670295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Property'!D47</f>
        <v>3125407152</v>
      </c>
      <c r="D47" s="14">
        <f t="shared" si="0"/>
        <v>2.6548978277522482E-2</v>
      </c>
      <c r="E47" s="13">
        <v>3044576750</v>
      </c>
      <c r="F47" s="14">
        <f t="shared" si="1"/>
        <v>4.47059020675553E-2</v>
      </c>
      <c r="G47" s="15">
        <v>2914290753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Property'!D48</f>
        <v>905787545</v>
      </c>
      <c r="D48" s="14">
        <f t="shared" si="0"/>
        <v>5.9456321459852357E-2</v>
      </c>
      <c r="E48" s="13">
        <v>854955062</v>
      </c>
      <c r="F48" s="14">
        <f t="shared" si="1"/>
        <v>4.3229698979466394E-2</v>
      </c>
      <c r="G48" s="15">
        <v>819527150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Property'!D49</f>
        <v>1260164802</v>
      </c>
      <c r="D49" s="14">
        <f t="shared" si="0"/>
        <v>0.10575566356151005</v>
      </c>
      <c r="E49" s="13">
        <v>1139641282</v>
      </c>
      <c r="F49" s="14">
        <f t="shared" si="1"/>
        <v>0.11987093163016713</v>
      </c>
      <c r="G49" s="15">
        <v>1017654133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Property'!D50</f>
        <v>1039271284</v>
      </c>
      <c r="D50" s="14">
        <f t="shared" si="0"/>
        <v>1.5327610005416126E-2</v>
      </c>
      <c r="E50" s="13">
        <v>1023582215</v>
      </c>
      <c r="F50" s="14">
        <f t="shared" si="1"/>
        <v>2.6194120191505625E-2</v>
      </c>
      <c r="G50" s="15">
        <v>997454765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Property'!D51</f>
        <v>1733762694</v>
      </c>
      <c r="D51" s="14">
        <f t="shared" si="0"/>
        <v>9.583760508825552E-2</v>
      </c>
      <c r="E51" s="13">
        <v>1582134694</v>
      </c>
      <c r="F51" s="14">
        <f t="shared" si="1"/>
        <v>0.46725958135154616</v>
      </c>
      <c r="G51" s="15">
        <v>1078292290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Property'!D52</f>
        <v>16728860444</v>
      </c>
      <c r="D52" s="14">
        <f t="shared" si="0"/>
        <v>1.9545704945800033E-2</v>
      </c>
      <c r="E52" s="13">
        <v>16408151555</v>
      </c>
      <c r="F52" s="14">
        <f t="shared" si="1"/>
        <v>3.8396559339259027E-2</v>
      </c>
      <c r="G52" s="15">
        <v>15801430973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Property'!D53</f>
        <v>3293289564</v>
      </c>
      <c r="D53" s="14">
        <f t="shared" si="0"/>
        <v>6.5164300073063036E-2</v>
      </c>
      <c r="E53" s="13">
        <v>3091813689</v>
      </c>
      <c r="F53" s="14">
        <f t="shared" si="1"/>
        <v>9.6069705892903902E-3</v>
      </c>
      <c r="G53" s="15">
        <v>3062393366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Property'!D54</f>
        <v>11895431997</v>
      </c>
      <c r="D54" s="14">
        <f t="shared" si="0"/>
        <v>1.6582116612980275E-2</v>
      </c>
      <c r="E54" s="13">
        <v>11701398050</v>
      </c>
      <c r="F54" s="14">
        <f t="shared" si="1"/>
        <v>8.2432885301968309E-2</v>
      </c>
      <c r="G54" s="15">
        <v>10810275823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Property'!D55</f>
        <v>3241443520</v>
      </c>
      <c r="D55" s="14">
        <f t="shared" si="0"/>
        <v>2.1719790109573103E-2</v>
      </c>
      <c r="E55" s="13">
        <v>3172536689</v>
      </c>
      <c r="F55" s="14">
        <f t="shared" si="1"/>
        <v>-9.3054093674537508E-5</v>
      </c>
      <c r="G55" s="15">
        <v>3172831934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Property'!D56</f>
        <v>6489459200</v>
      </c>
      <c r="D56" s="14">
        <f t="shared" si="0"/>
        <v>-3.4529743885175254E-2</v>
      </c>
      <c r="E56" s="13">
        <v>6721552693</v>
      </c>
      <c r="F56" s="14">
        <f t="shared" si="1"/>
        <v>4.227314887639276E-2</v>
      </c>
      <c r="G56" s="15">
        <v>6448935867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Property'!D57</f>
        <v>7857002953</v>
      </c>
      <c r="D57" s="14">
        <f t="shared" si="0"/>
        <v>6.1233900812066692E-2</v>
      </c>
      <c r="E57" s="13">
        <v>7403648665</v>
      </c>
      <c r="F57" s="14">
        <f t="shared" si="1"/>
        <v>4.1437974213412408E-2</v>
      </c>
      <c r="G57" s="15">
        <v>7109063476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Property'!D58</f>
        <v>1608755240</v>
      </c>
      <c r="D58" s="14">
        <f t="shared" si="0"/>
        <v>8.0541668014330867E-2</v>
      </c>
      <c r="E58" s="13">
        <v>1488841465</v>
      </c>
      <c r="F58" s="14">
        <f t="shared" si="1"/>
        <v>0.29234916134886407</v>
      </c>
      <c r="G58" s="15">
        <v>1152042737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Property'!D59</f>
        <v>1634017229</v>
      </c>
      <c r="D59" s="14">
        <f t="shared" si="0"/>
        <v>5.8817994670392788E-2</v>
      </c>
      <c r="E59" s="13">
        <v>1543246561</v>
      </c>
      <c r="F59" s="14">
        <f t="shared" si="1"/>
        <v>0.10295688301267443</v>
      </c>
      <c r="G59" s="15">
        <v>1399190290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Property'!D60</f>
        <v>4952388012</v>
      </c>
      <c r="D60" s="14">
        <f t="shared" si="0"/>
        <v>4.0512652259659734E-3</v>
      </c>
      <c r="E60" s="13">
        <v>4932405529</v>
      </c>
      <c r="F60" s="14">
        <f t="shared" si="1"/>
        <v>1.1385072557247453E-2</v>
      </c>
      <c r="G60" s="15">
        <v>4876881875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Property'!D61</f>
        <v>855960190</v>
      </c>
      <c r="D61" s="14">
        <f t="shared" si="0"/>
        <v>4.0991284813314675E-2</v>
      </c>
      <c r="E61" s="13">
        <v>822254905</v>
      </c>
      <c r="F61" s="14">
        <f t="shared" si="1"/>
        <v>5.4012235829111785E-2</v>
      </c>
      <c r="G61" s="15">
        <v>780118937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Property'!D62</f>
        <v>2953230673</v>
      </c>
      <c r="D62" s="14">
        <f t="shared" si="0"/>
        <v>3.6491948823729629E-2</v>
      </c>
      <c r="E62" s="13">
        <v>2849255777</v>
      </c>
      <c r="F62" s="14">
        <f t="shared" si="1"/>
        <v>7.3309181381120886E-2</v>
      </c>
      <c r="G62" s="15">
        <v>2654645862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Property'!D63</f>
        <v>2780602095</v>
      </c>
      <c r="D63" s="14">
        <f t="shared" si="0"/>
        <v>3.7376406101455872E-2</v>
      </c>
      <c r="E63" s="13">
        <v>2680417714</v>
      </c>
      <c r="F63" s="14">
        <f t="shared" si="1"/>
        <v>3.1750845814642492E-2</v>
      </c>
      <c r="G63" s="15">
        <v>2597931201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Property'!D64</f>
        <v>1034127981</v>
      </c>
      <c r="D64" s="14">
        <f t="shared" si="0"/>
        <v>0.10768918797461058</v>
      </c>
      <c r="E64" s="13">
        <v>933590390</v>
      </c>
      <c r="F64" s="14">
        <f t="shared" si="1"/>
        <v>-2.5420419413867256E-2</v>
      </c>
      <c r="G64" s="15">
        <v>957941669</v>
      </c>
    </row>
    <row r="65" spans="1:7" x14ac:dyDescent="0.2">
      <c r="A65" s="11" t="s">
        <v>61</v>
      </c>
      <c r="B65" s="12" t="str">
        <f>'Assessed Value All Property'!B65</f>
        <v>R-Final</v>
      </c>
      <c r="C65" s="13">
        <f>'Assessed Value All Property'!D65</f>
        <v>702908697</v>
      </c>
      <c r="D65" s="14">
        <f t="shared" si="0"/>
        <v>3.6127753440058565E-2</v>
      </c>
      <c r="E65" s="13">
        <v>678399642</v>
      </c>
      <c r="F65" s="14">
        <f t="shared" si="1"/>
        <v>1.4858766874799688E-2</v>
      </c>
      <c r="G65" s="15">
        <v>668467046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Property'!D66</f>
        <v>776876686</v>
      </c>
      <c r="D66" s="14">
        <f t="shared" si="0"/>
        <v>2.544729706129532E-2</v>
      </c>
      <c r="E66" s="13">
        <v>757597868</v>
      </c>
      <c r="F66" s="14">
        <f t="shared" si="1"/>
        <v>0.18126764386101704</v>
      </c>
      <c r="G66" s="15">
        <v>641343113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Property'!D67</f>
        <v>88506542</v>
      </c>
      <c r="D67" s="14">
        <f t="shared" si="0"/>
        <v>0.37233934311514133</v>
      </c>
      <c r="E67" s="13">
        <v>64493190</v>
      </c>
      <c r="F67" s="14">
        <f t="shared" si="1"/>
        <v>4.6743679646122374E-2</v>
      </c>
      <c r="G67" s="15">
        <v>61613164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Property'!D68</f>
        <v>4267178585</v>
      </c>
      <c r="D68" s="14">
        <f t="shared" si="0"/>
        <v>7.0568922802301287E-2</v>
      </c>
      <c r="E68" s="13">
        <v>3985898053</v>
      </c>
      <c r="F68" s="14">
        <f t="shared" si="1"/>
        <v>0.11101679512915549</v>
      </c>
      <c r="G68" s="15">
        <v>3587612780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Property'!D69</f>
        <v>195831629</v>
      </c>
      <c r="D69" s="14">
        <f t="shared" si="0"/>
        <v>8.4896323050505026E-3</v>
      </c>
      <c r="E69" s="13">
        <v>194183086</v>
      </c>
      <c r="F69" s="14">
        <f t="shared" si="1"/>
        <v>-1.5698981512075991E-3</v>
      </c>
      <c r="G69" s="15">
        <v>194488413</v>
      </c>
    </row>
    <row r="70" spans="1:7" x14ac:dyDescent="0.2">
      <c r="A70" s="11" t="s">
        <v>66</v>
      </c>
      <c r="B70" s="12" t="str">
        <f>'Assessed Value All Property'!B70</f>
        <v>R-Final</v>
      </c>
      <c r="C70" s="13">
        <f>'Assessed Value All Property'!D70</f>
        <v>693919502</v>
      </c>
      <c r="D70" s="14">
        <f>((C70-E70)/E70)</f>
        <v>6.9521583796267827E-2</v>
      </c>
      <c r="E70" s="13">
        <v>648812995</v>
      </c>
      <c r="F70" s="14">
        <f>((E70-G70)/G70)</f>
        <v>7.8179496084584327E-2</v>
      </c>
      <c r="G70" s="15">
        <v>601767143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Property'!D71</f>
        <v>263038611</v>
      </c>
      <c r="D71" s="14">
        <f>((C71-E71)/E71)</f>
        <v>1.0435634122735987E-2</v>
      </c>
      <c r="E71" s="13">
        <v>260321986</v>
      </c>
      <c r="F71" s="14">
        <f>((E71-G71)/G71)</f>
        <v>0.19916596137740333</v>
      </c>
      <c r="G71" s="15">
        <v>217085870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189981175292</v>
      </c>
      <c r="D73" s="22">
        <f>((C73-E73)/E73)</f>
        <v>2.8958564001479243E-2</v>
      </c>
      <c r="E73" s="21">
        <f>SUM(E5:E71)</f>
        <v>184634427409</v>
      </c>
      <c r="F73" s="22">
        <f>((E73-G73)/G73)</f>
        <v>2.6755553289409182E-2</v>
      </c>
      <c r="G73" s="23">
        <f>SUM(G5:G71)</f>
        <v>179823159288</v>
      </c>
    </row>
    <row r="75" spans="1:7" x14ac:dyDescent="0.2">
      <c r="A75" s="24" t="s">
        <v>95</v>
      </c>
    </row>
  </sheetData>
  <phoneticPr fontId="3" type="noConversion"/>
  <conditionalFormatting sqref="A75">
    <cfRule type="expression" dxfId="3" priority="8" stopIfTrue="1">
      <formula>MOD(ROW(),5)=1</formula>
    </cfRule>
  </conditionalFormatting>
  <conditionalFormatting sqref="A4:G73">
    <cfRule type="expression" dxfId="2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73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88</v>
      </c>
      <c r="D4" s="38" t="s">
        <v>89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">
        <v>93</v>
      </c>
      <c r="C5" s="13">
        <f>'Assessed Value All Property'!E5</f>
        <v>28013196</v>
      </c>
      <c r="D5" s="14">
        <f>((C5-E5)/E5)</f>
        <v>-7.0114403708601988E-2</v>
      </c>
      <c r="E5" s="13">
        <v>30125422</v>
      </c>
      <c r="F5" s="14">
        <f>((E5-G5)/G5)</f>
        <v>6.6200364644264792E-2</v>
      </c>
      <c r="G5" s="15">
        <v>28254935</v>
      </c>
    </row>
    <row r="6" spans="1:7" x14ac:dyDescent="0.2">
      <c r="A6" s="11" t="s">
        <v>5</v>
      </c>
      <c r="B6" s="12" t="s">
        <v>94</v>
      </c>
      <c r="C6" s="13">
        <f>'Assessed Value All Property'!E6</f>
        <v>14240453</v>
      </c>
      <c r="D6" s="14">
        <f t="shared" ref="D6:D68" si="0">((C6-E6)/E6)</f>
        <v>9.5626619248470213E-2</v>
      </c>
      <c r="E6" s="13">
        <v>12997542</v>
      </c>
      <c r="F6" s="14">
        <f t="shared" ref="F6:F68" si="1">((E6-G6)/G6)</f>
        <v>-0.28544157121750907</v>
      </c>
      <c r="G6" s="15">
        <v>18189614</v>
      </c>
    </row>
    <row r="7" spans="1:7" x14ac:dyDescent="0.2">
      <c r="A7" s="11" t="s">
        <v>6</v>
      </c>
      <c r="B7" s="12" t="s">
        <v>93</v>
      </c>
      <c r="C7" s="13">
        <f>'Assessed Value All Property'!E7</f>
        <v>30050162</v>
      </c>
      <c r="D7" s="14">
        <f t="shared" si="0"/>
        <v>-1.0408438295610448E-2</v>
      </c>
      <c r="E7" s="13">
        <v>30366227</v>
      </c>
      <c r="F7" s="14">
        <f t="shared" si="1"/>
        <v>-1.1620452201582223E-2</v>
      </c>
      <c r="G7" s="15">
        <v>30723245</v>
      </c>
    </row>
    <row r="8" spans="1:7" x14ac:dyDescent="0.2">
      <c r="A8" s="11" t="s">
        <v>7</v>
      </c>
      <c r="B8" s="12" t="s">
        <v>94</v>
      </c>
      <c r="C8" s="13">
        <f>'Assessed Value All Property'!E8</f>
        <v>17642751</v>
      </c>
      <c r="D8" s="14">
        <f t="shared" si="0"/>
        <v>8.3875733438987955E-3</v>
      </c>
      <c r="E8" s="13">
        <v>17496002</v>
      </c>
      <c r="F8" s="14">
        <f t="shared" si="1"/>
        <v>0.11676406542669018</v>
      </c>
      <c r="G8" s="15">
        <v>15666695</v>
      </c>
    </row>
    <row r="9" spans="1:7" x14ac:dyDescent="0.2">
      <c r="A9" s="11" t="s">
        <v>8</v>
      </c>
      <c r="B9" s="12" t="s">
        <v>93</v>
      </c>
      <c r="C9" s="13">
        <f>'Assessed Value All Property'!E9</f>
        <v>84590111</v>
      </c>
      <c r="D9" s="14">
        <f t="shared" si="0"/>
        <v>2.147464373356257E-2</v>
      </c>
      <c r="E9" s="13">
        <v>82811758</v>
      </c>
      <c r="F9" s="14">
        <f t="shared" si="1"/>
        <v>-7.2552742295090046E-3</v>
      </c>
      <c r="G9" s="15">
        <v>83416971</v>
      </c>
    </row>
    <row r="10" spans="1:7" x14ac:dyDescent="0.2">
      <c r="A10" s="11" t="s">
        <v>9</v>
      </c>
      <c r="B10" s="12" t="s">
        <v>93</v>
      </c>
      <c r="C10" s="13">
        <f>'Assessed Value All Property'!E10</f>
        <v>98149701</v>
      </c>
      <c r="D10" s="14">
        <f t="shared" si="0"/>
        <v>-7.0719467559546237E-2</v>
      </c>
      <c r="E10" s="13">
        <v>105619022</v>
      </c>
      <c r="F10" s="14">
        <f t="shared" si="1"/>
        <v>-4.464373582962524E-2</v>
      </c>
      <c r="G10" s="15">
        <v>110554592</v>
      </c>
    </row>
    <row r="11" spans="1:7" x14ac:dyDescent="0.2">
      <c r="A11" s="11" t="s">
        <v>10</v>
      </c>
      <c r="B11" s="12" t="s">
        <v>94</v>
      </c>
      <c r="C11" s="13">
        <v>0</v>
      </c>
      <c r="D11" s="14" t="s">
        <v>79</v>
      </c>
      <c r="E11" s="13">
        <v>0</v>
      </c>
      <c r="F11" s="14" t="s">
        <v>79</v>
      </c>
      <c r="G11" s="15">
        <v>0</v>
      </c>
    </row>
    <row r="12" spans="1:7" x14ac:dyDescent="0.2">
      <c r="A12" s="11" t="s">
        <v>11</v>
      </c>
      <c r="B12" s="12" t="s">
        <v>93</v>
      </c>
      <c r="C12" s="13">
        <f>'Assessed Value All Property'!E12</f>
        <v>3007341</v>
      </c>
      <c r="D12" s="14">
        <f t="shared" si="0"/>
        <v>-0.12285543951713811</v>
      </c>
      <c r="E12" s="13">
        <v>3428558</v>
      </c>
      <c r="F12" s="14">
        <f t="shared" si="1"/>
        <v>-5.4960484592960435E-2</v>
      </c>
      <c r="G12" s="15">
        <v>3627952</v>
      </c>
    </row>
    <row r="13" spans="1:7" x14ac:dyDescent="0.2">
      <c r="A13" s="11" t="s">
        <v>12</v>
      </c>
      <c r="B13" s="12" t="s">
        <v>93</v>
      </c>
      <c r="C13" s="13">
        <f>'Assessed Value All Property'!E13</f>
        <v>1838974</v>
      </c>
      <c r="D13" s="14">
        <f t="shared" si="0"/>
        <v>0.17127551095148533</v>
      </c>
      <c r="E13" s="13">
        <v>1570061</v>
      </c>
      <c r="F13" s="14">
        <f t="shared" si="1"/>
        <v>-5.6076482901232811E-3</v>
      </c>
      <c r="G13" s="15">
        <v>1578915</v>
      </c>
    </row>
    <row r="14" spans="1:7" x14ac:dyDescent="0.2">
      <c r="A14" s="11" t="s">
        <v>13</v>
      </c>
      <c r="B14" s="12" t="s">
        <v>93</v>
      </c>
      <c r="C14" s="13">
        <f>'Assessed Value All Property'!E14</f>
        <v>16027266</v>
      </c>
      <c r="D14" s="14">
        <f t="shared" si="0"/>
        <v>1.4301367622863102E-2</v>
      </c>
      <c r="E14" s="13">
        <v>15801286</v>
      </c>
      <c r="F14" s="14">
        <f t="shared" si="1"/>
        <v>-2.4867556318263744E-2</v>
      </c>
      <c r="G14" s="15">
        <v>16204246</v>
      </c>
    </row>
    <row r="15" spans="1:7" x14ac:dyDescent="0.2">
      <c r="A15" s="11" t="s">
        <v>14</v>
      </c>
      <c r="B15" s="12" t="s">
        <v>93</v>
      </c>
      <c r="C15" s="13">
        <f>'Assessed Value All Property'!E15</f>
        <v>192903</v>
      </c>
      <c r="D15" s="14">
        <f t="shared" si="0"/>
        <v>-0.12715944363501444</v>
      </c>
      <c r="E15" s="13">
        <v>221006</v>
      </c>
      <c r="F15" s="14">
        <f t="shared" si="1"/>
        <v>-4.5899204793686699E-2</v>
      </c>
      <c r="G15" s="15">
        <v>231638</v>
      </c>
    </row>
    <row r="16" spans="1:7" x14ac:dyDescent="0.2">
      <c r="A16" s="11" t="s">
        <v>15</v>
      </c>
      <c r="B16" s="12" t="s">
        <v>94</v>
      </c>
      <c r="C16" s="13">
        <f>'Assessed Value All Property'!E16</f>
        <v>14358759</v>
      </c>
      <c r="D16" s="14">
        <f t="shared" si="0"/>
        <v>9.9803205529393826E-2</v>
      </c>
      <c r="E16" s="13">
        <v>13055753</v>
      </c>
      <c r="F16" s="14">
        <f t="shared" si="1"/>
        <v>-0.24045680731939825</v>
      </c>
      <c r="G16" s="15">
        <v>17188954</v>
      </c>
    </row>
    <row r="17" spans="1:7" x14ac:dyDescent="0.2">
      <c r="A17" s="11" t="s">
        <v>78</v>
      </c>
      <c r="B17" s="12" t="s">
        <v>93</v>
      </c>
      <c r="C17" s="13">
        <f>'Assessed Value All Property'!E17</f>
        <v>148156192</v>
      </c>
      <c r="D17" s="14">
        <f t="shared" si="0"/>
        <v>-1.1877951145099222E-2</v>
      </c>
      <c r="E17" s="13">
        <v>149937138</v>
      </c>
      <c r="F17" s="14">
        <f t="shared" si="1"/>
        <v>-0.23929816453105554</v>
      </c>
      <c r="G17" s="15">
        <v>197103689</v>
      </c>
    </row>
    <row r="18" spans="1:7" x14ac:dyDescent="0.2">
      <c r="A18" s="11" t="s">
        <v>16</v>
      </c>
      <c r="B18" s="12" t="s">
        <v>93</v>
      </c>
      <c r="C18" s="13">
        <f>'Assessed Value All Property'!E18</f>
        <v>4441811</v>
      </c>
      <c r="D18" s="14">
        <f t="shared" si="0"/>
        <v>-0.19991314311158409</v>
      </c>
      <c r="E18" s="13">
        <v>5551661</v>
      </c>
      <c r="F18" s="14">
        <f t="shared" si="1"/>
        <v>3.0413341252459258E-2</v>
      </c>
      <c r="G18" s="15">
        <v>5387800</v>
      </c>
    </row>
    <row r="19" spans="1:7" x14ac:dyDescent="0.2">
      <c r="A19" s="11" t="s">
        <v>17</v>
      </c>
      <c r="B19" s="12" t="s">
        <v>94</v>
      </c>
      <c r="C19" s="13">
        <v>0</v>
      </c>
      <c r="D19" s="14" t="s">
        <v>79</v>
      </c>
      <c r="E19" s="13">
        <v>0</v>
      </c>
      <c r="F19" s="14" t="s">
        <v>79</v>
      </c>
      <c r="G19" s="15">
        <v>0</v>
      </c>
    </row>
    <row r="20" spans="1:7" x14ac:dyDescent="0.2">
      <c r="A20" s="11" t="s">
        <v>18</v>
      </c>
      <c r="B20" s="12" t="s">
        <v>93</v>
      </c>
      <c r="C20" s="13">
        <f>'Assessed Value All Property'!E20</f>
        <v>222451451</v>
      </c>
      <c r="D20" s="14">
        <f t="shared" si="0"/>
        <v>1.4376380631006758E-2</v>
      </c>
      <c r="E20" s="13">
        <v>219298729</v>
      </c>
      <c r="F20" s="14">
        <f t="shared" si="1"/>
        <v>4.5993592138386795E-2</v>
      </c>
      <c r="G20" s="15">
        <v>209655901</v>
      </c>
    </row>
    <row r="21" spans="1:7" x14ac:dyDescent="0.2">
      <c r="A21" s="11" t="s">
        <v>19</v>
      </c>
      <c r="B21" s="12" t="s">
        <v>93</v>
      </c>
      <c r="C21" s="13">
        <f>'Assessed Value All Property'!E21</f>
        <v>29048500</v>
      </c>
      <c r="D21" s="14">
        <f t="shared" si="0"/>
        <v>6.2902798875072189E-3</v>
      </c>
      <c r="E21" s="13">
        <v>28866919</v>
      </c>
      <c r="F21" s="14">
        <f t="shared" si="1"/>
        <v>8.7529593462570864E-4</v>
      </c>
      <c r="G21" s="15">
        <v>28841674</v>
      </c>
    </row>
    <row r="22" spans="1:7" x14ac:dyDescent="0.2">
      <c r="A22" s="11" t="s">
        <v>20</v>
      </c>
      <c r="B22" s="12" t="s">
        <v>93</v>
      </c>
      <c r="C22" s="13">
        <f>'Assessed Value All Property'!E22</f>
        <v>25509054</v>
      </c>
      <c r="D22" s="14">
        <f t="shared" si="0"/>
        <v>2.4603238709797141E-2</v>
      </c>
      <c r="E22" s="13">
        <v>24896519</v>
      </c>
      <c r="F22" s="14">
        <f t="shared" si="1"/>
        <v>-1.2860342475128137E-2</v>
      </c>
      <c r="G22" s="15">
        <v>25220868</v>
      </c>
    </row>
    <row r="23" spans="1:7" x14ac:dyDescent="0.2">
      <c r="A23" s="11" t="s">
        <v>21</v>
      </c>
      <c r="B23" s="12" t="s">
        <v>94</v>
      </c>
      <c r="C23" s="13">
        <f>'Assessed Value All Property'!E23</f>
        <v>491829</v>
      </c>
      <c r="D23" s="14">
        <f t="shared" si="0"/>
        <v>-5.330294636790428E-2</v>
      </c>
      <c r="E23" s="13">
        <v>519521</v>
      </c>
      <c r="F23" s="14">
        <f t="shared" si="1"/>
        <v>-7.7962690500826159E-2</v>
      </c>
      <c r="G23" s="15">
        <v>563449</v>
      </c>
    </row>
    <row r="24" spans="1:7" x14ac:dyDescent="0.2">
      <c r="A24" s="11" t="s">
        <v>22</v>
      </c>
      <c r="B24" s="12" t="s">
        <v>94</v>
      </c>
      <c r="C24" s="13">
        <f>'Assessed Value All Property'!E24</f>
        <v>7718778</v>
      </c>
      <c r="D24" s="14">
        <f t="shared" si="0"/>
        <v>3.1433640456131541E-2</v>
      </c>
      <c r="E24" s="13">
        <v>7483543</v>
      </c>
      <c r="F24" s="14">
        <f t="shared" si="1"/>
        <v>-0.58432120935032228</v>
      </c>
      <c r="G24" s="15">
        <v>18003187</v>
      </c>
    </row>
    <row r="25" spans="1:7" x14ac:dyDescent="0.2">
      <c r="A25" s="11" t="s">
        <v>23</v>
      </c>
      <c r="B25" s="12" t="s">
        <v>94</v>
      </c>
      <c r="C25" s="13">
        <v>0</v>
      </c>
      <c r="D25" s="14" t="s">
        <v>79</v>
      </c>
      <c r="E25" s="13">
        <v>0</v>
      </c>
      <c r="F25" s="14" t="s">
        <v>79</v>
      </c>
      <c r="G25" s="15">
        <v>0</v>
      </c>
    </row>
    <row r="26" spans="1:7" x14ac:dyDescent="0.2">
      <c r="A26" s="11" t="s">
        <v>24</v>
      </c>
      <c r="B26" s="12" t="s">
        <v>93</v>
      </c>
      <c r="C26" s="13">
        <f>'Assessed Value All Property'!E26</f>
        <v>19085359</v>
      </c>
      <c r="D26" s="14">
        <f t="shared" si="0"/>
        <v>3.8248157694987739E-2</v>
      </c>
      <c r="E26" s="13">
        <v>18382271</v>
      </c>
      <c r="F26" s="14">
        <f t="shared" si="1"/>
        <v>-2.6104899279210635E-2</v>
      </c>
      <c r="G26" s="15">
        <v>18875001</v>
      </c>
    </row>
    <row r="27" spans="1:7" x14ac:dyDescent="0.2">
      <c r="A27" s="11" t="s">
        <v>25</v>
      </c>
      <c r="B27" s="12" t="s">
        <v>94</v>
      </c>
      <c r="C27" s="13">
        <f>'Assessed Value All Property'!E27</f>
        <v>453220</v>
      </c>
      <c r="D27" s="14">
        <f t="shared" si="0"/>
        <v>-0.22097432353921942</v>
      </c>
      <c r="E27" s="13">
        <v>581778</v>
      </c>
      <c r="F27" s="14">
        <f t="shared" si="1"/>
        <v>-3.8033665134429046E-2</v>
      </c>
      <c r="G27" s="15">
        <v>604780</v>
      </c>
    </row>
    <row r="28" spans="1:7" x14ac:dyDescent="0.2">
      <c r="A28" s="11" t="s">
        <v>26</v>
      </c>
      <c r="B28" s="12" t="s">
        <v>94</v>
      </c>
      <c r="C28" s="13">
        <f>'Assessed Value All Property'!E28</f>
        <v>25771239</v>
      </c>
      <c r="D28" s="14">
        <f t="shared" si="0"/>
        <v>0.11817417747534484</v>
      </c>
      <c r="E28" s="13">
        <v>23047607</v>
      </c>
      <c r="F28" s="14">
        <f t="shared" si="1"/>
        <v>4.9326756262524654E-2</v>
      </c>
      <c r="G28" s="15">
        <v>21964185</v>
      </c>
    </row>
    <row r="29" spans="1:7" x14ac:dyDescent="0.2">
      <c r="A29" s="11" t="s">
        <v>27</v>
      </c>
      <c r="B29" s="12" t="s">
        <v>93</v>
      </c>
      <c r="C29" s="13">
        <f>'Assessed Value All Property'!E29</f>
        <v>8761092</v>
      </c>
      <c r="D29" s="14">
        <f t="shared" si="0"/>
        <v>1.5833784855365501E-2</v>
      </c>
      <c r="E29" s="13">
        <v>8624533</v>
      </c>
      <c r="F29" s="14">
        <f t="shared" si="1"/>
        <v>0.10498318669038784</v>
      </c>
      <c r="G29" s="15">
        <v>7805126</v>
      </c>
    </row>
    <row r="30" spans="1:7" x14ac:dyDescent="0.2">
      <c r="A30" s="11" t="s">
        <v>28</v>
      </c>
      <c r="B30" s="12" t="s">
        <v>93</v>
      </c>
      <c r="C30" s="13">
        <f>'Assessed Value All Property'!E30</f>
        <v>6152374</v>
      </c>
      <c r="D30" s="14">
        <f t="shared" si="0"/>
        <v>3.514883902798837E-2</v>
      </c>
      <c r="E30" s="13">
        <v>5943468</v>
      </c>
      <c r="F30" s="14">
        <f t="shared" si="1"/>
        <v>-2.4086883745766327E-2</v>
      </c>
      <c r="G30" s="15">
        <v>6090161</v>
      </c>
    </row>
    <row r="31" spans="1:7" x14ac:dyDescent="0.2">
      <c r="A31" s="11" t="s">
        <v>29</v>
      </c>
      <c r="B31" s="12" t="s">
        <v>93</v>
      </c>
      <c r="C31" s="13">
        <f>'Assessed Value All Property'!E31</f>
        <v>10968325</v>
      </c>
      <c r="D31" s="14">
        <f t="shared" si="0"/>
        <v>2.974309009158884E-2</v>
      </c>
      <c r="E31" s="13">
        <v>10651516</v>
      </c>
      <c r="F31" s="14">
        <f t="shared" si="1"/>
        <v>0.22019102378816191</v>
      </c>
      <c r="G31" s="15">
        <v>8729384</v>
      </c>
    </row>
    <row r="32" spans="1:7" x14ac:dyDescent="0.2">
      <c r="A32" s="11" t="s">
        <v>30</v>
      </c>
      <c r="B32" s="12" t="s">
        <v>93</v>
      </c>
      <c r="C32" s="13">
        <f>'Assessed Value All Property'!E32</f>
        <v>38105775</v>
      </c>
      <c r="D32" s="14">
        <f t="shared" si="0"/>
        <v>3.3742760929827073E-2</v>
      </c>
      <c r="E32" s="13">
        <v>36861951</v>
      </c>
      <c r="F32" s="14">
        <f t="shared" si="1"/>
        <v>3.3662989692603611E-2</v>
      </c>
      <c r="G32" s="15">
        <v>35661479</v>
      </c>
    </row>
    <row r="33" spans="1:7" x14ac:dyDescent="0.2">
      <c r="A33" s="11" t="s">
        <v>31</v>
      </c>
      <c r="B33" s="12" t="s">
        <v>93</v>
      </c>
      <c r="C33" s="13">
        <f>'Assessed Value All Property'!E33</f>
        <v>130723891</v>
      </c>
      <c r="D33" s="14">
        <f t="shared" si="0"/>
        <v>1.838332859511977E-2</v>
      </c>
      <c r="E33" s="13">
        <v>128364131</v>
      </c>
      <c r="F33" s="14">
        <f t="shared" si="1"/>
        <v>8.6751884597911097E-2</v>
      </c>
      <c r="G33" s="15">
        <v>118117238</v>
      </c>
    </row>
    <row r="34" spans="1:7" x14ac:dyDescent="0.2">
      <c r="A34" s="11" t="s">
        <v>32</v>
      </c>
      <c r="B34" s="12" t="s">
        <v>94</v>
      </c>
      <c r="C34" s="13">
        <f>'Assessed Value All Property'!E34</f>
        <v>3560975</v>
      </c>
      <c r="D34" s="14">
        <f t="shared" si="0"/>
        <v>3.4132117186199976E-2</v>
      </c>
      <c r="E34" s="13">
        <v>3443443</v>
      </c>
      <c r="F34" s="14">
        <f t="shared" si="1"/>
        <v>-0.59882730042012278</v>
      </c>
      <c r="G34" s="15">
        <v>8583443</v>
      </c>
    </row>
    <row r="35" spans="1:7" x14ac:dyDescent="0.2">
      <c r="A35" s="11" t="s">
        <v>33</v>
      </c>
      <c r="B35" s="12" t="s">
        <v>93</v>
      </c>
      <c r="C35" s="13">
        <f>'Assessed Value All Property'!E35</f>
        <v>24551919</v>
      </c>
      <c r="D35" s="14">
        <f t="shared" si="0"/>
        <v>0.14252512846935192</v>
      </c>
      <c r="E35" s="13">
        <v>21489172</v>
      </c>
      <c r="F35" s="14">
        <f t="shared" si="1"/>
        <v>-1.2731884861633338E-2</v>
      </c>
      <c r="G35" s="15">
        <v>21766298</v>
      </c>
    </row>
    <row r="36" spans="1:7" x14ac:dyDescent="0.2">
      <c r="A36" s="11" t="s">
        <v>34</v>
      </c>
      <c r="B36" s="12" t="s">
        <v>94</v>
      </c>
      <c r="C36" s="13">
        <f>'Assessed Value All Property'!E36</f>
        <v>24949650</v>
      </c>
      <c r="D36" s="14">
        <f t="shared" si="0"/>
        <v>5.9224058872807614E-3</v>
      </c>
      <c r="E36" s="13">
        <v>24802758</v>
      </c>
      <c r="F36" s="14">
        <f t="shared" si="1"/>
        <v>-0.26219195588922056</v>
      </c>
      <c r="G36" s="15">
        <v>33616817</v>
      </c>
    </row>
    <row r="37" spans="1:7" x14ac:dyDescent="0.2">
      <c r="A37" s="11" t="s">
        <v>35</v>
      </c>
      <c r="B37" s="12" t="s">
        <v>94</v>
      </c>
      <c r="C37" s="13">
        <f>'Assessed Value All Property'!E37</f>
        <v>2910419</v>
      </c>
      <c r="D37" s="14">
        <f t="shared" si="0"/>
        <v>-0.20927954817511149</v>
      </c>
      <c r="E37" s="13">
        <v>3680718</v>
      </c>
      <c r="F37" s="14">
        <f t="shared" si="1"/>
        <v>-0.47609785550893075</v>
      </c>
      <c r="G37" s="15">
        <v>7025583</v>
      </c>
    </row>
    <row r="38" spans="1:7" x14ac:dyDescent="0.2">
      <c r="A38" s="11" t="s">
        <v>36</v>
      </c>
      <c r="B38" s="12" t="s">
        <v>94</v>
      </c>
      <c r="C38" s="13">
        <v>0</v>
      </c>
      <c r="D38" s="14" t="s">
        <v>79</v>
      </c>
      <c r="E38" s="13">
        <v>0</v>
      </c>
      <c r="F38" s="14" t="s">
        <v>79</v>
      </c>
      <c r="G38" s="15">
        <v>0</v>
      </c>
    </row>
    <row r="39" spans="1:7" x14ac:dyDescent="0.2">
      <c r="A39" s="11" t="s">
        <v>37</v>
      </c>
      <c r="B39" s="12" t="s">
        <v>93</v>
      </c>
      <c r="C39" s="13">
        <f>'Assessed Value All Property'!E39</f>
        <v>20096964</v>
      </c>
      <c r="D39" s="14">
        <f t="shared" si="0"/>
        <v>3.095710633663431</v>
      </c>
      <c r="E39" s="13">
        <v>4906832</v>
      </c>
      <c r="F39" s="14">
        <f t="shared" si="1"/>
        <v>2.9757592597411647E-2</v>
      </c>
      <c r="G39" s="15">
        <v>4765036</v>
      </c>
    </row>
    <row r="40" spans="1:7" x14ac:dyDescent="0.2">
      <c r="A40" s="11" t="s">
        <v>38</v>
      </c>
      <c r="B40" s="12" t="s">
        <v>93</v>
      </c>
      <c r="C40" s="13">
        <f>'Assessed Value All Property'!E40</f>
        <v>5191529</v>
      </c>
      <c r="D40" s="14">
        <f t="shared" si="0"/>
        <v>-0.11585857971729772</v>
      </c>
      <c r="E40" s="13">
        <v>5871831</v>
      </c>
      <c r="F40" s="14">
        <f t="shared" si="1"/>
        <v>-4.6068795170681756E-2</v>
      </c>
      <c r="G40" s="15">
        <v>6155403</v>
      </c>
    </row>
    <row r="41" spans="1:7" x14ac:dyDescent="0.2">
      <c r="A41" s="11" t="s">
        <v>39</v>
      </c>
      <c r="B41" s="12" t="s">
        <v>93</v>
      </c>
      <c r="C41" s="13">
        <f>'Assessed Value All Property'!E41</f>
        <v>5535968</v>
      </c>
      <c r="D41" s="14">
        <f t="shared" si="0"/>
        <v>4.2128514615673358E-2</v>
      </c>
      <c r="E41" s="13">
        <v>5312174</v>
      </c>
      <c r="F41" s="14">
        <f t="shared" si="1"/>
        <v>-0.59883530115592365</v>
      </c>
      <c r="G41" s="15">
        <v>13241878</v>
      </c>
    </row>
    <row r="42" spans="1:7" x14ac:dyDescent="0.2">
      <c r="A42" s="11" t="s">
        <v>40</v>
      </c>
      <c r="B42" s="12" t="s">
        <v>94</v>
      </c>
      <c r="C42" s="13">
        <f>'Assessed Value All Property'!E42</f>
        <v>3693700</v>
      </c>
      <c r="D42" s="14">
        <f t="shared" si="0"/>
        <v>0.11071117449956053</v>
      </c>
      <c r="E42" s="13">
        <v>3325527</v>
      </c>
      <c r="F42" s="14">
        <f t="shared" si="1"/>
        <v>-4.7119793635415986E-3</v>
      </c>
      <c r="G42" s="15">
        <v>3341271</v>
      </c>
    </row>
    <row r="43" spans="1:7" x14ac:dyDescent="0.2">
      <c r="A43" s="11" t="s">
        <v>41</v>
      </c>
      <c r="B43" s="12" t="s">
        <v>94</v>
      </c>
      <c r="C43" s="13">
        <f>'Assessed Value All Property'!E43</f>
        <v>593282</v>
      </c>
      <c r="D43" s="14">
        <f t="shared" si="0"/>
        <v>-0.11865731174154023</v>
      </c>
      <c r="E43" s="13">
        <v>673157</v>
      </c>
      <c r="F43" s="14">
        <f t="shared" si="1"/>
        <v>-7.7875965572932859E-2</v>
      </c>
      <c r="G43" s="15">
        <v>730007</v>
      </c>
    </row>
    <row r="44" spans="1:7" x14ac:dyDescent="0.2">
      <c r="A44" s="11" t="s">
        <v>42</v>
      </c>
      <c r="B44" s="12" t="s">
        <v>94</v>
      </c>
      <c r="C44" s="13">
        <f>'Assessed Value All Property'!E44</f>
        <v>7769697</v>
      </c>
      <c r="D44" s="14">
        <f t="shared" si="0"/>
        <v>2.6962993392682742E-2</v>
      </c>
      <c r="E44" s="13">
        <v>7565703</v>
      </c>
      <c r="F44" s="14">
        <f t="shared" si="1"/>
        <v>-0.51531817414226655</v>
      </c>
      <c r="G44" s="15">
        <v>15609628</v>
      </c>
    </row>
    <row r="45" spans="1:7" x14ac:dyDescent="0.2">
      <c r="A45" s="11" t="s">
        <v>43</v>
      </c>
      <c r="B45" s="12" t="s">
        <v>93</v>
      </c>
      <c r="C45" s="13">
        <f>'Assessed Value All Property'!E45</f>
        <v>9629951</v>
      </c>
      <c r="D45" s="14">
        <f t="shared" si="0"/>
        <v>-8.8149327622701348E-2</v>
      </c>
      <c r="E45" s="13">
        <v>10560886</v>
      </c>
      <c r="F45" s="14">
        <f t="shared" si="1"/>
        <v>0.15146590245983074</v>
      </c>
      <c r="G45" s="15">
        <v>9171688</v>
      </c>
    </row>
    <row r="46" spans="1:7" x14ac:dyDescent="0.2">
      <c r="A46" s="11" t="s">
        <v>44</v>
      </c>
      <c r="B46" s="12" t="s">
        <v>93</v>
      </c>
      <c r="C46" s="13">
        <f>'Assessed Value All Property'!E46</f>
        <v>28519034</v>
      </c>
      <c r="D46" s="14">
        <f t="shared" si="0"/>
        <v>0.10150083026699284</v>
      </c>
      <c r="E46" s="13">
        <v>25891069</v>
      </c>
      <c r="F46" s="14">
        <f t="shared" si="1"/>
        <v>0.17218559626741534</v>
      </c>
      <c r="G46" s="15">
        <v>22087858</v>
      </c>
    </row>
    <row r="47" spans="1:7" x14ac:dyDescent="0.2">
      <c r="A47" s="11" t="s">
        <v>45</v>
      </c>
      <c r="B47" s="12" t="s">
        <v>93</v>
      </c>
      <c r="C47" s="13">
        <f>'Assessed Value All Property'!E47</f>
        <v>68352425</v>
      </c>
      <c r="D47" s="14">
        <f t="shared" si="0"/>
        <v>2.5353566419207451E-2</v>
      </c>
      <c r="E47" s="13">
        <v>66662298</v>
      </c>
      <c r="F47" s="14">
        <f t="shared" si="1"/>
        <v>2.9856224725550856E-3</v>
      </c>
      <c r="G47" s="15">
        <v>66463862</v>
      </c>
    </row>
    <row r="48" spans="1:7" x14ac:dyDescent="0.2">
      <c r="A48" s="11" t="s">
        <v>46</v>
      </c>
      <c r="B48" s="12" t="s">
        <v>93</v>
      </c>
      <c r="C48" s="13">
        <v>0</v>
      </c>
      <c r="D48" s="14" t="s">
        <v>79</v>
      </c>
      <c r="E48" s="13">
        <v>0</v>
      </c>
      <c r="F48" s="14" t="s">
        <v>79</v>
      </c>
      <c r="G48" s="15">
        <v>0</v>
      </c>
    </row>
    <row r="49" spans="1:7" x14ac:dyDescent="0.2">
      <c r="A49" s="11" t="s">
        <v>47</v>
      </c>
      <c r="B49" s="12" t="s">
        <v>93</v>
      </c>
      <c r="C49" s="13">
        <f>'Assessed Value All Property'!E49</f>
        <v>44817698</v>
      </c>
      <c r="D49" s="14">
        <f t="shared" si="0"/>
        <v>-4.2444451661258327E-2</v>
      </c>
      <c r="E49" s="13">
        <v>46804280</v>
      </c>
      <c r="F49" s="14">
        <f t="shared" si="1"/>
        <v>0.21063854282866884</v>
      </c>
      <c r="G49" s="15">
        <v>38660821</v>
      </c>
    </row>
    <row r="50" spans="1:7" x14ac:dyDescent="0.2">
      <c r="A50" s="11" t="s">
        <v>48</v>
      </c>
      <c r="B50" s="12" t="s">
        <v>93</v>
      </c>
      <c r="C50" s="13">
        <f>'Assessed Value All Property'!E50</f>
        <v>4111036</v>
      </c>
      <c r="D50" s="14">
        <f t="shared" si="0"/>
        <v>3.3591297292798944E-2</v>
      </c>
      <c r="E50" s="13">
        <v>3977429</v>
      </c>
      <c r="F50" s="14">
        <f t="shared" si="1"/>
        <v>-0.58549920594715821</v>
      </c>
      <c r="G50" s="15">
        <v>9595709</v>
      </c>
    </row>
    <row r="51" spans="1:7" x14ac:dyDescent="0.2">
      <c r="A51" s="11" t="s">
        <v>49</v>
      </c>
      <c r="B51" s="12" t="s">
        <v>93</v>
      </c>
      <c r="C51" s="13">
        <f>'Assessed Value All Property'!E51</f>
        <v>11388330</v>
      </c>
      <c r="D51" s="14">
        <f t="shared" si="0"/>
        <v>2.2308902312812611E-2</v>
      </c>
      <c r="E51" s="13">
        <v>11139813</v>
      </c>
      <c r="F51" s="14">
        <f t="shared" si="1"/>
        <v>0.11272959048366493</v>
      </c>
      <c r="G51" s="15">
        <v>10011249</v>
      </c>
    </row>
    <row r="52" spans="1:7" x14ac:dyDescent="0.2">
      <c r="A52" s="11" t="s">
        <v>50</v>
      </c>
      <c r="B52" s="12" t="s">
        <v>93</v>
      </c>
      <c r="C52" s="13">
        <f>'Assessed Value All Property'!E52</f>
        <v>59815275</v>
      </c>
      <c r="D52" s="14">
        <f t="shared" si="0"/>
        <v>0.92282915065669224</v>
      </c>
      <c r="E52" s="13">
        <v>31107951</v>
      </c>
      <c r="F52" s="14">
        <f t="shared" si="1"/>
        <v>7.2804272297658748E-2</v>
      </c>
      <c r="G52" s="15">
        <v>28996856</v>
      </c>
    </row>
    <row r="53" spans="1:7" x14ac:dyDescent="0.2">
      <c r="A53" s="11" t="s">
        <v>51</v>
      </c>
      <c r="B53" s="12" t="s">
        <v>93</v>
      </c>
      <c r="C53" s="13">
        <f>'Assessed Value All Property'!E53</f>
        <v>6391045</v>
      </c>
      <c r="D53" s="14">
        <f t="shared" si="0"/>
        <v>3.3128918256492855E-2</v>
      </c>
      <c r="E53" s="13">
        <v>6186106</v>
      </c>
      <c r="F53" s="14">
        <f t="shared" si="1"/>
        <v>0.1129158453221005</v>
      </c>
      <c r="G53" s="15">
        <v>5558467</v>
      </c>
    </row>
    <row r="54" spans="1:7" x14ac:dyDescent="0.2">
      <c r="A54" s="11" t="s">
        <v>52</v>
      </c>
      <c r="B54" s="12" t="s">
        <v>93</v>
      </c>
      <c r="C54" s="13">
        <f>'Assessed Value All Property'!E54</f>
        <v>186232691</v>
      </c>
      <c r="D54" s="14">
        <f t="shared" si="0"/>
        <v>8.7230433520743957E-4</v>
      </c>
      <c r="E54" s="13">
        <v>186070381</v>
      </c>
      <c r="F54" s="14">
        <f t="shared" si="1"/>
        <v>-0.10348326417186875</v>
      </c>
      <c r="G54" s="15">
        <v>207548140</v>
      </c>
    </row>
    <row r="55" spans="1:7" x14ac:dyDescent="0.2">
      <c r="A55" s="11" t="s">
        <v>53</v>
      </c>
      <c r="B55" s="12" t="s">
        <v>93</v>
      </c>
      <c r="C55" s="13">
        <f>'Assessed Value All Property'!E55</f>
        <v>21440225</v>
      </c>
      <c r="D55" s="14">
        <f t="shared" si="0"/>
        <v>-6.1745854808822262E-3</v>
      </c>
      <c r="E55" s="13">
        <v>21573432</v>
      </c>
      <c r="F55" s="14">
        <f t="shared" si="1"/>
        <v>0.2010436561412893</v>
      </c>
      <c r="G55" s="15">
        <v>17962238</v>
      </c>
    </row>
    <row r="56" spans="1:7" x14ac:dyDescent="0.2">
      <c r="A56" s="11" t="s">
        <v>54</v>
      </c>
      <c r="B56" s="12" t="s">
        <v>93</v>
      </c>
      <c r="C56" s="13">
        <f>'Assessed Value All Property'!E56</f>
        <v>12583233</v>
      </c>
      <c r="D56" s="14">
        <f t="shared" si="0"/>
        <v>1.9131505134519951E-2</v>
      </c>
      <c r="E56" s="13">
        <v>12347016</v>
      </c>
      <c r="F56" s="14">
        <f t="shared" si="1"/>
        <v>0.10033908437327139</v>
      </c>
      <c r="G56" s="15">
        <v>11221101</v>
      </c>
    </row>
    <row r="57" spans="1:7" x14ac:dyDescent="0.2">
      <c r="A57" s="11" t="s">
        <v>55</v>
      </c>
      <c r="B57" s="12" t="s">
        <v>93</v>
      </c>
      <c r="C57" s="13">
        <f>'Assessed Value All Property'!E57</f>
        <v>125299945</v>
      </c>
      <c r="D57" s="14">
        <f t="shared" si="0"/>
        <v>9.0944860270493325E-2</v>
      </c>
      <c r="E57" s="13">
        <v>114854517</v>
      </c>
      <c r="F57" s="14">
        <f t="shared" si="1"/>
        <v>0.11125111582736498</v>
      </c>
      <c r="G57" s="15">
        <v>103356042</v>
      </c>
    </row>
    <row r="58" spans="1:7" x14ac:dyDescent="0.2">
      <c r="A58" s="11" t="s">
        <v>56</v>
      </c>
      <c r="B58" s="12" t="s">
        <v>93</v>
      </c>
      <c r="C58" s="13">
        <f>'Assessed Value All Property'!E58</f>
        <v>17240716</v>
      </c>
      <c r="D58" s="14">
        <f t="shared" si="0"/>
        <v>-0.15804380285662312</v>
      </c>
      <c r="E58" s="13">
        <v>20476975</v>
      </c>
      <c r="F58" s="14">
        <f t="shared" si="1"/>
        <v>0.10867064666758167</v>
      </c>
      <c r="G58" s="15">
        <v>18469845</v>
      </c>
    </row>
    <row r="59" spans="1:7" x14ac:dyDescent="0.2">
      <c r="A59" s="11" t="s">
        <v>2</v>
      </c>
      <c r="B59" s="12" t="s">
        <v>93</v>
      </c>
      <c r="C59" s="13">
        <f>'Assessed Value All Property'!E59</f>
        <v>39390286</v>
      </c>
      <c r="D59" s="14">
        <f t="shared" si="0"/>
        <v>2.5431746193974612E-2</v>
      </c>
      <c r="E59" s="13">
        <v>38413367</v>
      </c>
      <c r="F59" s="14">
        <f t="shared" si="1"/>
        <v>-1.2458209254437623E-2</v>
      </c>
      <c r="G59" s="15">
        <v>38897966</v>
      </c>
    </row>
    <row r="60" spans="1:7" x14ac:dyDescent="0.2">
      <c r="A60" s="11" t="s">
        <v>3</v>
      </c>
      <c r="B60" s="12" t="s">
        <v>93</v>
      </c>
      <c r="C60" s="13">
        <f>'Assessed Value All Property'!E60</f>
        <v>55286149</v>
      </c>
      <c r="D60" s="14">
        <f t="shared" si="0"/>
        <v>2.6174849729807104E-2</v>
      </c>
      <c r="E60" s="13">
        <v>53875954</v>
      </c>
      <c r="F60" s="14">
        <f t="shared" si="1"/>
        <v>-1.2213445903009859E-2</v>
      </c>
      <c r="G60" s="15">
        <v>54542101</v>
      </c>
    </row>
    <row r="61" spans="1:7" x14ac:dyDescent="0.2">
      <c r="A61" s="11" t="s">
        <v>57</v>
      </c>
      <c r="B61" s="12" t="s">
        <v>93</v>
      </c>
      <c r="C61" s="13">
        <f>'Assessed Value All Property'!E61</f>
        <v>3831123</v>
      </c>
      <c r="D61" s="14">
        <f t="shared" si="0"/>
        <v>3.4972351645893594E-2</v>
      </c>
      <c r="E61" s="13">
        <v>3701667</v>
      </c>
      <c r="F61" s="14">
        <f t="shared" si="1"/>
        <v>-0.60172791610185017</v>
      </c>
      <c r="G61" s="15">
        <v>9294317</v>
      </c>
    </row>
    <row r="62" spans="1:7" x14ac:dyDescent="0.2">
      <c r="A62" s="11" t="s">
        <v>58</v>
      </c>
      <c r="B62" s="12" t="s">
        <v>93</v>
      </c>
      <c r="C62" s="13">
        <f>'Assessed Value All Property'!E62</f>
        <v>893996</v>
      </c>
      <c r="D62" s="14">
        <f t="shared" si="0"/>
        <v>-0.12437719335189715</v>
      </c>
      <c r="E62" s="13">
        <v>1020983</v>
      </c>
      <c r="F62" s="14">
        <f t="shared" si="1"/>
        <v>-0.54385070579220962</v>
      </c>
      <c r="G62" s="15">
        <v>2238265</v>
      </c>
    </row>
    <row r="63" spans="1:7" x14ac:dyDescent="0.2">
      <c r="A63" s="11" t="s">
        <v>59</v>
      </c>
      <c r="B63" s="12" t="s">
        <v>93</v>
      </c>
      <c r="C63" s="13">
        <f>'Assessed Value All Property'!E63</f>
        <v>13863051</v>
      </c>
      <c r="D63" s="14">
        <f t="shared" si="0"/>
        <v>3.803073646897881E-2</v>
      </c>
      <c r="E63" s="13">
        <v>13355145</v>
      </c>
      <c r="F63" s="14">
        <f t="shared" si="1"/>
        <v>0.12009897021625852</v>
      </c>
      <c r="G63" s="15">
        <v>11923183</v>
      </c>
    </row>
    <row r="64" spans="1:7" x14ac:dyDescent="0.2">
      <c r="A64" s="11" t="s">
        <v>60</v>
      </c>
      <c r="B64" s="12" t="s">
        <v>93</v>
      </c>
      <c r="C64" s="13">
        <f>'Assessed Value All Property'!E64</f>
        <v>16195160</v>
      </c>
      <c r="D64" s="14">
        <f t="shared" si="0"/>
        <v>2.5372835998759308E-2</v>
      </c>
      <c r="E64" s="13">
        <v>15794411</v>
      </c>
      <c r="F64" s="14">
        <f t="shared" si="1"/>
        <v>0.11873227146960579</v>
      </c>
      <c r="G64" s="15">
        <v>14118133</v>
      </c>
    </row>
    <row r="65" spans="1:7" x14ac:dyDescent="0.2">
      <c r="A65" s="11" t="s">
        <v>61</v>
      </c>
      <c r="B65" s="12" t="s">
        <v>94</v>
      </c>
      <c r="C65" s="13">
        <f>'Assessed Value All Property'!E65</f>
        <v>3886571</v>
      </c>
      <c r="D65" s="14">
        <f t="shared" si="0"/>
        <v>3.3415964329786219E-2</v>
      </c>
      <c r="E65" s="13">
        <v>3760897</v>
      </c>
      <c r="F65" s="14">
        <f t="shared" si="1"/>
        <v>-0.59906123817033019</v>
      </c>
      <c r="G65" s="15">
        <v>9380228</v>
      </c>
    </row>
    <row r="66" spans="1:7" x14ac:dyDescent="0.2">
      <c r="A66" s="11" t="s">
        <v>62</v>
      </c>
      <c r="B66" s="12" t="s">
        <v>94</v>
      </c>
      <c r="C66" s="13">
        <f>'Assessed Value All Property'!E66</f>
        <v>10828331</v>
      </c>
      <c r="D66" s="14">
        <f t="shared" si="0"/>
        <v>5.64973675208605E-2</v>
      </c>
      <c r="E66" s="13">
        <v>10249274</v>
      </c>
      <c r="F66" s="14">
        <f t="shared" si="1"/>
        <v>6.3650886919363742E-2</v>
      </c>
      <c r="G66" s="15">
        <v>9635938</v>
      </c>
    </row>
    <row r="67" spans="1:7" x14ac:dyDescent="0.2">
      <c r="A67" s="11" t="s">
        <v>63</v>
      </c>
      <c r="B67" s="12" t="s">
        <v>94</v>
      </c>
      <c r="C67" s="13">
        <v>0</v>
      </c>
      <c r="D67" s="14" t="s">
        <v>79</v>
      </c>
      <c r="E67" s="13">
        <v>0</v>
      </c>
      <c r="F67" s="14" t="s">
        <v>79</v>
      </c>
      <c r="G67" s="15">
        <v>0</v>
      </c>
    </row>
    <row r="68" spans="1:7" x14ac:dyDescent="0.2">
      <c r="A68" s="11" t="s">
        <v>64</v>
      </c>
      <c r="B68" s="12" t="s">
        <v>93</v>
      </c>
      <c r="C68" s="13">
        <f>'Assessed Value All Property'!E68</f>
        <v>70234706</v>
      </c>
      <c r="D68" s="14">
        <f t="shared" si="0"/>
        <v>2.2585467377021117E-2</v>
      </c>
      <c r="E68" s="13">
        <v>68683458</v>
      </c>
      <c r="F68" s="14">
        <f t="shared" si="1"/>
        <v>1.7061969628812689E-2</v>
      </c>
      <c r="G68" s="15">
        <v>67531242</v>
      </c>
    </row>
    <row r="69" spans="1:7" x14ac:dyDescent="0.2">
      <c r="A69" s="11" t="s">
        <v>65</v>
      </c>
      <c r="B69" s="12" t="s">
        <v>94</v>
      </c>
      <c r="C69" s="13">
        <v>0</v>
      </c>
      <c r="D69" s="14" t="s">
        <v>79</v>
      </c>
      <c r="E69" s="13">
        <v>0</v>
      </c>
      <c r="F69" s="14" t="s">
        <v>79</v>
      </c>
      <c r="G69" s="15">
        <v>0</v>
      </c>
    </row>
    <row r="70" spans="1:7" x14ac:dyDescent="0.2">
      <c r="A70" s="11" t="s">
        <v>66</v>
      </c>
      <c r="B70" s="12" t="s">
        <v>94</v>
      </c>
      <c r="C70" s="13">
        <f>'Assessed Value All Property'!E70</f>
        <v>3314174</v>
      </c>
      <c r="D70" s="14">
        <f>((C70-E70)/E70)</f>
        <v>3.5296638773853292E-2</v>
      </c>
      <c r="E70" s="13">
        <v>3201183</v>
      </c>
      <c r="F70" s="14">
        <f>((E70-G70)/G70)</f>
        <v>-0.59594832927684949</v>
      </c>
      <c r="G70" s="15">
        <v>7922707</v>
      </c>
    </row>
    <row r="71" spans="1:7" x14ac:dyDescent="0.2">
      <c r="A71" s="11" t="s">
        <v>67</v>
      </c>
      <c r="B71" s="12" t="s">
        <v>94</v>
      </c>
      <c r="C71" s="13">
        <f>'Assessed Value All Property'!E71</f>
        <v>1947076</v>
      </c>
      <c r="D71" s="14">
        <f>((C71-E71)/E71)</f>
        <v>3.2949100462182912E-2</v>
      </c>
      <c r="E71" s="13">
        <v>1884968</v>
      </c>
      <c r="F71" s="14">
        <f>((E71-G71)/G71)</f>
        <v>-0.60211236537554691</v>
      </c>
      <c r="G71" s="15">
        <v>4737438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1900296837</v>
      </c>
      <c r="D73" s="22">
        <f>((C73-E73)/E73)</f>
        <v>3.5488911785857474E-2</v>
      </c>
      <c r="E73" s="21">
        <f>SUM(E5:E71)</f>
        <v>1835168697</v>
      </c>
      <c r="F73" s="22">
        <f>((E73-G73)/G73)</f>
        <v>-4.538739161625796E-2</v>
      </c>
      <c r="G73" s="23">
        <f>SUM(G5:G71)</f>
        <v>1922422437</v>
      </c>
    </row>
    <row r="75" spans="1:7" x14ac:dyDescent="0.2">
      <c r="A75" s="24" t="s">
        <v>95</v>
      </c>
    </row>
  </sheetData>
  <phoneticPr fontId="3" type="noConversion"/>
  <conditionalFormatting sqref="A75">
    <cfRule type="expression" dxfId="1" priority="39" stopIfTrue="1">
      <formula>MOD(ROW(),5)=1</formula>
    </cfRule>
  </conditionalFormatting>
  <conditionalFormatting sqref="A4:G73">
    <cfRule type="expression" dxfId="0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AFD362D-3FC2-4F39-8AC7-80EACC48284A}"/>
</file>

<file path=customXml/itemProps2.xml><?xml version="1.0" encoding="utf-8"?>
<ds:datastoreItem xmlns:ds="http://schemas.openxmlformats.org/officeDocument/2006/customXml" ds:itemID="{AC994772-935D-440C-80A9-F70897387FD1}"/>
</file>

<file path=customXml/itemProps3.xml><?xml version="1.0" encoding="utf-8"?>
<ds:datastoreItem xmlns:ds="http://schemas.openxmlformats.org/officeDocument/2006/customXml" ds:itemID="{9DBF7629-3E4F-4D6A-9595-7CE020131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Index</vt:lpstr>
      <vt:lpstr>Assessed Value All Property</vt:lpstr>
      <vt:lpstr>All Property Assessed Value</vt:lpstr>
      <vt:lpstr>Real Property Assessed Value</vt:lpstr>
      <vt:lpstr>Personal Prop Assessed Value</vt:lpstr>
      <vt:lpstr>Centrally Prop Assessed Value </vt:lpstr>
      <vt:lpstr>'All Property Assessed Value'!Print_Area</vt:lpstr>
      <vt:lpstr>'Assessed Value All Property'!Print_Area</vt:lpstr>
      <vt:lpstr>'Centrally Prop Assessed Value '!Print_Area</vt:lpstr>
      <vt:lpstr>'Personal Prop Assessed Value'!Print_Area</vt:lpstr>
      <vt:lpstr>'Real Property Assessed Value'!Print_Area</vt:lpstr>
      <vt:lpstr>'Report Index'!Print_Area</vt:lpstr>
      <vt:lpstr>'All Property Assessed Value'!Print_Titles</vt:lpstr>
      <vt:lpstr>'Assessed Value All Property'!Print_Titles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2011-02-11T15:25:28Z</cp:lastPrinted>
  <dcterms:created xsi:type="dcterms:W3CDTF">2010-08-10T15:50:22Z</dcterms:created>
  <dcterms:modified xsi:type="dcterms:W3CDTF">2021-12-14T14:19:21Z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