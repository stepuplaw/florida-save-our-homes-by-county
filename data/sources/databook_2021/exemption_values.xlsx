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1 Data Book\Final Drafts\"/>
    </mc:Choice>
  </mc:AlternateContent>
  <xr:revisionPtr revIDLastSave="0" documentId="13_ncr:1_{36FA2E2B-6A7E-46A6-BC28-4876D09E8E75}" xr6:coauthVersionLast="46" xr6:coauthVersionMax="46" xr10:uidLastSave="{00000000-0000-0000-0000-000000000000}"/>
  <bookViews>
    <workbookView xWindow="-120" yWindow="-120" windowWidth="29040" windowHeight="15840" tabRatio="692" xr2:uid="{00000000-000D-0000-FFFF-FFFF00000000}"/>
  </bookViews>
  <sheets>
    <sheet name="Report Index" sheetId="1" r:id="rId1"/>
    <sheet name="Total Exemption Value by Type" sheetId="2" r:id="rId2"/>
    <sheet name="Real Exemption Value by Type" sheetId="6" r:id="rId3"/>
    <sheet name="Personal Property by Type" sheetId="4" r:id="rId4"/>
    <sheet name="3-Year Homestead Comparison" sheetId="3" r:id="rId5"/>
  </sheets>
  <definedNames>
    <definedName name="_xlnm._FilterDatabase" localSheetId="0" hidden="1">'Report Index'!$A$2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4" l="1"/>
  <c r="T67" i="6"/>
  <c r="U5" i="2"/>
  <c r="T5" i="2"/>
  <c r="T6" i="2"/>
  <c r="U6" i="2" s="1"/>
  <c r="T7" i="2"/>
  <c r="U7" i="2" s="1"/>
  <c r="T8" i="2"/>
  <c r="U8" i="2" s="1"/>
  <c r="T9" i="2"/>
  <c r="U9" i="2" s="1"/>
  <c r="T10" i="2"/>
  <c r="U10" i="2" s="1"/>
  <c r="T11" i="2"/>
  <c r="U11" i="2" s="1"/>
  <c r="T12" i="2"/>
  <c r="U12" i="2"/>
  <c r="T13" i="2"/>
  <c r="U13" i="2" s="1"/>
  <c r="T14" i="2"/>
  <c r="U14" i="2"/>
  <c r="T15" i="2"/>
  <c r="U15" i="2" s="1"/>
  <c r="T16" i="2"/>
  <c r="U16" i="2" s="1"/>
  <c r="T17" i="2"/>
  <c r="U17" i="2" s="1"/>
  <c r="T18" i="2"/>
  <c r="U18" i="2" s="1"/>
  <c r="T19" i="2"/>
  <c r="U19" i="2" s="1"/>
  <c r="T20" i="2"/>
  <c r="U20" i="2"/>
  <c r="T21" i="2"/>
  <c r="U21" i="2" s="1"/>
  <c r="T22" i="2"/>
  <c r="U22" i="2"/>
  <c r="T23" i="2"/>
  <c r="U23" i="2" s="1"/>
  <c r="T24" i="2"/>
  <c r="U24" i="2" s="1"/>
  <c r="T25" i="2"/>
  <c r="U25" i="2" s="1"/>
  <c r="T26" i="2"/>
  <c r="U26" i="2" s="1"/>
  <c r="T27" i="2"/>
  <c r="U27" i="2" s="1"/>
  <c r="T28" i="2"/>
  <c r="U28" i="2"/>
  <c r="T29" i="2"/>
  <c r="U29" i="2" s="1"/>
  <c r="T30" i="2"/>
  <c r="U30" i="2" s="1"/>
  <c r="T31" i="2"/>
  <c r="U31" i="2" s="1"/>
  <c r="T32" i="2"/>
  <c r="U32" i="2" s="1"/>
  <c r="T33" i="2"/>
  <c r="U33" i="2" s="1"/>
  <c r="T34" i="2"/>
  <c r="U34" i="2" s="1"/>
  <c r="T35" i="2"/>
  <c r="U35" i="2" s="1"/>
  <c r="T36" i="2"/>
  <c r="U36" i="2"/>
  <c r="T37" i="2"/>
  <c r="U37" i="2" s="1"/>
  <c r="T38" i="2"/>
  <c r="U38" i="2"/>
  <c r="T39" i="2"/>
  <c r="U39" i="2" s="1"/>
  <c r="T40" i="2"/>
  <c r="U40" i="2" s="1"/>
  <c r="T41" i="2"/>
  <c r="U41" i="2" s="1"/>
  <c r="T42" i="2"/>
  <c r="U42" i="2" s="1"/>
  <c r="T43" i="2"/>
  <c r="U43" i="2" s="1"/>
  <c r="T44" i="2"/>
  <c r="U44" i="2"/>
  <c r="T45" i="2"/>
  <c r="U45" i="2" s="1"/>
  <c r="T46" i="2"/>
  <c r="U46" i="2" s="1"/>
  <c r="T47" i="2"/>
  <c r="U47" i="2" s="1"/>
  <c r="T48" i="2"/>
  <c r="U48" i="2" s="1"/>
  <c r="T49" i="2"/>
  <c r="U49" i="2" s="1"/>
  <c r="T50" i="2"/>
  <c r="U50" i="2" s="1"/>
  <c r="T51" i="2"/>
  <c r="U51" i="2" s="1"/>
  <c r="T52" i="2"/>
  <c r="U52" i="2"/>
  <c r="T53" i="2"/>
  <c r="U53" i="2" s="1"/>
  <c r="T54" i="2"/>
  <c r="U54" i="2" s="1"/>
  <c r="T55" i="2"/>
  <c r="U55" i="2" s="1"/>
  <c r="T56" i="2"/>
  <c r="U56" i="2" s="1"/>
  <c r="T57" i="2"/>
  <c r="U57" i="2" s="1"/>
  <c r="T58" i="2"/>
  <c r="U58" i="2" s="1"/>
  <c r="T59" i="2"/>
  <c r="U59" i="2" s="1"/>
  <c r="T60" i="2"/>
  <c r="U60" i="2"/>
  <c r="T61" i="2"/>
  <c r="U61" i="2" s="1"/>
  <c r="T62" i="2"/>
  <c r="U62" i="2"/>
  <c r="T63" i="2"/>
  <c r="U63" i="2" s="1"/>
  <c r="T64" i="2"/>
  <c r="U64" i="2" s="1"/>
  <c r="T65" i="2"/>
  <c r="U65" i="2" s="1"/>
  <c r="T66" i="2"/>
  <c r="U66" i="2" s="1"/>
  <c r="T67" i="2"/>
  <c r="U67" i="2" s="1"/>
  <c r="T68" i="2"/>
  <c r="U68" i="2"/>
  <c r="T69" i="2"/>
  <c r="U69" i="2" s="1"/>
  <c r="T70" i="2"/>
  <c r="U70" i="2"/>
  <c r="T71" i="2"/>
  <c r="U71" i="2" s="1"/>
  <c r="E73" i="3"/>
  <c r="F73" i="3" s="1"/>
  <c r="I73" i="4"/>
  <c r="K6" i="4"/>
  <c r="K7" i="4"/>
  <c r="K8" i="4"/>
  <c r="K9" i="4"/>
  <c r="K10" i="4"/>
  <c r="K11" i="4"/>
  <c r="L11" i="4" s="1"/>
  <c r="K12" i="4"/>
  <c r="K13" i="4"/>
  <c r="L13" i="4" s="1"/>
  <c r="K14" i="4"/>
  <c r="K15" i="4"/>
  <c r="L15" i="4" s="1"/>
  <c r="K16" i="4"/>
  <c r="K17" i="4"/>
  <c r="L17" i="4" s="1"/>
  <c r="K18" i="4"/>
  <c r="K19" i="4"/>
  <c r="L19" i="4" s="1"/>
  <c r="K20" i="4"/>
  <c r="K21" i="4"/>
  <c r="L21" i="4" s="1"/>
  <c r="K22" i="4"/>
  <c r="K23" i="4"/>
  <c r="L23" i="4" s="1"/>
  <c r="K24" i="4"/>
  <c r="K25" i="4"/>
  <c r="L25" i="4" s="1"/>
  <c r="K26" i="4"/>
  <c r="K27" i="4"/>
  <c r="L27" i="4" s="1"/>
  <c r="K28" i="4"/>
  <c r="K29" i="4"/>
  <c r="L29" i="4" s="1"/>
  <c r="K30" i="4"/>
  <c r="K31" i="4"/>
  <c r="K32" i="4"/>
  <c r="L32" i="4" s="1"/>
  <c r="K33" i="4"/>
  <c r="L33" i="4" s="1"/>
  <c r="K34" i="4"/>
  <c r="K35" i="4"/>
  <c r="K36" i="4"/>
  <c r="L36" i="4" s="1"/>
  <c r="K37" i="4"/>
  <c r="L37" i="4" s="1"/>
  <c r="K38" i="4"/>
  <c r="K39" i="4"/>
  <c r="K40" i="4"/>
  <c r="K41" i="4"/>
  <c r="L41" i="4" s="1"/>
  <c r="K42" i="4"/>
  <c r="K43" i="4"/>
  <c r="L43" i="4" s="1"/>
  <c r="K44" i="4"/>
  <c r="K45" i="4"/>
  <c r="L45" i="4" s="1"/>
  <c r="K46" i="4"/>
  <c r="K47" i="4"/>
  <c r="L47" i="4" s="1"/>
  <c r="K48" i="4"/>
  <c r="L48" i="4" s="1"/>
  <c r="K49" i="4"/>
  <c r="L49" i="4" s="1"/>
  <c r="K50" i="4"/>
  <c r="K51" i="4"/>
  <c r="L51" i="4" s="1"/>
  <c r="K52" i="4"/>
  <c r="L52" i="4" s="1"/>
  <c r="K53" i="4"/>
  <c r="L53" i="4" s="1"/>
  <c r="K54" i="4"/>
  <c r="K55" i="4"/>
  <c r="L55" i="4" s="1"/>
  <c r="K56" i="4"/>
  <c r="L56" i="4" s="1"/>
  <c r="K57" i="4"/>
  <c r="L57" i="4" s="1"/>
  <c r="K58" i="4"/>
  <c r="K59" i="4"/>
  <c r="L59" i="4" s="1"/>
  <c r="K60" i="4"/>
  <c r="K61" i="4"/>
  <c r="L61" i="4" s="1"/>
  <c r="K62" i="4"/>
  <c r="K63" i="4"/>
  <c r="L63" i="4" s="1"/>
  <c r="K64" i="4"/>
  <c r="K65" i="4"/>
  <c r="K66" i="4"/>
  <c r="K67" i="4"/>
  <c r="L67" i="4" s="1"/>
  <c r="K68" i="4"/>
  <c r="L68" i="4" s="1"/>
  <c r="K69" i="4"/>
  <c r="L69" i="4" s="1"/>
  <c r="K70" i="4"/>
  <c r="K71" i="4"/>
  <c r="L71" i="4" s="1"/>
  <c r="S6" i="6"/>
  <c r="S7" i="6"/>
  <c r="T7" i="6" s="1"/>
  <c r="S8" i="6"/>
  <c r="S9" i="6"/>
  <c r="S10" i="6"/>
  <c r="S11" i="6"/>
  <c r="T11" i="6" s="1"/>
  <c r="S12" i="6"/>
  <c r="S13" i="6"/>
  <c r="S14" i="6"/>
  <c r="S15" i="6"/>
  <c r="S16" i="6"/>
  <c r="T16" i="6" s="1"/>
  <c r="S17" i="6"/>
  <c r="T17" i="6"/>
  <c r="S18" i="6"/>
  <c r="T18" i="6" s="1"/>
  <c r="S19" i="6"/>
  <c r="T19" i="6" s="1"/>
  <c r="S20" i="6"/>
  <c r="S21" i="6"/>
  <c r="T21" i="6"/>
  <c r="S22" i="6"/>
  <c r="S23" i="6"/>
  <c r="S24" i="6"/>
  <c r="T24" i="6" s="1"/>
  <c r="S25" i="6"/>
  <c r="T25" i="6" s="1"/>
  <c r="S26" i="6"/>
  <c r="S27" i="6"/>
  <c r="S28" i="6"/>
  <c r="T28" i="6" s="1"/>
  <c r="S29" i="6"/>
  <c r="T29" i="6" s="1"/>
  <c r="S30" i="6"/>
  <c r="S31" i="6"/>
  <c r="T31" i="6" s="1"/>
  <c r="S32" i="6"/>
  <c r="S33" i="6"/>
  <c r="T33" i="6" s="1"/>
  <c r="S34" i="6"/>
  <c r="S35" i="6"/>
  <c r="S36" i="6"/>
  <c r="S37" i="6"/>
  <c r="T37" i="6" s="1"/>
  <c r="S38" i="6"/>
  <c r="T38" i="6" s="1"/>
  <c r="S39" i="6"/>
  <c r="S40" i="6"/>
  <c r="T40" i="6" s="1"/>
  <c r="S41" i="6"/>
  <c r="T41" i="6" s="1"/>
  <c r="S42" i="6"/>
  <c r="S43" i="6"/>
  <c r="T43" i="6" s="1"/>
  <c r="S44" i="6"/>
  <c r="T44" i="6" s="1"/>
  <c r="S45" i="6"/>
  <c r="T45" i="6" s="1"/>
  <c r="S46" i="6"/>
  <c r="S47" i="6"/>
  <c r="T47" i="6" s="1"/>
  <c r="S48" i="6"/>
  <c r="T48" i="6" s="1"/>
  <c r="S49" i="6"/>
  <c r="T49" i="6" s="1"/>
  <c r="S50" i="6"/>
  <c r="T50" i="6" s="1"/>
  <c r="S51" i="6"/>
  <c r="T51" i="6" s="1"/>
  <c r="S52" i="6"/>
  <c r="T52" i="6" s="1"/>
  <c r="S53" i="6"/>
  <c r="T53" i="6" s="1"/>
  <c r="S54" i="6"/>
  <c r="S55" i="6"/>
  <c r="T55" i="6"/>
  <c r="S56" i="6"/>
  <c r="S57" i="6"/>
  <c r="S58" i="6"/>
  <c r="S59" i="6"/>
  <c r="T59" i="6" s="1"/>
  <c r="S60" i="6"/>
  <c r="S61" i="6"/>
  <c r="T61" i="6" s="1"/>
  <c r="S62" i="6"/>
  <c r="T62" i="6" s="1"/>
  <c r="S63" i="6"/>
  <c r="T63" i="6" s="1"/>
  <c r="S64" i="6"/>
  <c r="S65" i="6"/>
  <c r="T65" i="6"/>
  <c r="S66" i="6"/>
  <c r="T66" i="6" s="1"/>
  <c r="S67" i="6"/>
  <c r="S68" i="6"/>
  <c r="S69" i="6"/>
  <c r="T69" i="6" s="1"/>
  <c r="S70" i="6"/>
  <c r="T70" i="6" s="1"/>
  <c r="S71" i="6"/>
  <c r="T71" i="6" s="1"/>
  <c r="S5" i="6"/>
  <c r="T5" i="6" s="1"/>
  <c r="Q73" i="6"/>
  <c r="S73" i="2"/>
  <c r="R73" i="2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5" i="3"/>
  <c r="L70" i="4"/>
  <c r="L65" i="4"/>
  <c r="L62" i="4"/>
  <c r="L60" i="4"/>
  <c r="L58" i="4"/>
  <c r="L54" i="4"/>
  <c r="L50" i="4"/>
  <c r="L44" i="4"/>
  <c r="L42" i="4"/>
  <c r="L39" i="4"/>
  <c r="L38" i="4"/>
  <c r="L35" i="4"/>
  <c r="L34" i="4"/>
  <c r="L31" i="4"/>
  <c r="L30" i="4"/>
  <c r="L28" i="4"/>
  <c r="L26" i="4"/>
  <c r="L22" i="4"/>
  <c r="L20" i="4"/>
  <c r="L16" i="4"/>
  <c r="L14" i="4"/>
  <c r="L12" i="4"/>
  <c r="L10" i="4"/>
  <c r="L9" i="4"/>
  <c r="L8" i="4"/>
  <c r="L6" i="4"/>
  <c r="L5" i="4"/>
  <c r="T68" i="6"/>
  <c r="T64" i="6"/>
  <c r="T60" i="6"/>
  <c r="T58" i="6"/>
  <c r="T56" i="6"/>
  <c r="T54" i="6"/>
  <c r="T42" i="6"/>
  <c r="T39" i="6"/>
  <c r="T34" i="6"/>
  <c r="T32" i="6"/>
  <c r="T27" i="6"/>
  <c r="T23" i="6"/>
  <c r="T22" i="6"/>
  <c r="T20" i="6"/>
  <c r="T14" i="6"/>
  <c r="T13" i="6"/>
  <c r="T12" i="6"/>
  <c r="T10" i="6"/>
  <c r="T9" i="6"/>
  <c r="T8" i="6"/>
  <c r="T6" i="6"/>
  <c r="T46" i="6"/>
  <c r="T57" i="6"/>
  <c r="T36" i="6"/>
  <c r="T35" i="6"/>
  <c r="T30" i="6"/>
  <c r="T26" i="6"/>
  <c r="T15" i="6"/>
  <c r="L18" i="4"/>
  <c r="L40" i="4"/>
  <c r="L46" i="4"/>
  <c r="L64" i="4"/>
  <c r="L66" i="4"/>
  <c r="J73" i="4"/>
  <c r="Q73" i="2"/>
  <c r="P73" i="6"/>
  <c r="M5" i="3"/>
  <c r="O5" i="3"/>
  <c r="Q5" i="3"/>
  <c r="M6" i="3"/>
  <c r="N6" i="3" s="1"/>
  <c r="O6" i="3"/>
  <c r="Q6" i="3"/>
  <c r="M7" i="3"/>
  <c r="O7" i="3"/>
  <c r="P7" i="3" s="1"/>
  <c r="Q7" i="3"/>
  <c r="M8" i="3"/>
  <c r="O8" i="3"/>
  <c r="Q8" i="3"/>
  <c r="M9" i="3"/>
  <c r="O9" i="3"/>
  <c r="Q9" i="3"/>
  <c r="M10" i="3"/>
  <c r="N10" i="3" s="1"/>
  <c r="O10" i="3"/>
  <c r="P10" i="3" s="1"/>
  <c r="Q10" i="3"/>
  <c r="M11" i="3"/>
  <c r="O11" i="3"/>
  <c r="P11" i="3" s="1"/>
  <c r="Q11" i="3"/>
  <c r="M12" i="3"/>
  <c r="O12" i="3"/>
  <c r="Q12" i="3"/>
  <c r="M13" i="3"/>
  <c r="N13" i="3" s="1"/>
  <c r="O13" i="3"/>
  <c r="Q13" i="3"/>
  <c r="M14" i="3"/>
  <c r="O14" i="3"/>
  <c r="P14" i="3" s="1"/>
  <c r="Q14" i="3"/>
  <c r="M15" i="3"/>
  <c r="O15" i="3"/>
  <c r="P15" i="3" s="1"/>
  <c r="Q15" i="3"/>
  <c r="M16" i="3"/>
  <c r="O16" i="3"/>
  <c r="Q16" i="3"/>
  <c r="M17" i="3"/>
  <c r="O17" i="3"/>
  <c r="Q17" i="3"/>
  <c r="M18" i="3"/>
  <c r="O18" i="3"/>
  <c r="Q18" i="3"/>
  <c r="M19" i="3"/>
  <c r="O19" i="3"/>
  <c r="P19" i="3" s="1"/>
  <c r="Q19" i="3"/>
  <c r="M20" i="3"/>
  <c r="O20" i="3"/>
  <c r="Q20" i="3"/>
  <c r="M21" i="3"/>
  <c r="N21" i="3" s="1"/>
  <c r="O21" i="3"/>
  <c r="Q21" i="3"/>
  <c r="P21" i="3" s="1"/>
  <c r="M22" i="3"/>
  <c r="O22" i="3"/>
  <c r="Q22" i="3"/>
  <c r="M23" i="3"/>
  <c r="O23" i="3"/>
  <c r="P23" i="3" s="1"/>
  <c r="Q23" i="3"/>
  <c r="M24" i="3"/>
  <c r="O24" i="3"/>
  <c r="Q24" i="3"/>
  <c r="M25" i="3"/>
  <c r="O25" i="3"/>
  <c r="Q25" i="3"/>
  <c r="M26" i="3"/>
  <c r="O26" i="3"/>
  <c r="N26" i="3" s="1"/>
  <c r="Q26" i="3"/>
  <c r="M27" i="3"/>
  <c r="O27" i="3"/>
  <c r="Q27" i="3"/>
  <c r="M28" i="3"/>
  <c r="O28" i="3"/>
  <c r="N28" i="3" s="1"/>
  <c r="Q28" i="3"/>
  <c r="M29" i="3"/>
  <c r="N29" i="3" s="1"/>
  <c r="O29" i="3"/>
  <c r="Q29" i="3"/>
  <c r="M30" i="3"/>
  <c r="O30" i="3"/>
  <c r="Q30" i="3"/>
  <c r="M31" i="3"/>
  <c r="O31" i="3"/>
  <c r="Q31" i="3"/>
  <c r="M32" i="3"/>
  <c r="O32" i="3"/>
  <c r="Q32" i="3"/>
  <c r="M33" i="3"/>
  <c r="N33" i="3" s="1"/>
  <c r="O33" i="3"/>
  <c r="Q33" i="3"/>
  <c r="M34" i="3"/>
  <c r="O34" i="3"/>
  <c r="Q34" i="3"/>
  <c r="M35" i="3"/>
  <c r="O35" i="3"/>
  <c r="Q35" i="3"/>
  <c r="M36" i="3"/>
  <c r="O36" i="3"/>
  <c r="N36" i="3" s="1"/>
  <c r="Q36" i="3"/>
  <c r="M37" i="3"/>
  <c r="O37" i="3"/>
  <c r="N37" i="3"/>
  <c r="Q37" i="3"/>
  <c r="P37" i="3" s="1"/>
  <c r="M38" i="3"/>
  <c r="N38" i="3" s="1"/>
  <c r="O38" i="3"/>
  <c r="Q38" i="3"/>
  <c r="P38" i="3" s="1"/>
  <c r="M39" i="3"/>
  <c r="O39" i="3"/>
  <c r="Q39" i="3"/>
  <c r="P39" i="3" s="1"/>
  <c r="M40" i="3"/>
  <c r="O40" i="3"/>
  <c r="Q40" i="3"/>
  <c r="M41" i="3"/>
  <c r="O41" i="3"/>
  <c r="Q41" i="3"/>
  <c r="M42" i="3"/>
  <c r="O42" i="3"/>
  <c r="Q42" i="3"/>
  <c r="M43" i="3"/>
  <c r="N43" i="3" s="1"/>
  <c r="O43" i="3"/>
  <c r="Q43" i="3"/>
  <c r="P43" i="3" s="1"/>
  <c r="M44" i="3"/>
  <c r="O44" i="3"/>
  <c r="P44" i="3" s="1"/>
  <c r="Q44" i="3"/>
  <c r="M45" i="3"/>
  <c r="O45" i="3"/>
  <c r="Q45" i="3"/>
  <c r="M46" i="3"/>
  <c r="O46" i="3"/>
  <c r="Q46" i="3"/>
  <c r="M47" i="3"/>
  <c r="O47" i="3"/>
  <c r="N47" i="3" s="1"/>
  <c r="Q47" i="3"/>
  <c r="M48" i="3"/>
  <c r="O48" i="3"/>
  <c r="Q48" i="3"/>
  <c r="M49" i="3"/>
  <c r="O49" i="3"/>
  <c r="Q49" i="3"/>
  <c r="M50" i="3"/>
  <c r="O50" i="3"/>
  <c r="Q50" i="3"/>
  <c r="P50" i="3" s="1"/>
  <c r="M51" i="3"/>
  <c r="O51" i="3"/>
  <c r="Q51" i="3"/>
  <c r="M52" i="3"/>
  <c r="O52" i="3"/>
  <c r="Q52" i="3"/>
  <c r="M53" i="3"/>
  <c r="O53" i="3"/>
  <c r="Q53" i="3"/>
  <c r="M54" i="3"/>
  <c r="O54" i="3"/>
  <c r="Q54" i="3"/>
  <c r="P54" i="3" s="1"/>
  <c r="M55" i="3"/>
  <c r="O55" i="3"/>
  <c r="Q55" i="3"/>
  <c r="M56" i="3"/>
  <c r="O56" i="3"/>
  <c r="P56" i="3" s="1"/>
  <c r="Q56" i="3"/>
  <c r="M57" i="3"/>
  <c r="O57" i="3"/>
  <c r="Q57" i="3"/>
  <c r="M58" i="3"/>
  <c r="O58" i="3"/>
  <c r="Q58" i="3"/>
  <c r="M59" i="3"/>
  <c r="O59" i="3"/>
  <c r="Q59" i="3"/>
  <c r="M60" i="3"/>
  <c r="N60" i="3" s="1"/>
  <c r="O60" i="3"/>
  <c r="Q60" i="3"/>
  <c r="M61" i="3"/>
  <c r="O61" i="3"/>
  <c r="Q61" i="3"/>
  <c r="M62" i="3"/>
  <c r="O62" i="3"/>
  <c r="Q62" i="3"/>
  <c r="M63" i="3"/>
  <c r="O63" i="3"/>
  <c r="N63" i="3" s="1"/>
  <c r="Q63" i="3"/>
  <c r="M64" i="3"/>
  <c r="O64" i="3"/>
  <c r="Q64" i="3"/>
  <c r="M65" i="3"/>
  <c r="O65" i="3"/>
  <c r="Q65" i="3"/>
  <c r="P65" i="3" s="1"/>
  <c r="M66" i="3"/>
  <c r="O66" i="3"/>
  <c r="Q66" i="3"/>
  <c r="M67" i="3"/>
  <c r="O67" i="3"/>
  <c r="Q67" i="3"/>
  <c r="M68" i="3"/>
  <c r="O68" i="3"/>
  <c r="Q68" i="3"/>
  <c r="M69" i="3"/>
  <c r="O69" i="3"/>
  <c r="Q69" i="3"/>
  <c r="M70" i="3"/>
  <c r="O70" i="3"/>
  <c r="Q70" i="3"/>
  <c r="M71" i="3"/>
  <c r="O71" i="3"/>
  <c r="N71" i="3" s="1"/>
  <c r="Q71" i="3"/>
  <c r="C73" i="3"/>
  <c r="G73" i="3"/>
  <c r="H73" i="3"/>
  <c r="I73" i="3" s="1"/>
  <c r="J73" i="3"/>
  <c r="L73" i="3"/>
  <c r="B73" i="4"/>
  <c r="C73" i="4"/>
  <c r="D73" i="4"/>
  <c r="E73" i="4"/>
  <c r="F73" i="4"/>
  <c r="G73" i="4"/>
  <c r="H73" i="4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R73" i="6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L24" i="4"/>
  <c r="N40" i="3"/>
  <c r="N50" i="3"/>
  <c r="N39" i="3"/>
  <c r="N56" i="3"/>
  <c r="N48" i="3"/>
  <c r="P22" i="3"/>
  <c r="P35" i="3"/>
  <c r="P9" i="3"/>
  <c r="P67" i="3"/>
  <c r="P30" i="3"/>
  <c r="P17" i="3"/>
  <c r="P34" i="3"/>
  <c r="P52" i="3"/>
  <c r="N14" i="3"/>
  <c r="N12" i="3"/>
  <c r="P25" i="3"/>
  <c r="N22" i="3"/>
  <c r="N52" i="3"/>
  <c r="N32" i="3"/>
  <c r="N65" i="3"/>
  <c r="N64" i="3"/>
  <c r="N17" i="3"/>
  <c r="P63" i="3"/>
  <c r="P33" i="3"/>
  <c r="P26" i="3"/>
  <c r="P18" i="3"/>
  <c r="P69" i="3" l="1"/>
  <c r="P61" i="3"/>
  <c r="P57" i="3"/>
  <c r="P53" i="3"/>
  <c r="P49" i="3"/>
  <c r="P45" i="3"/>
  <c r="P41" i="3"/>
  <c r="K73" i="3"/>
  <c r="P6" i="3"/>
  <c r="P70" i="3"/>
  <c r="P66" i="3"/>
  <c r="P62" i="3"/>
  <c r="P58" i="3"/>
  <c r="P46" i="3"/>
  <c r="P42" i="3"/>
  <c r="P32" i="3"/>
  <c r="P24" i="3"/>
  <c r="P20" i="3"/>
  <c r="P16" i="3"/>
  <c r="P12" i="3"/>
  <c r="P8" i="3"/>
  <c r="P59" i="3"/>
  <c r="P55" i="3"/>
  <c r="P29" i="3"/>
  <c r="P13" i="3"/>
  <c r="Q73" i="3"/>
  <c r="N69" i="3"/>
  <c r="N57" i="3"/>
  <c r="N53" i="3"/>
  <c r="N41" i="3"/>
  <c r="N35" i="3"/>
  <c r="N27" i="3"/>
  <c r="N23" i="3"/>
  <c r="N19" i="3"/>
  <c r="N15" i="3"/>
  <c r="N11" i="3"/>
  <c r="N70" i="3"/>
  <c r="P71" i="3"/>
  <c r="N66" i="3"/>
  <c r="P60" i="3"/>
  <c r="N54" i="3"/>
  <c r="P48" i="3"/>
  <c r="N46" i="3"/>
  <c r="N67" i="3"/>
  <c r="P28" i="3"/>
  <c r="N59" i="3"/>
  <c r="N55" i="3"/>
  <c r="N51" i="3"/>
  <c r="P40" i="3"/>
  <c r="N7" i="3"/>
  <c r="N16" i="3"/>
  <c r="P27" i="3"/>
  <c r="N9" i="3"/>
  <c r="N8" i="3"/>
  <c r="N42" i="3"/>
  <c r="D73" i="3"/>
  <c r="P64" i="3"/>
  <c r="P51" i="3"/>
  <c r="N49" i="3"/>
  <c r="N45" i="3"/>
  <c r="N44" i="3"/>
  <c r="P36" i="3"/>
  <c r="N34" i="3"/>
  <c r="N30" i="3"/>
  <c r="N18" i="3"/>
  <c r="N31" i="3"/>
  <c r="N25" i="3"/>
  <c r="N68" i="3"/>
  <c r="N5" i="3"/>
  <c r="N20" i="3"/>
  <c r="K73" i="4"/>
  <c r="S73" i="6"/>
  <c r="T73" i="2"/>
  <c r="T73" i="6"/>
  <c r="U73" i="2"/>
  <c r="O73" i="3"/>
  <c r="P73" i="3" s="1"/>
  <c r="N58" i="3"/>
  <c r="N61" i="3"/>
  <c r="N24" i="3"/>
  <c r="P68" i="3"/>
  <c r="P5" i="3"/>
  <c r="P31" i="3"/>
  <c r="N62" i="3"/>
  <c r="P47" i="3"/>
  <c r="M73" i="3"/>
  <c r="L7" i="4"/>
  <c r="L73" i="4" s="1"/>
  <c r="N73" i="3" l="1"/>
</calcChain>
</file>

<file path=xl/sharedStrings.xml><?xml version="1.0" encoding="utf-8"?>
<sst xmlns="http://schemas.openxmlformats.org/spreadsheetml/2006/main" count="881" uniqueCount="123">
  <si>
    <t>Exemption Reports</t>
  </si>
  <si>
    <t>County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</si>
  <si>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</si>
  <si>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</si>
  <si>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</si>
  <si>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</si>
  <si>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</si>
  <si>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</si>
  <si>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</si>
  <si>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</si>
  <si>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</si>
  <si>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</si>
  <si>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</si>
  <si>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</si>
  <si>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</si>
  <si>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</si>
  <si>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</si>
  <si>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</si>
  <si>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</si>
  <si>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</si>
  <si>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</si>
  <si>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</si>
  <si>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</si>
  <si>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</si>
  <si>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</si>
  <si>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</si>
  <si>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</si>
  <si>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</si>
  <si>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</si>
  <si>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</si>
  <si>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</si>
  <si>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</si>
  <si>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</si>
  <si>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</si>
  <si>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</si>
  <si>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</si>
  <si>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</si>
  <si>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</si>
  <si>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</si>
  <si>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</si>
  <si>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</si>
  <si>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</si>
  <si>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</si>
  <si>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</si>
  <si>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</si>
  <si>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</si>
  <si>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</si>
  <si>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</si>
  <si>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</si>
  <si>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</si>
  <si>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</si>
  <si>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</si>
  <si>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</si>
  <si>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</si>
  <si>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</si>
  <si>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</si>
  <si>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</si>
  <si>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</si>
  <si>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</si>
  <si>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</si>
  <si>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</si>
  <si>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</si>
  <si>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</si>
  <si>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</si>
  <si>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</si>
  <si>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</si>
  <si>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</si>
  <si>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</si>
  <si>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Statewide</t>
  </si>
  <si>
    <t>Status</t>
  </si>
  <si>
    <t>Institutional Exemptions</t>
  </si>
  <si>
    <t>Conservation Land Exemption</t>
  </si>
  <si>
    <t>Homestead Assessment Reduction for Parents or Grandparents</t>
  </si>
  <si>
    <t>Disabled Veterans' Homestead Discount</t>
  </si>
  <si>
    <t>Total Assessed Value</t>
  </si>
  <si>
    <t>Total Exempt Value</t>
  </si>
  <si>
    <t>Total Taxable Value</t>
  </si>
  <si>
    <t>Homestead Statute</t>
  </si>
  <si>
    <t>Additional Homestead Statute</t>
  </si>
  <si>
    <t>Total Homestead Exemption</t>
  </si>
  <si>
    <t xml:space="preserve">Contact Information: </t>
  </si>
  <si>
    <t xml:space="preserve">Property Tax Oversight, Research &amp; Analysis  </t>
  </si>
  <si>
    <t>$25,000 Tangible Personal Property Exemption</t>
  </si>
  <si>
    <t>Governmental Exemptions</t>
  </si>
  <si>
    <t>Widows Exemption</t>
  </si>
  <si>
    <t>Disability Exemptions</t>
  </si>
  <si>
    <t>Historic Property Exemptions</t>
  </si>
  <si>
    <t>Economic Development &amp; Child Care Exemptions</t>
  </si>
  <si>
    <t xml:space="preserve">$25,000 Homestead Exemption </t>
  </si>
  <si>
    <t xml:space="preserve">Additional $25,000 Homestead Exemption </t>
  </si>
  <si>
    <t xml:space="preserve">Additional Homestead Exemption, Age 65 &amp; Older </t>
  </si>
  <si>
    <t xml:space="preserve">Governmental Exemption </t>
  </si>
  <si>
    <t xml:space="preserve">Institutional Exemptions </t>
  </si>
  <si>
    <t xml:space="preserve">Widows / Widowers Exemption </t>
  </si>
  <si>
    <t xml:space="preserve">Disability / Blind Exemptions </t>
  </si>
  <si>
    <t xml:space="preserve">Historic Property Exemption </t>
  </si>
  <si>
    <t xml:space="preserve">Econ. Development &amp; Child Care Exemptions (blank) </t>
  </si>
  <si>
    <t>Deployed Service Member's Homestead Exemption</t>
  </si>
  <si>
    <t>Exemption Value by Type (Category)</t>
  </si>
  <si>
    <t>Personal Property Exemption Value by Type (Category)</t>
  </si>
  <si>
    <t>Real Exemption Value by Property Category</t>
  </si>
  <si>
    <t>Personal Property Exemption Value by Property Category</t>
  </si>
  <si>
    <t>Total Exemption Value by Property Category</t>
  </si>
  <si>
    <t>3- Year Homestead Comparison</t>
  </si>
  <si>
    <t>Real Property Exemption Value by Type (Category)</t>
  </si>
  <si>
    <t>Senior Age 65 &amp; 25 Year Resident Homestead Exemption</t>
  </si>
  <si>
    <t>Miami-Dade</t>
  </si>
  <si>
    <t>Econ. Development &amp; Child Care Exemptions</t>
  </si>
  <si>
    <t>Tangible Personal Property $25,000 Exemption*</t>
  </si>
  <si>
    <t>*Includes Centrally Assessed exempt values.</t>
  </si>
  <si>
    <r>
      <t>Lands Available for Taxes</t>
    </r>
    <r>
      <rPr>
        <b/>
        <sz val="10"/>
        <color indexed="10"/>
        <rFont val="Arial"/>
        <family val="2"/>
      </rPr>
      <t xml:space="preserve"> </t>
    </r>
  </si>
  <si>
    <t>PTOResearchAnalysis@floridarevenue.com</t>
  </si>
  <si>
    <t>2019 Value</t>
  </si>
  <si>
    <t>2020 Value</t>
  </si>
  <si>
    <t>Percent Increase 2019-2020</t>
  </si>
  <si>
    <t xml:space="preserve"> </t>
  </si>
  <si>
    <t>Renewable Energy Exemption</t>
  </si>
  <si>
    <t>Homestead Comparison 2019-2021</t>
  </si>
  <si>
    <t>2021 Value</t>
  </si>
  <si>
    <t>Percent Increase 2020-2021</t>
  </si>
  <si>
    <t>R-NVAB</t>
  </si>
  <si>
    <t>R-Final</t>
  </si>
  <si>
    <t>Data Extract: November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</si>
</sst>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47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u/>
      <sz val="11"/>
      <color indexed="12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indexed="8"/>
      <name val="Calibri"/>
      <family val="2"/>
    </font>
    <font>
      <sz val="12"/>
      <color indexed="9"/>
      <name val="Calibri"/>
      <family val="2"/>
    </font>
    <font>
      <sz val="12"/>
      <color indexed="20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i/>
      <sz val="12"/>
      <color indexed="23"/>
      <name val="Calibri"/>
      <family val="2"/>
    </font>
    <font>
      <sz val="12"/>
      <color indexed="17"/>
      <name val="Calibri"/>
      <family val="2"/>
    </font>
    <font>
      <u/>
      <sz val="10"/>
      <color indexed="12"/>
      <name val="Arial"/>
      <family val="2"/>
    </font>
    <font>
      <sz val="12"/>
      <color indexed="62"/>
      <name val="Calibri"/>
      <family val="2"/>
    </font>
    <font>
      <sz val="12"/>
      <color indexed="52"/>
      <name val="Calibri"/>
      <family val="2"/>
    </font>
    <font>
      <sz val="12"/>
      <color indexed="60"/>
      <name val="Calibri"/>
      <family val="2"/>
    </font>
    <font>
      <b/>
      <sz val="12"/>
      <color indexed="63"/>
      <name val="Calibri"/>
      <family val="2"/>
    </font>
    <font>
      <b/>
      <sz val="12"/>
      <color indexed="8"/>
      <name val="Calibri"/>
      <family val="2"/>
    </font>
    <font>
      <sz val="12"/>
      <color indexed="10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1" fillId="2" borderId="0" applyNumberFormat="0" applyBorder="0" applyAlignment="0" applyProtection="0"/>
    <xf numFmtId="0" fontId="23" fillId="2" borderId="0" applyNumberFormat="0" applyBorder="0" applyAlignment="0" applyProtection="0"/>
    <xf numFmtId="0" fontId="1" fillId="3" borderId="0" applyNumberFormat="0" applyBorder="0" applyAlignment="0" applyProtection="0"/>
    <xf numFmtId="0" fontId="23" fillId="3" borderId="0" applyNumberFormat="0" applyBorder="0" applyAlignment="0" applyProtection="0"/>
    <xf numFmtId="0" fontId="1" fillId="4" borderId="0" applyNumberFormat="0" applyBorder="0" applyAlignment="0" applyProtection="0"/>
    <xf numFmtId="0" fontId="23" fillId="4" borderId="0" applyNumberFormat="0" applyBorder="0" applyAlignment="0" applyProtection="0"/>
    <xf numFmtId="0" fontId="1" fillId="5" borderId="0" applyNumberFormat="0" applyBorder="0" applyAlignment="0" applyProtection="0"/>
    <xf numFmtId="0" fontId="23" fillId="5" borderId="0" applyNumberFormat="0" applyBorder="0" applyAlignment="0" applyProtection="0"/>
    <xf numFmtId="0" fontId="1" fillId="6" borderId="0" applyNumberFormat="0" applyBorder="0" applyAlignment="0" applyProtection="0"/>
    <xf numFmtId="0" fontId="23" fillId="6" borderId="0" applyNumberFormat="0" applyBorder="0" applyAlignment="0" applyProtection="0"/>
    <xf numFmtId="0" fontId="1" fillId="7" borderId="0" applyNumberFormat="0" applyBorder="0" applyAlignment="0" applyProtection="0"/>
    <xf numFmtId="0" fontId="23" fillId="7" borderId="0" applyNumberFormat="0" applyBorder="0" applyAlignment="0" applyProtection="0"/>
    <xf numFmtId="0" fontId="1" fillId="8" borderId="0" applyNumberFormat="0" applyBorder="0" applyAlignment="0" applyProtection="0"/>
    <xf numFmtId="0" fontId="23" fillId="8" borderId="0" applyNumberFormat="0" applyBorder="0" applyAlignment="0" applyProtection="0"/>
    <xf numFmtId="0" fontId="1" fillId="9" borderId="0" applyNumberFormat="0" applyBorder="0" applyAlignment="0" applyProtection="0"/>
    <xf numFmtId="0" fontId="23" fillId="9" borderId="0" applyNumberFormat="0" applyBorder="0" applyAlignment="0" applyProtection="0"/>
    <xf numFmtId="0" fontId="1" fillId="10" borderId="0" applyNumberFormat="0" applyBorder="0" applyAlignment="0" applyProtection="0"/>
    <xf numFmtId="0" fontId="23" fillId="10" borderId="0" applyNumberFormat="0" applyBorder="0" applyAlignment="0" applyProtection="0"/>
    <xf numFmtId="0" fontId="1" fillId="5" borderId="0" applyNumberFormat="0" applyBorder="0" applyAlignment="0" applyProtection="0"/>
    <xf numFmtId="0" fontId="23" fillId="5" borderId="0" applyNumberFormat="0" applyBorder="0" applyAlignment="0" applyProtection="0"/>
    <xf numFmtId="0" fontId="1" fillId="8" borderId="0" applyNumberFormat="0" applyBorder="0" applyAlignment="0" applyProtection="0"/>
    <xf numFmtId="0" fontId="23" fillId="8" borderId="0" applyNumberFormat="0" applyBorder="0" applyAlignment="0" applyProtection="0"/>
    <xf numFmtId="0" fontId="1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12" borderId="0" applyNumberFormat="0" applyBorder="0" applyAlignment="0" applyProtection="0"/>
    <xf numFmtId="0" fontId="24" fillId="12" borderId="0" applyNumberFormat="0" applyBorder="0" applyAlignment="0" applyProtection="0"/>
    <xf numFmtId="0" fontId="2" fillId="9" borderId="0" applyNumberFormat="0" applyBorder="0" applyAlignment="0" applyProtection="0"/>
    <xf numFmtId="0" fontId="24" fillId="9" borderId="0" applyNumberFormat="0" applyBorder="0" applyAlignment="0" applyProtection="0"/>
    <xf numFmtId="0" fontId="2" fillId="10" borderId="0" applyNumberFormat="0" applyBorder="0" applyAlignment="0" applyProtection="0"/>
    <xf numFmtId="0" fontId="24" fillId="10" borderId="0" applyNumberFormat="0" applyBorder="0" applyAlignment="0" applyProtection="0"/>
    <xf numFmtId="0" fontId="2" fillId="13" borderId="0" applyNumberFormat="0" applyBorder="0" applyAlignment="0" applyProtection="0"/>
    <xf numFmtId="0" fontId="24" fillId="13" borderId="0" applyNumberFormat="0" applyBorder="0" applyAlignment="0" applyProtection="0"/>
    <xf numFmtId="0" fontId="2" fillId="14" borderId="0" applyNumberFormat="0" applyBorder="0" applyAlignment="0" applyProtection="0"/>
    <xf numFmtId="0" fontId="24" fillId="14" borderId="0" applyNumberFormat="0" applyBorder="0" applyAlignment="0" applyProtection="0"/>
    <xf numFmtId="0" fontId="2" fillId="15" borderId="0" applyNumberFormat="0" applyBorder="0" applyAlignment="0" applyProtection="0"/>
    <xf numFmtId="0" fontId="24" fillId="15" borderId="0" applyNumberFormat="0" applyBorder="0" applyAlignment="0" applyProtection="0"/>
    <xf numFmtId="0" fontId="2" fillId="16" borderId="0" applyNumberFormat="0" applyBorder="0" applyAlignment="0" applyProtection="0"/>
    <xf numFmtId="0" fontId="24" fillId="16" borderId="0" applyNumberFormat="0" applyBorder="0" applyAlignment="0" applyProtection="0"/>
    <xf numFmtId="0" fontId="2" fillId="17" borderId="0" applyNumberFormat="0" applyBorder="0" applyAlignment="0" applyProtection="0"/>
    <xf numFmtId="0" fontId="24" fillId="17" borderId="0" applyNumberFormat="0" applyBorder="0" applyAlignment="0" applyProtection="0"/>
    <xf numFmtId="0" fontId="2" fillId="18" borderId="0" applyNumberFormat="0" applyBorder="0" applyAlignment="0" applyProtection="0"/>
    <xf numFmtId="0" fontId="24" fillId="18" borderId="0" applyNumberFormat="0" applyBorder="0" applyAlignment="0" applyProtection="0"/>
    <xf numFmtId="0" fontId="2" fillId="13" borderId="0" applyNumberFormat="0" applyBorder="0" applyAlignment="0" applyProtection="0"/>
    <xf numFmtId="0" fontId="24" fillId="13" borderId="0" applyNumberFormat="0" applyBorder="0" applyAlignment="0" applyProtection="0"/>
    <xf numFmtId="0" fontId="2" fillId="14" borderId="0" applyNumberFormat="0" applyBorder="0" applyAlignment="0" applyProtection="0"/>
    <xf numFmtId="0" fontId="24" fillId="14" borderId="0" applyNumberFormat="0" applyBorder="0" applyAlignment="0" applyProtection="0"/>
    <xf numFmtId="0" fontId="2" fillId="19" borderId="0" applyNumberFormat="0" applyBorder="0" applyAlignment="0" applyProtection="0"/>
    <xf numFmtId="0" fontId="24" fillId="19" borderId="0" applyNumberFormat="0" applyBorder="0" applyAlignment="0" applyProtection="0"/>
    <xf numFmtId="0" fontId="3" fillId="3" borderId="0" applyNumberFormat="0" applyBorder="0" applyAlignment="0" applyProtection="0"/>
    <xf numFmtId="0" fontId="25" fillId="3" borderId="0" applyNumberFormat="0" applyBorder="0" applyAlignment="0" applyProtection="0"/>
    <xf numFmtId="0" fontId="4" fillId="20" borderId="1" applyNumberFormat="0" applyAlignment="0" applyProtection="0"/>
    <xf numFmtId="0" fontId="26" fillId="20" borderId="1" applyNumberFormat="0" applyAlignment="0" applyProtection="0"/>
    <xf numFmtId="0" fontId="5" fillId="21" borderId="2" applyNumberFormat="0" applyAlignment="0" applyProtection="0"/>
    <xf numFmtId="0" fontId="27" fillId="21" borderId="2" applyNumberFormat="0" applyAlignment="0" applyProtection="0"/>
    <xf numFmtId="43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29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11" fillId="7" borderId="1" applyNumberFormat="0" applyAlignment="0" applyProtection="0"/>
    <xf numFmtId="0" fontId="31" fillId="7" borderId="1" applyNumberFormat="0" applyAlignment="0" applyProtection="0"/>
    <xf numFmtId="0" fontId="12" fillId="0" borderId="6" applyNumberFormat="0" applyFill="0" applyAlignment="0" applyProtection="0"/>
    <xf numFmtId="0" fontId="32" fillId="0" borderId="6" applyNumberFormat="0" applyFill="0" applyAlignment="0" applyProtection="0"/>
    <xf numFmtId="0" fontId="13" fillId="22" borderId="0" applyNumberFormat="0" applyBorder="0" applyAlignment="0" applyProtection="0"/>
    <xf numFmtId="0" fontId="33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2" fillId="0" borderId="0"/>
    <xf numFmtId="0" fontId="1" fillId="23" borderId="7" applyNumberFormat="0" applyFont="0" applyAlignment="0" applyProtection="0"/>
    <xf numFmtId="0" fontId="20" fillId="23" borderId="7" applyNumberFormat="0" applyFont="0" applyAlignment="0" applyProtection="0"/>
    <xf numFmtId="0" fontId="14" fillId="20" borderId="8" applyNumberFormat="0" applyAlignment="0" applyProtection="0"/>
    <xf numFmtId="0" fontId="3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35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36" fillId="0" borderId="0" applyNumberFormat="0" applyFill="0" applyBorder="0" applyAlignment="0" applyProtection="0"/>
  </cellStyleXfs>
  <cellXfs count="63">
    <xf numFmtId="0" fontId="0" fillId="0" borderId="0" xfId="0"/>
    <xf numFmtId="0" fontId="37" fillId="0" borderId="0" xfId="0" applyFont="1"/>
    <xf numFmtId="0" fontId="38" fillId="0" borderId="0" xfId="0" applyFont="1"/>
    <xf numFmtId="0" fontId="39" fillId="0" borderId="0" xfId="66" applyFont="1" applyAlignment="1" applyProtection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38" fillId="0" borderId="0" xfId="0" applyFont="1" applyAlignment="1">
      <alignment horizontal="center"/>
    </xf>
    <xf numFmtId="165" fontId="38" fillId="0" borderId="0" xfId="0" applyNumberFormat="1" applyFont="1" applyAlignment="1">
      <alignment horizontal="right"/>
    </xf>
    <xf numFmtId="0" fontId="38" fillId="0" borderId="0" xfId="0" applyFont="1" applyBorder="1"/>
    <xf numFmtId="165" fontId="38" fillId="0" borderId="0" xfId="0" applyNumberFormat="1" applyFont="1"/>
    <xf numFmtId="0" fontId="37" fillId="0" borderId="0" xfId="0" applyFont="1" applyAlignment="1">
      <alignment horizontal="left"/>
    </xf>
    <xf numFmtId="0" fontId="38" fillId="25" borderId="10" xfId="0" applyFont="1" applyFill="1" applyBorder="1"/>
    <xf numFmtId="165" fontId="38" fillId="25" borderId="11" xfId="0" applyNumberFormat="1" applyFont="1" applyFill="1" applyBorder="1" applyAlignment="1">
      <alignment horizontal="right"/>
    </xf>
    <xf numFmtId="0" fontId="37" fillId="25" borderId="11" xfId="0" applyFont="1" applyFill="1" applyBorder="1" applyAlignment="1"/>
    <xf numFmtId="165" fontId="37" fillId="25" borderId="11" xfId="0" applyNumberFormat="1" applyFont="1" applyFill="1" applyBorder="1" applyAlignment="1"/>
    <xf numFmtId="0" fontId="37" fillId="25" borderId="12" xfId="0" applyFont="1" applyFill="1" applyBorder="1" applyAlignment="1"/>
    <xf numFmtId="0" fontId="37" fillId="26" borderId="10" xfId="0" applyFont="1" applyFill="1" applyBorder="1" applyAlignment="1">
      <alignment horizontal="center"/>
    </xf>
    <xf numFmtId="165" fontId="37" fillId="26" borderId="11" xfId="0" applyNumberFormat="1" applyFont="1" applyFill="1" applyBorder="1" applyAlignment="1">
      <alignment horizontal="center"/>
    </xf>
    <xf numFmtId="0" fontId="37" fillId="26" borderId="11" xfId="0" applyFont="1" applyFill="1" applyBorder="1" applyAlignment="1"/>
    <xf numFmtId="165" fontId="37" fillId="26" borderId="11" xfId="0" applyNumberFormat="1" applyFont="1" applyFill="1" applyBorder="1" applyAlignment="1"/>
    <xf numFmtId="0" fontId="37" fillId="26" borderId="12" xfId="0" applyFont="1" applyFill="1" applyBorder="1" applyAlignment="1"/>
    <xf numFmtId="0" fontId="37" fillId="25" borderId="10" xfId="0" applyFont="1" applyFill="1" applyBorder="1" applyAlignment="1"/>
    <xf numFmtId="0" fontId="38" fillId="0" borderId="13" xfId="0" applyFont="1" applyBorder="1" applyAlignment="1"/>
    <xf numFmtId="3" fontId="41" fillId="0" borderId="13" xfId="0" applyNumberFormat="1" applyFont="1" applyBorder="1" applyAlignment="1">
      <alignment horizontal="right" wrapText="1"/>
    </xf>
    <xf numFmtId="10" fontId="41" fillId="0" borderId="14" xfId="0" applyNumberFormat="1" applyFont="1" applyBorder="1" applyAlignment="1">
      <alignment horizontal="right" wrapText="1"/>
    </xf>
    <xf numFmtId="3" fontId="41" fillId="0" borderId="14" xfId="0" applyNumberFormat="1" applyFont="1" applyBorder="1" applyAlignment="1">
      <alignment horizontal="right" wrapText="1"/>
    </xf>
    <xf numFmtId="3" fontId="41" fillId="0" borderId="15" xfId="0" applyNumberFormat="1" applyFont="1" applyBorder="1" applyAlignment="1">
      <alignment horizontal="right" wrapText="1"/>
    </xf>
    <xf numFmtId="3" fontId="38" fillId="0" borderId="15" xfId="55" applyNumberFormat="1" applyFont="1" applyBorder="1" applyAlignment="1"/>
    <xf numFmtId="164" fontId="38" fillId="0" borderId="0" xfId="0" applyNumberFormat="1" applyFont="1"/>
    <xf numFmtId="165" fontId="41" fillId="0" borderId="14" xfId="0" applyNumberFormat="1" applyFont="1" applyBorder="1" applyAlignment="1">
      <alignment horizontal="center" wrapText="1"/>
    </xf>
    <xf numFmtId="0" fontId="37" fillId="24" borderId="16" xfId="0" applyFont="1" applyFill="1" applyBorder="1" applyAlignment="1"/>
    <xf numFmtId="0" fontId="37" fillId="24" borderId="17" xfId="0" applyFont="1" applyFill="1" applyBorder="1" applyAlignment="1">
      <alignment horizontal="center"/>
    </xf>
    <xf numFmtId="3" fontId="37" fillId="24" borderId="16" xfId="0" applyNumberFormat="1" applyFont="1" applyFill="1" applyBorder="1" applyAlignment="1">
      <alignment horizontal="right"/>
    </xf>
    <xf numFmtId="10" fontId="37" fillId="24" borderId="18" xfId="0" applyNumberFormat="1" applyFont="1" applyFill="1" applyBorder="1" applyAlignment="1">
      <alignment horizontal="right"/>
    </xf>
    <xf numFmtId="3" fontId="37" fillId="24" borderId="18" xfId="0" applyNumberFormat="1" applyFont="1" applyFill="1" applyBorder="1" applyAlignment="1">
      <alignment horizontal="right"/>
    </xf>
    <xf numFmtId="3" fontId="37" fillId="24" borderId="19" xfId="0" applyNumberFormat="1" applyFont="1" applyFill="1" applyBorder="1" applyAlignment="1">
      <alignment horizontal="right"/>
    </xf>
    <xf numFmtId="3" fontId="37" fillId="24" borderId="19" xfId="55" applyNumberFormat="1" applyFont="1" applyFill="1" applyBorder="1" applyAlignment="1"/>
    <xf numFmtId="0" fontId="38" fillId="0" borderId="0" xfId="0" applyFont="1" applyFill="1" applyBorder="1"/>
    <xf numFmtId="0" fontId="38" fillId="0" borderId="0" xfId="0" applyFont="1" applyAlignment="1">
      <alignment horizontal="left"/>
    </xf>
    <xf numFmtId="0" fontId="38" fillId="0" borderId="13" xfId="0" applyFont="1" applyBorder="1"/>
    <xf numFmtId="3" fontId="38" fillId="0" borderId="14" xfId="55" applyNumberFormat="1" applyFont="1" applyBorder="1"/>
    <xf numFmtId="3" fontId="38" fillId="0" borderId="20" xfId="55" applyNumberFormat="1" applyFont="1" applyBorder="1"/>
    <xf numFmtId="3" fontId="38" fillId="0" borderId="15" xfId="55" applyNumberFormat="1" applyFont="1" applyBorder="1"/>
    <xf numFmtId="0" fontId="38" fillId="0" borderId="0" xfId="0" applyFont="1" applyAlignment="1">
      <alignment wrapText="1"/>
    </xf>
    <xf numFmtId="0" fontId="37" fillId="24" borderId="16" xfId="0" applyFont="1" applyFill="1" applyBorder="1"/>
    <xf numFmtId="3" fontId="37" fillId="24" borderId="18" xfId="55" applyNumberFormat="1" applyFont="1" applyFill="1" applyBorder="1"/>
    <xf numFmtId="3" fontId="37" fillId="24" borderId="17" xfId="55" applyNumberFormat="1" applyFont="1" applyFill="1" applyBorder="1"/>
    <xf numFmtId="3" fontId="37" fillId="24" borderId="19" xfId="55" applyNumberFormat="1" applyFont="1" applyFill="1" applyBorder="1"/>
    <xf numFmtId="0" fontId="42" fillId="0" borderId="0" xfId="0" applyFont="1" applyAlignment="1">
      <alignment horizontal="left"/>
    </xf>
    <xf numFmtId="0" fontId="43" fillId="24" borderId="21" xfId="0" applyFont="1" applyFill="1" applyBorder="1" applyAlignment="1">
      <alignment horizontal="center" vertical="center" wrapText="1"/>
    </xf>
    <xf numFmtId="165" fontId="43" fillId="24" borderId="22" xfId="0" applyNumberFormat="1" applyFont="1" applyFill="1" applyBorder="1" applyAlignment="1">
      <alignment horizontal="center" vertical="center" wrapText="1"/>
    </xf>
    <xf numFmtId="0" fontId="43" fillId="24" borderId="22" xfId="0" applyFont="1" applyFill="1" applyBorder="1" applyAlignment="1">
      <alignment horizontal="center" vertical="center" wrapText="1"/>
    </xf>
    <xf numFmtId="0" fontId="43" fillId="24" borderId="23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3" fontId="45" fillId="24" borderId="22" xfId="0" applyNumberFormat="1" applyFont="1" applyFill="1" applyBorder="1" applyAlignment="1">
      <alignment horizontal="center" vertical="center" wrapText="1"/>
    </xf>
    <xf numFmtId="3" fontId="45" fillId="24" borderId="24" xfId="0" applyNumberFormat="1" applyFont="1" applyFill="1" applyBorder="1" applyAlignment="1">
      <alignment horizontal="center" vertical="center" wrapText="1"/>
    </xf>
    <xf numFmtId="3" fontId="45" fillId="24" borderId="23" xfId="0" applyNumberFormat="1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3" fillId="24" borderId="24" xfId="0" applyFont="1" applyFill="1" applyBorder="1" applyAlignment="1">
      <alignment horizontal="center" vertical="center"/>
    </xf>
    <xf numFmtId="0" fontId="41" fillId="0" borderId="20" xfId="0" applyFont="1" applyBorder="1" applyAlignment="1">
      <alignment horizontal="center"/>
    </xf>
    <xf numFmtId="0" fontId="39" fillId="0" borderId="0" xfId="66" applyFont="1" applyAlignment="1" applyProtection="1">
      <alignment horizontal="left"/>
    </xf>
    <xf numFmtId="0" fontId="39" fillId="0" borderId="0" xfId="66" applyFont="1" applyAlignment="1" applyProtection="1"/>
  </cellXfs>
  <cellStyles count="86">
    <cellStyle name="20% - Accent1" xfId="1" builtinId="30" customBuiltin="1"/>
    <cellStyle name="20% - Accent1 2" xfId="2" xr:uid="{00000000-0005-0000-0000-000001000000}"/>
    <cellStyle name="20% - Accent2" xfId="3" builtinId="34" customBuiltin="1"/>
    <cellStyle name="20% - Accent2 2" xfId="4" xr:uid="{00000000-0005-0000-0000-000003000000}"/>
    <cellStyle name="20% - Accent3" xfId="5" builtinId="38" customBuiltin="1"/>
    <cellStyle name="20% - Accent3 2" xfId="6" xr:uid="{00000000-0005-0000-0000-000005000000}"/>
    <cellStyle name="20% - Accent4" xfId="7" builtinId="42" customBuiltin="1"/>
    <cellStyle name="20% - Accent4 2" xfId="8" xr:uid="{00000000-0005-0000-0000-000007000000}"/>
    <cellStyle name="20% - Accent5" xfId="9" builtinId="46" customBuiltin="1"/>
    <cellStyle name="20% - Accent5 2" xfId="10" xr:uid="{00000000-0005-0000-0000-000009000000}"/>
    <cellStyle name="20% - Accent6" xfId="11" builtinId="50" customBuiltin="1"/>
    <cellStyle name="20% - Accent6 2" xfId="12" xr:uid="{00000000-0005-0000-0000-00000B000000}"/>
    <cellStyle name="40% - Accent1" xfId="13" builtinId="31" customBuiltin="1"/>
    <cellStyle name="40% - Accent1 2" xfId="14" xr:uid="{00000000-0005-0000-0000-00000D000000}"/>
    <cellStyle name="40% - Accent2" xfId="15" builtinId="35" customBuiltin="1"/>
    <cellStyle name="40% - Accent2 2" xfId="16" xr:uid="{00000000-0005-0000-0000-00000F000000}"/>
    <cellStyle name="40% - Accent3" xfId="17" builtinId="39" customBuiltin="1"/>
    <cellStyle name="40% - Accent3 2" xfId="18" xr:uid="{00000000-0005-0000-0000-000011000000}"/>
    <cellStyle name="40% - Accent4" xfId="19" builtinId="43" customBuiltin="1"/>
    <cellStyle name="40% - Accent4 2" xfId="20" xr:uid="{00000000-0005-0000-0000-000013000000}"/>
    <cellStyle name="40% - Accent5" xfId="21" builtinId="47" customBuiltin="1"/>
    <cellStyle name="40% - Accent5 2" xfId="22" xr:uid="{00000000-0005-0000-0000-000015000000}"/>
    <cellStyle name="40% - Accent6" xfId="23" builtinId="51" customBuiltin="1"/>
    <cellStyle name="40% - Accent6 2" xfId="24" xr:uid="{00000000-0005-0000-0000-000017000000}"/>
    <cellStyle name="60% - Accent1" xfId="25" builtinId="32" customBuiltin="1"/>
    <cellStyle name="60% - Accent1 2" xfId="26" xr:uid="{00000000-0005-0000-0000-000019000000}"/>
    <cellStyle name="60% - Accent2" xfId="27" builtinId="36" customBuiltin="1"/>
    <cellStyle name="60% - Accent2 2" xfId="28" xr:uid="{00000000-0005-0000-0000-00001B000000}"/>
    <cellStyle name="60% - Accent3" xfId="29" builtinId="40" customBuiltin="1"/>
    <cellStyle name="60% - Accent3 2" xfId="30" xr:uid="{00000000-0005-0000-0000-00001D000000}"/>
    <cellStyle name="60% - Accent4" xfId="31" builtinId="44" customBuiltin="1"/>
    <cellStyle name="60% - Accent4 2" xfId="32" xr:uid="{00000000-0005-0000-0000-00001F000000}"/>
    <cellStyle name="60% - Accent5" xfId="33" builtinId="48" customBuiltin="1"/>
    <cellStyle name="60% - Accent5 2" xfId="34" xr:uid="{00000000-0005-0000-0000-000021000000}"/>
    <cellStyle name="60% - Accent6" xfId="35" builtinId="52" customBuiltin="1"/>
    <cellStyle name="60% - Accent6 2" xfId="36" xr:uid="{00000000-0005-0000-0000-000023000000}"/>
    <cellStyle name="Accent1" xfId="37" builtinId="29" customBuiltin="1"/>
    <cellStyle name="Accent1 2" xfId="38" xr:uid="{00000000-0005-0000-0000-000025000000}"/>
    <cellStyle name="Accent2" xfId="39" builtinId="33" customBuiltin="1"/>
    <cellStyle name="Accent2 2" xfId="40" xr:uid="{00000000-0005-0000-0000-000027000000}"/>
    <cellStyle name="Accent3" xfId="41" builtinId="37" customBuiltin="1"/>
    <cellStyle name="Accent3 2" xfId="42" xr:uid="{00000000-0005-0000-0000-000029000000}"/>
    <cellStyle name="Accent4" xfId="43" builtinId="41" customBuiltin="1"/>
    <cellStyle name="Accent4 2" xfId="44" xr:uid="{00000000-0005-0000-0000-00002B000000}"/>
    <cellStyle name="Accent5" xfId="45" builtinId="45" customBuiltin="1"/>
    <cellStyle name="Accent5 2" xfId="46" xr:uid="{00000000-0005-0000-0000-00002D000000}"/>
    <cellStyle name="Accent6" xfId="47" builtinId="49" customBuiltin="1"/>
    <cellStyle name="Accent6 2" xfId="48" xr:uid="{00000000-0005-0000-0000-00002F000000}"/>
    <cellStyle name="Bad" xfId="49" builtinId="27" customBuiltin="1"/>
    <cellStyle name="Bad 2" xfId="50" xr:uid="{00000000-0005-0000-0000-000031000000}"/>
    <cellStyle name="Calculation" xfId="51" builtinId="22" customBuiltin="1"/>
    <cellStyle name="Calculation 2" xfId="52" xr:uid="{00000000-0005-0000-0000-000033000000}"/>
    <cellStyle name="Check Cell" xfId="53" builtinId="23" customBuiltin="1"/>
    <cellStyle name="Check Cell 2" xfId="54" xr:uid="{00000000-0005-0000-0000-000035000000}"/>
    <cellStyle name="Comma" xfId="55" builtinId="3"/>
    <cellStyle name="Comma 2" xfId="56" xr:uid="{00000000-0005-0000-0000-000037000000}"/>
    <cellStyle name="Comma 2 2" xfId="57" xr:uid="{00000000-0005-0000-0000-000038000000}"/>
    <cellStyle name="Explanatory Text" xfId="58" builtinId="53" customBuiltin="1"/>
    <cellStyle name="Explanatory Text 2" xfId="59" xr:uid="{00000000-0005-0000-0000-00003A000000}"/>
    <cellStyle name="Good" xfId="60" builtinId="26" customBuiltin="1"/>
    <cellStyle name="Good 2" xfId="61" xr:uid="{00000000-0005-0000-0000-00003C000000}"/>
    <cellStyle name="Heading 1" xfId="62" builtinId="16" customBuiltin="1"/>
    <cellStyle name="Heading 2" xfId="63" builtinId="17" customBuiltin="1"/>
    <cellStyle name="Heading 3" xfId="64" builtinId="18" customBuiltin="1"/>
    <cellStyle name="Heading 4" xfId="65" builtinId="19" customBuiltin="1"/>
    <cellStyle name="Hyperlink" xfId="66" builtinId="8"/>
    <cellStyle name="Hyperlink 2" xfId="67" xr:uid="{00000000-0005-0000-0000-000042000000}"/>
    <cellStyle name="Input" xfId="68" builtinId="20" customBuiltin="1"/>
    <cellStyle name="Input 2" xfId="69" xr:uid="{00000000-0005-0000-0000-000044000000}"/>
    <cellStyle name="Linked Cell" xfId="70" builtinId="24" customBuiltin="1"/>
    <cellStyle name="Linked Cell 2" xfId="71" xr:uid="{00000000-0005-0000-0000-000046000000}"/>
    <cellStyle name="Neutral" xfId="72" builtinId="28" customBuiltin="1"/>
    <cellStyle name="Neutral 2" xfId="73" xr:uid="{00000000-0005-0000-0000-000048000000}"/>
    <cellStyle name="Normal" xfId="0" builtinId="0"/>
    <cellStyle name="Normal 2" xfId="74" xr:uid="{00000000-0005-0000-0000-00004A000000}"/>
    <cellStyle name="Normal 2 2" xfId="75" xr:uid="{00000000-0005-0000-0000-00004B000000}"/>
    <cellStyle name="Normal 3" xfId="76" xr:uid="{00000000-0005-0000-0000-00004C000000}"/>
    <cellStyle name="Note" xfId="77" builtinId="10" customBuiltin="1"/>
    <cellStyle name="Note 2" xfId="78" xr:uid="{00000000-0005-0000-0000-00004E000000}"/>
    <cellStyle name="Output" xfId="79" builtinId="21" customBuiltin="1"/>
    <cellStyle name="Output 2" xfId="80" xr:uid="{00000000-0005-0000-0000-000050000000}"/>
    <cellStyle name="Title" xfId="81" builtinId="15" customBuiltin="1"/>
    <cellStyle name="Total" xfId="82" builtinId="25" customBuiltin="1"/>
    <cellStyle name="Total 2" xfId="83" xr:uid="{00000000-0005-0000-0000-000053000000}"/>
    <cellStyle name="Warning Text" xfId="84" builtinId="11" customBuiltin="1"/>
    <cellStyle name="Warning Text 2" xfId="85" xr:uid="{00000000-0005-0000-0000-000055000000}"/>
  </cellStyles>
  <dxfs count="4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7"/>
  <sheetViews>
    <sheetView tabSelected="1" workbookViewId="0"/>
  </sheetViews>
  <sheetFormatPr defaultRowHeight="14.25" x14ac:dyDescent="0.2"/>
  <cols>
    <col min="1" max="16384" width="9.140625" style="2"/>
  </cols>
  <sheetData>
    <row r="2" spans="1:8" ht="15" x14ac:dyDescent="0.25">
      <c r="A2" s="1" t="s">
        <v>0</v>
      </c>
    </row>
    <row r="3" spans="1:8" ht="15" x14ac:dyDescent="0.25">
      <c r="A3" s="1"/>
    </row>
    <row r="4" spans="1:8" ht="15" x14ac:dyDescent="0.25">
      <c r="A4" s="1"/>
      <c r="B4" s="61" t="s">
        <v>102</v>
      </c>
      <c r="C4" s="61"/>
      <c r="D4" s="61"/>
      <c r="E4" s="61"/>
      <c r="F4" s="61"/>
      <c r="G4" s="61"/>
      <c r="H4" s="61"/>
    </row>
    <row r="6" spans="1:8" x14ac:dyDescent="0.2">
      <c r="B6" s="61" t="s">
        <v>100</v>
      </c>
      <c r="C6" s="61"/>
      <c r="D6" s="61"/>
      <c r="E6" s="61"/>
      <c r="F6" s="61"/>
      <c r="G6" s="61"/>
      <c r="H6" s="61"/>
    </row>
    <row r="8" spans="1:8" x14ac:dyDescent="0.2">
      <c r="B8" s="61" t="s">
        <v>101</v>
      </c>
      <c r="C8" s="61"/>
      <c r="D8" s="61"/>
      <c r="E8" s="61"/>
      <c r="F8" s="61"/>
      <c r="G8" s="61"/>
      <c r="H8" s="61"/>
    </row>
    <row r="10" spans="1:8" x14ac:dyDescent="0.2">
      <c r="B10" s="62" t="s">
        <v>103</v>
      </c>
      <c r="C10" s="62"/>
      <c r="D10" s="62"/>
      <c r="E10" s="62"/>
      <c r="F10" s="62"/>
      <c r="G10" s="62"/>
      <c r="H10" s="62"/>
    </row>
    <row r="16" spans="1:8" x14ac:dyDescent="0.2">
      <c r="A16" s="4" t="s">
        <v>80</v>
      </c>
      <c r="B16" s="5"/>
      <c r="C16" s="5"/>
      <c r="D16" s="4" t="s">
        <v>81</v>
      </c>
      <c r="E16" s="5"/>
      <c r="F16" s="5"/>
      <c r="G16" s="5"/>
      <c r="H16" s="5"/>
    </row>
    <row r="17" spans="1:8" x14ac:dyDescent="0.2">
      <c r="A17" s="5"/>
      <c r="B17" s="5"/>
      <c r="C17" s="5"/>
      <c r="D17" s="3" t="s">
        <v>111</v>
      </c>
      <c r="E17" s="5"/>
      <c r="F17" s="5"/>
      <c r="G17" s="5"/>
      <c r="H17" s="5"/>
    </row>
  </sheetData>
  <mergeCells count="4">
    <mergeCell ref="B6:H6"/>
    <mergeCell ref="B10:H10"/>
    <mergeCell ref="B8:H8"/>
    <mergeCell ref="B4:H4"/>
  </mergeCells>
  <phoneticPr fontId="18" type="noConversion"/>
  <hyperlinks>
    <hyperlink ref="B6:H6" location="'Real Exemption Value by Type'!A1" display="Real Exemption Value by Property Category" xr:uid="{00000000-0004-0000-0000-000000000000}"/>
    <hyperlink ref="B10:H10" location="'3-Year Homestead Comparison'!A1" display="Homestead Comparison 2008 - 2010" xr:uid="{00000000-0004-0000-0000-000001000000}"/>
    <hyperlink ref="B8:H8" location="'Personal Property by Type'!A1" display="Personal Property Exemption Value by Property Type" xr:uid="{00000000-0004-0000-0000-000002000000}"/>
    <hyperlink ref="B4" location="'Total Exemption Value by Type'!A1" display="Total Exemption Value by Property Category" xr:uid="{00000000-0004-0000-0000-000003000000}"/>
    <hyperlink ref="D17" r:id="rId1" xr:uid="{00000000-0004-0000-0000-000004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7"/>
  <sheetViews>
    <sheetView zoomScaleNormal="100" workbookViewId="0">
      <pane xSplit="1" ySplit="4" topLeftCell="M56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26.140625" style="2" customWidth="1"/>
    <col min="2" max="2" width="23.140625" style="2" bestFit="1" customWidth="1"/>
    <col min="3" max="3" width="22" style="2" bestFit="1" customWidth="1"/>
    <col min="4" max="4" width="25.28515625" style="2" bestFit="1" customWidth="1"/>
    <col min="5" max="6" width="21.140625" style="2" bestFit="1" customWidth="1"/>
    <col min="7" max="7" width="20.140625" style="2" bestFit="1" customWidth="1"/>
    <col min="8" max="8" width="15.7109375" style="2" bestFit="1" customWidth="1"/>
    <col min="9" max="10" width="18.5703125" style="2" bestFit="1" customWidth="1"/>
    <col min="11" max="11" width="16.5703125" style="2" bestFit="1" customWidth="1"/>
    <col min="12" max="12" width="21.85546875" style="2" bestFit="1" customWidth="1"/>
    <col min="13" max="13" width="14.85546875" style="2" bestFit="1" customWidth="1"/>
    <col min="14" max="14" width="28" style="2" bestFit="1" customWidth="1"/>
    <col min="15" max="15" width="21.85546875" style="2" bestFit="1" customWidth="1"/>
    <col min="16" max="16" width="20.5703125" style="2" bestFit="1" customWidth="1"/>
    <col min="17" max="18" width="20.5703125" style="2" customWidth="1"/>
    <col min="19" max="19" width="24.85546875" style="2" bestFit="1" customWidth="1"/>
    <col min="20" max="20" width="22.28515625" style="2" bestFit="1" customWidth="1"/>
    <col min="21" max="21" width="23.140625" style="2" bestFit="1" customWidth="1"/>
    <col min="22" max="22" width="9.140625" style="2"/>
    <col min="23" max="24" width="9.140625" style="2" customWidth="1"/>
    <col min="25" max="16384" width="9.140625" style="2"/>
  </cols>
  <sheetData>
    <row r="1" spans="1:21" ht="23.25" x14ac:dyDescent="0.35">
      <c r="A1" s="49" t="s">
        <v>98</v>
      </c>
    </row>
    <row r="2" spans="1:21" ht="15" x14ac:dyDescent="0.25">
      <c r="A2" s="11">
        <v>2021</v>
      </c>
    </row>
    <row r="3" spans="1:21" ht="15" thickBot="1" x14ac:dyDescent="0.25">
      <c r="A3" s="39"/>
    </row>
    <row r="4" spans="1:21" s="58" customFormat="1" ht="51" x14ac:dyDescent="0.25">
      <c r="A4" s="50" t="s">
        <v>1</v>
      </c>
      <c r="B4" s="52" t="s">
        <v>88</v>
      </c>
      <c r="C4" s="52" t="s">
        <v>89</v>
      </c>
      <c r="D4" s="52" t="s">
        <v>90</v>
      </c>
      <c r="E4" s="52" t="s">
        <v>108</v>
      </c>
      <c r="F4" s="52" t="s">
        <v>91</v>
      </c>
      <c r="G4" s="52" t="s">
        <v>92</v>
      </c>
      <c r="H4" s="52" t="s">
        <v>93</v>
      </c>
      <c r="I4" s="52" t="s">
        <v>94</v>
      </c>
      <c r="J4" s="52" t="s">
        <v>71</v>
      </c>
      <c r="K4" s="52" t="s">
        <v>95</v>
      </c>
      <c r="L4" s="52" t="s">
        <v>96</v>
      </c>
      <c r="M4" s="52" t="s">
        <v>110</v>
      </c>
      <c r="N4" s="52" t="s">
        <v>72</v>
      </c>
      <c r="O4" s="52" t="s">
        <v>73</v>
      </c>
      <c r="P4" s="52" t="s">
        <v>97</v>
      </c>
      <c r="Q4" s="52" t="s">
        <v>105</v>
      </c>
      <c r="R4" s="52" t="s">
        <v>116</v>
      </c>
      <c r="S4" s="52" t="s">
        <v>74</v>
      </c>
      <c r="T4" s="52" t="s">
        <v>75</v>
      </c>
      <c r="U4" s="53" t="s">
        <v>76</v>
      </c>
    </row>
    <row r="5" spans="1:21" x14ac:dyDescent="0.2">
      <c r="A5" s="40" t="s">
        <v>2</v>
      </c>
      <c r="B5" s="41">
        <v>1311678783</v>
      </c>
      <c r="C5" s="41">
        <v>1136734402</v>
      </c>
      <c r="D5" s="41">
        <v>35201649</v>
      </c>
      <c r="E5" s="41">
        <v>78153825</v>
      </c>
      <c r="F5" s="41">
        <v>7660183879</v>
      </c>
      <c r="G5" s="41">
        <v>1168162802</v>
      </c>
      <c r="H5" s="41">
        <v>1689502</v>
      </c>
      <c r="I5" s="41">
        <v>86757262</v>
      </c>
      <c r="J5" s="41">
        <v>333831</v>
      </c>
      <c r="K5" s="41">
        <v>1133883</v>
      </c>
      <c r="L5" s="41">
        <v>11000</v>
      </c>
      <c r="M5" s="41">
        <v>824942</v>
      </c>
      <c r="N5" s="41">
        <v>0</v>
      </c>
      <c r="O5" s="41">
        <v>8095231</v>
      </c>
      <c r="P5" s="41">
        <v>386703</v>
      </c>
      <c r="Q5" s="41">
        <v>10505194</v>
      </c>
      <c r="R5" s="41">
        <v>0</v>
      </c>
      <c r="S5" s="41">
        <v>28728753805</v>
      </c>
      <c r="T5" s="41">
        <f>SUM(B5:R5)</f>
        <v>11499852888</v>
      </c>
      <c r="U5" s="43">
        <f>S5-T5</f>
        <v>17228900917</v>
      </c>
    </row>
    <row r="6" spans="1:21" x14ac:dyDescent="0.2">
      <c r="A6" s="40" t="s">
        <v>3</v>
      </c>
      <c r="B6" s="41">
        <v>155063389</v>
      </c>
      <c r="C6" s="41">
        <v>118697611</v>
      </c>
      <c r="D6" s="41">
        <v>14085163</v>
      </c>
      <c r="E6" s="41">
        <v>6989627</v>
      </c>
      <c r="F6" s="41">
        <v>253851578</v>
      </c>
      <c r="G6" s="41">
        <v>74292553</v>
      </c>
      <c r="H6" s="41">
        <v>292000</v>
      </c>
      <c r="I6" s="41">
        <v>18675589</v>
      </c>
      <c r="J6" s="41">
        <v>0</v>
      </c>
      <c r="K6" s="41">
        <v>0</v>
      </c>
      <c r="L6" s="41">
        <v>0</v>
      </c>
      <c r="M6" s="41">
        <v>0</v>
      </c>
      <c r="N6" s="41">
        <v>270319</v>
      </c>
      <c r="O6" s="41">
        <v>20675</v>
      </c>
      <c r="P6" s="41">
        <v>80347</v>
      </c>
      <c r="Q6" s="41">
        <v>0</v>
      </c>
      <c r="R6" s="41">
        <v>0</v>
      </c>
      <c r="S6" s="41">
        <v>1766898692</v>
      </c>
      <c r="T6" s="41">
        <f t="shared" ref="T6:T69" si="0">SUM(B6:R6)</f>
        <v>642318851</v>
      </c>
      <c r="U6" s="43">
        <f t="shared" ref="U6:U21" si="1">S6-T6</f>
        <v>1124579841</v>
      </c>
    </row>
    <row r="7" spans="1:21" x14ac:dyDescent="0.2">
      <c r="A7" s="40" t="s">
        <v>4</v>
      </c>
      <c r="B7" s="41">
        <v>1010281908</v>
      </c>
      <c r="C7" s="41">
        <v>798569920</v>
      </c>
      <c r="D7" s="41">
        <v>70106995</v>
      </c>
      <c r="E7" s="41">
        <v>82026463</v>
      </c>
      <c r="F7" s="41">
        <v>2440746106</v>
      </c>
      <c r="G7" s="41">
        <v>433526099</v>
      </c>
      <c r="H7" s="41">
        <v>1523591</v>
      </c>
      <c r="I7" s="41">
        <v>248962480</v>
      </c>
      <c r="J7" s="41">
        <v>11731</v>
      </c>
      <c r="K7" s="41">
        <v>0</v>
      </c>
      <c r="L7" s="41">
        <v>16780481</v>
      </c>
      <c r="M7" s="41">
        <v>0</v>
      </c>
      <c r="N7" s="41">
        <v>287208</v>
      </c>
      <c r="O7" s="41">
        <v>14215728</v>
      </c>
      <c r="P7" s="41">
        <v>204203</v>
      </c>
      <c r="Q7" s="41">
        <v>18351498</v>
      </c>
      <c r="R7" s="41">
        <v>0</v>
      </c>
      <c r="S7" s="41">
        <v>24574214711</v>
      </c>
      <c r="T7" s="41">
        <f t="shared" si="0"/>
        <v>5135594411</v>
      </c>
      <c r="U7" s="43">
        <f t="shared" si="1"/>
        <v>19438620300</v>
      </c>
    </row>
    <row r="8" spans="1:21" x14ac:dyDescent="0.2">
      <c r="A8" s="40" t="s">
        <v>5</v>
      </c>
      <c r="B8" s="41">
        <v>162303684</v>
      </c>
      <c r="C8" s="41">
        <v>102353370</v>
      </c>
      <c r="D8" s="41">
        <v>8448968</v>
      </c>
      <c r="E8" s="41">
        <v>9169201</v>
      </c>
      <c r="F8" s="41">
        <v>98903029</v>
      </c>
      <c r="G8" s="41">
        <v>48190881</v>
      </c>
      <c r="H8" s="41">
        <v>335122</v>
      </c>
      <c r="I8" s="41">
        <v>13320499</v>
      </c>
      <c r="J8" s="41">
        <v>609833</v>
      </c>
      <c r="K8" s="41">
        <v>0</v>
      </c>
      <c r="L8" s="41">
        <v>0</v>
      </c>
      <c r="M8" s="41">
        <v>0</v>
      </c>
      <c r="N8" s="41">
        <v>24363</v>
      </c>
      <c r="O8" s="41">
        <v>836890</v>
      </c>
      <c r="P8" s="41">
        <v>138669</v>
      </c>
      <c r="Q8" s="41">
        <v>0</v>
      </c>
      <c r="R8" s="41">
        <v>0</v>
      </c>
      <c r="S8" s="41">
        <v>1531613969</v>
      </c>
      <c r="T8" s="41">
        <f t="shared" si="0"/>
        <v>444634509</v>
      </c>
      <c r="U8" s="43">
        <f t="shared" si="1"/>
        <v>1086979460</v>
      </c>
    </row>
    <row r="9" spans="1:21" x14ac:dyDescent="0.2">
      <c r="A9" s="40" t="s">
        <v>6</v>
      </c>
      <c r="B9" s="41">
        <v>4087948100</v>
      </c>
      <c r="C9" s="41">
        <v>3505410815</v>
      </c>
      <c r="D9" s="41">
        <v>327911210</v>
      </c>
      <c r="E9" s="41">
        <v>166343003</v>
      </c>
      <c r="F9" s="41">
        <v>9483970454</v>
      </c>
      <c r="G9" s="41">
        <v>3376886314</v>
      </c>
      <c r="H9" s="41">
        <v>7978500</v>
      </c>
      <c r="I9" s="41">
        <v>945671607</v>
      </c>
      <c r="J9" s="41">
        <v>1509905</v>
      </c>
      <c r="K9" s="41">
        <v>0</v>
      </c>
      <c r="L9" s="41">
        <v>239700943</v>
      </c>
      <c r="M9" s="41">
        <v>432410</v>
      </c>
      <c r="N9" s="41">
        <v>552604</v>
      </c>
      <c r="O9" s="41">
        <v>62358325</v>
      </c>
      <c r="P9" s="41">
        <v>1391083</v>
      </c>
      <c r="Q9" s="41">
        <v>0</v>
      </c>
      <c r="R9" s="41">
        <v>44287848</v>
      </c>
      <c r="S9" s="41">
        <v>69227483720</v>
      </c>
      <c r="T9" s="41">
        <f t="shared" si="0"/>
        <v>22252353121</v>
      </c>
      <c r="U9" s="43">
        <f t="shared" si="1"/>
        <v>46975130599</v>
      </c>
    </row>
    <row r="10" spans="1:21" x14ac:dyDescent="0.2">
      <c r="A10" s="40" t="s">
        <v>7</v>
      </c>
      <c r="B10" s="41">
        <v>10269385070</v>
      </c>
      <c r="C10" s="41">
        <v>9083807510</v>
      </c>
      <c r="D10" s="41">
        <v>829587560</v>
      </c>
      <c r="E10" s="41">
        <v>807147296</v>
      </c>
      <c r="F10" s="41">
        <v>18361723135</v>
      </c>
      <c r="G10" s="41">
        <v>6045853344</v>
      </c>
      <c r="H10" s="41">
        <v>18113116</v>
      </c>
      <c r="I10" s="41">
        <v>842625240</v>
      </c>
      <c r="J10" s="41">
        <v>0</v>
      </c>
      <c r="K10" s="41">
        <v>26944230</v>
      </c>
      <c r="L10" s="41">
        <v>2500070</v>
      </c>
      <c r="M10" s="41">
        <v>388760</v>
      </c>
      <c r="N10" s="41">
        <v>3798620</v>
      </c>
      <c r="O10" s="41">
        <v>21130760</v>
      </c>
      <c r="P10" s="41">
        <v>5675400</v>
      </c>
      <c r="Q10" s="41">
        <v>175184620</v>
      </c>
      <c r="R10" s="41">
        <v>0</v>
      </c>
      <c r="S10" s="41">
        <v>268016436386</v>
      </c>
      <c r="T10" s="41">
        <f t="shared" si="0"/>
        <v>46493864731</v>
      </c>
      <c r="U10" s="43">
        <f t="shared" si="1"/>
        <v>221522571655</v>
      </c>
    </row>
    <row r="11" spans="1:21" x14ac:dyDescent="0.2">
      <c r="A11" s="40" t="s">
        <v>8</v>
      </c>
      <c r="B11" s="41">
        <v>79023523</v>
      </c>
      <c r="C11" s="41">
        <v>36464601</v>
      </c>
      <c r="D11" s="41">
        <v>8582884</v>
      </c>
      <c r="E11" s="41">
        <v>5024378</v>
      </c>
      <c r="F11" s="41">
        <v>41336102</v>
      </c>
      <c r="G11" s="41">
        <v>14641591</v>
      </c>
      <c r="H11" s="41">
        <v>98283</v>
      </c>
      <c r="I11" s="41">
        <v>5470956</v>
      </c>
      <c r="J11" s="41">
        <v>553804</v>
      </c>
      <c r="K11" s="41">
        <v>0</v>
      </c>
      <c r="L11" s="41">
        <v>0</v>
      </c>
      <c r="M11" s="41">
        <v>72458</v>
      </c>
      <c r="N11" s="41">
        <v>106522</v>
      </c>
      <c r="O11" s="41">
        <v>190686</v>
      </c>
      <c r="P11" s="41">
        <v>0</v>
      </c>
      <c r="Q11" s="41">
        <v>0</v>
      </c>
      <c r="R11" s="41">
        <v>0</v>
      </c>
      <c r="S11" s="41">
        <v>642546606</v>
      </c>
      <c r="T11" s="41">
        <f t="shared" si="0"/>
        <v>191565788</v>
      </c>
      <c r="U11" s="43">
        <f t="shared" si="1"/>
        <v>450980818</v>
      </c>
    </row>
    <row r="12" spans="1:21" x14ac:dyDescent="0.2">
      <c r="A12" s="40" t="s">
        <v>9</v>
      </c>
      <c r="B12" s="41">
        <v>1482256136</v>
      </c>
      <c r="C12" s="41">
        <v>1292277461</v>
      </c>
      <c r="D12" s="41">
        <v>189038805</v>
      </c>
      <c r="E12" s="41">
        <v>98597856</v>
      </c>
      <c r="F12" s="41">
        <v>1362592905</v>
      </c>
      <c r="G12" s="41">
        <v>333574709</v>
      </c>
      <c r="H12" s="41">
        <v>3454187</v>
      </c>
      <c r="I12" s="41">
        <v>262683696</v>
      </c>
      <c r="J12" s="41">
        <v>772296</v>
      </c>
      <c r="K12" s="41">
        <v>0</v>
      </c>
      <c r="L12" s="41">
        <v>36845021</v>
      </c>
      <c r="M12" s="41">
        <v>106595</v>
      </c>
      <c r="N12" s="41">
        <v>0</v>
      </c>
      <c r="O12" s="41">
        <v>41007298</v>
      </c>
      <c r="P12" s="41">
        <v>262729</v>
      </c>
      <c r="Q12" s="41">
        <v>0</v>
      </c>
      <c r="R12" s="41">
        <v>154339</v>
      </c>
      <c r="S12" s="41">
        <v>25283338046</v>
      </c>
      <c r="T12" s="41">
        <f t="shared" si="0"/>
        <v>5103624033</v>
      </c>
      <c r="U12" s="43">
        <f t="shared" si="1"/>
        <v>20179714013</v>
      </c>
    </row>
    <row r="13" spans="1:21" x14ac:dyDescent="0.2">
      <c r="A13" s="40" t="s">
        <v>10</v>
      </c>
      <c r="B13" s="41">
        <v>1207975265</v>
      </c>
      <c r="C13" s="41">
        <v>895834284</v>
      </c>
      <c r="D13" s="41">
        <v>0</v>
      </c>
      <c r="E13" s="41">
        <v>55066060</v>
      </c>
      <c r="F13" s="41">
        <v>1007182600</v>
      </c>
      <c r="G13" s="41">
        <v>274462644</v>
      </c>
      <c r="H13" s="41">
        <v>2749475</v>
      </c>
      <c r="I13" s="41">
        <v>205869361</v>
      </c>
      <c r="J13" s="41">
        <v>0</v>
      </c>
      <c r="K13" s="41">
        <v>0</v>
      </c>
      <c r="L13" s="41">
        <v>0</v>
      </c>
      <c r="M13" s="41">
        <v>343600</v>
      </c>
      <c r="N13" s="41">
        <v>0</v>
      </c>
      <c r="O13" s="41">
        <v>22615650</v>
      </c>
      <c r="P13" s="41">
        <v>55773</v>
      </c>
      <c r="Q13" s="41">
        <v>0</v>
      </c>
      <c r="R13" s="41">
        <v>0</v>
      </c>
      <c r="S13" s="41">
        <v>14867571347</v>
      </c>
      <c r="T13" s="41">
        <f t="shared" si="0"/>
        <v>3672154712</v>
      </c>
      <c r="U13" s="43">
        <f t="shared" si="1"/>
        <v>11195416635</v>
      </c>
    </row>
    <row r="14" spans="1:21" x14ac:dyDescent="0.2">
      <c r="A14" s="40" t="s">
        <v>11</v>
      </c>
      <c r="B14" s="41">
        <v>1316164072</v>
      </c>
      <c r="C14" s="41">
        <v>1189837997</v>
      </c>
      <c r="D14" s="41">
        <v>70952950</v>
      </c>
      <c r="E14" s="41">
        <v>50600521</v>
      </c>
      <c r="F14" s="41">
        <v>1385041784</v>
      </c>
      <c r="G14" s="41">
        <v>501685076</v>
      </c>
      <c r="H14" s="41">
        <v>1906500</v>
      </c>
      <c r="I14" s="41">
        <v>392614091</v>
      </c>
      <c r="J14" s="41">
        <v>2809440</v>
      </c>
      <c r="K14" s="41">
        <v>0</v>
      </c>
      <c r="L14" s="41">
        <v>0</v>
      </c>
      <c r="M14" s="41">
        <v>172842</v>
      </c>
      <c r="N14" s="41">
        <v>791600</v>
      </c>
      <c r="O14" s="41">
        <v>7671600</v>
      </c>
      <c r="P14" s="41">
        <v>9490760</v>
      </c>
      <c r="Q14" s="41">
        <v>0</v>
      </c>
      <c r="R14" s="41">
        <v>0</v>
      </c>
      <c r="S14" s="41">
        <v>17949826936</v>
      </c>
      <c r="T14" s="41">
        <f t="shared" si="0"/>
        <v>4929739233</v>
      </c>
      <c r="U14" s="43">
        <f t="shared" si="1"/>
        <v>13020087703</v>
      </c>
    </row>
    <row r="15" spans="1:21" x14ac:dyDescent="0.2">
      <c r="A15" s="40" t="s">
        <v>12</v>
      </c>
      <c r="B15" s="41">
        <v>2503670869</v>
      </c>
      <c r="C15" s="41">
        <v>2363885539</v>
      </c>
      <c r="D15" s="41">
        <v>96564743</v>
      </c>
      <c r="E15" s="41">
        <v>162820987</v>
      </c>
      <c r="F15" s="41">
        <v>4157180746</v>
      </c>
      <c r="G15" s="41">
        <v>2026917256</v>
      </c>
      <c r="H15" s="41">
        <v>4990890</v>
      </c>
      <c r="I15" s="41">
        <v>240176023</v>
      </c>
      <c r="J15" s="41">
        <v>0</v>
      </c>
      <c r="K15" s="41">
        <v>0</v>
      </c>
      <c r="L15" s="41">
        <v>4609170</v>
      </c>
      <c r="M15" s="41">
        <v>0</v>
      </c>
      <c r="N15" s="41">
        <v>0</v>
      </c>
      <c r="O15" s="41">
        <v>58086840</v>
      </c>
      <c r="P15" s="41">
        <v>358337</v>
      </c>
      <c r="Q15" s="41">
        <v>2759988</v>
      </c>
      <c r="R15" s="41">
        <v>654624</v>
      </c>
      <c r="S15" s="41">
        <v>116301682589</v>
      </c>
      <c r="T15" s="41">
        <f t="shared" si="0"/>
        <v>11622676012</v>
      </c>
      <c r="U15" s="43">
        <f t="shared" si="1"/>
        <v>104679006577</v>
      </c>
    </row>
    <row r="16" spans="1:21" x14ac:dyDescent="0.2">
      <c r="A16" s="40" t="s">
        <v>13</v>
      </c>
      <c r="B16" s="41">
        <v>396351214</v>
      </c>
      <c r="C16" s="41">
        <v>267598414</v>
      </c>
      <c r="D16" s="41">
        <v>43254445</v>
      </c>
      <c r="E16" s="41">
        <v>23196763</v>
      </c>
      <c r="F16" s="41">
        <v>448079961</v>
      </c>
      <c r="G16" s="41">
        <v>127259527</v>
      </c>
      <c r="H16" s="41">
        <v>686308</v>
      </c>
      <c r="I16" s="41">
        <v>50864352</v>
      </c>
      <c r="J16" s="41">
        <v>3502865</v>
      </c>
      <c r="K16" s="41">
        <v>0</v>
      </c>
      <c r="L16" s="41">
        <v>11141082</v>
      </c>
      <c r="M16" s="41">
        <v>60666</v>
      </c>
      <c r="N16" s="41">
        <v>0</v>
      </c>
      <c r="O16" s="41">
        <v>2078142</v>
      </c>
      <c r="P16" s="41">
        <v>249683</v>
      </c>
      <c r="Q16" s="41">
        <v>1734892</v>
      </c>
      <c r="R16" s="41">
        <v>80395754</v>
      </c>
      <c r="S16" s="41">
        <v>4678853388</v>
      </c>
      <c r="T16" s="41">
        <f t="shared" si="0"/>
        <v>1456454068</v>
      </c>
      <c r="U16" s="43">
        <f t="shared" si="1"/>
        <v>3222399320</v>
      </c>
    </row>
    <row r="17" spans="1:21" x14ac:dyDescent="0.2">
      <c r="A17" s="40" t="s">
        <v>106</v>
      </c>
      <c r="B17" s="41">
        <v>10963346965</v>
      </c>
      <c r="C17" s="41">
        <v>10055932448</v>
      </c>
      <c r="D17" s="41">
        <v>1636870017</v>
      </c>
      <c r="E17" s="41">
        <v>1070063848</v>
      </c>
      <c r="F17" s="41">
        <v>21301792226</v>
      </c>
      <c r="G17" s="41">
        <v>11712487128</v>
      </c>
      <c r="H17" s="41">
        <v>13684000</v>
      </c>
      <c r="I17" s="41">
        <v>471053260</v>
      </c>
      <c r="J17" s="41">
        <v>13655316</v>
      </c>
      <c r="K17" s="41">
        <v>131139852</v>
      </c>
      <c r="L17" s="41">
        <v>0</v>
      </c>
      <c r="M17" s="41">
        <v>710872</v>
      </c>
      <c r="N17" s="41">
        <v>2982114</v>
      </c>
      <c r="O17" s="41">
        <v>11072902</v>
      </c>
      <c r="P17" s="41">
        <v>493375</v>
      </c>
      <c r="Q17" s="41">
        <v>325552578</v>
      </c>
      <c r="R17" s="41">
        <v>3615118</v>
      </c>
      <c r="S17" s="41">
        <v>396053981064</v>
      </c>
      <c r="T17" s="41">
        <f t="shared" si="0"/>
        <v>57714452019</v>
      </c>
      <c r="U17" s="43">
        <f t="shared" si="1"/>
        <v>338339529045</v>
      </c>
    </row>
    <row r="18" spans="1:21" x14ac:dyDescent="0.2">
      <c r="A18" s="40" t="s">
        <v>14</v>
      </c>
      <c r="B18" s="41">
        <v>150951727</v>
      </c>
      <c r="C18" s="41">
        <v>101570479</v>
      </c>
      <c r="D18" s="41">
        <v>17825543</v>
      </c>
      <c r="E18" s="41">
        <v>21576753</v>
      </c>
      <c r="F18" s="41">
        <v>205299090</v>
      </c>
      <c r="G18" s="41">
        <v>121421920</v>
      </c>
      <c r="H18" s="41">
        <v>350959</v>
      </c>
      <c r="I18" s="41">
        <v>12966475</v>
      </c>
      <c r="J18" s="41">
        <v>25495993</v>
      </c>
      <c r="K18" s="41">
        <v>0</v>
      </c>
      <c r="L18" s="41">
        <v>0</v>
      </c>
      <c r="M18" s="41">
        <v>0</v>
      </c>
      <c r="N18" s="41">
        <v>0</v>
      </c>
      <c r="O18" s="41">
        <v>1289462</v>
      </c>
      <c r="P18" s="41">
        <v>57302</v>
      </c>
      <c r="Q18" s="41">
        <v>0</v>
      </c>
      <c r="R18" s="41">
        <v>40910948</v>
      </c>
      <c r="S18" s="41">
        <v>2723814220</v>
      </c>
      <c r="T18" s="41">
        <f t="shared" si="0"/>
        <v>699716651</v>
      </c>
      <c r="U18" s="43">
        <f t="shared" si="1"/>
        <v>2024097569</v>
      </c>
    </row>
    <row r="19" spans="1:21" x14ac:dyDescent="0.2">
      <c r="A19" s="40" t="s">
        <v>15</v>
      </c>
      <c r="B19" s="41">
        <v>106478319</v>
      </c>
      <c r="C19" s="41">
        <v>32720081</v>
      </c>
      <c r="D19" s="41">
        <v>0</v>
      </c>
      <c r="E19" s="41">
        <v>3542148</v>
      </c>
      <c r="F19" s="41">
        <v>153672757</v>
      </c>
      <c r="G19" s="41">
        <v>14874048</v>
      </c>
      <c r="H19" s="41">
        <v>201910</v>
      </c>
      <c r="I19" s="41">
        <v>6871558</v>
      </c>
      <c r="J19" s="41">
        <v>1381424</v>
      </c>
      <c r="K19" s="41">
        <v>0</v>
      </c>
      <c r="L19" s="41">
        <v>0</v>
      </c>
      <c r="M19" s="41">
        <v>141200</v>
      </c>
      <c r="N19" s="41">
        <v>0</v>
      </c>
      <c r="O19" s="41">
        <v>0</v>
      </c>
      <c r="P19" s="41">
        <v>36098</v>
      </c>
      <c r="Q19" s="41">
        <v>0</v>
      </c>
      <c r="R19" s="41">
        <v>0</v>
      </c>
      <c r="S19" s="41">
        <v>916751826</v>
      </c>
      <c r="T19" s="41">
        <f t="shared" si="0"/>
        <v>319919543</v>
      </c>
      <c r="U19" s="43">
        <f t="shared" si="1"/>
        <v>596832283</v>
      </c>
    </row>
    <row r="20" spans="1:21" x14ac:dyDescent="0.2">
      <c r="A20" s="40" t="s">
        <v>16</v>
      </c>
      <c r="B20" s="41">
        <v>5044217773</v>
      </c>
      <c r="C20" s="41">
        <v>4368933014</v>
      </c>
      <c r="D20" s="41">
        <v>220542495</v>
      </c>
      <c r="E20" s="41">
        <v>272501533</v>
      </c>
      <c r="F20" s="41">
        <v>12378697795</v>
      </c>
      <c r="G20" s="41">
        <v>5643663059</v>
      </c>
      <c r="H20" s="41">
        <v>7044966</v>
      </c>
      <c r="I20" s="41">
        <v>485125392</v>
      </c>
      <c r="J20" s="41">
        <v>993917</v>
      </c>
      <c r="K20" s="41">
        <v>37783243</v>
      </c>
      <c r="L20" s="41">
        <v>598233</v>
      </c>
      <c r="M20" s="41">
        <v>639186</v>
      </c>
      <c r="N20" s="41">
        <v>863912</v>
      </c>
      <c r="O20" s="41">
        <v>43280333</v>
      </c>
      <c r="P20" s="41">
        <v>14702759</v>
      </c>
      <c r="Q20" s="41">
        <v>19128031</v>
      </c>
      <c r="R20" s="41">
        <v>46204759</v>
      </c>
      <c r="S20" s="41">
        <v>107968186918</v>
      </c>
      <c r="T20" s="41">
        <f t="shared" si="0"/>
        <v>28584920400</v>
      </c>
      <c r="U20" s="43">
        <f t="shared" si="1"/>
        <v>79383266518</v>
      </c>
    </row>
    <row r="21" spans="1:21" x14ac:dyDescent="0.2">
      <c r="A21" s="40" t="s">
        <v>17</v>
      </c>
      <c r="B21" s="41">
        <v>1793724951</v>
      </c>
      <c r="C21" s="41">
        <v>1457757582</v>
      </c>
      <c r="D21" s="41">
        <v>121516269</v>
      </c>
      <c r="E21" s="41">
        <v>105133051</v>
      </c>
      <c r="F21" s="41">
        <v>3961135306</v>
      </c>
      <c r="G21" s="41">
        <v>1390018548</v>
      </c>
      <c r="H21" s="41">
        <v>3721164</v>
      </c>
      <c r="I21" s="41">
        <v>290328367</v>
      </c>
      <c r="J21" s="41">
        <v>153385</v>
      </c>
      <c r="K21" s="41">
        <v>193001</v>
      </c>
      <c r="L21" s="41">
        <v>440617171</v>
      </c>
      <c r="M21" s="41">
        <v>312631</v>
      </c>
      <c r="N21" s="41">
        <v>1598905</v>
      </c>
      <c r="O21" s="41">
        <v>31430066</v>
      </c>
      <c r="P21" s="41">
        <v>1227699</v>
      </c>
      <c r="Q21" s="41">
        <v>40523999</v>
      </c>
      <c r="R21" s="41">
        <v>63831204</v>
      </c>
      <c r="S21" s="41">
        <v>30629850941</v>
      </c>
      <c r="T21" s="41">
        <f t="shared" si="0"/>
        <v>9703223299</v>
      </c>
      <c r="U21" s="43">
        <f t="shared" si="1"/>
        <v>20926627642</v>
      </c>
    </row>
    <row r="22" spans="1:21" x14ac:dyDescent="0.2">
      <c r="A22" s="40" t="s">
        <v>18</v>
      </c>
      <c r="B22" s="41">
        <v>894701687</v>
      </c>
      <c r="C22" s="41">
        <v>865938458</v>
      </c>
      <c r="D22" s="41">
        <v>187270666</v>
      </c>
      <c r="E22" s="41">
        <v>32393849</v>
      </c>
      <c r="F22" s="41">
        <v>672843459</v>
      </c>
      <c r="G22" s="41">
        <v>275135993</v>
      </c>
      <c r="H22" s="41">
        <v>1813500</v>
      </c>
      <c r="I22" s="41">
        <v>142854211</v>
      </c>
      <c r="J22" s="41">
        <v>5404074</v>
      </c>
      <c r="K22" s="41">
        <v>0</v>
      </c>
      <c r="L22" s="41">
        <v>0</v>
      </c>
      <c r="M22" s="41">
        <v>1283739</v>
      </c>
      <c r="N22" s="41">
        <v>442471</v>
      </c>
      <c r="O22" s="41">
        <v>33860001</v>
      </c>
      <c r="P22" s="41">
        <v>96884</v>
      </c>
      <c r="Q22" s="41">
        <v>5886683</v>
      </c>
      <c r="R22" s="41">
        <v>0</v>
      </c>
      <c r="S22" s="41">
        <v>13856864351</v>
      </c>
      <c r="T22" s="41">
        <f t="shared" si="0"/>
        <v>3119925675</v>
      </c>
      <c r="U22" s="43">
        <f t="shared" ref="U22:U70" si="2">S22-T22</f>
        <v>10736938676</v>
      </c>
    </row>
    <row r="23" spans="1:21" x14ac:dyDescent="0.2">
      <c r="A23" s="40" t="s">
        <v>19</v>
      </c>
      <c r="B23" s="41">
        <v>77688517</v>
      </c>
      <c r="C23" s="41">
        <v>51418212</v>
      </c>
      <c r="D23" s="41">
        <v>7198242</v>
      </c>
      <c r="E23" s="41">
        <v>4854448</v>
      </c>
      <c r="F23" s="41">
        <v>553874281</v>
      </c>
      <c r="G23" s="41">
        <v>31590514</v>
      </c>
      <c r="H23" s="41">
        <v>143000</v>
      </c>
      <c r="I23" s="41">
        <v>6321948</v>
      </c>
      <c r="J23" s="41">
        <v>312197</v>
      </c>
      <c r="K23" s="41">
        <v>0</v>
      </c>
      <c r="L23" s="41">
        <v>0</v>
      </c>
      <c r="M23" s="41">
        <v>0</v>
      </c>
      <c r="N23" s="41">
        <v>0</v>
      </c>
      <c r="O23" s="41">
        <v>4246717</v>
      </c>
      <c r="P23" s="41">
        <v>0</v>
      </c>
      <c r="Q23" s="41">
        <v>0</v>
      </c>
      <c r="R23" s="41">
        <v>0</v>
      </c>
      <c r="S23" s="41">
        <v>3078239191</v>
      </c>
      <c r="T23" s="41">
        <f t="shared" si="0"/>
        <v>737648076</v>
      </c>
      <c r="U23" s="43">
        <f t="shared" si="2"/>
        <v>2340591115</v>
      </c>
    </row>
    <row r="24" spans="1:21" x14ac:dyDescent="0.2">
      <c r="A24" s="40" t="s">
        <v>20</v>
      </c>
      <c r="B24" s="41">
        <v>244143811</v>
      </c>
      <c r="C24" s="41">
        <v>139129739</v>
      </c>
      <c r="D24" s="41">
        <v>7133836</v>
      </c>
      <c r="E24" s="41">
        <v>12634388</v>
      </c>
      <c r="F24" s="41">
        <v>453533866</v>
      </c>
      <c r="G24" s="41">
        <v>67786274</v>
      </c>
      <c r="H24" s="41">
        <v>358483</v>
      </c>
      <c r="I24" s="41">
        <v>22865190</v>
      </c>
      <c r="J24" s="41">
        <v>1915307</v>
      </c>
      <c r="K24" s="41">
        <v>0</v>
      </c>
      <c r="L24" s="41">
        <v>17745524</v>
      </c>
      <c r="M24" s="41">
        <v>128846</v>
      </c>
      <c r="N24" s="41">
        <v>0</v>
      </c>
      <c r="O24" s="41">
        <v>936725</v>
      </c>
      <c r="P24" s="41">
        <v>0</v>
      </c>
      <c r="Q24" s="41">
        <v>0</v>
      </c>
      <c r="R24" s="41">
        <v>0</v>
      </c>
      <c r="S24" s="41">
        <v>2594733334</v>
      </c>
      <c r="T24" s="41">
        <f t="shared" si="0"/>
        <v>968311989</v>
      </c>
      <c r="U24" s="43">
        <f t="shared" si="2"/>
        <v>1626421345</v>
      </c>
    </row>
    <row r="25" spans="1:21" x14ac:dyDescent="0.2">
      <c r="A25" s="40" t="s">
        <v>21</v>
      </c>
      <c r="B25" s="41">
        <v>124136023</v>
      </c>
      <c r="C25" s="41">
        <v>73828295</v>
      </c>
      <c r="D25" s="41">
        <v>5112543</v>
      </c>
      <c r="E25" s="41">
        <v>5771300</v>
      </c>
      <c r="F25" s="41">
        <v>87896834</v>
      </c>
      <c r="G25" s="41">
        <v>28909814</v>
      </c>
      <c r="H25" s="41">
        <v>253197</v>
      </c>
      <c r="I25" s="41">
        <v>12987644</v>
      </c>
      <c r="J25" s="41">
        <v>720956</v>
      </c>
      <c r="K25" s="41">
        <v>0</v>
      </c>
      <c r="L25" s="41">
        <v>0</v>
      </c>
      <c r="M25" s="41">
        <v>6025</v>
      </c>
      <c r="N25" s="41">
        <v>0</v>
      </c>
      <c r="O25" s="41">
        <v>1248207</v>
      </c>
      <c r="P25" s="41">
        <v>0</v>
      </c>
      <c r="Q25" s="41">
        <v>4631899</v>
      </c>
      <c r="R25" s="41">
        <v>0</v>
      </c>
      <c r="S25" s="41">
        <v>1294132808</v>
      </c>
      <c r="T25" s="41">
        <f t="shared" si="0"/>
        <v>345502737</v>
      </c>
      <c r="U25" s="43">
        <f t="shared" si="2"/>
        <v>948630071</v>
      </c>
    </row>
    <row r="26" spans="1:21" x14ac:dyDescent="0.2">
      <c r="A26" s="40" t="s">
        <v>22</v>
      </c>
      <c r="B26" s="41">
        <v>61917060</v>
      </c>
      <c r="C26" s="41">
        <v>37826437</v>
      </c>
      <c r="D26" s="41">
        <v>3012895</v>
      </c>
      <c r="E26" s="41">
        <v>15513010</v>
      </c>
      <c r="F26" s="41">
        <v>787641643</v>
      </c>
      <c r="G26" s="41">
        <v>27719215</v>
      </c>
      <c r="H26" s="41">
        <v>155000</v>
      </c>
      <c r="I26" s="41">
        <v>6409839</v>
      </c>
      <c r="J26" s="41">
        <v>5053582</v>
      </c>
      <c r="K26" s="41">
        <v>0</v>
      </c>
      <c r="L26" s="41">
        <v>1714552</v>
      </c>
      <c r="M26" s="41">
        <v>11347</v>
      </c>
      <c r="N26" s="41">
        <v>0</v>
      </c>
      <c r="O26" s="41">
        <v>775029</v>
      </c>
      <c r="P26" s="41">
        <v>0</v>
      </c>
      <c r="Q26" s="41">
        <v>0</v>
      </c>
      <c r="R26" s="41">
        <v>0</v>
      </c>
      <c r="S26" s="41">
        <v>1707665444</v>
      </c>
      <c r="T26" s="41">
        <f t="shared" si="0"/>
        <v>947749609</v>
      </c>
      <c r="U26" s="43">
        <f t="shared" si="2"/>
        <v>759915835</v>
      </c>
    </row>
    <row r="27" spans="1:21" x14ac:dyDescent="0.2">
      <c r="A27" s="40" t="s">
        <v>23</v>
      </c>
      <c r="B27" s="41">
        <v>91064685</v>
      </c>
      <c r="C27" s="41">
        <v>56311215</v>
      </c>
      <c r="D27" s="41">
        <v>4069886</v>
      </c>
      <c r="E27" s="41">
        <v>4869849</v>
      </c>
      <c r="F27" s="41">
        <v>520846895</v>
      </c>
      <c r="G27" s="41">
        <v>51241792</v>
      </c>
      <c r="H27" s="41">
        <v>164500</v>
      </c>
      <c r="I27" s="41">
        <v>11737672</v>
      </c>
      <c r="J27" s="41">
        <v>121022</v>
      </c>
      <c r="K27" s="41">
        <v>0</v>
      </c>
      <c r="L27" s="41">
        <v>0</v>
      </c>
      <c r="M27" s="41">
        <v>0</v>
      </c>
      <c r="N27" s="41">
        <v>83235</v>
      </c>
      <c r="O27" s="41">
        <v>3271087</v>
      </c>
      <c r="P27" s="41">
        <v>0</v>
      </c>
      <c r="Q27" s="41">
        <v>374386</v>
      </c>
      <c r="R27" s="41">
        <v>0</v>
      </c>
      <c r="S27" s="41">
        <v>2784279924</v>
      </c>
      <c r="T27" s="41">
        <f t="shared" si="0"/>
        <v>744156224</v>
      </c>
      <c r="U27" s="43">
        <f t="shared" si="2"/>
        <v>2040123700</v>
      </c>
    </row>
    <row r="28" spans="1:21" x14ac:dyDescent="0.2">
      <c r="A28" s="40" t="s">
        <v>24</v>
      </c>
      <c r="B28" s="41">
        <v>66266139</v>
      </c>
      <c r="C28" s="41">
        <v>30805544</v>
      </c>
      <c r="D28" s="41">
        <v>4949215</v>
      </c>
      <c r="E28" s="41">
        <v>7661986</v>
      </c>
      <c r="F28" s="41">
        <v>91947198</v>
      </c>
      <c r="G28" s="41">
        <v>54821879</v>
      </c>
      <c r="H28" s="41">
        <v>153096</v>
      </c>
      <c r="I28" s="41">
        <v>5856563</v>
      </c>
      <c r="J28" s="41">
        <v>345560</v>
      </c>
      <c r="K28" s="41">
        <v>0</v>
      </c>
      <c r="L28" s="41">
        <v>0</v>
      </c>
      <c r="M28" s="41">
        <v>24728</v>
      </c>
      <c r="N28" s="41">
        <v>0</v>
      </c>
      <c r="O28" s="41">
        <v>415839</v>
      </c>
      <c r="P28" s="41">
        <v>0</v>
      </c>
      <c r="Q28" s="41">
        <v>0</v>
      </c>
      <c r="R28" s="41">
        <v>0</v>
      </c>
      <c r="S28" s="41">
        <v>1286863706</v>
      </c>
      <c r="T28" s="41">
        <f t="shared" si="0"/>
        <v>263247747</v>
      </c>
      <c r="U28" s="43">
        <f t="shared" si="2"/>
        <v>1023615959</v>
      </c>
    </row>
    <row r="29" spans="1:21" x14ac:dyDescent="0.2">
      <c r="A29" s="40" t="s">
        <v>25</v>
      </c>
      <c r="B29" s="41">
        <v>109262903</v>
      </c>
      <c r="C29" s="41">
        <v>63167930</v>
      </c>
      <c r="D29" s="41">
        <v>6823903</v>
      </c>
      <c r="E29" s="41">
        <v>19385774</v>
      </c>
      <c r="F29" s="41">
        <v>118719962</v>
      </c>
      <c r="G29" s="41">
        <v>159610622</v>
      </c>
      <c r="H29" s="41">
        <v>248198</v>
      </c>
      <c r="I29" s="41">
        <v>3837868</v>
      </c>
      <c r="J29" s="41">
        <v>347505</v>
      </c>
      <c r="K29" s="41">
        <v>0</v>
      </c>
      <c r="L29" s="41">
        <v>0</v>
      </c>
      <c r="M29" s="41">
        <v>0</v>
      </c>
      <c r="N29" s="41">
        <v>0</v>
      </c>
      <c r="O29" s="41">
        <v>140117</v>
      </c>
      <c r="P29" s="41">
        <v>0</v>
      </c>
      <c r="Q29" s="41">
        <v>0</v>
      </c>
      <c r="R29" s="41">
        <v>0</v>
      </c>
      <c r="S29" s="41">
        <v>2311779783</v>
      </c>
      <c r="T29" s="41">
        <f t="shared" si="0"/>
        <v>481544782</v>
      </c>
      <c r="U29" s="43">
        <f t="shared" si="2"/>
        <v>1830235001</v>
      </c>
    </row>
    <row r="30" spans="1:21" x14ac:dyDescent="0.2">
      <c r="A30" s="40" t="s">
        <v>26</v>
      </c>
      <c r="B30" s="41">
        <v>175306339</v>
      </c>
      <c r="C30" s="41">
        <v>106328325</v>
      </c>
      <c r="D30" s="41">
        <v>12760944</v>
      </c>
      <c r="E30" s="41">
        <v>16586610</v>
      </c>
      <c r="F30" s="41">
        <v>1180501835</v>
      </c>
      <c r="G30" s="41">
        <v>90393056</v>
      </c>
      <c r="H30" s="41">
        <v>267368</v>
      </c>
      <c r="I30" s="41">
        <v>8197698</v>
      </c>
      <c r="J30" s="41">
        <v>9664035</v>
      </c>
      <c r="K30" s="41">
        <v>0</v>
      </c>
      <c r="L30" s="41">
        <v>1617412</v>
      </c>
      <c r="M30" s="41">
        <v>15162</v>
      </c>
      <c r="N30" s="41">
        <v>0</v>
      </c>
      <c r="O30" s="41">
        <v>0</v>
      </c>
      <c r="P30" s="41">
        <v>77089</v>
      </c>
      <c r="Q30" s="41">
        <v>0</v>
      </c>
      <c r="R30" s="41">
        <v>59969902</v>
      </c>
      <c r="S30" s="41">
        <v>4345703119</v>
      </c>
      <c r="T30" s="41">
        <f t="shared" si="0"/>
        <v>1661685775</v>
      </c>
      <c r="U30" s="43">
        <f t="shared" si="2"/>
        <v>2684017344</v>
      </c>
    </row>
    <row r="31" spans="1:21" x14ac:dyDescent="0.2">
      <c r="A31" s="40" t="s">
        <v>27</v>
      </c>
      <c r="B31" s="41">
        <v>1355551191</v>
      </c>
      <c r="C31" s="41">
        <v>1112931399</v>
      </c>
      <c r="D31" s="41">
        <v>181768376</v>
      </c>
      <c r="E31" s="41">
        <v>56856507</v>
      </c>
      <c r="F31" s="41">
        <v>1521081726</v>
      </c>
      <c r="G31" s="41">
        <v>238706219</v>
      </c>
      <c r="H31" s="41">
        <v>3187591</v>
      </c>
      <c r="I31" s="41">
        <v>240181707</v>
      </c>
      <c r="J31" s="41">
        <v>81973</v>
      </c>
      <c r="K31" s="41">
        <v>0</v>
      </c>
      <c r="L31" s="41">
        <v>0</v>
      </c>
      <c r="M31" s="41">
        <v>350053</v>
      </c>
      <c r="N31" s="41">
        <v>0</v>
      </c>
      <c r="O31" s="41">
        <v>5921699</v>
      </c>
      <c r="P31" s="41">
        <v>5598</v>
      </c>
      <c r="Q31" s="41">
        <v>14686684</v>
      </c>
      <c r="R31" s="41">
        <v>0</v>
      </c>
      <c r="S31" s="41">
        <v>15595094873</v>
      </c>
      <c r="T31" s="41">
        <f t="shared" si="0"/>
        <v>4731310723</v>
      </c>
      <c r="U31" s="43">
        <f t="shared" si="2"/>
        <v>10863784150</v>
      </c>
    </row>
    <row r="32" spans="1:21" x14ac:dyDescent="0.2">
      <c r="A32" s="40" t="s">
        <v>28</v>
      </c>
      <c r="B32" s="41">
        <v>615776639</v>
      </c>
      <c r="C32" s="41">
        <v>444621462</v>
      </c>
      <c r="D32" s="41">
        <v>27466237</v>
      </c>
      <c r="E32" s="41">
        <v>77680065</v>
      </c>
      <c r="F32" s="41">
        <v>549065690</v>
      </c>
      <c r="G32" s="41">
        <v>408139560</v>
      </c>
      <c r="H32" s="41">
        <v>2077963</v>
      </c>
      <c r="I32" s="41">
        <v>78053877</v>
      </c>
      <c r="J32" s="41">
        <v>13736341</v>
      </c>
      <c r="K32" s="41">
        <v>0</v>
      </c>
      <c r="L32" s="41">
        <v>1342845</v>
      </c>
      <c r="M32" s="41">
        <v>180954</v>
      </c>
      <c r="N32" s="41">
        <v>0</v>
      </c>
      <c r="O32" s="41">
        <v>5596181</v>
      </c>
      <c r="P32" s="41">
        <v>150508</v>
      </c>
      <c r="Q32" s="41">
        <v>0</v>
      </c>
      <c r="R32" s="41">
        <v>0</v>
      </c>
      <c r="S32" s="41">
        <v>7924349682</v>
      </c>
      <c r="T32" s="41">
        <f t="shared" si="0"/>
        <v>2223888322</v>
      </c>
      <c r="U32" s="43">
        <f t="shared" si="2"/>
        <v>5700461360</v>
      </c>
    </row>
    <row r="33" spans="1:21" x14ac:dyDescent="0.2">
      <c r="A33" s="40" t="s">
        <v>29</v>
      </c>
      <c r="B33" s="41">
        <v>7241384677</v>
      </c>
      <c r="C33" s="41">
        <v>6422436714</v>
      </c>
      <c r="D33" s="41">
        <v>222212600</v>
      </c>
      <c r="E33" s="41">
        <v>415423203</v>
      </c>
      <c r="F33" s="41">
        <v>11261280846</v>
      </c>
      <c r="G33" s="41">
        <v>5734493649</v>
      </c>
      <c r="H33" s="41">
        <v>8989000</v>
      </c>
      <c r="I33" s="41">
        <v>1527219756</v>
      </c>
      <c r="J33" s="41">
        <v>1190330</v>
      </c>
      <c r="K33" s="41">
        <v>77529974</v>
      </c>
      <c r="L33" s="41">
        <v>18848656</v>
      </c>
      <c r="M33" s="41">
        <v>67768</v>
      </c>
      <c r="N33" s="41">
        <v>3682560</v>
      </c>
      <c r="O33" s="41">
        <v>29157376</v>
      </c>
      <c r="P33" s="41">
        <v>11890540</v>
      </c>
      <c r="Q33" s="41">
        <v>142973712</v>
      </c>
      <c r="R33" s="41">
        <v>0</v>
      </c>
      <c r="S33" s="41">
        <v>155448844178</v>
      </c>
      <c r="T33" s="41">
        <f t="shared" si="0"/>
        <v>33118781361</v>
      </c>
      <c r="U33" s="43">
        <f t="shared" si="2"/>
        <v>122330062817</v>
      </c>
    </row>
    <row r="34" spans="1:21" x14ac:dyDescent="0.2">
      <c r="A34" s="40" t="s">
        <v>30</v>
      </c>
      <c r="B34" s="41">
        <v>115226337</v>
      </c>
      <c r="C34" s="41">
        <v>56809423</v>
      </c>
      <c r="D34" s="41">
        <v>16765920</v>
      </c>
      <c r="E34" s="41">
        <v>12545740</v>
      </c>
      <c r="F34" s="41">
        <v>79404779</v>
      </c>
      <c r="G34" s="41">
        <v>44704448</v>
      </c>
      <c r="H34" s="41">
        <v>232568</v>
      </c>
      <c r="I34" s="41">
        <v>14205091</v>
      </c>
      <c r="J34" s="41">
        <v>0</v>
      </c>
      <c r="K34" s="41">
        <v>0</v>
      </c>
      <c r="L34" s="41">
        <v>269376</v>
      </c>
      <c r="M34" s="41">
        <v>52678</v>
      </c>
      <c r="N34" s="41">
        <v>0</v>
      </c>
      <c r="O34" s="41">
        <v>657486</v>
      </c>
      <c r="P34" s="41">
        <v>0</v>
      </c>
      <c r="Q34" s="41">
        <v>0</v>
      </c>
      <c r="R34" s="41">
        <v>0</v>
      </c>
      <c r="S34" s="41">
        <v>831853476</v>
      </c>
      <c r="T34" s="41">
        <f t="shared" si="0"/>
        <v>340873846</v>
      </c>
      <c r="U34" s="43">
        <f t="shared" si="2"/>
        <v>490979630</v>
      </c>
    </row>
    <row r="35" spans="1:21" x14ac:dyDescent="0.2">
      <c r="A35" s="40" t="s">
        <v>31</v>
      </c>
      <c r="B35" s="41">
        <v>1166079795</v>
      </c>
      <c r="C35" s="41">
        <v>1033568996</v>
      </c>
      <c r="D35" s="41">
        <v>46054577</v>
      </c>
      <c r="E35" s="41">
        <v>48412670</v>
      </c>
      <c r="F35" s="41">
        <v>968445779</v>
      </c>
      <c r="G35" s="41">
        <v>763534648</v>
      </c>
      <c r="H35" s="41">
        <v>2210007</v>
      </c>
      <c r="I35" s="41">
        <v>141148488</v>
      </c>
      <c r="J35" s="41">
        <v>660955</v>
      </c>
      <c r="K35" s="41">
        <v>0</v>
      </c>
      <c r="L35" s="41">
        <v>0</v>
      </c>
      <c r="M35" s="41">
        <v>21854</v>
      </c>
      <c r="N35" s="41">
        <v>161115</v>
      </c>
      <c r="O35" s="41">
        <v>27083409</v>
      </c>
      <c r="P35" s="41">
        <v>0</v>
      </c>
      <c r="Q35" s="41">
        <v>0</v>
      </c>
      <c r="R35" s="41">
        <v>0</v>
      </c>
      <c r="S35" s="41">
        <v>24786710640</v>
      </c>
      <c r="T35" s="41">
        <f t="shared" si="0"/>
        <v>4197382293</v>
      </c>
      <c r="U35" s="43">
        <f t="shared" si="2"/>
        <v>20589328347</v>
      </c>
    </row>
    <row r="36" spans="1:21" x14ac:dyDescent="0.2">
      <c r="A36" s="40" t="s">
        <v>32</v>
      </c>
      <c r="B36" s="41">
        <v>245160245</v>
      </c>
      <c r="C36" s="41">
        <v>124512971</v>
      </c>
      <c r="D36" s="41">
        <v>6753343</v>
      </c>
      <c r="E36" s="41">
        <v>18433765</v>
      </c>
      <c r="F36" s="41">
        <v>398171462</v>
      </c>
      <c r="G36" s="41">
        <v>132269694</v>
      </c>
      <c r="H36" s="41">
        <v>605734</v>
      </c>
      <c r="I36" s="41">
        <v>23796047</v>
      </c>
      <c r="J36" s="41">
        <v>197488</v>
      </c>
      <c r="K36" s="41">
        <v>0</v>
      </c>
      <c r="L36" s="41">
        <v>0</v>
      </c>
      <c r="M36" s="41">
        <v>125350</v>
      </c>
      <c r="N36" s="41">
        <v>0</v>
      </c>
      <c r="O36" s="41">
        <v>1556207</v>
      </c>
      <c r="P36" s="41">
        <v>0</v>
      </c>
      <c r="Q36" s="41">
        <v>504921</v>
      </c>
      <c r="R36" s="41">
        <v>0</v>
      </c>
      <c r="S36" s="41">
        <v>2709602835</v>
      </c>
      <c r="T36" s="41">
        <f t="shared" si="0"/>
        <v>952087227</v>
      </c>
      <c r="U36" s="43">
        <f t="shared" si="2"/>
        <v>1757515608</v>
      </c>
    </row>
    <row r="37" spans="1:21" x14ac:dyDescent="0.2">
      <c r="A37" s="40" t="s">
        <v>33</v>
      </c>
      <c r="B37" s="41">
        <v>93170361</v>
      </c>
      <c r="C37" s="41">
        <v>60816497</v>
      </c>
      <c r="D37" s="41">
        <v>1941283</v>
      </c>
      <c r="E37" s="41">
        <v>14389203</v>
      </c>
      <c r="F37" s="41">
        <v>88895049</v>
      </c>
      <c r="G37" s="41">
        <v>37777496</v>
      </c>
      <c r="H37" s="41">
        <v>252838</v>
      </c>
      <c r="I37" s="41">
        <v>4569166</v>
      </c>
      <c r="J37" s="41">
        <v>42610469</v>
      </c>
      <c r="K37" s="41">
        <v>0</v>
      </c>
      <c r="L37" s="41">
        <v>0</v>
      </c>
      <c r="M37" s="41">
        <v>225690</v>
      </c>
      <c r="N37" s="41">
        <v>397015</v>
      </c>
      <c r="O37" s="41">
        <v>303325</v>
      </c>
      <c r="P37" s="41">
        <v>0</v>
      </c>
      <c r="Q37" s="41">
        <v>0</v>
      </c>
      <c r="R37" s="41">
        <v>0</v>
      </c>
      <c r="S37" s="41">
        <v>1056446389</v>
      </c>
      <c r="T37" s="41">
        <f t="shared" si="0"/>
        <v>345348392</v>
      </c>
      <c r="U37" s="43">
        <f t="shared" si="2"/>
        <v>711097997</v>
      </c>
    </row>
    <row r="38" spans="1:21" x14ac:dyDescent="0.2">
      <c r="A38" s="40" t="s">
        <v>34</v>
      </c>
      <c r="B38" s="41">
        <v>40574226</v>
      </c>
      <c r="C38" s="41">
        <v>23865038</v>
      </c>
      <c r="D38" s="41">
        <v>513295</v>
      </c>
      <c r="E38" s="41">
        <v>3545606</v>
      </c>
      <c r="F38" s="41">
        <v>92864258</v>
      </c>
      <c r="G38" s="41">
        <v>16034071</v>
      </c>
      <c r="H38" s="41">
        <v>83500</v>
      </c>
      <c r="I38" s="41">
        <v>3812932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41">
        <v>0</v>
      </c>
      <c r="Q38" s="41">
        <v>0</v>
      </c>
      <c r="R38" s="41">
        <v>0</v>
      </c>
      <c r="S38" s="41">
        <v>475118386</v>
      </c>
      <c r="T38" s="41">
        <f t="shared" si="0"/>
        <v>181292926</v>
      </c>
      <c r="U38" s="43">
        <f t="shared" si="2"/>
        <v>293825460</v>
      </c>
    </row>
    <row r="39" spans="1:21" x14ac:dyDescent="0.2">
      <c r="A39" s="40" t="s">
        <v>35</v>
      </c>
      <c r="B39" s="41">
        <v>2405029623</v>
      </c>
      <c r="C39" s="41">
        <v>2143608891</v>
      </c>
      <c r="D39" s="41">
        <v>276792307</v>
      </c>
      <c r="E39" s="41">
        <v>132385619</v>
      </c>
      <c r="F39" s="41">
        <v>1019662713</v>
      </c>
      <c r="G39" s="41">
        <v>1518021363</v>
      </c>
      <c r="H39" s="41">
        <v>3840155</v>
      </c>
      <c r="I39" s="41">
        <v>430603505</v>
      </c>
      <c r="J39" s="41">
        <v>10765501</v>
      </c>
      <c r="K39" s="41">
        <v>0</v>
      </c>
      <c r="L39" s="41">
        <v>0</v>
      </c>
      <c r="M39" s="41">
        <v>95051</v>
      </c>
      <c r="N39" s="41">
        <v>0</v>
      </c>
      <c r="O39" s="41">
        <v>32122514</v>
      </c>
      <c r="P39" s="41">
        <v>231571</v>
      </c>
      <c r="Q39" s="41">
        <v>10654845</v>
      </c>
      <c r="R39" s="41">
        <v>0</v>
      </c>
      <c r="S39" s="41">
        <v>34373080076</v>
      </c>
      <c r="T39" s="41">
        <f t="shared" si="0"/>
        <v>7983813658</v>
      </c>
      <c r="U39" s="43">
        <f t="shared" si="2"/>
        <v>26389266418</v>
      </c>
    </row>
    <row r="40" spans="1:21" x14ac:dyDescent="0.2">
      <c r="A40" s="40" t="s">
        <v>36</v>
      </c>
      <c r="B40" s="41">
        <v>4827414915</v>
      </c>
      <c r="C40" s="41">
        <v>4312833968</v>
      </c>
      <c r="D40" s="41">
        <v>282048400</v>
      </c>
      <c r="E40" s="41">
        <v>386293617</v>
      </c>
      <c r="F40" s="41">
        <v>5523014101</v>
      </c>
      <c r="G40" s="41">
        <v>1759761018</v>
      </c>
      <c r="H40" s="41">
        <v>8744652</v>
      </c>
      <c r="I40" s="41">
        <v>566313941</v>
      </c>
      <c r="J40" s="41">
        <v>2315713</v>
      </c>
      <c r="K40" s="41">
        <v>0</v>
      </c>
      <c r="L40" s="41">
        <v>0</v>
      </c>
      <c r="M40" s="41">
        <v>259985</v>
      </c>
      <c r="N40" s="41">
        <v>0</v>
      </c>
      <c r="O40" s="41">
        <v>87686941</v>
      </c>
      <c r="P40" s="41">
        <v>716676</v>
      </c>
      <c r="Q40" s="41">
        <v>1784905</v>
      </c>
      <c r="R40" s="41">
        <v>668720</v>
      </c>
      <c r="S40" s="41">
        <v>113773956339</v>
      </c>
      <c r="T40" s="41">
        <f t="shared" si="0"/>
        <v>17759857552</v>
      </c>
      <c r="U40" s="43">
        <f t="shared" si="2"/>
        <v>96014098787</v>
      </c>
    </row>
    <row r="41" spans="1:21" x14ac:dyDescent="0.2">
      <c r="A41" s="40" t="s">
        <v>37</v>
      </c>
      <c r="B41" s="41">
        <v>1407847324</v>
      </c>
      <c r="C41" s="41">
        <v>1249865551</v>
      </c>
      <c r="D41" s="41">
        <v>33918024</v>
      </c>
      <c r="E41" s="41">
        <v>119592479</v>
      </c>
      <c r="F41" s="41">
        <v>6014793625</v>
      </c>
      <c r="G41" s="41">
        <v>1029807643</v>
      </c>
      <c r="H41" s="41">
        <v>2198545</v>
      </c>
      <c r="I41" s="41">
        <v>136260654</v>
      </c>
      <c r="J41" s="41">
        <v>95308540</v>
      </c>
      <c r="K41" s="41">
        <v>7673266</v>
      </c>
      <c r="L41" s="41">
        <v>1319545</v>
      </c>
      <c r="M41" s="41">
        <v>32805</v>
      </c>
      <c r="N41" s="41">
        <v>1522667</v>
      </c>
      <c r="O41" s="41">
        <v>18833440</v>
      </c>
      <c r="P41" s="41">
        <v>180797</v>
      </c>
      <c r="Q41" s="41">
        <v>22934399</v>
      </c>
      <c r="R41" s="41">
        <v>24583332</v>
      </c>
      <c r="S41" s="41">
        <v>29701224927</v>
      </c>
      <c r="T41" s="41">
        <f t="shared" si="0"/>
        <v>10166672636</v>
      </c>
      <c r="U41" s="43">
        <f t="shared" si="2"/>
        <v>19534552291</v>
      </c>
    </row>
    <row r="42" spans="1:21" x14ac:dyDescent="0.2">
      <c r="A42" s="40" t="s">
        <v>38</v>
      </c>
      <c r="B42" s="41">
        <v>302882740</v>
      </c>
      <c r="C42" s="41">
        <v>175046950</v>
      </c>
      <c r="D42" s="41">
        <v>31552166</v>
      </c>
      <c r="E42" s="41">
        <v>15861180</v>
      </c>
      <c r="F42" s="41">
        <v>258191926</v>
      </c>
      <c r="G42" s="41">
        <v>93385671</v>
      </c>
      <c r="H42" s="41">
        <v>617500</v>
      </c>
      <c r="I42" s="41">
        <v>36251565</v>
      </c>
      <c r="J42" s="41">
        <v>2516991</v>
      </c>
      <c r="K42" s="41">
        <v>401354</v>
      </c>
      <c r="L42" s="41">
        <v>0</v>
      </c>
      <c r="M42" s="41">
        <v>111273</v>
      </c>
      <c r="N42" s="41">
        <v>0</v>
      </c>
      <c r="O42" s="41">
        <v>2288970</v>
      </c>
      <c r="P42" s="41">
        <v>0</v>
      </c>
      <c r="Q42" s="41">
        <v>0</v>
      </c>
      <c r="R42" s="41">
        <v>0</v>
      </c>
      <c r="S42" s="41">
        <v>3164195103</v>
      </c>
      <c r="T42" s="41">
        <f t="shared" si="0"/>
        <v>919108286</v>
      </c>
      <c r="U42" s="43">
        <f t="shared" si="2"/>
        <v>2245086817</v>
      </c>
    </row>
    <row r="43" spans="1:21" x14ac:dyDescent="0.2">
      <c r="A43" s="40" t="s">
        <v>39</v>
      </c>
      <c r="B43" s="41">
        <v>35555468</v>
      </c>
      <c r="C43" s="41">
        <v>17675448</v>
      </c>
      <c r="D43" s="41">
        <v>2115917</v>
      </c>
      <c r="E43" s="41">
        <v>2197106</v>
      </c>
      <c r="F43" s="41">
        <v>341817637</v>
      </c>
      <c r="G43" s="41">
        <v>20086179</v>
      </c>
      <c r="H43" s="41">
        <v>46034</v>
      </c>
      <c r="I43" s="41">
        <v>4254672</v>
      </c>
      <c r="J43" s="41">
        <v>316200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741677817</v>
      </c>
      <c r="T43" s="41">
        <f t="shared" si="0"/>
        <v>424064661</v>
      </c>
      <c r="U43" s="43">
        <f t="shared" si="2"/>
        <v>317613156</v>
      </c>
    </row>
    <row r="44" spans="1:21" x14ac:dyDescent="0.2">
      <c r="A44" s="40" t="s">
        <v>40</v>
      </c>
      <c r="B44" s="41">
        <v>99588867</v>
      </c>
      <c r="C44" s="41">
        <v>50390530</v>
      </c>
      <c r="D44" s="41">
        <v>6866365</v>
      </c>
      <c r="E44" s="41">
        <v>11628482</v>
      </c>
      <c r="F44" s="41">
        <v>60889167</v>
      </c>
      <c r="G44" s="41">
        <v>57894025</v>
      </c>
      <c r="H44" s="41">
        <v>251474</v>
      </c>
      <c r="I44" s="41">
        <v>9392980</v>
      </c>
      <c r="J44" s="41">
        <v>411866</v>
      </c>
      <c r="K44" s="41">
        <v>72346</v>
      </c>
      <c r="L44" s="41">
        <v>1790104</v>
      </c>
      <c r="M44" s="41">
        <v>91874</v>
      </c>
      <c r="N44" s="41">
        <v>166976</v>
      </c>
      <c r="O44" s="41">
        <v>217696</v>
      </c>
      <c r="P44" s="41">
        <v>0</v>
      </c>
      <c r="Q44" s="41">
        <v>519714</v>
      </c>
      <c r="R44" s="41">
        <v>0</v>
      </c>
      <c r="S44" s="41">
        <v>1101707154</v>
      </c>
      <c r="T44" s="41">
        <f t="shared" si="0"/>
        <v>300172466</v>
      </c>
      <c r="U44" s="43">
        <f t="shared" si="2"/>
        <v>801534688</v>
      </c>
    </row>
    <row r="45" spans="1:21" x14ac:dyDescent="0.2">
      <c r="A45" s="40" t="s">
        <v>41</v>
      </c>
      <c r="B45" s="41">
        <v>2378172596</v>
      </c>
      <c r="C45" s="41">
        <v>2157420500</v>
      </c>
      <c r="D45" s="41">
        <v>62870623</v>
      </c>
      <c r="E45" s="41">
        <v>142862211</v>
      </c>
      <c r="F45" s="41">
        <v>1491822064</v>
      </c>
      <c r="G45" s="41">
        <v>979702977</v>
      </c>
      <c r="H45" s="41">
        <v>5598344</v>
      </c>
      <c r="I45" s="41">
        <v>341224683</v>
      </c>
      <c r="J45" s="41">
        <v>0</v>
      </c>
      <c r="K45" s="41">
        <v>0</v>
      </c>
      <c r="L45" s="41">
        <v>0</v>
      </c>
      <c r="M45" s="41">
        <v>0</v>
      </c>
      <c r="N45" s="41">
        <v>790894</v>
      </c>
      <c r="O45" s="41">
        <v>33786265</v>
      </c>
      <c r="P45" s="41">
        <v>489903</v>
      </c>
      <c r="Q45" s="41">
        <v>0</v>
      </c>
      <c r="R45" s="41">
        <v>0</v>
      </c>
      <c r="S45" s="41">
        <v>52534440254</v>
      </c>
      <c r="T45" s="41">
        <f t="shared" si="0"/>
        <v>7594741060</v>
      </c>
      <c r="U45" s="43">
        <f t="shared" si="2"/>
        <v>44939699194</v>
      </c>
    </row>
    <row r="46" spans="1:21" x14ac:dyDescent="0.2">
      <c r="A46" s="40" t="s">
        <v>42</v>
      </c>
      <c r="B46" s="41">
        <v>2525834891</v>
      </c>
      <c r="C46" s="41">
        <v>1950346983</v>
      </c>
      <c r="D46" s="41">
        <v>0</v>
      </c>
      <c r="E46" s="41">
        <v>123700712</v>
      </c>
      <c r="F46" s="41">
        <v>1378873374</v>
      </c>
      <c r="G46" s="41">
        <v>1368912861</v>
      </c>
      <c r="H46" s="41">
        <v>5376090</v>
      </c>
      <c r="I46" s="41">
        <v>331624278</v>
      </c>
      <c r="J46" s="41">
        <v>1030728</v>
      </c>
      <c r="K46" s="41">
        <v>0</v>
      </c>
      <c r="L46" s="41">
        <v>0</v>
      </c>
      <c r="M46" s="41">
        <v>44084</v>
      </c>
      <c r="N46" s="41">
        <v>1799864</v>
      </c>
      <c r="O46" s="41">
        <v>37839307</v>
      </c>
      <c r="P46" s="41">
        <v>34291</v>
      </c>
      <c r="Q46" s="41">
        <v>0</v>
      </c>
      <c r="R46" s="41">
        <v>368427</v>
      </c>
      <c r="S46" s="41">
        <v>29772480482</v>
      </c>
      <c r="T46" s="41">
        <f t="shared" si="0"/>
        <v>7725785890</v>
      </c>
      <c r="U46" s="43">
        <f t="shared" si="2"/>
        <v>22046694592</v>
      </c>
    </row>
    <row r="47" spans="1:21" x14ac:dyDescent="0.2">
      <c r="A47" s="40" t="s">
        <v>43</v>
      </c>
      <c r="B47" s="41">
        <v>1181281506</v>
      </c>
      <c r="C47" s="41">
        <v>1061076392</v>
      </c>
      <c r="D47" s="41">
        <v>49730556</v>
      </c>
      <c r="E47" s="41">
        <v>69815224</v>
      </c>
      <c r="F47" s="41">
        <v>1268766537</v>
      </c>
      <c r="G47" s="41">
        <v>685967859</v>
      </c>
      <c r="H47" s="41">
        <v>1925629</v>
      </c>
      <c r="I47" s="41">
        <v>108240811</v>
      </c>
      <c r="J47" s="41">
        <v>3430305</v>
      </c>
      <c r="K47" s="41">
        <v>0</v>
      </c>
      <c r="L47" s="41">
        <v>0</v>
      </c>
      <c r="M47" s="41">
        <v>0</v>
      </c>
      <c r="N47" s="41">
        <v>1491998</v>
      </c>
      <c r="O47" s="41">
        <v>18478544</v>
      </c>
      <c r="P47" s="41">
        <v>298175</v>
      </c>
      <c r="Q47" s="41">
        <v>22239185</v>
      </c>
      <c r="R47" s="41">
        <v>37840532</v>
      </c>
      <c r="S47" s="41">
        <v>29652388333</v>
      </c>
      <c r="T47" s="41">
        <f t="shared" si="0"/>
        <v>4510583253</v>
      </c>
      <c r="U47" s="43">
        <f t="shared" si="2"/>
        <v>25141805080</v>
      </c>
    </row>
    <row r="48" spans="1:21" x14ac:dyDescent="0.2">
      <c r="A48" s="40" t="s">
        <v>44</v>
      </c>
      <c r="B48" s="41">
        <v>402155349</v>
      </c>
      <c r="C48" s="41">
        <v>396143413</v>
      </c>
      <c r="D48" s="41">
        <v>25373548</v>
      </c>
      <c r="E48" s="41">
        <v>86071634</v>
      </c>
      <c r="F48" s="41">
        <v>4321854102</v>
      </c>
      <c r="G48" s="41">
        <v>834694465</v>
      </c>
      <c r="H48" s="41">
        <v>745500</v>
      </c>
      <c r="I48" s="41">
        <v>113166933</v>
      </c>
      <c r="J48" s="41" t="s">
        <v>115</v>
      </c>
      <c r="K48" s="41" t="s">
        <v>115</v>
      </c>
      <c r="L48" s="41" t="s">
        <v>115</v>
      </c>
      <c r="M48" s="41" t="s">
        <v>115</v>
      </c>
      <c r="N48" s="41" t="s">
        <v>115</v>
      </c>
      <c r="O48" s="41">
        <v>14478219</v>
      </c>
      <c r="P48" s="41">
        <v>549792</v>
      </c>
      <c r="Q48" s="41">
        <v>1273979</v>
      </c>
      <c r="R48" s="41" t="s">
        <v>115</v>
      </c>
      <c r="S48" s="41">
        <v>37929734150</v>
      </c>
      <c r="T48" s="41">
        <f t="shared" si="0"/>
        <v>6196506934</v>
      </c>
      <c r="U48" s="43">
        <f t="shared" si="2"/>
        <v>31733227216</v>
      </c>
    </row>
    <row r="49" spans="1:21" x14ac:dyDescent="0.2">
      <c r="A49" s="40" t="s">
        <v>45</v>
      </c>
      <c r="B49" s="41">
        <v>643627041</v>
      </c>
      <c r="C49" s="41">
        <v>577328799</v>
      </c>
      <c r="D49" s="41">
        <v>22921912</v>
      </c>
      <c r="E49" s="41">
        <v>27316377</v>
      </c>
      <c r="F49" s="41">
        <v>926033622</v>
      </c>
      <c r="G49" s="41">
        <v>252093583</v>
      </c>
      <c r="H49" s="41">
        <v>1116739</v>
      </c>
      <c r="I49" s="41">
        <v>132954921</v>
      </c>
      <c r="J49" s="41">
        <v>6945113</v>
      </c>
      <c r="K49" s="41">
        <v>0</v>
      </c>
      <c r="L49" s="41">
        <v>0</v>
      </c>
      <c r="M49" s="41">
        <v>52995</v>
      </c>
      <c r="N49" s="41">
        <v>0</v>
      </c>
      <c r="O49" s="41">
        <v>6634063</v>
      </c>
      <c r="P49" s="41">
        <v>625533</v>
      </c>
      <c r="Q49" s="41">
        <v>12527882</v>
      </c>
      <c r="R49" s="41">
        <v>0</v>
      </c>
      <c r="S49" s="41">
        <v>13740213985</v>
      </c>
      <c r="T49" s="41">
        <f t="shared" si="0"/>
        <v>2610178580</v>
      </c>
      <c r="U49" s="43">
        <f t="shared" si="2"/>
        <v>11130035405</v>
      </c>
    </row>
    <row r="50" spans="1:21" x14ac:dyDescent="0.2">
      <c r="A50" s="40" t="s">
        <v>46</v>
      </c>
      <c r="B50" s="41">
        <v>1190753177</v>
      </c>
      <c r="C50" s="41">
        <v>1063870661</v>
      </c>
      <c r="D50" s="41">
        <v>57775741</v>
      </c>
      <c r="E50" s="41">
        <v>84637510</v>
      </c>
      <c r="F50" s="41">
        <v>1955859803</v>
      </c>
      <c r="G50" s="41">
        <v>286107879</v>
      </c>
      <c r="H50" s="41">
        <v>1913255</v>
      </c>
      <c r="I50" s="41">
        <v>485078129</v>
      </c>
      <c r="J50" s="41">
        <v>0</v>
      </c>
      <c r="K50" s="41">
        <v>0</v>
      </c>
      <c r="L50" s="41">
        <v>3390796</v>
      </c>
      <c r="M50" s="41">
        <v>0</v>
      </c>
      <c r="N50" s="41">
        <v>0</v>
      </c>
      <c r="O50" s="41">
        <v>24490644</v>
      </c>
      <c r="P50" s="41">
        <v>29667430</v>
      </c>
      <c r="Q50" s="41">
        <v>0</v>
      </c>
      <c r="R50" s="41">
        <v>34697272</v>
      </c>
      <c r="S50" s="41">
        <v>26321856228</v>
      </c>
      <c r="T50" s="41">
        <f t="shared" si="0"/>
        <v>5218242297</v>
      </c>
      <c r="U50" s="43">
        <f t="shared" si="2"/>
        <v>21103613931</v>
      </c>
    </row>
    <row r="51" spans="1:21" x14ac:dyDescent="0.2">
      <c r="A51" s="40" t="s">
        <v>47</v>
      </c>
      <c r="B51" s="41">
        <v>201336424</v>
      </c>
      <c r="C51" s="41">
        <v>124639230</v>
      </c>
      <c r="D51" s="41">
        <v>16202066</v>
      </c>
      <c r="E51" s="41">
        <v>31152018</v>
      </c>
      <c r="F51" s="41">
        <v>359291550</v>
      </c>
      <c r="G51" s="41">
        <v>65842366</v>
      </c>
      <c r="H51" s="41">
        <v>453566</v>
      </c>
      <c r="I51" s="41">
        <v>27767094</v>
      </c>
      <c r="J51" s="41">
        <v>7940192</v>
      </c>
      <c r="K51" s="41">
        <v>0</v>
      </c>
      <c r="L51" s="41">
        <v>552988925</v>
      </c>
      <c r="M51" s="41">
        <v>6040</v>
      </c>
      <c r="N51" s="41">
        <v>0</v>
      </c>
      <c r="O51" s="41">
        <v>1181285</v>
      </c>
      <c r="P51" s="41">
        <v>0</v>
      </c>
      <c r="Q51" s="41">
        <v>0</v>
      </c>
      <c r="R51" s="41">
        <v>132211178</v>
      </c>
      <c r="S51" s="41">
        <v>4447506794</v>
      </c>
      <c r="T51" s="41">
        <f t="shared" si="0"/>
        <v>1521011934</v>
      </c>
      <c r="U51" s="43">
        <f t="shared" si="2"/>
        <v>2926494860</v>
      </c>
    </row>
    <row r="52" spans="1:21" x14ac:dyDescent="0.2">
      <c r="A52" s="40" t="s">
        <v>48</v>
      </c>
      <c r="B52" s="41">
        <v>5969257411</v>
      </c>
      <c r="C52" s="41">
        <v>5389531403</v>
      </c>
      <c r="D52" s="41">
        <v>239266839</v>
      </c>
      <c r="E52" s="41">
        <v>524398159</v>
      </c>
      <c r="F52" s="41">
        <v>15598986908</v>
      </c>
      <c r="G52" s="41">
        <v>11514713611</v>
      </c>
      <c r="H52" s="41">
        <v>6120176</v>
      </c>
      <c r="I52" s="41">
        <v>879941325</v>
      </c>
      <c r="J52" s="41">
        <v>12418964</v>
      </c>
      <c r="K52" s="41">
        <v>0</v>
      </c>
      <c r="L52" s="41">
        <v>277850040</v>
      </c>
      <c r="M52" s="41">
        <v>276291</v>
      </c>
      <c r="N52" s="41">
        <v>0</v>
      </c>
      <c r="O52" s="41">
        <v>35280018</v>
      </c>
      <c r="P52" s="41">
        <v>1549292</v>
      </c>
      <c r="Q52" s="41">
        <v>41629411</v>
      </c>
      <c r="R52" s="41">
        <v>114538529</v>
      </c>
      <c r="S52" s="41">
        <v>201727314274</v>
      </c>
      <c r="T52" s="41">
        <f t="shared" si="0"/>
        <v>40605758377</v>
      </c>
      <c r="U52" s="43">
        <f t="shared" si="2"/>
        <v>161121555897</v>
      </c>
    </row>
    <row r="53" spans="1:21" x14ac:dyDescent="0.2">
      <c r="A53" s="40" t="s">
        <v>49</v>
      </c>
      <c r="B53" s="41">
        <v>1806437960</v>
      </c>
      <c r="C53" s="41">
        <v>1615108849</v>
      </c>
      <c r="D53" s="41">
        <v>125667686</v>
      </c>
      <c r="E53" s="41">
        <v>147626405</v>
      </c>
      <c r="F53" s="41">
        <v>3335312539</v>
      </c>
      <c r="G53" s="41">
        <v>1359591508</v>
      </c>
      <c r="H53" s="41">
        <v>1867896</v>
      </c>
      <c r="I53" s="41">
        <v>387841069</v>
      </c>
      <c r="J53" s="41">
        <v>7865873</v>
      </c>
      <c r="K53" s="41">
        <v>0</v>
      </c>
      <c r="L53" s="41">
        <v>0</v>
      </c>
      <c r="M53" s="41">
        <v>145018</v>
      </c>
      <c r="N53" s="41">
        <v>914870</v>
      </c>
      <c r="O53" s="41">
        <v>6276692</v>
      </c>
      <c r="P53" s="41">
        <v>259424</v>
      </c>
      <c r="Q53" s="41">
        <v>9951452</v>
      </c>
      <c r="R53" s="41">
        <v>0</v>
      </c>
      <c r="S53" s="41">
        <v>42912939634</v>
      </c>
      <c r="T53" s="41">
        <f t="shared" si="0"/>
        <v>8804867241</v>
      </c>
      <c r="U53" s="43">
        <f t="shared" si="2"/>
        <v>34108072393</v>
      </c>
    </row>
    <row r="54" spans="1:21" x14ac:dyDescent="0.2">
      <c r="A54" s="40" t="s">
        <v>50</v>
      </c>
      <c r="B54" s="41">
        <v>8790128513</v>
      </c>
      <c r="C54" s="41">
        <v>7845392965</v>
      </c>
      <c r="D54" s="41">
        <v>328310050</v>
      </c>
      <c r="E54" s="41">
        <v>368391884</v>
      </c>
      <c r="F54" s="41">
        <v>13198329604</v>
      </c>
      <c r="G54" s="41">
        <v>5070009789</v>
      </c>
      <c r="H54" s="41">
        <v>17608024</v>
      </c>
      <c r="I54" s="41">
        <v>716990010</v>
      </c>
      <c r="J54" s="41">
        <v>7012318</v>
      </c>
      <c r="K54" s="41">
        <v>62862243</v>
      </c>
      <c r="L54" s="41">
        <v>144621190</v>
      </c>
      <c r="M54" s="41">
        <v>2574523</v>
      </c>
      <c r="N54" s="41">
        <v>6944427</v>
      </c>
      <c r="O54" s="41">
        <v>45993796</v>
      </c>
      <c r="P54" s="41">
        <v>965997</v>
      </c>
      <c r="Q54" s="41">
        <v>0</v>
      </c>
      <c r="R54" s="41">
        <v>68887686</v>
      </c>
      <c r="S54" s="41">
        <v>258589066513</v>
      </c>
      <c r="T54" s="41">
        <f t="shared" si="0"/>
        <v>36675023019</v>
      </c>
      <c r="U54" s="43">
        <f t="shared" si="2"/>
        <v>221914043494</v>
      </c>
    </row>
    <row r="55" spans="1:21" x14ac:dyDescent="0.2">
      <c r="A55" s="40" t="s">
        <v>51</v>
      </c>
      <c r="B55" s="41">
        <v>3618326621</v>
      </c>
      <c r="C55" s="41">
        <v>2909908086</v>
      </c>
      <c r="D55" s="41">
        <v>0</v>
      </c>
      <c r="E55" s="41">
        <v>122419616</v>
      </c>
      <c r="F55" s="41">
        <v>1499968169</v>
      </c>
      <c r="G55" s="41">
        <v>2027078108</v>
      </c>
      <c r="H55" s="41">
        <v>6940331</v>
      </c>
      <c r="I55" s="41">
        <v>532794229</v>
      </c>
      <c r="J55" s="41">
        <v>8424923</v>
      </c>
      <c r="K55" s="41">
        <v>0</v>
      </c>
      <c r="L55" s="41">
        <v>0</v>
      </c>
      <c r="M55" s="41">
        <v>571905</v>
      </c>
      <c r="N55" s="41">
        <v>717828</v>
      </c>
      <c r="O55" s="41">
        <v>27151885</v>
      </c>
      <c r="P55" s="41">
        <v>1535129</v>
      </c>
      <c r="Q55" s="41">
        <v>0</v>
      </c>
      <c r="R55" s="41">
        <v>0</v>
      </c>
      <c r="S55" s="41">
        <v>45793047274</v>
      </c>
      <c r="T55" s="41">
        <f t="shared" si="0"/>
        <v>10755836830</v>
      </c>
      <c r="U55" s="43">
        <f t="shared" si="2"/>
        <v>35037210444</v>
      </c>
    </row>
    <row r="56" spans="1:21" x14ac:dyDescent="0.2">
      <c r="A56" s="40" t="s">
        <v>52</v>
      </c>
      <c r="B56" s="41">
        <v>6178614021</v>
      </c>
      <c r="C56" s="41">
        <v>5322883512</v>
      </c>
      <c r="D56" s="41">
        <v>0</v>
      </c>
      <c r="E56" s="41">
        <v>322418028</v>
      </c>
      <c r="F56" s="41">
        <v>6675635662</v>
      </c>
      <c r="G56" s="41">
        <v>5071914020</v>
      </c>
      <c r="H56" s="41">
        <v>14558188</v>
      </c>
      <c r="I56" s="41">
        <v>751906852</v>
      </c>
      <c r="J56" s="41">
        <v>0</v>
      </c>
      <c r="K56" s="41">
        <v>4850861</v>
      </c>
      <c r="L56" s="41">
        <v>1999000</v>
      </c>
      <c r="M56" s="41">
        <v>32927</v>
      </c>
      <c r="N56" s="41">
        <v>0</v>
      </c>
      <c r="O56" s="41">
        <v>95359412</v>
      </c>
      <c r="P56" s="41">
        <v>3726364</v>
      </c>
      <c r="Q56" s="41">
        <v>0</v>
      </c>
      <c r="R56" s="41">
        <v>1684963</v>
      </c>
      <c r="S56" s="41">
        <v>122441992156</v>
      </c>
      <c r="T56" s="41">
        <f t="shared" si="0"/>
        <v>24445583810</v>
      </c>
      <c r="U56" s="43">
        <f t="shared" si="2"/>
        <v>97996408346</v>
      </c>
    </row>
    <row r="57" spans="1:21" x14ac:dyDescent="0.2">
      <c r="A57" s="40" t="s">
        <v>53</v>
      </c>
      <c r="B57" s="41">
        <v>3716628947</v>
      </c>
      <c r="C57" s="41">
        <v>2865321504</v>
      </c>
      <c r="D57" s="41">
        <v>306106952</v>
      </c>
      <c r="E57" s="41">
        <v>355608007</v>
      </c>
      <c r="F57" s="41">
        <v>1801388397</v>
      </c>
      <c r="G57" s="41">
        <v>2610349162</v>
      </c>
      <c r="H57" s="41">
        <v>7039463</v>
      </c>
      <c r="I57" s="41">
        <v>329742312</v>
      </c>
      <c r="J57" s="41">
        <v>17822897</v>
      </c>
      <c r="K57" s="41">
        <v>0</v>
      </c>
      <c r="L57" s="41">
        <v>510631249</v>
      </c>
      <c r="M57" s="41">
        <v>1420558</v>
      </c>
      <c r="N57" s="41">
        <v>993795</v>
      </c>
      <c r="O57" s="41">
        <v>16966079</v>
      </c>
      <c r="P57" s="41">
        <v>271705</v>
      </c>
      <c r="Q57" s="41">
        <v>11053177</v>
      </c>
      <c r="R57" s="41">
        <v>180594779</v>
      </c>
      <c r="S57" s="41">
        <v>56606885121</v>
      </c>
      <c r="T57" s="41">
        <f t="shared" si="0"/>
        <v>12731938983</v>
      </c>
      <c r="U57" s="43">
        <f t="shared" si="2"/>
        <v>43874946138</v>
      </c>
    </row>
    <row r="58" spans="1:21" x14ac:dyDescent="0.2">
      <c r="A58" s="40" t="s">
        <v>54</v>
      </c>
      <c r="B58" s="41">
        <v>471857380</v>
      </c>
      <c r="C58" s="41">
        <v>263160024</v>
      </c>
      <c r="D58" s="41">
        <v>41032710</v>
      </c>
      <c r="E58" s="41">
        <v>22882031</v>
      </c>
      <c r="F58" s="41">
        <v>665293897</v>
      </c>
      <c r="G58" s="41">
        <v>217637993</v>
      </c>
      <c r="H58" s="41">
        <v>1106600</v>
      </c>
      <c r="I58" s="41">
        <v>34092800</v>
      </c>
      <c r="J58" s="41">
        <v>2024385</v>
      </c>
      <c r="K58" s="41">
        <v>0</v>
      </c>
      <c r="L58" s="41">
        <v>0</v>
      </c>
      <c r="M58" s="41">
        <v>137430</v>
      </c>
      <c r="N58" s="41">
        <v>0</v>
      </c>
      <c r="O58" s="41">
        <v>2685130</v>
      </c>
      <c r="P58" s="41">
        <v>168735</v>
      </c>
      <c r="Q58" s="41">
        <v>6830330</v>
      </c>
      <c r="R58" s="41">
        <v>0</v>
      </c>
      <c r="S58" s="41">
        <v>6681024557</v>
      </c>
      <c r="T58" s="41">
        <f t="shared" si="0"/>
        <v>1728909445</v>
      </c>
      <c r="U58" s="43">
        <f t="shared" si="2"/>
        <v>4952115112</v>
      </c>
    </row>
    <row r="59" spans="1:21" x14ac:dyDescent="0.2">
      <c r="A59" s="40" t="s">
        <v>55</v>
      </c>
      <c r="B59" s="41">
        <v>1937023267</v>
      </c>
      <c r="C59" s="41">
        <v>1864262180</v>
      </c>
      <c r="D59" s="41">
        <v>117904881</v>
      </c>
      <c r="E59" s="41">
        <v>104466669</v>
      </c>
      <c r="F59" s="41">
        <v>1527503419</v>
      </c>
      <c r="G59" s="41">
        <v>862302830</v>
      </c>
      <c r="H59" s="41">
        <v>3172776</v>
      </c>
      <c r="I59" s="41">
        <v>375674222</v>
      </c>
      <c r="J59" s="41">
        <v>3912975</v>
      </c>
      <c r="K59" s="41">
        <v>1565985</v>
      </c>
      <c r="L59" s="41">
        <v>0</v>
      </c>
      <c r="M59" s="41">
        <v>6631</v>
      </c>
      <c r="N59" s="41">
        <v>1027356</v>
      </c>
      <c r="O59" s="41">
        <v>36624575</v>
      </c>
      <c r="P59" s="41">
        <v>8769695</v>
      </c>
      <c r="Q59" s="41">
        <v>7911263</v>
      </c>
      <c r="R59" s="41">
        <v>0</v>
      </c>
      <c r="S59" s="41">
        <v>41535101730</v>
      </c>
      <c r="T59" s="41">
        <f t="shared" si="0"/>
        <v>6852128724</v>
      </c>
      <c r="U59" s="43">
        <f t="shared" si="2"/>
        <v>34682973006</v>
      </c>
    </row>
    <row r="60" spans="1:21" x14ac:dyDescent="0.2">
      <c r="A60" s="40" t="s">
        <v>56</v>
      </c>
      <c r="B60" s="41">
        <v>2177023130</v>
      </c>
      <c r="C60" s="41">
        <v>1870345252</v>
      </c>
      <c r="D60" s="41">
        <v>205063126</v>
      </c>
      <c r="E60" s="41">
        <v>87585442</v>
      </c>
      <c r="F60" s="41">
        <v>2440160927</v>
      </c>
      <c r="G60" s="41">
        <v>498597606</v>
      </c>
      <c r="H60" s="41">
        <v>4018961</v>
      </c>
      <c r="I60" s="41">
        <v>269965575</v>
      </c>
      <c r="J60" s="41">
        <v>678314</v>
      </c>
      <c r="K60" s="41">
        <v>0</v>
      </c>
      <c r="L60" s="41">
        <v>59835215</v>
      </c>
      <c r="M60" s="41">
        <v>0</v>
      </c>
      <c r="N60" s="41">
        <v>0</v>
      </c>
      <c r="O60" s="41">
        <v>15276067</v>
      </c>
      <c r="P60" s="41">
        <v>131836</v>
      </c>
      <c r="Q60" s="41">
        <v>0</v>
      </c>
      <c r="R60" s="41">
        <v>128911475</v>
      </c>
      <c r="S60" s="41">
        <v>33432581977</v>
      </c>
      <c r="T60" s="41">
        <f t="shared" si="0"/>
        <v>7757592926</v>
      </c>
      <c r="U60" s="43">
        <f t="shared" si="2"/>
        <v>25674989051</v>
      </c>
    </row>
    <row r="61" spans="1:21" x14ac:dyDescent="0.2">
      <c r="A61" s="40" t="s">
        <v>57</v>
      </c>
      <c r="B61" s="41">
        <v>1225507772</v>
      </c>
      <c r="C61" s="41">
        <v>1044428629</v>
      </c>
      <c r="D61" s="41">
        <v>86283282</v>
      </c>
      <c r="E61" s="41">
        <v>38997677</v>
      </c>
      <c r="F61" s="41">
        <v>1324556456</v>
      </c>
      <c r="G61" s="41">
        <v>244450517</v>
      </c>
      <c r="H61" s="41">
        <v>1579445</v>
      </c>
      <c r="I61" s="41">
        <v>407883305</v>
      </c>
      <c r="J61" s="41">
        <v>155630</v>
      </c>
      <c r="K61" s="41">
        <v>0</v>
      </c>
      <c r="L61" s="41">
        <v>0</v>
      </c>
      <c r="M61" s="41">
        <v>0</v>
      </c>
      <c r="N61" s="41">
        <v>842759</v>
      </c>
      <c r="O61" s="41">
        <v>25917611</v>
      </c>
      <c r="P61" s="41">
        <v>8417369</v>
      </c>
      <c r="Q61" s="41">
        <v>14194274</v>
      </c>
      <c r="R61" s="41">
        <v>42506673</v>
      </c>
      <c r="S61" s="41">
        <v>16717770985</v>
      </c>
      <c r="T61" s="41">
        <f t="shared" si="0"/>
        <v>4465721399</v>
      </c>
      <c r="U61" s="43">
        <f t="shared" si="2"/>
        <v>12252049586</v>
      </c>
    </row>
    <row r="62" spans="1:21" x14ac:dyDescent="0.2">
      <c r="A62" s="40" t="s">
        <v>58</v>
      </c>
      <c r="B62" s="41">
        <v>3205631507</v>
      </c>
      <c r="C62" s="41">
        <v>2992031417</v>
      </c>
      <c r="D62" s="41">
        <v>10746451</v>
      </c>
      <c r="E62" s="41">
        <v>136484302</v>
      </c>
      <c r="F62" s="41">
        <v>4504635683</v>
      </c>
      <c r="G62" s="41">
        <v>1530642315</v>
      </c>
      <c r="H62" s="41">
        <v>8691178</v>
      </c>
      <c r="I62" s="41">
        <v>370822371</v>
      </c>
      <c r="J62" s="41">
        <v>1828921</v>
      </c>
      <c r="K62" s="41">
        <v>402523</v>
      </c>
      <c r="L62" s="41">
        <v>19733689</v>
      </c>
      <c r="M62" s="41">
        <v>1502</v>
      </c>
      <c r="N62" s="41">
        <v>0</v>
      </c>
      <c r="O62" s="41">
        <v>64538189</v>
      </c>
      <c r="P62" s="41">
        <v>376863</v>
      </c>
      <c r="Q62" s="41">
        <v>0</v>
      </c>
      <c r="R62" s="41">
        <v>0</v>
      </c>
      <c r="S62" s="41">
        <v>82941954379</v>
      </c>
      <c r="T62" s="41">
        <f t="shared" si="0"/>
        <v>12846566911</v>
      </c>
      <c r="U62" s="43">
        <f t="shared" si="2"/>
        <v>70095387468</v>
      </c>
    </row>
    <row r="63" spans="1:21" x14ac:dyDescent="0.2">
      <c r="A63" s="40" t="s">
        <v>59</v>
      </c>
      <c r="B63" s="41">
        <v>2590002104</v>
      </c>
      <c r="C63" s="41">
        <v>2427932929</v>
      </c>
      <c r="D63" s="41">
        <v>245123752</v>
      </c>
      <c r="E63" s="41">
        <v>163389715</v>
      </c>
      <c r="F63" s="41">
        <v>1098241701</v>
      </c>
      <c r="G63" s="41">
        <v>1457922854</v>
      </c>
      <c r="H63" s="41">
        <v>3543838</v>
      </c>
      <c r="I63" s="41">
        <v>227391120</v>
      </c>
      <c r="J63" s="41">
        <v>228398</v>
      </c>
      <c r="K63" s="41">
        <v>0</v>
      </c>
      <c r="L63" s="41">
        <v>0</v>
      </c>
      <c r="M63" s="41">
        <v>7036</v>
      </c>
      <c r="N63" s="41">
        <v>1862001</v>
      </c>
      <c r="O63" s="41">
        <v>23756886</v>
      </c>
      <c r="P63" s="41">
        <v>489339</v>
      </c>
      <c r="Q63" s="41">
        <v>0</v>
      </c>
      <c r="R63" s="41">
        <v>3450305</v>
      </c>
      <c r="S63" s="41">
        <v>48243124586</v>
      </c>
      <c r="T63" s="41">
        <f t="shared" si="0"/>
        <v>8243341978</v>
      </c>
      <c r="U63" s="43">
        <f t="shared" si="2"/>
        <v>39999782608</v>
      </c>
    </row>
    <row r="64" spans="1:21" x14ac:dyDescent="0.2">
      <c r="A64" s="40" t="s">
        <v>60</v>
      </c>
      <c r="B64" s="41">
        <v>1239617928</v>
      </c>
      <c r="C64" s="41">
        <v>1141264309</v>
      </c>
      <c r="D64" s="41">
        <v>30012070</v>
      </c>
      <c r="E64" s="41">
        <v>32933362</v>
      </c>
      <c r="F64" s="41">
        <v>389566970</v>
      </c>
      <c r="G64" s="41">
        <v>191471419</v>
      </c>
      <c r="H64" s="41">
        <v>3530800</v>
      </c>
      <c r="I64" s="41">
        <v>185684232</v>
      </c>
      <c r="J64" s="41">
        <v>0</v>
      </c>
      <c r="K64" s="41">
        <v>0</v>
      </c>
      <c r="L64" s="41">
        <v>0</v>
      </c>
      <c r="M64" s="41">
        <v>34470</v>
      </c>
      <c r="N64" s="41">
        <v>24104</v>
      </c>
      <c r="O64" s="41">
        <v>68952860</v>
      </c>
      <c r="P64" s="41">
        <v>0</v>
      </c>
      <c r="Q64" s="41">
        <v>0</v>
      </c>
      <c r="R64" s="41">
        <v>0</v>
      </c>
      <c r="S64" s="41">
        <v>18565799618</v>
      </c>
      <c r="T64" s="41">
        <f t="shared" si="0"/>
        <v>3283092524</v>
      </c>
      <c r="U64" s="43">
        <f t="shared" si="2"/>
        <v>15282707094</v>
      </c>
    </row>
    <row r="65" spans="1:21" x14ac:dyDescent="0.2">
      <c r="A65" s="40" t="s">
        <v>61</v>
      </c>
      <c r="B65" s="41">
        <v>251114319</v>
      </c>
      <c r="C65" s="41">
        <v>156066778</v>
      </c>
      <c r="D65" s="41">
        <v>12238110</v>
      </c>
      <c r="E65" s="41">
        <v>14505314</v>
      </c>
      <c r="F65" s="41">
        <v>119730901</v>
      </c>
      <c r="G65" s="41">
        <v>73436462</v>
      </c>
      <c r="H65" s="41">
        <v>511957</v>
      </c>
      <c r="I65" s="41">
        <v>32893062</v>
      </c>
      <c r="J65" s="41">
        <v>8187820</v>
      </c>
      <c r="K65" s="41">
        <v>0</v>
      </c>
      <c r="L65" s="41">
        <v>0</v>
      </c>
      <c r="M65" s="41">
        <v>9050</v>
      </c>
      <c r="N65" s="41">
        <v>0</v>
      </c>
      <c r="O65" s="41">
        <v>218668</v>
      </c>
      <c r="P65" s="41">
        <v>13506</v>
      </c>
      <c r="Q65" s="41">
        <v>0</v>
      </c>
      <c r="R65" s="41">
        <v>0</v>
      </c>
      <c r="S65" s="41">
        <v>2774639696</v>
      </c>
      <c r="T65" s="41">
        <f t="shared" si="0"/>
        <v>668925947</v>
      </c>
      <c r="U65" s="43">
        <f t="shared" si="2"/>
        <v>2105713749</v>
      </c>
    </row>
    <row r="66" spans="1:21" x14ac:dyDescent="0.2">
      <c r="A66" s="40" t="s">
        <v>62</v>
      </c>
      <c r="B66" s="41">
        <v>128265888</v>
      </c>
      <c r="C66" s="41">
        <v>63890450</v>
      </c>
      <c r="D66" s="41">
        <v>0</v>
      </c>
      <c r="E66" s="41">
        <v>12434304</v>
      </c>
      <c r="F66" s="41">
        <v>185367811</v>
      </c>
      <c r="G66" s="41">
        <v>45108072</v>
      </c>
      <c r="H66" s="41">
        <v>184690</v>
      </c>
      <c r="I66" s="41">
        <v>10472260</v>
      </c>
      <c r="J66" s="41">
        <v>4238320</v>
      </c>
      <c r="K66" s="41">
        <v>0</v>
      </c>
      <c r="L66" s="41">
        <v>17335459</v>
      </c>
      <c r="M66" s="41">
        <v>4700</v>
      </c>
      <c r="N66" s="41">
        <v>0</v>
      </c>
      <c r="O66" s="41">
        <v>762581</v>
      </c>
      <c r="P66" s="41">
        <v>154090</v>
      </c>
      <c r="Q66" s="41">
        <v>0</v>
      </c>
      <c r="R66" s="41">
        <v>0</v>
      </c>
      <c r="S66" s="41">
        <v>2097375655</v>
      </c>
      <c r="T66" s="41">
        <f t="shared" si="0"/>
        <v>468218625</v>
      </c>
      <c r="U66" s="43">
        <f t="shared" si="2"/>
        <v>1629157030</v>
      </c>
    </row>
    <row r="67" spans="1:21" x14ac:dyDescent="0.2">
      <c r="A67" s="40" t="s">
        <v>63</v>
      </c>
      <c r="B67" s="41">
        <v>67423643</v>
      </c>
      <c r="C67" s="41">
        <v>35625492</v>
      </c>
      <c r="D67" s="41">
        <v>2205645</v>
      </c>
      <c r="E67" s="41">
        <v>3806154</v>
      </c>
      <c r="F67" s="41">
        <v>115832446</v>
      </c>
      <c r="G67" s="41">
        <v>16956988</v>
      </c>
      <c r="H67" s="41">
        <v>133212</v>
      </c>
      <c r="I67" s="41">
        <v>2694088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2724941</v>
      </c>
      <c r="P67" s="41">
        <v>47337</v>
      </c>
      <c r="Q67" s="41">
        <v>0</v>
      </c>
      <c r="R67" s="41">
        <v>0</v>
      </c>
      <c r="S67" s="41">
        <v>541170804</v>
      </c>
      <c r="T67" s="41">
        <f t="shared" si="0"/>
        <v>247449946</v>
      </c>
      <c r="U67" s="43">
        <f t="shared" si="2"/>
        <v>293720858</v>
      </c>
    </row>
    <row r="68" spans="1:21" x14ac:dyDescent="0.2">
      <c r="A68" s="40" t="s">
        <v>64</v>
      </c>
      <c r="B68" s="41">
        <v>3534908019</v>
      </c>
      <c r="C68" s="41">
        <v>3085681373</v>
      </c>
      <c r="D68" s="41">
        <v>507935745</v>
      </c>
      <c r="E68" s="41">
        <v>229564283</v>
      </c>
      <c r="F68" s="41">
        <v>3042809450</v>
      </c>
      <c r="G68" s="41">
        <v>2322483775</v>
      </c>
      <c r="H68" s="41">
        <v>6468813</v>
      </c>
      <c r="I68" s="41">
        <v>700310110</v>
      </c>
      <c r="J68" s="41">
        <v>13332541</v>
      </c>
      <c r="K68" s="41">
        <v>172082</v>
      </c>
      <c r="L68" s="41">
        <v>343993</v>
      </c>
      <c r="M68" s="41">
        <v>614429</v>
      </c>
      <c r="N68" s="41">
        <v>3697114</v>
      </c>
      <c r="O68" s="41">
        <v>49964287</v>
      </c>
      <c r="P68" s="41">
        <v>666635</v>
      </c>
      <c r="Q68" s="41">
        <v>28384380</v>
      </c>
      <c r="R68" s="41">
        <v>112594938</v>
      </c>
      <c r="S68" s="41">
        <v>56384963691</v>
      </c>
      <c r="T68" s="41">
        <f t="shared" si="0"/>
        <v>13639931967</v>
      </c>
      <c r="U68" s="43">
        <f t="shared" si="2"/>
        <v>42745031724</v>
      </c>
    </row>
    <row r="69" spans="1:21" x14ac:dyDescent="0.2">
      <c r="A69" s="40" t="s">
        <v>65</v>
      </c>
      <c r="B69" s="41">
        <v>227522384</v>
      </c>
      <c r="C69" s="41">
        <v>167446873</v>
      </c>
      <c r="D69" s="41">
        <v>16186204</v>
      </c>
      <c r="E69" s="41">
        <v>6776899</v>
      </c>
      <c r="F69" s="41">
        <v>395963171</v>
      </c>
      <c r="G69" s="41">
        <v>31914840</v>
      </c>
      <c r="H69" s="41">
        <v>299620</v>
      </c>
      <c r="I69" s="41">
        <v>22490441</v>
      </c>
      <c r="J69" s="41">
        <v>34501</v>
      </c>
      <c r="K69" s="41">
        <v>0</v>
      </c>
      <c r="L69" s="41">
        <v>0</v>
      </c>
      <c r="M69" s="41">
        <v>0</v>
      </c>
      <c r="N69" s="41">
        <v>264251</v>
      </c>
      <c r="O69" s="41">
        <v>2877499</v>
      </c>
      <c r="P69" s="41">
        <v>455385</v>
      </c>
      <c r="Q69" s="41">
        <v>0</v>
      </c>
      <c r="R69" s="41">
        <v>0</v>
      </c>
      <c r="S69" s="41">
        <v>2390572460</v>
      </c>
      <c r="T69" s="41">
        <f t="shared" si="0"/>
        <v>872232068</v>
      </c>
      <c r="U69" s="43">
        <f t="shared" si="2"/>
        <v>1518340392</v>
      </c>
    </row>
    <row r="70" spans="1:21" x14ac:dyDescent="0.2">
      <c r="A70" s="40" t="s">
        <v>66</v>
      </c>
      <c r="B70" s="41">
        <v>463538722</v>
      </c>
      <c r="C70" s="41">
        <v>363433717</v>
      </c>
      <c r="D70" s="41">
        <v>34125547</v>
      </c>
      <c r="E70" s="41">
        <v>57716591</v>
      </c>
      <c r="F70" s="41">
        <v>1310081187</v>
      </c>
      <c r="G70" s="41">
        <v>239727408</v>
      </c>
      <c r="H70" s="41">
        <v>698276</v>
      </c>
      <c r="I70" s="41">
        <v>95697285</v>
      </c>
      <c r="J70" s="41">
        <v>4303761</v>
      </c>
      <c r="K70" s="41">
        <v>0</v>
      </c>
      <c r="L70" s="41">
        <v>1336591</v>
      </c>
      <c r="M70" s="41">
        <v>2906</v>
      </c>
      <c r="N70" s="41">
        <v>0</v>
      </c>
      <c r="O70" s="41">
        <v>11194047</v>
      </c>
      <c r="P70" s="41">
        <v>3023106</v>
      </c>
      <c r="Q70" s="41">
        <v>0</v>
      </c>
      <c r="R70" s="41">
        <v>0</v>
      </c>
      <c r="S70" s="41">
        <v>28031063697</v>
      </c>
      <c r="T70" s="41">
        <f>SUM(B70:R70)</f>
        <v>2584879144</v>
      </c>
      <c r="U70" s="43">
        <f t="shared" si="2"/>
        <v>25446184553</v>
      </c>
    </row>
    <row r="71" spans="1:21" x14ac:dyDescent="0.2">
      <c r="A71" s="40" t="s">
        <v>67</v>
      </c>
      <c r="B71" s="41">
        <v>143180876</v>
      </c>
      <c r="C71" s="41">
        <v>80834699</v>
      </c>
      <c r="D71" s="41">
        <v>14409229</v>
      </c>
      <c r="E71" s="41">
        <v>9713303</v>
      </c>
      <c r="F71" s="41">
        <v>136622727</v>
      </c>
      <c r="G71" s="41">
        <v>52733930</v>
      </c>
      <c r="H71" s="41">
        <v>330995</v>
      </c>
      <c r="I71" s="41">
        <v>15816312</v>
      </c>
      <c r="J71" s="41">
        <v>414743</v>
      </c>
      <c r="K71" s="41">
        <v>0</v>
      </c>
      <c r="L71" s="41">
        <v>0</v>
      </c>
      <c r="M71" s="41">
        <v>0</v>
      </c>
      <c r="N71" s="41">
        <v>43385</v>
      </c>
      <c r="O71" s="41">
        <v>554342</v>
      </c>
      <c r="P71" s="41">
        <v>0</v>
      </c>
      <c r="Q71" s="41">
        <v>0</v>
      </c>
      <c r="R71" s="41">
        <v>0</v>
      </c>
      <c r="S71" s="41">
        <v>1452069138</v>
      </c>
      <c r="T71" s="41">
        <f>SUM(B71:R71)</f>
        <v>454654541</v>
      </c>
      <c r="U71" s="43">
        <f>S71-T71</f>
        <v>997414597</v>
      </c>
    </row>
    <row r="72" spans="1:21" x14ac:dyDescent="0.2">
      <c r="A72" s="40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3"/>
    </row>
    <row r="73" spans="1:21" ht="15.75" thickBot="1" x14ac:dyDescent="0.3">
      <c r="A73" s="45" t="s">
        <v>68</v>
      </c>
      <c r="B73" s="46">
        <f t="shared" ref="B73:O73" si="3">SUM(B5:B71)</f>
        <v>120101722716</v>
      </c>
      <c r="C73" s="46">
        <f t="shared" si="3"/>
        <v>104297499940</v>
      </c>
      <c r="D73" s="46">
        <f t="shared" si="3"/>
        <v>7623083361</v>
      </c>
      <c r="E73" s="46">
        <f t="shared" si="3"/>
        <v>7780543600</v>
      </c>
      <c r="F73" s="46">
        <f>SUM(F5:F71)</f>
        <v>188415263261</v>
      </c>
      <c r="G73" s="46">
        <f t="shared" si="3"/>
        <v>85862107539</v>
      </c>
      <c r="H73" s="46">
        <f t="shared" si="3"/>
        <v>211248738</v>
      </c>
      <c r="I73" s="46">
        <f t="shared" si="3"/>
        <v>15908329051</v>
      </c>
      <c r="J73" s="46">
        <f t="shared" si="3"/>
        <v>358011967</v>
      </c>
      <c r="K73" s="46">
        <f t="shared" si="3"/>
        <v>352724843</v>
      </c>
      <c r="L73" s="46">
        <f t="shared" si="3"/>
        <v>2387517332</v>
      </c>
      <c r="M73" s="46">
        <f t="shared" si="3"/>
        <v>13233839</v>
      </c>
      <c r="N73" s="46">
        <f t="shared" si="3"/>
        <v>39146852</v>
      </c>
      <c r="O73" s="46">
        <f t="shared" si="3"/>
        <v>1251663446</v>
      </c>
      <c r="P73" s="46">
        <f t="shared" ref="P73:U73" si="4">SUM(P5:P71)</f>
        <v>110847514</v>
      </c>
      <c r="Q73" s="46">
        <f t="shared" si="4"/>
        <v>954688281</v>
      </c>
      <c r="R73" s="46">
        <f t="shared" si="4"/>
        <v>1223563305</v>
      </c>
      <c r="S73" s="46">
        <f t="shared" si="4"/>
        <v>2801065006870</v>
      </c>
      <c r="T73" s="46">
        <f t="shared" si="4"/>
        <v>536891195585</v>
      </c>
      <c r="U73" s="48">
        <f t="shared" si="4"/>
        <v>2264173811285</v>
      </c>
    </row>
    <row r="75" spans="1:21" x14ac:dyDescent="0.2">
      <c r="A75" s="2" t="s">
        <v>109</v>
      </c>
      <c r="U75" s="29"/>
    </row>
    <row r="76" spans="1:21" x14ac:dyDescent="0.2">
      <c r="U76" s="29"/>
    </row>
    <row r="77" spans="1:21" x14ac:dyDescent="0.2">
      <c r="A77" s="38" t="s">
        <v>122</v>
      </c>
      <c r="U77" s="29"/>
    </row>
  </sheetData>
  <phoneticPr fontId="18" type="noConversion"/>
  <conditionalFormatting sqref="A4:U73">
    <cfRule type="expression" dxfId="3" priority="1" stopIfTrue="1">
      <formula>MOD(ROW(),3)=1</formula>
    </cfRule>
  </conditionalFormatting>
  <pageMargins left="0.75" right="0.75" top="1" bottom="1" header="0.5" footer="0.5"/>
  <pageSetup scale="76" fitToWidth="2" fitToHeight="2" orientation="landscape" r:id="rId1"/>
  <headerFooter alignWithMargins="0"/>
  <rowBreaks count="1" manualBreakCount="1">
    <brk id="37" max="16383" man="1"/>
  </rowBreaks>
  <ignoredErrors>
    <ignoredError sqref="T6:T7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75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17.7109375" style="2" customWidth="1"/>
    <col min="2" max="2" width="23.140625" style="2" bestFit="1" customWidth="1"/>
    <col min="3" max="3" width="22" style="2" bestFit="1" customWidth="1"/>
    <col min="4" max="4" width="25.28515625" style="2" bestFit="1" customWidth="1"/>
    <col min="5" max="5" width="21.42578125" style="2" bestFit="1" customWidth="1"/>
    <col min="6" max="6" width="20.140625" style="2" bestFit="1" customWidth="1"/>
    <col min="7" max="7" width="16.85546875" style="2" bestFit="1" customWidth="1"/>
    <col min="8" max="8" width="19" style="2" bestFit="1" customWidth="1"/>
    <col min="9" max="9" width="18.5703125" style="2" bestFit="1" customWidth="1"/>
    <col min="10" max="10" width="16.5703125" style="2" bestFit="1" customWidth="1"/>
    <col min="11" max="11" width="21.85546875" style="2" bestFit="1" customWidth="1"/>
    <col min="12" max="12" width="14.85546875" style="2" bestFit="1" customWidth="1"/>
    <col min="13" max="13" width="28" style="2" bestFit="1" customWidth="1"/>
    <col min="14" max="14" width="21.85546875" style="2" bestFit="1" customWidth="1"/>
    <col min="15" max="15" width="20.5703125" style="2" bestFit="1" customWidth="1"/>
    <col min="16" max="17" width="20.5703125" style="2" customWidth="1"/>
    <col min="18" max="18" width="24.85546875" style="2" bestFit="1" customWidth="1"/>
    <col min="19" max="19" width="22.28515625" style="2" bestFit="1" customWidth="1"/>
    <col min="20" max="20" width="23" style="2" bestFit="1" customWidth="1"/>
    <col min="21" max="16384" width="9.140625" style="2"/>
  </cols>
  <sheetData>
    <row r="1" spans="1:20" ht="23.25" x14ac:dyDescent="0.35">
      <c r="A1" s="6" t="s">
        <v>104</v>
      </c>
    </row>
    <row r="2" spans="1:20" ht="15" x14ac:dyDescent="0.25">
      <c r="A2" s="11">
        <v>2021</v>
      </c>
    </row>
    <row r="3" spans="1:20" ht="15" thickBot="1" x14ac:dyDescent="0.25">
      <c r="A3" s="39"/>
    </row>
    <row r="4" spans="1:20" s="58" customFormat="1" ht="51" x14ac:dyDescent="0.25">
      <c r="A4" s="50" t="s">
        <v>1</v>
      </c>
      <c r="B4" s="52" t="s">
        <v>88</v>
      </c>
      <c r="C4" s="52" t="s">
        <v>89</v>
      </c>
      <c r="D4" s="52" t="s">
        <v>90</v>
      </c>
      <c r="E4" s="52" t="s">
        <v>91</v>
      </c>
      <c r="F4" s="52" t="s">
        <v>92</v>
      </c>
      <c r="G4" s="52" t="s">
        <v>93</v>
      </c>
      <c r="H4" s="52" t="s">
        <v>94</v>
      </c>
      <c r="I4" s="52" t="s">
        <v>71</v>
      </c>
      <c r="J4" s="52" t="s">
        <v>95</v>
      </c>
      <c r="K4" s="52" t="s">
        <v>107</v>
      </c>
      <c r="L4" s="52" t="s">
        <v>110</v>
      </c>
      <c r="M4" s="52" t="s">
        <v>72</v>
      </c>
      <c r="N4" s="52" t="s">
        <v>73</v>
      </c>
      <c r="O4" s="52" t="s">
        <v>97</v>
      </c>
      <c r="P4" s="52" t="s">
        <v>105</v>
      </c>
      <c r="Q4" s="52" t="s">
        <v>116</v>
      </c>
      <c r="R4" s="52" t="s">
        <v>74</v>
      </c>
      <c r="S4" s="52" t="s">
        <v>75</v>
      </c>
      <c r="T4" s="53" t="s">
        <v>76</v>
      </c>
    </row>
    <row r="5" spans="1:20" x14ac:dyDescent="0.2">
      <c r="A5" s="40" t="s">
        <v>2</v>
      </c>
      <c r="B5" s="41">
        <v>1311678783</v>
      </c>
      <c r="C5" s="41">
        <v>1136734402</v>
      </c>
      <c r="D5" s="41">
        <v>35201649</v>
      </c>
      <c r="E5" s="41">
        <v>5354975737</v>
      </c>
      <c r="F5" s="41">
        <v>967377817</v>
      </c>
      <c r="G5" s="41">
        <v>1689502</v>
      </c>
      <c r="H5" s="41">
        <v>86757262</v>
      </c>
      <c r="I5" s="41">
        <v>333831</v>
      </c>
      <c r="J5" s="41">
        <v>1133883</v>
      </c>
      <c r="K5" s="41">
        <v>11000</v>
      </c>
      <c r="L5" s="41">
        <v>824942</v>
      </c>
      <c r="M5" s="41" t="s">
        <v>115</v>
      </c>
      <c r="N5" s="41">
        <v>8095231</v>
      </c>
      <c r="O5" s="41">
        <v>386703</v>
      </c>
      <c r="P5" s="41">
        <v>10505194</v>
      </c>
      <c r="Q5" s="41">
        <v>0</v>
      </c>
      <c r="R5" s="41">
        <v>24759727963</v>
      </c>
      <c r="S5" s="41">
        <f>SUM(B5:Q5)</f>
        <v>8915705936</v>
      </c>
      <c r="T5" s="43">
        <f>R5-S5</f>
        <v>15844022027</v>
      </c>
    </row>
    <row r="6" spans="1:20" x14ac:dyDescent="0.2">
      <c r="A6" s="40" t="s">
        <v>3</v>
      </c>
      <c r="B6" s="41">
        <v>155063389</v>
      </c>
      <c r="C6" s="41">
        <v>118697611</v>
      </c>
      <c r="D6" s="41">
        <v>14085163</v>
      </c>
      <c r="E6" s="41">
        <v>245551500</v>
      </c>
      <c r="F6" s="41">
        <v>54240776</v>
      </c>
      <c r="G6" s="41">
        <v>292000</v>
      </c>
      <c r="H6" s="41">
        <v>18675589</v>
      </c>
      <c r="I6" s="41" t="s">
        <v>115</v>
      </c>
      <c r="J6" s="41" t="s">
        <v>115</v>
      </c>
      <c r="K6" s="41" t="s">
        <v>115</v>
      </c>
      <c r="L6" s="41" t="s">
        <v>115</v>
      </c>
      <c r="M6" s="41">
        <v>270319</v>
      </c>
      <c r="N6" s="41">
        <v>20675</v>
      </c>
      <c r="O6" s="41">
        <v>80347</v>
      </c>
      <c r="P6" s="41" t="s">
        <v>115</v>
      </c>
      <c r="Q6" s="41">
        <v>0</v>
      </c>
      <c r="R6" s="41">
        <v>1540092747</v>
      </c>
      <c r="S6" s="41">
        <f t="shared" ref="S6:S69" si="0">SUM(B6:Q6)</f>
        <v>606977369</v>
      </c>
      <c r="T6" s="43">
        <f t="shared" ref="T6:T21" si="1">R6-S6</f>
        <v>933115378</v>
      </c>
    </row>
    <row r="7" spans="1:20" x14ac:dyDescent="0.2">
      <c r="A7" s="40" t="s">
        <v>4</v>
      </c>
      <c r="B7" s="41">
        <v>1010281908</v>
      </c>
      <c r="C7" s="41">
        <v>798569920</v>
      </c>
      <c r="D7" s="41">
        <v>70106995</v>
      </c>
      <c r="E7" s="41">
        <v>1934306295</v>
      </c>
      <c r="F7" s="41">
        <v>424470267</v>
      </c>
      <c r="G7" s="41">
        <v>1523591</v>
      </c>
      <c r="H7" s="41">
        <v>248962480</v>
      </c>
      <c r="I7" s="41">
        <v>11731</v>
      </c>
      <c r="J7" s="41" t="s">
        <v>115</v>
      </c>
      <c r="K7" s="41">
        <v>8732058</v>
      </c>
      <c r="L7" s="41" t="s">
        <v>115</v>
      </c>
      <c r="M7" s="41">
        <v>287208</v>
      </c>
      <c r="N7" s="41">
        <v>14215728</v>
      </c>
      <c r="O7" s="41">
        <v>204203</v>
      </c>
      <c r="P7" s="41">
        <v>18351498</v>
      </c>
      <c r="Q7" s="41">
        <v>0</v>
      </c>
      <c r="R7" s="41">
        <v>22443781199</v>
      </c>
      <c r="S7" s="41">
        <f t="shared" si="0"/>
        <v>4530023882</v>
      </c>
      <c r="T7" s="43">
        <f t="shared" si="1"/>
        <v>17913757317</v>
      </c>
    </row>
    <row r="8" spans="1:20" x14ac:dyDescent="0.2">
      <c r="A8" s="40" t="s">
        <v>5</v>
      </c>
      <c r="B8" s="41">
        <v>162303684</v>
      </c>
      <c r="C8" s="41">
        <v>102353370</v>
      </c>
      <c r="D8" s="41">
        <v>8448968</v>
      </c>
      <c r="E8" s="41">
        <v>98251698</v>
      </c>
      <c r="F8" s="41">
        <v>47896742</v>
      </c>
      <c r="G8" s="41">
        <v>335122</v>
      </c>
      <c r="H8" s="41">
        <v>13320499</v>
      </c>
      <c r="I8" s="41">
        <v>609833</v>
      </c>
      <c r="J8" s="41" t="s">
        <v>115</v>
      </c>
      <c r="K8" s="41" t="s">
        <v>115</v>
      </c>
      <c r="L8" s="41" t="s">
        <v>115</v>
      </c>
      <c r="M8" s="41">
        <v>24363</v>
      </c>
      <c r="N8" s="41">
        <v>836890</v>
      </c>
      <c r="O8" s="41">
        <v>138669</v>
      </c>
      <c r="P8" s="41" t="s">
        <v>115</v>
      </c>
      <c r="Q8" s="41">
        <v>0</v>
      </c>
      <c r="R8" s="41">
        <v>1233663304</v>
      </c>
      <c r="S8" s="41">
        <f t="shared" si="0"/>
        <v>434519838</v>
      </c>
      <c r="T8" s="43">
        <f t="shared" si="1"/>
        <v>799143466</v>
      </c>
    </row>
    <row r="9" spans="1:20" x14ac:dyDescent="0.2">
      <c r="A9" s="40" t="s">
        <v>6</v>
      </c>
      <c r="B9" s="41">
        <v>4087948100</v>
      </c>
      <c r="C9" s="41">
        <v>3505410815</v>
      </c>
      <c r="D9" s="41">
        <v>327911210</v>
      </c>
      <c r="E9" s="41">
        <v>3737493759</v>
      </c>
      <c r="F9" s="41">
        <v>2674255849</v>
      </c>
      <c r="G9" s="41">
        <v>7953000</v>
      </c>
      <c r="H9" s="41">
        <v>945660107</v>
      </c>
      <c r="I9" s="41">
        <v>1509905</v>
      </c>
      <c r="J9" s="41" t="s">
        <v>115</v>
      </c>
      <c r="K9" s="41">
        <v>170807770</v>
      </c>
      <c r="L9" s="41">
        <v>432410</v>
      </c>
      <c r="M9" s="41">
        <v>552604</v>
      </c>
      <c r="N9" s="41">
        <v>62358325</v>
      </c>
      <c r="O9" s="41">
        <v>1391083</v>
      </c>
      <c r="P9" s="41" t="s">
        <v>115</v>
      </c>
      <c r="Q9" s="41">
        <v>0</v>
      </c>
      <c r="R9" s="41">
        <v>58924030860</v>
      </c>
      <c r="S9" s="41">
        <f t="shared" si="0"/>
        <v>15523684937</v>
      </c>
      <c r="T9" s="43">
        <f t="shared" si="1"/>
        <v>43400345923</v>
      </c>
    </row>
    <row r="10" spans="1:20" x14ac:dyDescent="0.2">
      <c r="A10" s="40" t="s">
        <v>7</v>
      </c>
      <c r="B10" s="41">
        <v>10269385070</v>
      </c>
      <c r="C10" s="41">
        <v>9083807510</v>
      </c>
      <c r="D10" s="41">
        <v>829587560</v>
      </c>
      <c r="E10" s="41">
        <v>18346985220</v>
      </c>
      <c r="F10" s="41">
        <v>5838595510</v>
      </c>
      <c r="G10" s="41">
        <v>18112320</v>
      </c>
      <c r="H10" s="41">
        <v>842602090</v>
      </c>
      <c r="I10" s="41" t="s">
        <v>115</v>
      </c>
      <c r="J10" s="41">
        <v>26944230</v>
      </c>
      <c r="K10" s="41">
        <v>2009070</v>
      </c>
      <c r="L10" s="41">
        <v>388760</v>
      </c>
      <c r="M10" s="41">
        <v>3798620</v>
      </c>
      <c r="N10" s="41">
        <v>21130760</v>
      </c>
      <c r="O10" s="41">
        <v>5675400</v>
      </c>
      <c r="P10" s="41">
        <v>175184620</v>
      </c>
      <c r="Q10" s="41">
        <v>0</v>
      </c>
      <c r="R10" s="41">
        <v>257820804350</v>
      </c>
      <c r="S10" s="41">
        <f t="shared" si="0"/>
        <v>45464206740</v>
      </c>
      <c r="T10" s="43">
        <f t="shared" si="1"/>
        <v>212356597610</v>
      </c>
    </row>
    <row r="11" spans="1:20" x14ac:dyDescent="0.2">
      <c r="A11" s="40" t="s">
        <v>8</v>
      </c>
      <c r="B11" s="41">
        <v>79023523</v>
      </c>
      <c r="C11" s="41">
        <v>36464601</v>
      </c>
      <c r="D11" s="41">
        <v>8582884</v>
      </c>
      <c r="E11" s="41">
        <v>35643226</v>
      </c>
      <c r="F11" s="41">
        <v>14609009</v>
      </c>
      <c r="G11" s="41">
        <v>98283</v>
      </c>
      <c r="H11" s="41">
        <v>5470956</v>
      </c>
      <c r="I11" s="41">
        <v>553804</v>
      </c>
      <c r="J11" s="41" t="s">
        <v>115</v>
      </c>
      <c r="K11" s="41" t="s">
        <v>115</v>
      </c>
      <c r="L11" s="41">
        <v>72458</v>
      </c>
      <c r="M11" s="41">
        <v>106522</v>
      </c>
      <c r="N11" s="41">
        <v>190686</v>
      </c>
      <c r="O11" s="41" t="s">
        <v>115</v>
      </c>
      <c r="P11" s="41" t="s">
        <v>115</v>
      </c>
      <c r="Q11" s="41">
        <v>0</v>
      </c>
      <c r="R11" s="41">
        <v>509163396</v>
      </c>
      <c r="S11" s="41">
        <f t="shared" si="0"/>
        <v>180815952</v>
      </c>
      <c r="T11" s="43">
        <f t="shared" si="1"/>
        <v>328347444</v>
      </c>
    </row>
    <row r="12" spans="1:20" x14ac:dyDescent="0.2">
      <c r="A12" s="40" t="s">
        <v>9</v>
      </c>
      <c r="B12" s="41">
        <v>1482256136</v>
      </c>
      <c r="C12" s="41">
        <v>1292277461</v>
      </c>
      <c r="D12" s="41">
        <v>189038805</v>
      </c>
      <c r="E12" s="41">
        <v>1121170836</v>
      </c>
      <c r="F12" s="41">
        <v>268080570</v>
      </c>
      <c r="G12" s="41">
        <v>3449187</v>
      </c>
      <c r="H12" s="41">
        <v>262666196</v>
      </c>
      <c r="I12" s="41">
        <v>772296</v>
      </c>
      <c r="J12" s="41" t="s">
        <v>115</v>
      </c>
      <c r="K12" s="41">
        <v>31891680</v>
      </c>
      <c r="L12" s="41">
        <v>106595</v>
      </c>
      <c r="M12" s="41" t="s">
        <v>115</v>
      </c>
      <c r="N12" s="41">
        <v>41007298</v>
      </c>
      <c r="O12" s="41">
        <v>262729</v>
      </c>
      <c r="P12" s="41" t="s">
        <v>115</v>
      </c>
      <c r="Q12" s="41">
        <v>0</v>
      </c>
      <c r="R12" s="41">
        <v>23856032045</v>
      </c>
      <c r="S12" s="41">
        <f t="shared" si="0"/>
        <v>4692979789</v>
      </c>
      <c r="T12" s="43">
        <f t="shared" si="1"/>
        <v>19163052256</v>
      </c>
    </row>
    <row r="13" spans="1:20" x14ac:dyDescent="0.2">
      <c r="A13" s="40" t="s">
        <v>10</v>
      </c>
      <c r="B13" s="41">
        <v>1207975265</v>
      </c>
      <c r="C13" s="41">
        <v>895834284</v>
      </c>
      <c r="D13" s="41" t="s">
        <v>115</v>
      </c>
      <c r="E13" s="41">
        <v>1000639723</v>
      </c>
      <c r="F13" s="41">
        <v>274139533</v>
      </c>
      <c r="G13" s="41">
        <v>2727565</v>
      </c>
      <c r="H13" s="41">
        <v>205836871</v>
      </c>
      <c r="I13" s="41" t="s">
        <v>115</v>
      </c>
      <c r="J13" s="41" t="s">
        <v>115</v>
      </c>
      <c r="K13" s="41" t="s">
        <v>115</v>
      </c>
      <c r="L13" s="41">
        <v>343600</v>
      </c>
      <c r="M13" s="41" t="s">
        <v>115</v>
      </c>
      <c r="N13" s="41">
        <v>22615650</v>
      </c>
      <c r="O13" s="41">
        <v>55773</v>
      </c>
      <c r="P13" s="41" t="s">
        <v>115</v>
      </c>
      <c r="Q13" s="41">
        <v>0</v>
      </c>
      <c r="R13" s="41">
        <v>12687268028</v>
      </c>
      <c r="S13" s="41">
        <f t="shared" si="0"/>
        <v>3610168264</v>
      </c>
      <c r="T13" s="43">
        <f t="shared" si="1"/>
        <v>9077099764</v>
      </c>
    </row>
    <row r="14" spans="1:20" x14ac:dyDescent="0.2">
      <c r="A14" s="40" t="s">
        <v>11</v>
      </c>
      <c r="B14" s="41">
        <v>1316164072</v>
      </c>
      <c r="C14" s="41">
        <v>1189837997</v>
      </c>
      <c r="D14" s="41">
        <v>70952950</v>
      </c>
      <c r="E14" s="41">
        <v>885714571</v>
      </c>
      <c r="F14" s="41">
        <v>451743878</v>
      </c>
      <c r="G14" s="41">
        <v>1906500</v>
      </c>
      <c r="H14" s="41">
        <v>392614091</v>
      </c>
      <c r="I14" s="41">
        <v>2809440</v>
      </c>
      <c r="J14" s="41" t="s">
        <v>115</v>
      </c>
      <c r="K14" s="41" t="s">
        <v>115</v>
      </c>
      <c r="L14" s="41">
        <v>172842</v>
      </c>
      <c r="M14" s="41">
        <v>791600</v>
      </c>
      <c r="N14" s="41">
        <v>7671600</v>
      </c>
      <c r="O14" s="41">
        <v>9490760</v>
      </c>
      <c r="P14" s="41" t="s">
        <v>115</v>
      </c>
      <c r="Q14" s="41">
        <v>0</v>
      </c>
      <c r="R14" s="41">
        <v>16392278837</v>
      </c>
      <c r="S14" s="41">
        <f t="shared" si="0"/>
        <v>4329870301</v>
      </c>
      <c r="T14" s="43">
        <f t="shared" si="1"/>
        <v>12062408536</v>
      </c>
    </row>
    <row r="15" spans="1:20" x14ac:dyDescent="0.2">
      <c r="A15" s="40" t="s">
        <v>12</v>
      </c>
      <c r="B15" s="41">
        <v>2503670869</v>
      </c>
      <c r="C15" s="41">
        <v>2363885539</v>
      </c>
      <c r="D15" s="41">
        <v>96564743</v>
      </c>
      <c r="E15" s="41">
        <v>3972352989</v>
      </c>
      <c r="F15" s="41">
        <v>1906078269</v>
      </c>
      <c r="G15" s="41">
        <v>4990890</v>
      </c>
      <c r="H15" s="41">
        <v>240176023</v>
      </c>
      <c r="I15" s="41" t="s">
        <v>115</v>
      </c>
      <c r="J15" s="41" t="s">
        <v>115</v>
      </c>
      <c r="K15" s="41">
        <v>4609170</v>
      </c>
      <c r="L15" s="41" t="s">
        <v>115</v>
      </c>
      <c r="M15" s="41" t="s">
        <v>115</v>
      </c>
      <c r="N15" s="41">
        <v>58086840</v>
      </c>
      <c r="O15" s="41">
        <v>358337</v>
      </c>
      <c r="P15" s="41">
        <v>2759988</v>
      </c>
      <c r="Q15" s="41">
        <v>0</v>
      </c>
      <c r="R15" s="41">
        <v>113466259603</v>
      </c>
      <c r="S15" s="41">
        <f t="shared" si="0"/>
        <v>11153533657</v>
      </c>
      <c r="T15" s="43">
        <f t="shared" si="1"/>
        <v>102312725946</v>
      </c>
    </row>
    <row r="16" spans="1:20" x14ac:dyDescent="0.2">
      <c r="A16" s="40" t="s">
        <v>13</v>
      </c>
      <c r="B16" s="41">
        <v>396351214</v>
      </c>
      <c r="C16" s="41">
        <v>267598414</v>
      </c>
      <c r="D16" s="41">
        <v>43254445</v>
      </c>
      <c r="E16" s="41">
        <v>425087005</v>
      </c>
      <c r="F16" s="41">
        <v>119416130</v>
      </c>
      <c r="G16" s="41">
        <v>686308</v>
      </c>
      <c r="H16" s="41">
        <v>50864352</v>
      </c>
      <c r="I16" s="41">
        <v>3502865</v>
      </c>
      <c r="J16" s="41" t="s">
        <v>115</v>
      </c>
      <c r="K16" s="41">
        <v>9502891</v>
      </c>
      <c r="L16" s="41">
        <v>60666</v>
      </c>
      <c r="M16" s="41" t="s">
        <v>115</v>
      </c>
      <c r="N16" s="41">
        <v>2078142</v>
      </c>
      <c r="O16" s="41">
        <v>249683</v>
      </c>
      <c r="P16" s="41">
        <v>1734892</v>
      </c>
      <c r="Q16" s="41">
        <v>0</v>
      </c>
      <c r="R16" s="41">
        <v>3974125555</v>
      </c>
      <c r="S16" s="41">
        <f t="shared" si="0"/>
        <v>1320387007</v>
      </c>
      <c r="T16" s="43">
        <f t="shared" si="1"/>
        <v>2653738548</v>
      </c>
    </row>
    <row r="17" spans="1:20" x14ac:dyDescent="0.2">
      <c r="A17" s="40" t="s">
        <v>106</v>
      </c>
      <c r="B17" s="41">
        <v>10963346965</v>
      </c>
      <c r="C17" s="41">
        <v>10055932448</v>
      </c>
      <c r="D17" s="41">
        <v>1636870017</v>
      </c>
      <c r="E17" s="41">
        <v>21283647950</v>
      </c>
      <c r="F17" s="41">
        <v>10601348457</v>
      </c>
      <c r="G17" s="41">
        <v>13684000</v>
      </c>
      <c r="H17" s="41">
        <v>471053260</v>
      </c>
      <c r="I17" s="41">
        <v>13655316</v>
      </c>
      <c r="J17" s="41">
        <v>131139852</v>
      </c>
      <c r="K17" s="41" t="s">
        <v>115</v>
      </c>
      <c r="L17" s="41">
        <v>710872</v>
      </c>
      <c r="M17" s="41">
        <v>2982114</v>
      </c>
      <c r="N17" s="41">
        <v>11072902</v>
      </c>
      <c r="O17" s="41">
        <v>493375</v>
      </c>
      <c r="P17" s="41">
        <v>325552578</v>
      </c>
      <c r="Q17" s="41">
        <v>0</v>
      </c>
      <c r="R17" s="41">
        <v>377156746041</v>
      </c>
      <c r="S17" s="41">
        <f t="shared" si="0"/>
        <v>55511490106</v>
      </c>
      <c r="T17" s="43">
        <f t="shared" si="1"/>
        <v>321645255935</v>
      </c>
    </row>
    <row r="18" spans="1:20" x14ac:dyDescent="0.2">
      <c r="A18" s="40" t="s">
        <v>14</v>
      </c>
      <c r="B18" s="41">
        <v>150951727</v>
      </c>
      <c r="C18" s="41">
        <v>101570479</v>
      </c>
      <c r="D18" s="41">
        <v>17825543</v>
      </c>
      <c r="E18" s="41">
        <v>204895138</v>
      </c>
      <c r="F18" s="41">
        <v>121179670</v>
      </c>
      <c r="G18" s="41">
        <v>350959</v>
      </c>
      <c r="H18" s="41">
        <v>12966475</v>
      </c>
      <c r="I18" s="41">
        <v>25495993</v>
      </c>
      <c r="J18" s="41" t="s">
        <v>115</v>
      </c>
      <c r="K18" s="41" t="s">
        <v>115</v>
      </c>
      <c r="L18" s="41" t="s">
        <v>115</v>
      </c>
      <c r="M18" s="41" t="s">
        <v>115</v>
      </c>
      <c r="N18" s="41">
        <v>1289462</v>
      </c>
      <c r="O18" s="41">
        <v>57302</v>
      </c>
      <c r="P18" s="41" t="s">
        <v>115</v>
      </c>
      <c r="Q18" s="41">
        <v>0</v>
      </c>
      <c r="R18" s="41">
        <v>2017403471</v>
      </c>
      <c r="S18" s="41">
        <f t="shared" si="0"/>
        <v>636582748</v>
      </c>
      <c r="T18" s="43">
        <f t="shared" si="1"/>
        <v>1380820723</v>
      </c>
    </row>
    <row r="19" spans="1:20" x14ac:dyDescent="0.2">
      <c r="A19" s="40" t="s">
        <v>15</v>
      </c>
      <c r="B19" s="41">
        <v>106478319</v>
      </c>
      <c r="C19" s="41">
        <v>32720081</v>
      </c>
      <c r="D19" s="41" t="s">
        <v>115</v>
      </c>
      <c r="E19" s="41">
        <v>153672757</v>
      </c>
      <c r="F19" s="41">
        <v>14874048</v>
      </c>
      <c r="G19" s="41">
        <v>201910</v>
      </c>
      <c r="H19" s="41">
        <v>6871558</v>
      </c>
      <c r="I19" s="41">
        <v>1381424</v>
      </c>
      <c r="J19" s="41" t="s">
        <v>115</v>
      </c>
      <c r="K19" s="41" t="s">
        <v>115</v>
      </c>
      <c r="L19" s="41">
        <v>141200</v>
      </c>
      <c r="M19" s="41" t="s">
        <v>115</v>
      </c>
      <c r="N19" s="41" t="s">
        <v>115</v>
      </c>
      <c r="O19" s="41">
        <v>36098</v>
      </c>
      <c r="P19" s="41" t="s">
        <v>115</v>
      </c>
      <c r="Q19" s="41">
        <v>0</v>
      </c>
      <c r="R19" s="41">
        <v>822890851</v>
      </c>
      <c r="S19" s="41">
        <f t="shared" si="0"/>
        <v>316377395</v>
      </c>
      <c r="T19" s="43">
        <f>R19-S19</f>
        <v>506513456</v>
      </c>
    </row>
    <row r="20" spans="1:20" x14ac:dyDescent="0.2">
      <c r="A20" s="40" t="s">
        <v>16</v>
      </c>
      <c r="B20" s="41">
        <v>5044217773</v>
      </c>
      <c r="C20" s="41">
        <v>4368933014</v>
      </c>
      <c r="D20" s="41">
        <v>220542495</v>
      </c>
      <c r="E20" s="41">
        <v>5853020178</v>
      </c>
      <c r="F20" s="41">
        <v>4549042526</v>
      </c>
      <c r="G20" s="41">
        <v>7044246</v>
      </c>
      <c r="H20" s="41">
        <v>485125392</v>
      </c>
      <c r="I20" s="41">
        <v>993917</v>
      </c>
      <c r="J20" s="41">
        <v>37783243</v>
      </c>
      <c r="K20" s="41">
        <v>598233</v>
      </c>
      <c r="L20" s="41">
        <v>639186</v>
      </c>
      <c r="M20" s="41">
        <v>863912</v>
      </c>
      <c r="N20" s="41">
        <v>43280333</v>
      </c>
      <c r="O20" s="41">
        <v>14702759</v>
      </c>
      <c r="P20" s="41">
        <v>19128031</v>
      </c>
      <c r="Q20" s="41">
        <v>0</v>
      </c>
      <c r="R20" s="41">
        <v>93035123249</v>
      </c>
      <c r="S20" s="41">
        <f t="shared" si="0"/>
        <v>20645915238</v>
      </c>
      <c r="T20" s="43">
        <f t="shared" si="1"/>
        <v>72389208011</v>
      </c>
    </row>
    <row r="21" spans="1:20" x14ac:dyDescent="0.2">
      <c r="A21" s="40" t="s">
        <v>17</v>
      </c>
      <c r="B21" s="41">
        <v>1793724951</v>
      </c>
      <c r="C21" s="41">
        <v>1457757582</v>
      </c>
      <c r="D21" s="41">
        <v>121516269</v>
      </c>
      <c r="E21" s="41">
        <v>3961135306</v>
      </c>
      <c r="F21" s="41">
        <v>1177847832</v>
      </c>
      <c r="G21" s="41">
        <v>3721164</v>
      </c>
      <c r="H21" s="41">
        <v>290328367</v>
      </c>
      <c r="I21" s="41">
        <v>153385</v>
      </c>
      <c r="J21" s="41">
        <v>193001</v>
      </c>
      <c r="K21" s="41">
        <v>385142914</v>
      </c>
      <c r="L21" s="41">
        <v>312631</v>
      </c>
      <c r="M21" s="41">
        <v>1598905</v>
      </c>
      <c r="N21" s="41">
        <v>31430066</v>
      </c>
      <c r="O21" s="41">
        <v>1227699</v>
      </c>
      <c r="P21" s="41">
        <v>40523999</v>
      </c>
      <c r="Q21" s="41">
        <v>0</v>
      </c>
      <c r="R21" s="41">
        <v>27756703273</v>
      </c>
      <c r="S21" s="41">
        <f t="shared" si="0"/>
        <v>9266614071</v>
      </c>
      <c r="T21" s="43">
        <f t="shared" si="1"/>
        <v>18490089202</v>
      </c>
    </row>
    <row r="22" spans="1:20" x14ac:dyDescent="0.2">
      <c r="A22" s="40" t="s">
        <v>18</v>
      </c>
      <c r="B22" s="41">
        <v>894701687</v>
      </c>
      <c r="C22" s="41">
        <v>865938458</v>
      </c>
      <c r="D22" s="41">
        <v>187270666</v>
      </c>
      <c r="E22" s="41">
        <v>473817895</v>
      </c>
      <c r="F22" s="41">
        <v>177385456</v>
      </c>
      <c r="G22" s="41">
        <v>1809000</v>
      </c>
      <c r="H22" s="41">
        <v>142809203</v>
      </c>
      <c r="I22" s="41">
        <v>5404074</v>
      </c>
      <c r="J22" s="41" t="s">
        <v>115</v>
      </c>
      <c r="K22" s="41" t="s">
        <v>115</v>
      </c>
      <c r="L22" s="41">
        <v>1283739</v>
      </c>
      <c r="M22" s="41">
        <v>442471</v>
      </c>
      <c r="N22" s="41">
        <v>33860001</v>
      </c>
      <c r="O22" s="41">
        <v>96884</v>
      </c>
      <c r="P22" s="41">
        <v>5886683</v>
      </c>
      <c r="Q22" s="41">
        <v>0</v>
      </c>
      <c r="R22" s="41">
        <v>13120382091</v>
      </c>
      <c r="S22" s="41">
        <f t="shared" si="0"/>
        <v>2790706217</v>
      </c>
      <c r="T22" s="43">
        <f>R22-S22</f>
        <v>10329675874</v>
      </c>
    </row>
    <row r="23" spans="1:20" x14ac:dyDescent="0.2">
      <c r="A23" s="40" t="s">
        <v>19</v>
      </c>
      <c r="B23" s="41">
        <v>77688517</v>
      </c>
      <c r="C23" s="41">
        <v>51418212</v>
      </c>
      <c r="D23" s="41">
        <v>7198242</v>
      </c>
      <c r="E23" s="41">
        <v>553874281</v>
      </c>
      <c r="F23" s="41">
        <v>31590514</v>
      </c>
      <c r="G23" s="41">
        <v>143000</v>
      </c>
      <c r="H23" s="41">
        <v>6321948</v>
      </c>
      <c r="I23" s="41">
        <v>312197</v>
      </c>
      <c r="J23" s="41" t="s">
        <v>115</v>
      </c>
      <c r="K23" s="41" t="s">
        <v>115</v>
      </c>
      <c r="L23" s="41" t="s">
        <v>115</v>
      </c>
      <c r="M23" s="41" t="s">
        <v>115</v>
      </c>
      <c r="N23" s="41">
        <v>4246717</v>
      </c>
      <c r="O23" s="41" t="s">
        <v>115</v>
      </c>
      <c r="P23" s="41" t="s">
        <v>115</v>
      </c>
      <c r="Q23" s="41">
        <v>0</v>
      </c>
      <c r="R23" s="41">
        <v>2982949480</v>
      </c>
      <c r="S23" s="41">
        <f t="shared" si="0"/>
        <v>732793628</v>
      </c>
      <c r="T23" s="43">
        <f t="shared" ref="T23:T71" si="2">R23-S23</f>
        <v>2250155852</v>
      </c>
    </row>
    <row r="24" spans="1:20" x14ac:dyDescent="0.2">
      <c r="A24" s="40" t="s">
        <v>20</v>
      </c>
      <c r="B24" s="41">
        <v>244143811</v>
      </c>
      <c r="C24" s="41">
        <v>139129739</v>
      </c>
      <c r="D24" s="41">
        <v>7133836</v>
      </c>
      <c r="E24" s="41">
        <v>195487776</v>
      </c>
      <c r="F24" s="41">
        <v>65961421</v>
      </c>
      <c r="G24" s="41">
        <v>357483</v>
      </c>
      <c r="H24" s="41">
        <v>22865190</v>
      </c>
      <c r="I24" s="41">
        <v>1915307</v>
      </c>
      <c r="J24" s="41" t="s">
        <v>115</v>
      </c>
      <c r="K24" s="41" t="s">
        <v>115</v>
      </c>
      <c r="L24" s="41">
        <v>128846</v>
      </c>
      <c r="M24" s="41" t="s">
        <v>115</v>
      </c>
      <c r="N24" s="41">
        <v>936725</v>
      </c>
      <c r="O24" s="41" t="s">
        <v>115</v>
      </c>
      <c r="P24" s="41" t="s">
        <v>115</v>
      </c>
      <c r="Q24" s="41">
        <v>0</v>
      </c>
      <c r="R24" s="41">
        <v>1918482382</v>
      </c>
      <c r="S24" s="41">
        <f t="shared" si="0"/>
        <v>678060134</v>
      </c>
      <c r="T24" s="43">
        <f t="shared" si="2"/>
        <v>1240422248</v>
      </c>
    </row>
    <row r="25" spans="1:20" x14ac:dyDescent="0.2">
      <c r="A25" s="40" t="s">
        <v>21</v>
      </c>
      <c r="B25" s="41">
        <v>124136023</v>
      </c>
      <c r="C25" s="41">
        <v>73828295</v>
      </c>
      <c r="D25" s="41">
        <v>5112543</v>
      </c>
      <c r="E25" s="41">
        <v>87896834</v>
      </c>
      <c r="F25" s="41">
        <v>28744661</v>
      </c>
      <c r="G25" s="41">
        <v>253197</v>
      </c>
      <c r="H25" s="41">
        <v>12987644</v>
      </c>
      <c r="I25" s="41">
        <v>720956</v>
      </c>
      <c r="J25" s="41" t="s">
        <v>115</v>
      </c>
      <c r="K25" s="41" t="s">
        <v>115</v>
      </c>
      <c r="L25" s="41">
        <v>6025</v>
      </c>
      <c r="M25" s="41" t="s">
        <v>115</v>
      </c>
      <c r="N25" s="41">
        <v>1248207</v>
      </c>
      <c r="O25" s="41" t="s">
        <v>115</v>
      </c>
      <c r="P25" s="41">
        <v>4631899</v>
      </c>
      <c r="Q25" s="41">
        <v>0</v>
      </c>
      <c r="R25" s="41">
        <v>972747244</v>
      </c>
      <c r="S25" s="41">
        <f t="shared" si="0"/>
        <v>339566284</v>
      </c>
      <c r="T25" s="43">
        <f t="shared" si="2"/>
        <v>633180960</v>
      </c>
    </row>
    <row r="26" spans="1:20" x14ac:dyDescent="0.2">
      <c r="A26" s="40" t="s">
        <v>22</v>
      </c>
      <c r="B26" s="41">
        <v>61917060</v>
      </c>
      <c r="C26" s="41">
        <v>37826437</v>
      </c>
      <c r="D26" s="41">
        <v>3012895</v>
      </c>
      <c r="E26" s="41">
        <v>774515746</v>
      </c>
      <c r="F26" s="41">
        <v>27333038</v>
      </c>
      <c r="G26" s="41">
        <v>154500</v>
      </c>
      <c r="H26" s="41">
        <v>6409839</v>
      </c>
      <c r="I26" s="41">
        <v>5053582</v>
      </c>
      <c r="J26" s="41" t="s">
        <v>115</v>
      </c>
      <c r="K26" s="41" t="s">
        <v>115</v>
      </c>
      <c r="L26" s="41">
        <v>11347</v>
      </c>
      <c r="M26" s="41" t="s">
        <v>115</v>
      </c>
      <c r="N26" s="41">
        <v>775029</v>
      </c>
      <c r="O26" s="41" t="s">
        <v>115</v>
      </c>
      <c r="P26" s="41" t="s">
        <v>115</v>
      </c>
      <c r="Q26" s="41">
        <v>0</v>
      </c>
      <c r="R26" s="41">
        <v>1532586490</v>
      </c>
      <c r="S26" s="41">
        <f t="shared" si="0"/>
        <v>917009473</v>
      </c>
      <c r="T26" s="43">
        <f t="shared" si="2"/>
        <v>615577017</v>
      </c>
    </row>
    <row r="27" spans="1:20" x14ac:dyDescent="0.2">
      <c r="A27" s="40" t="s">
        <v>23</v>
      </c>
      <c r="B27" s="41">
        <v>91064685</v>
      </c>
      <c r="C27" s="41">
        <v>56311215</v>
      </c>
      <c r="D27" s="41">
        <v>4069886</v>
      </c>
      <c r="E27" s="41">
        <v>518583396</v>
      </c>
      <c r="F27" s="41">
        <v>51185166</v>
      </c>
      <c r="G27" s="41">
        <v>164500</v>
      </c>
      <c r="H27" s="41">
        <v>11737672</v>
      </c>
      <c r="I27" s="41">
        <v>121022</v>
      </c>
      <c r="J27" s="41" t="s">
        <v>115</v>
      </c>
      <c r="K27" s="41" t="s">
        <v>115</v>
      </c>
      <c r="L27" s="41" t="s">
        <v>115</v>
      </c>
      <c r="M27" s="41">
        <v>83235</v>
      </c>
      <c r="N27" s="41">
        <v>3271087</v>
      </c>
      <c r="O27" s="41" t="s">
        <v>115</v>
      </c>
      <c r="P27" s="41">
        <v>374386</v>
      </c>
      <c r="Q27" s="41">
        <v>0</v>
      </c>
      <c r="R27" s="41">
        <v>2667381761</v>
      </c>
      <c r="S27" s="41">
        <f t="shared" si="0"/>
        <v>736966250</v>
      </c>
      <c r="T27" s="43">
        <f t="shared" si="2"/>
        <v>1930415511</v>
      </c>
    </row>
    <row r="28" spans="1:20" x14ac:dyDescent="0.2">
      <c r="A28" s="40" t="s">
        <v>24</v>
      </c>
      <c r="B28" s="41">
        <v>66266139</v>
      </c>
      <c r="C28" s="41">
        <v>30805544</v>
      </c>
      <c r="D28" s="41">
        <v>4949215</v>
      </c>
      <c r="E28" s="41">
        <v>91947198</v>
      </c>
      <c r="F28" s="41">
        <v>53841186</v>
      </c>
      <c r="G28" s="41">
        <v>153096</v>
      </c>
      <c r="H28" s="41">
        <v>5856563</v>
      </c>
      <c r="I28" s="41">
        <v>345560</v>
      </c>
      <c r="J28" s="41" t="s">
        <v>115</v>
      </c>
      <c r="K28" s="41" t="s">
        <v>115</v>
      </c>
      <c r="L28" s="41">
        <v>24728</v>
      </c>
      <c r="M28" s="41" t="s">
        <v>115</v>
      </c>
      <c r="N28" s="41">
        <v>415839</v>
      </c>
      <c r="O28" s="41" t="s">
        <v>115</v>
      </c>
      <c r="P28" s="41" t="s">
        <v>115</v>
      </c>
      <c r="Q28" s="41">
        <v>0</v>
      </c>
      <c r="R28" s="41">
        <v>677623206</v>
      </c>
      <c r="S28" s="41">
        <f t="shared" si="0"/>
        <v>254605068</v>
      </c>
      <c r="T28" s="43">
        <f t="shared" si="2"/>
        <v>423018138</v>
      </c>
    </row>
    <row r="29" spans="1:20" x14ac:dyDescent="0.2">
      <c r="A29" s="40" t="s">
        <v>25</v>
      </c>
      <c r="B29" s="41">
        <v>109262903</v>
      </c>
      <c r="C29" s="41">
        <v>63167930</v>
      </c>
      <c r="D29" s="41">
        <v>6823903</v>
      </c>
      <c r="E29" s="41">
        <v>118719962</v>
      </c>
      <c r="F29" s="41">
        <v>154994454</v>
      </c>
      <c r="G29" s="41">
        <v>248198</v>
      </c>
      <c r="H29" s="41">
        <v>3837868</v>
      </c>
      <c r="I29" s="41">
        <v>347505</v>
      </c>
      <c r="J29" s="41" t="s">
        <v>115</v>
      </c>
      <c r="K29" s="41" t="s">
        <v>115</v>
      </c>
      <c r="L29" s="41" t="s">
        <v>115</v>
      </c>
      <c r="M29" s="41" t="s">
        <v>115</v>
      </c>
      <c r="N29" s="41">
        <v>140117</v>
      </c>
      <c r="O29" s="41" t="s">
        <v>115</v>
      </c>
      <c r="P29" s="41" t="s">
        <v>115</v>
      </c>
      <c r="Q29" s="41">
        <v>0</v>
      </c>
      <c r="R29" s="41">
        <v>1471487260</v>
      </c>
      <c r="S29" s="41">
        <f t="shared" si="0"/>
        <v>457542840</v>
      </c>
      <c r="T29" s="43">
        <f t="shared" si="2"/>
        <v>1013944420</v>
      </c>
    </row>
    <row r="30" spans="1:20" x14ac:dyDescent="0.2">
      <c r="A30" s="40" t="s">
        <v>26</v>
      </c>
      <c r="B30" s="41">
        <v>175306339</v>
      </c>
      <c r="C30" s="41">
        <v>106328325</v>
      </c>
      <c r="D30" s="41">
        <v>12760944</v>
      </c>
      <c r="E30" s="41">
        <v>1131743579</v>
      </c>
      <c r="F30" s="41">
        <v>85486778</v>
      </c>
      <c r="G30" s="41">
        <v>265868</v>
      </c>
      <c r="H30" s="41">
        <v>8197698</v>
      </c>
      <c r="I30" s="41">
        <v>9664035</v>
      </c>
      <c r="J30" s="41" t="s">
        <v>115</v>
      </c>
      <c r="K30" s="41">
        <v>1617412</v>
      </c>
      <c r="L30" s="41">
        <v>15162</v>
      </c>
      <c r="M30" s="41" t="s">
        <v>115</v>
      </c>
      <c r="N30" s="41" t="s">
        <v>115</v>
      </c>
      <c r="O30" s="41">
        <v>77089</v>
      </c>
      <c r="P30" s="41" t="s">
        <v>115</v>
      </c>
      <c r="Q30" s="41">
        <v>0</v>
      </c>
      <c r="R30" s="41">
        <v>3399987214</v>
      </c>
      <c r="S30" s="41">
        <f t="shared" si="0"/>
        <v>1531463229</v>
      </c>
      <c r="T30" s="43">
        <f t="shared" si="2"/>
        <v>1868523985</v>
      </c>
    </row>
    <row r="31" spans="1:20" x14ac:dyDescent="0.2">
      <c r="A31" s="40" t="s">
        <v>27</v>
      </c>
      <c r="B31" s="41">
        <v>1355551191</v>
      </c>
      <c r="C31" s="41">
        <v>1112931399</v>
      </c>
      <c r="D31" s="41">
        <v>181768376</v>
      </c>
      <c r="E31" s="41">
        <v>970602250</v>
      </c>
      <c r="F31" s="41">
        <v>236174343</v>
      </c>
      <c r="G31" s="41">
        <v>3187591</v>
      </c>
      <c r="H31" s="41">
        <v>240181707</v>
      </c>
      <c r="I31" s="41">
        <v>81973</v>
      </c>
      <c r="J31" s="41" t="s">
        <v>115</v>
      </c>
      <c r="K31" s="41" t="s">
        <v>115</v>
      </c>
      <c r="L31" s="41">
        <v>350053</v>
      </c>
      <c r="M31" s="41" t="s">
        <v>115</v>
      </c>
      <c r="N31" s="41">
        <v>5921699</v>
      </c>
      <c r="O31" s="41">
        <v>5598</v>
      </c>
      <c r="P31" s="41">
        <v>14686684</v>
      </c>
      <c r="Q31" s="41">
        <v>0</v>
      </c>
      <c r="R31" s="41">
        <v>13794061391</v>
      </c>
      <c r="S31" s="41">
        <f t="shared" si="0"/>
        <v>4121442864</v>
      </c>
      <c r="T31" s="43">
        <f t="shared" si="2"/>
        <v>9672618527</v>
      </c>
    </row>
    <row r="32" spans="1:20" x14ac:dyDescent="0.2">
      <c r="A32" s="40" t="s">
        <v>28</v>
      </c>
      <c r="B32" s="41">
        <v>615776639</v>
      </c>
      <c r="C32" s="41">
        <v>444621462</v>
      </c>
      <c r="D32" s="41">
        <v>27466237</v>
      </c>
      <c r="E32" s="41">
        <v>536203156</v>
      </c>
      <c r="F32" s="41">
        <v>398785021</v>
      </c>
      <c r="G32" s="41">
        <v>1990000</v>
      </c>
      <c r="H32" s="41">
        <v>77901639</v>
      </c>
      <c r="I32" s="41">
        <v>13736341</v>
      </c>
      <c r="J32" s="41" t="s">
        <v>115</v>
      </c>
      <c r="K32" s="41">
        <v>491900</v>
      </c>
      <c r="L32" s="41">
        <v>180954</v>
      </c>
      <c r="M32" s="41" t="s">
        <v>115</v>
      </c>
      <c r="N32" s="41">
        <v>5596181</v>
      </c>
      <c r="O32" s="41">
        <v>150508</v>
      </c>
      <c r="P32" s="41" t="s">
        <v>115</v>
      </c>
      <c r="Q32" s="41">
        <v>0</v>
      </c>
      <c r="R32" s="41">
        <v>7134486242</v>
      </c>
      <c r="S32" s="41">
        <f t="shared" si="0"/>
        <v>2122900038</v>
      </c>
      <c r="T32" s="43">
        <f t="shared" si="2"/>
        <v>5011586204</v>
      </c>
    </row>
    <row r="33" spans="1:20" x14ac:dyDescent="0.2">
      <c r="A33" s="40" t="s">
        <v>29</v>
      </c>
      <c r="B33" s="41">
        <v>7241384677</v>
      </c>
      <c r="C33" s="41">
        <v>6422436714</v>
      </c>
      <c r="D33" s="41">
        <v>222212600</v>
      </c>
      <c r="E33" s="41">
        <v>10263806516</v>
      </c>
      <c r="F33" s="41">
        <v>4983565440</v>
      </c>
      <c r="G33" s="41">
        <v>8989000</v>
      </c>
      <c r="H33" s="41">
        <v>1527219756</v>
      </c>
      <c r="I33" s="41">
        <v>1190330</v>
      </c>
      <c r="J33" s="41">
        <v>77529974</v>
      </c>
      <c r="K33" s="41">
        <v>5282516</v>
      </c>
      <c r="L33" s="41">
        <v>67768</v>
      </c>
      <c r="M33" s="41">
        <v>3682560</v>
      </c>
      <c r="N33" s="41">
        <v>29157376</v>
      </c>
      <c r="O33" s="41">
        <v>11890540</v>
      </c>
      <c r="P33" s="41">
        <v>142973712</v>
      </c>
      <c r="Q33" s="41">
        <v>0</v>
      </c>
      <c r="R33" s="41">
        <v>143472470007</v>
      </c>
      <c r="S33" s="41">
        <f t="shared" si="0"/>
        <v>30941389479</v>
      </c>
      <c r="T33" s="43">
        <f t="shared" si="2"/>
        <v>112531080528</v>
      </c>
    </row>
    <row r="34" spans="1:20" x14ac:dyDescent="0.2">
      <c r="A34" s="40" t="s">
        <v>30</v>
      </c>
      <c r="B34" s="41">
        <v>115226337</v>
      </c>
      <c r="C34" s="41">
        <v>56809423</v>
      </c>
      <c r="D34" s="41">
        <v>16765920</v>
      </c>
      <c r="E34" s="41">
        <v>72999118</v>
      </c>
      <c r="F34" s="41">
        <v>43987477</v>
      </c>
      <c r="G34" s="41">
        <v>232568</v>
      </c>
      <c r="H34" s="41">
        <v>14205091</v>
      </c>
      <c r="I34" s="41" t="s">
        <v>115</v>
      </c>
      <c r="J34" s="41" t="s">
        <v>115</v>
      </c>
      <c r="K34" s="41">
        <v>269376</v>
      </c>
      <c r="L34" s="41">
        <v>52678</v>
      </c>
      <c r="M34" s="41" t="s">
        <v>115</v>
      </c>
      <c r="N34" s="41">
        <v>657486</v>
      </c>
      <c r="O34" s="41" t="s">
        <v>115</v>
      </c>
      <c r="P34" s="41" t="s">
        <v>115</v>
      </c>
      <c r="Q34" s="41">
        <v>0</v>
      </c>
      <c r="R34" s="41">
        <v>728374081</v>
      </c>
      <c r="S34" s="41">
        <f t="shared" si="0"/>
        <v>321205474</v>
      </c>
      <c r="T34" s="43">
        <f t="shared" si="2"/>
        <v>407168607</v>
      </c>
    </row>
    <row r="35" spans="1:20" x14ac:dyDescent="0.2">
      <c r="A35" s="40" t="s">
        <v>31</v>
      </c>
      <c r="B35" s="41">
        <v>1166079795</v>
      </c>
      <c r="C35" s="41">
        <v>1033568996</v>
      </c>
      <c r="D35" s="41">
        <v>46054577</v>
      </c>
      <c r="E35" s="41">
        <v>959185683</v>
      </c>
      <c r="F35" s="41">
        <v>727917718</v>
      </c>
      <c r="G35" s="41">
        <v>2176508</v>
      </c>
      <c r="H35" s="41">
        <v>141134430</v>
      </c>
      <c r="I35" s="41">
        <v>660955</v>
      </c>
      <c r="J35" s="41" t="s">
        <v>115</v>
      </c>
      <c r="K35" s="41" t="s">
        <v>115</v>
      </c>
      <c r="L35" s="41">
        <v>21854</v>
      </c>
      <c r="M35" s="41">
        <v>161115</v>
      </c>
      <c r="N35" s="41">
        <v>27083409</v>
      </c>
      <c r="O35" s="41" t="s">
        <v>115</v>
      </c>
      <c r="P35" s="41" t="s">
        <v>115</v>
      </c>
      <c r="Q35" s="41">
        <v>0</v>
      </c>
      <c r="R35" s="41">
        <v>23911890418</v>
      </c>
      <c r="S35" s="41">
        <f t="shared" si="0"/>
        <v>4104045040</v>
      </c>
      <c r="T35" s="43">
        <f t="shared" si="2"/>
        <v>19807845378</v>
      </c>
    </row>
    <row r="36" spans="1:20" x14ac:dyDescent="0.2">
      <c r="A36" s="40" t="s">
        <v>32</v>
      </c>
      <c r="B36" s="41">
        <v>245160245</v>
      </c>
      <c r="C36" s="41">
        <v>124512971</v>
      </c>
      <c r="D36" s="41">
        <v>6753343</v>
      </c>
      <c r="E36" s="41">
        <v>346401839</v>
      </c>
      <c r="F36" s="41">
        <v>132110362</v>
      </c>
      <c r="G36" s="41">
        <v>605734</v>
      </c>
      <c r="H36" s="41">
        <v>23796047</v>
      </c>
      <c r="I36" s="41">
        <v>197488</v>
      </c>
      <c r="J36" s="41" t="s">
        <v>115</v>
      </c>
      <c r="K36" s="41" t="s">
        <v>115</v>
      </c>
      <c r="L36" s="41">
        <v>125350</v>
      </c>
      <c r="M36" s="41" t="s">
        <v>115</v>
      </c>
      <c r="N36" s="41">
        <v>1556207</v>
      </c>
      <c r="O36" s="41" t="s">
        <v>115</v>
      </c>
      <c r="P36" s="41">
        <v>504921</v>
      </c>
      <c r="Q36" s="41">
        <v>0</v>
      </c>
      <c r="R36" s="41">
        <v>2232466487</v>
      </c>
      <c r="S36" s="41">
        <f t="shared" si="0"/>
        <v>881724507</v>
      </c>
      <c r="T36" s="43">
        <f>R36-S36</f>
        <v>1350741980</v>
      </c>
    </row>
    <row r="37" spans="1:20" x14ac:dyDescent="0.2">
      <c r="A37" s="40" t="s">
        <v>33</v>
      </c>
      <c r="B37" s="41">
        <v>93170361</v>
      </c>
      <c r="C37" s="41">
        <v>60816497</v>
      </c>
      <c r="D37" s="41">
        <v>1941283</v>
      </c>
      <c r="E37" s="41">
        <v>82234723</v>
      </c>
      <c r="F37" s="41">
        <v>37487550</v>
      </c>
      <c r="G37" s="41">
        <v>252338</v>
      </c>
      <c r="H37" s="41">
        <v>4569166</v>
      </c>
      <c r="I37" s="41">
        <v>42610469</v>
      </c>
      <c r="J37" s="41" t="s">
        <v>115</v>
      </c>
      <c r="K37" s="41" t="s">
        <v>115</v>
      </c>
      <c r="L37" s="41">
        <v>225690</v>
      </c>
      <c r="M37" s="41">
        <v>397015</v>
      </c>
      <c r="N37" s="41">
        <v>303325</v>
      </c>
      <c r="O37" s="41" t="s">
        <v>115</v>
      </c>
      <c r="P37" s="41" t="s">
        <v>115</v>
      </c>
      <c r="Q37" s="41">
        <v>0</v>
      </c>
      <c r="R37" s="41">
        <v>882476544</v>
      </c>
      <c r="S37" s="41">
        <f t="shared" si="0"/>
        <v>324008417</v>
      </c>
      <c r="T37" s="43">
        <f t="shared" si="2"/>
        <v>558468127</v>
      </c>
    </row>
    <row r="38" spans="1:20" x14ac:dyDescent="0.2">
      <c r="A38" s="40" t="s">
        <v>34</v>
      </c>
      <c r="B38" s="41">
        <v>40574226</v>
      </c>
      <c r="C38" s="41">
        <v>23865038</v>
      </c>
      <c r="D38" s="41">
        <v>513295</v>
      </c>
      <c r="E38" s="41">
        <v>88528432</v>
      </c>
      <c r="F38" s="41">
        <v>15985178</v>
      </c>
      <c r="G38" s="41">
        <v>83500</v>
      </c>
      <c r="H38" s="41">
        <v>3812932</v>
      </c>
      <c r="I38" s="41" t="s">
        <v>115</v>
      </c>
      <c r="J38" s="41" t="s">
        <v>115</v>
      </c>
      <c r="K38" s="41" t="s">
        <v>115</v>
      </c>
      <c r="L38" s="41" t="s">
        <v>115</v>
      </c>
      <c r="M38" s="41" t="s">
        <v>115</v>
      </c>
      <c r="N38" s="41" t="s">
        <v>115</v>
      </c>
      <c r="O38" s="41" t="s">
        <v>115</v>
      </c>
      <c r="P38" s="41" t="s">
        <v>115</v>
      </c>
      <c r="Q38" s="41">
        <v>0</v>
      </c>
      <c r="R38" s="41">
        <v>401836779</v>
      </c>
      <c r="S38" s="41">
        <f t="shared" si="0"/>
        <v>173362601</v>
      </c>
      <c r="T38" s="43">
        <f t="shared" si="2"/>
        <v>228474178</v>
      </c>
    </row>
    <row r="39" spans="1:20" x14ac:dyDescent="0.2">
      <c r="A39" s="40" t="s">
        <v>35</v>
      </c>
      <c r="B39" s="41">
        <v>2405029623</v>
      </c>
      <c r="C39" s="41">
        <v>2143608891</v>
      </c>
      <c r="D39" s="41">
        <v>276792307</v>
      </c>
      <c r="E39" s="41">
        <v>849801168</v>
      </c>
      <c r="F39" s="41">
        <v>1245582156</v>
      </c>
      <c r="G39" s="41">
        <v>3840155</v>
      </c>
      <c r="H39" s="41">
        <v>430603505</v>
      </c>
      <c r="I39" s="41">
        <v>10765501</v>
      </c>
      <c r="J39" s="41" t="s">
        <v>115</v>
      </c>
      <c r="K39" s="41" t="s">
        <v>115</v>
      </c>
      <c r="L39" s="41">
        <v>95051</v>
      </c>
      <c r="M39" s="41" t="s">
        <v>115</v>
      </c>
      <c r="N39" s="41">
        <v>32122514</v>
      </c>
      <c r="O39" s="41">
        <v>231571</v>
      </c>
      <c r="P39" s="41">
        <v>10654845</v>
      </c>
      <c r="Q39" s="41">
        <v>0</v>
      </c>
      <c r="R39" s="41">
        <v>32255781855</v>
      </c>
      <c r="S39" s="41">
        <f t="shared" si="0"/>
        <v>7409127287</v>
      </c>
      <c r="T39" s="43">
        <f t="shared" si="2"/>
        <v>24846654568</v>
      </c>
    </row>
    <row r="40" spans="1:20" x14ac:dyDescent="0.2">
      <c r="A40" s="40" t="s">
        <v>36</v>
      </c>
      <c r="B40" s="41">
        <v>4827414915</v>
      </c>
      <c r="C40" s="41">
        <v>4312833968</v>
      </c>
      <c r="D40" s="41">
        <v>282048400</v>
      </c>
      <c r="E40" s="41">
        <v>5227726726</v>
      </c>
      <c r="F40" s="41">
        <v>1600064491</v>
      </c>
      <c r="G40" s="41">
        <v>8630652</v>
      </c>
      <c r="H40" s="41">
        <v>566174115</v>
      </c>
      <c r="I40" s="41">
        <v>2315713</v>
      </c>
      <c r="J40" s="41" t="s">
        <v>115</v>
      </c>
      <c r="K40" s="41" t="s">
        <v>115</v>
      </c>
      <c r="L40" s="41">
        <v>259985</v>
      </c>
      <c r="M40" s="41" t="s">
        <v>115</v>
      </c>
      <c r="N40" s="41">
        <v>87686941</v>
      </c>
      <c r="O40" s="41">
        <v>716676</v>
      </c>
      <c r="P40" s="41">
        <v>1784905</v>
      </c>
      <c r="Q40" s="41">
        <v>0</v>
      </c>
      <c r="R40" s="41">
        <v>107971527560</v>
      </c>
      <c r="S40" s="41">
        <f t="shared" si="0"/>
        <v>16917657487</v>
      </c>
      <c r="T40" s="43">
        <f t="shared" si="2"/>
        <v>91053870073</v>
      </c>
    </row>
    <row r="41" spans="1:20" x14ac:dyDescent="0.2">
      <c r="A41" s="40" t="s">
        <v>37</v>
      </c>
      <c r="B41" s="41">
        <v>1407847324</v>
      </c>
      <c r="C41" s="41">
        <v>1249865551</v>
      </c>
      <c r="D41" s="41">
        <v>33918024</v>
      </c>
      <c r="E41" s="41">
        <v>5116646049</v>
      </c>
      <c r="F41" s="41">
        <v>995915657</v>
      </c>
      <c r="G41" s="41">
        <v>2198045</v>
      </c>
      <c r="H41" s="41">
        <v>136260154</v>
      </c>
      <c r="I41" s="41">
        <v>95308540</v>
      </c>
      <c r="J41" s="41">
        <v>7673266</v>
      </c>
      <c r="K41" s="41">
        <v>1319545</v>
      </c>
      <c r="L41" s="41">
        <v>32805</v>
      </c>
      <c r="M41" s="41">
        <v>1522667</v>
      </c>
      <c r="N41" s="41">
        <v>18833440</v>
      </c>
      <c r="O41" s="41">
        <v>180797</v>
      </c>
      <c r="P41" s="41">
        <v>22934399</v>
      </c>
      <c r="Q41" s="41">
        <v>0</v>
      </c>
      <c r="R41" s="41">
        <v>27486646372</v>
      </c>
      <c r="S41" s="41">
        <f t="shared" si="0"/>
        <v>9090456263</v>
      </c>
      <c r="T41" s="43">
        <f t="shared" si="2"/>
        <v>18396190109</v>
      </c>
    </row>
    <row r="42" spans="1:20" x14ac:dyDescent="0.2">
      <c r="A42" s="40" t="s">
        <v>38</v>
      </c>
      <c r="B42" s="41">
        <v>302882740</v>
      </c>
      <c r="C42" s="41">
        <v>175046950</v>
      </c>
      <c r="D42" s="41">
        <v>31552166</v>
      </c>
      <c r="E42" s="41">
        <v>258191926</v>
      </c>
      <c r="F42" s="41">
        <v>93385671</v>
      </c>
      <c r="G42" s="41">
        <v>617500</v>
      </c>
      <c r="H42" s="41">
        <v>36251565</v>
      </c>
      <c r="I42" s="41">
        <v>2516991</v>
      </c>
      <c r="J42" s="41">
        <v>401354</v>
      </c>
      <c r="K42" s="41" t="s">
        <v>115</v>
      </c>
      <c r="L42" s="41">
        <v>111273</v>
      </c>
      <c r="M42" s="41" t="s">
        <v>115</v>
      </c>
      <c r="N42" s="41">
        <v>2288970</v>
      </c>
      <c r="O42" s="41" t="s">
        <v>115</v>
      </c>
      <c r="P42" s="41" t="s">
        <v>115</v>
      </c>
      <c r="Q42" s="41">
        <v>0</v>
      </c>
      <c r="R42" s="41">
        <v>2759180565</v>
      </c>
      <c r="S42" s="41">
        <f t="shared" si="0"/>
        <v>903247106</v>
      </c>
      <c r="T42" s="43">
        <f t="shared" si="2"/>
        <v>1855933459</v>
      </c>
    </row>
    <row r="43" spans="1:20" x14ac:dyDescent="0.2">
      <c r="A43" s="40" t="s">
        <v>39</v>
      </c>
      <c r="B43" s="41">
        <v>35555468</v>
      </c>
      <c r="C43" s="41">
        <v>17675448</v>
      </c>
      <c r="D43" s="41">
        <v>2115917</v>
      </c>
      <c r="E43" s="41">
        <v>341423755</v>
      </c>
      <c r="F43" s="41">
        <v>20077022</v>
      </c>
      <c r="G43" s="41">
        <v>46034</v>
      </c>
      <c r="H43" s="41">
        <v>4254672</v>
      </c>
      <c r="I43" s="41">
        <v>316200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606801654</v>
      </c>
      <c r="S43" s="41">
        <f t="shared" si="0"/>
        <v>421464516</v>
      </c>
      <c r="T43" s="43">
        <f t="shared" si="2"/>
        <v>185337138</v>
      </c>
    </row>
    <row r="44" spans="1:20" x14ac:dyDescent="0.2">
      <c r="A44" s="40" t="s">
        <v>40</v>
      </c>
      <c r="B44" s="41">
        <v>99588867</v>
      </c>
      <c r="C44" s="41">
        <v>50390530</v>
      </c>
      <c r="D44" s="41">
        <v>6866365</v>
      </c>
      <c r="E44" s="41">
        <v>60889167</v>
      </c>
      <c r="F44" s="41">
        <v>57423336</v>
      </c>
      <c r="G44" s="41">
        <v>251474</v>
      </c>
      <c r="H44" s="41">
        <v>9392980</v>
      </c>
      <c r="I44" s="41">
        <v>411866</v>
      </c>
      <c r="J44" s="41">
        <v>72346</v>
      </c>
      <c r="K44" s="41">
        <v>816705</v>
      </c>
      <c r="L44" s="41">
        <v>91874</v>
      </c>
      <c r="M44" s="41">
        <v>166976</v>
      </c>
      <c r="N44" s="41">
        <v>217696</v>
      </c>
      <c r="O44" s="41" t="s">
        <v>115</v>
      </c>
      <c r="P44" s="41">
        <v>519714</v>
      </c>
      <c r="Q44" s="41">
        <v>0</v>
      </c>
      <c r="R44" s="41">
        <v>872727880</v>
      </c>
      <c r="S44" s="41">
        <f t="shared" si="0"/>
        <v>287099896</v>
      </c>
      <c r="T44" s="43">
        <f t="shared" si="2"/>
        <v>585627984</v>
      </c>
    </row>
    <row r="45" spans="1:20" x14ac:dyDescent="0.2">
      <c r="A45" s="40" t="s">
        <v>41</v>
      </c>
      <c r="B45" s="41">
        <v>2378172596</v>
      </c>
      <c r="C45" s="41">
        <v>2157420500</v>
      </c>
      <c r="D45" s="41">
        <v>62870623</v>
      </c>
      <c r="E45" s="41">
        <v>1487186649</v>
      </c>
      <c r="F45" s="41">
        <v>945783311</v>
      </c>
      <c r="G45" s="41">
        <v>5563784</v>
      </c>
      <c r="H45" s="41">
        <v>341190758</v>
      </c>
      <c r="I45" s="41" t="s">
        <v>115</v>
      </c>
      <c r="J45" s="41" t="s">
        <v>115</v>
      </c>
      <c r="K45" s="41" t="s">
        <v>115</v>
      </c>
      <c r="L45" s="41" t="s">
        <v>115</v>
      </c>
      <c r="M45" s="41">
        <v>790894</v>
      </c>
      <c r="N45" s="41">
        <v>33786265</v>
      </c>
      <c r="O45" s="41">
        <v>489903</v>
      </c>
      <c r="P45" s="41" t="s">
        <v>115</v>
      </c>
      <c r="Q45" s="41">
        <v>0</v>
      </c>
      <c r="R45" s="41">
        <v>49075239330</v>
      </c>
      <c r="S45" s="41">
        <f t="shared" si="0"/>
        <v>7413255283</v>
      </c>
      <c r="T45" s="43">
        <f t="shared" si="2"/>
        <v>41661984047</v>
      </c>
    </row>
    <row r="46" spans="1:20" x14ac:dyDescent="0.2">
      <c r="A46" s="40" t="s">
        <v>42</v>
      </c>
      <c r="B46" s="41">
        <v>2525834891</v>
      </c>
      <c r="C46" s="41">
        <v>1950346983</v>
      </c>
      <c r="D46" s="41" t="s">
        <v>115</v>
      </c>
      <c r="E46" s="41">
        <v>1356608333</v>
      </c>
      <c r="F46" s="41">
        <v>1321168950</v>
      </c>
      <c r="G46" s="41">
        <v>5376090</v>
      </c>
      <c r="H46" s="41">
        <v>331612112</v>
      </c>
      <c r="I46" s="41">
        <v>1030728</v>
      </c>
      <c r="J46" s="41" t="s">
        <v>115</v>
      </c>
      <c r="K46" s="41" t="s">
        <v>115</v>
      </c>
      <c r="L46" s="41">
        <v>44084</v>
      </c>
      <c r="M46" s="41">
        <v>1799864</v>
      </c>
      <c r="N46" s="41">
        <v>37839307</v>
      </c>
      <c r="O46" s="41">
        <v>34291</v>
      </c>
      <c r="P46" s="41" t="s">
        <v>115</v>
      </c>
      <c r="Q46" s="41">
        <v>0</v>
      </c>
      <c r="R46" s="41">
        <v>27660254310</v>
      </c>
      <c r="S46" s="41">
        <f t="shared" si="0"/>
        <v>7531695633</v>
      </c>
      <c r="T46" s="43">
        <f t="shared" si="2"/>
        <v>20128558677</v>
      </c>
    </row>
    <row r="47" spans="1:20" x14ac:dyDescent="0.2">
      <c r="A47" s="40" t="s">
        <v>43</v>
      </c>
      <c r="B47" s="41">
        <v>1181281506</v>
      </c>
      <c r="C47" s="41">
        <v>1061076392</v>
      </c>
      <c r="D47" s="41">
        <v>49730556</v>
      </c>
      <c r="E47" s="41">
        <v>1241899276</v>
      </c>
      <c r="F47" s="41">
        <v>609121580</v>
      </c>
      <c r="G47" s="41">
        <v>1925629</v>
      </c>
      <c r="H47" s="41">
        <v>108240811</v>
      </c>
      <c r="I47" s="41">
        <v>3430305</v>
      </c>
      <c r="J47" s="41" t="s">
        <v>115</v>
      </c>
      <c r="K47" s="41" t="s">
        <v>115</v>
      </c>
      <c r="L47" s="41" t="s">
        <v>115</v>
      </c>
      <c r="M47" s="41">
        <v>1491998</v>
      </c>
      <c r="N47" s="41">
        <v>18478544</v>
      </c>
      <c r="O47" s="41">
        <v>298175</v>
      </c>
      <c r="P47" s="41">
        <v>22239185</v>
      </c>
      <c r="Q47" s="41">
        <v>0</v>
      </c>
      <c r="R47" s="41">
        <v>26458628756</v>
      </c>
      <c r="S47" s="41">
        <f t="shared" si="0"/>
        <v>4299213957</v>
      </c>
      <c r="T47" s="43">
        <f t="shared" si="2"/>
        <v>22159414799</v>
      </c>
    </row>
    <row r="48" spans="1:20" x14ac:dyDescent="0.2">
      <c r="A48" s="40" t="s">
        <v>44</v>
      </c>
      <c r="B48" s="41">
        <v>402155349</v>
      </c>
      <c r="C48" s="41">
        <v>396143413</v>
      </c>
      <c r="D48" s="41">
        <v>25373548</v>
      </c>
      <c r="E48" s="41">
        <v>4180992689</v>
      </c>
      <c r="F48" s="41">
        <v>790334454</v>
      </c>
      <c r="G48" s="41">
        <v>745500</v>
      </c>
      <c r="H48" s="41">
        <v>113166933</v>
      </c>
      <c r="I48" s="41" t="s">
        <v>115</v>
      </c>
      <c r="J48" s="41" t="s">
        <v>115</v>
      </c>
      <c r="K48" s="41" t="s">
        <v>115</v>
      </c>
      <c r="L48" s="41" t="s">
        <v>115</v>
      </c>
      <c r="M48" s="41" t="s">
        <v>115</v>
      </c>
      <c r="N48" s="41">
        <v>14478219</v>
      </c>
      <c r="O48" s="41">
        <v>549792</v>
      </c>
      <c r="P48" s="41">
        <v>1273979</v>
      </c>
      <c r="Q48" s="41">
        <v>0</v>
      </c>
      <c r="R48" s="41">
        <v>37023946605</v>
      </c>
      <c r="S48" s="41">
        <f t="shared" si="0"/>
        <v>5925213876</v>
      </c>
      <c r="T48" s="43">
        <f t="shared" si="2"/>
        <v>31098732729</v>
      </c>
    </row>
    <row r="49" spans="1:20" x14ac:dyDescent="0.2">
      <c r="A49" s="40" t="s">
        <v>45</v>
      </c>
      <c r="B49" s="41">
        <v>643627041</v>
      </c>
      <c r="C49" s="41">
        <v>577328799</v>
      </c>
      <c r="D49" s="41">
        <v>22921912</v>
      </c>
      <c r="E49" s="41">
        <v>562846161</v>
      </c>
      <c r="F49" s="41">
        <v>217831665</v>
      </c>
      <c r="G49" s="41">
        <v>1116739</v>
      </c>
      <c r="H49" s="41">
        <v>132954921</v>
      </c>
      <c r="I49" s="41">
        <v>6945113</v>
      </c>
      <c r="J49" s="41" t="s">
        <v>115</v>
      </c>
      <c r="K49" s="41" t="s">
        <v>115</v>
      </c>
      <c r="L49" s="41">
        <v>52995</v>
      </c>
      <c r="M49" s="41" t="s">
        <v>115</v>
      </c>
      <c r="N49" s="41">
        <v>6634063</v>
      </c>
      <c r="O49" s="41">
        <v>625533</v>
      </c>
      <c r="P49" s="41">
        <v>12527882</v>
      </c>
      <c r="Q49" s="41">
        <v>0</v>
      </c>
      <c r="R49" s="41">
        <v>12435231485</v>
      </c>
      <c r="S49" s="41">
        <f t="shared" si="0"/>
        <v>2185412824</v>
      </c>
      <c r="T49" s="43">
        <f t="shared" si="2"/>
        <v>10249818661</v>
      </c>
    </row>
    <row r="50" spans="1:20" x14ac:dyDescent="0.2">
      <c r="A50" s="40" t="s">
        <v>46</v>
      </c>
      <c r="B50" s="41">
        <v>1190753177</v>
      </c>
      <c r="C50" s="41">
        <v>1063870661</v>
      </c>
      <c r="D50" s="41">
        <v>57775741</v>
      </c>
      <c r="E50" s="41">
        <v>1953470082</v>
      </c>
      <c r="F50" s="41">
        <v>285809113</v>
      </c>
      <c r="G50" s="41">
        <v>1913255</v>
      </c>
      <c r="H50" s="41">
        <v>485078129</v>
      </c>
      <c r="I50" s="41" t="s">
        <v>115</v>
      </c>
      <c r="J50" s="41" t="s">
        <v>115</v>
      </c>
      <c r="K50" s="41">
        <v>38318</v>
      </c>
      <c r="L50" s="41" t="s">
        <v>115</v>
      </c>
      <c r="M50" s="41" t="s">
        <v>115</v>
      </c>
      <c r="N50" s="41">
        <v>24490644</v>
      </c>
      <c r="O50" s="41">
        <v>29667430</v>
      </c>
      <c r="P50" s="41" t="s">
        <v>115</v>
      </c>
      <c r="Q50" s="41">
        <v>0</v>
      </c>
      <c r="R50" s="41">
        <v>25278473908</v>
      </c>
      <c r="S50" s="41">
        <f t="shared" si="0"/>
        <v>5092866550</v>
      </c>
      <c r="T50" s="43">
        <f t="shared" si="2"/>
        <v>20185607358</v>
      </c>
    </row>
    <row r="51" spans="1:20" x14ac:dyDescent="0.2">
      <c r="A51" s="40" t="s">
        <v>47</v>
      </c>
      <c r="B51" s="41">
        <v>201336424</v>
      </c>
      <c r="C51" s="41">
        <v>124639230</v>
      </c>
      <c r="D51" s="41">
        <v>16202066</v>
      </c>
      <c r="E51" s="41">
        <v>357011490</v>
      </c>
      <c r="F51" s="41">
        <v>63797855</v>
      </c>
      <c r="G51" s="41">
        <v>453566</v>
      </c>
      <c r="H51" s="41">
        <v>27767094</v>
      </c>
      <c r="I51" s="41">
        <v>7940192</v>
      </c>
      <c r="J51" s="41" t="s">
        <v>115</v>
      </c>
      <c r="K51" s="41">
        <v>2238388</v>
      </c>
      <c r="L51" s="41">
        <v>6040</v>
      </c>
      <c r="M51" s="41" t="s">
        <v>115</v>
      </c>
      <c r="N51" s="41">
        <v>1181285</v>
      </c>
      <c r="O51" s="41" t="s">
        <v>115</v>
      </c>
      <c r="P51" s="41" t="s">
        <v>115</v>
      </c>
      <c r="Q51" s="41">
        <v>0</v>
      </c>
      <c r="R51" s="41">
        <v>2702355770</v>
      </c>
      <c r="S51" s="41">
        <f t="shared" si="0"/>
        <v>802573630</v>
      </c>
      <c r="T51" s="43">
        <f t="shared" si="2"/>
        <v>1899782140</v>
      </c>
    </row>
    <row r="52" spans="1:20" x14ac:dyDescent="0.2">
      <c r="A52" s="40" t="s">
        <v>48</v>
      </c>
      <c r="B52" s="41">
        <v>5969257411</v>
      </c>
      <c r="C52" s="41">
        <v>5389531403</v>
      </c>
      <c r="D52" s="41">
        <v>239266839</v>
      </c>
      <c r="E52" s="41">
        <v>12986617358</v>
      </c>
      <c r="F52" s="41">
        <v>10271564295</v>
      </c>
      <c r="G52" s="41">
        <v>6120176</v>
      </c>
      <c r="H52" s="41">
        <v>879941325</v>
      </c>
      <c r="I52" s="41">
        <v>12418964</v>
      </c>
      <c r="J52" s="41" t="s">
        <v>115</v>
      </c>
      <c r="K52" s="41">
        <v>159284563</v>
      </c>
      <c r="L52" s="41">
        <v>276291</v>
      </c>
      <c r="M52" s="41" t="s">
        <v>115</v>
      </c>
      <c r="N52" s="41">
        <v>35280018</v>
      </c>
      <c r="O52" s="41">
        <v>1549292</v>
      </c>
      <c r="P52" s="41">
        <v>41629411</v>
      </c>
      <c r="Q52" s="41">
        <v>0</v>
      </c>
      <c r="R52" s="41">
        <v>184938638555</v>
      </c>
      <c r="S52" s="41">
        <f t="shared" si="0"/>
        <v>35992737346</v>
      </c>
      <c r="T52" s="43">
        <f t="shared" si="2"/>
        <v>148945901209</v>
      </c>
    </row>
    <row r="53" spans="1:20" x14ac:dyDescent="0.2">
      <c r="A53" s="40" t="s">
        <v>49</v>
      </c>
      <c r="B53" s="41">
        <v>1806437960</v>
      </c>
      <c r="C53" s="41">
        <v>1615108849</v>
      </c>
      <c r="D53" s="41">
        <v>125667686</v>
      </c>
      <c r="E53" s="41">
        <v>2091354451</v>
      </c>
      <c r="F53" s="41">
        <v>1092481918</v>
      </c>
      <c r="G53" s="41">
        <v>1858896</v>
      </c>
      <c r="H53" s="41">
        <v>387834442</v>
      </c>
      <c r="I53" s="41">
        <v>7865873</v>
      </c>
      <c r="J53" s="41" t="s">
        <v>115</v>
      </c>
      <c r="K53" s="41" t="s">
        <v>115</v>
      </c>
      <c r="L53" s="41">
        <v>145018</v>
      </c>
      <c r="M53" s="41">
        <v>914870</v>
      </c>
      <c r="N53" s="41">
        <v>6276692</v>
      </c>
      <c r="O53" s="41">
        <v>259424</v>
      </c>
      <c r="P53" s="41">
        <v>9951452</v>
      </c>
      <c r="Q53" s="41">
        <v>0</v>
      </c>
      <c r="R53" s="41">
        <v>39613259025</v>
      </c>
      <c r="S53" s="41">
        <f t="shared" si="0"/>
        <v>7146157531</v>
      </c>
      <c r="T53" s="43">
        <f t="shared" si="2"/>
        <v>32467101494</v>
      </c>
    </row>
    <row r="54" spans="1:20" x14ac:dyDescent="0.2">
      <c r="A54" s="40" t="s">
        <v>50</v>
      </c>
      <c r="B54" s="41">
        <v>8790128513</v>
      </c>
      <c r="C54" s="41">
        <v>7845392965</v>
      </c>
      <c r="D54" s="41">
        <v>328310050</v>
      </c>
      <c r="E54" s="41">
        <v>12546673494</v>
      </c>
      <c r="F54" s="41">
        <v>4601012423</v>
      </c>
      <c r="G54" s="41">
        <v>17608024</v>
      </c>
      <c r="H54" s="41">
        <v>716990010</v>
      </c>
      <c r="I54" s="41">
        <v>7012318</v>
      </c>
      <c r="J54" s="41">
        <v>62862243</v>
      </c>
      <c r="K54" s="41">
        <v>116391761</v>
      </c>
      <c r="L54" s="41">
        <v>2574523</v>
      </c>
      <c r="M54" s="41">
        <v>6944427</v>
      </c>
      <c r="N54" s="41">
        <v>45993796</v>
      </c>
      <c r="O54" s="41">
        <v>965997</v>
      </c>
      <c r="P54" s="41" t="s">
        <v>115</v>
      </c>
      <c r="Q54" s="41">
        <v>0</v>
      </c>
      <c r="R54" s="41">
        <v>246507401825</v>
      </c>
      <c r="S54" s="41">
        <f t="shared" si="0"/>
        <v>35088860544</v>
      </c>
      <c r="T54" s="43">
        <f t="shared" si="2"/>
        <v>211418541281</v>
      </c>
    </row>
    <row r="55" spans="1:20" x14ac:dyDescent="0.2">
      <c r="A55" s="40" t="s">
        <v>51</v>
      </c>
      <c r="B55" s="41">
        <v>3618326621</v>
      </c>
      <c r="C55" s="41">
        <v>2909908086</v>
      </c>
      <c r="D55" s="41" t="s">
        <v>115</v>
      </c>
      <c r="E55" s="41">
        <v>633812545</v>
      </c>
      <c r="F55" s="41">
        <v>1944371657</v>
      </c>
      <c r="G55" s="41">
        <v>6940331</v>
      </c>
      <c r="H55" s="41">
        <v>532794229</v>
      </c>
      <c r="I55" s="41">
        <v>8424923</v>
      </c>
      <c r="J55" s="41" t="s">
        <v>115</v>
      </c>
      <c r="K55" s="41" t="s">
        <v>115</v>
      </c>
      <c r="L55" s="41">
        <v>571905</v>
      </c>
      <c r="M55" s="41">
        <v>717828</v>
      </c>
      <c r="N55" s="41">
        <v>27151885</v>
      </c>
      <c r="O55" s="41">
        <v>1535129</v>
      </c>
      <c r="P55" s="41" t="s">
        <v>115</v>
      </c>
      <c r="Q55" s="41">
        <v>0</v>
      </c>
      <c r="R55" s="41">
        <v>42530163529</v>
      </c>
      <c r="S55" s="41">
        <f t="shared" si="0"/>
        <v>9684555139</v>
      </c>
      <c r="T55" s="43">
        <f t="shared" si="2"/>
        <v>32845608390</v>
      </c>
    </row>
    <row r="56" spans="1:20" x14ac:dyDescent="0.2">
      <c r="A56" s="40" t="s">
        <v>52</v>
      </c>
      <c r="B56" s="41">
        <v>6178614021</v>
      </c>
      <c r="C56" s="41">
        <v>5322883512</v>
      </c>
      <c r="D56" s="41" t="s">
        <v>115</v>
      </c>
      <c r="E56" s="41">
        <v>6287366457</v>
      </c>
      <c r="F56" s="41">
        <v>4321023441</v>
      </c>
      <c r="G56" s="41">
        <v>14175844</v>
      </c>
      <c r="H56" s="41">
        <v>751703136</v>
      </c>
      <c r="I56" s="41" t="s">
        <v>115</v>
      </c>
      <c r="J56" s="41">
        <v>4850861</v>
      </c>
      <c r="K56" s="41">
        <v>1999000</v>
      </c>
      <c r="L56" s="41">
        <v>32927</v>
      </c>
      <c r="M56" s="41" t="s">
        <v>115</v>
      </c>
      <c r="N56" s="41">
        <v>95359412</v>
      </c>
      <c r="O56" s="41">
        <v>3726364</v>
      </c>
      <c r="P56" s="41" t="s">
        <v>115</v>
      </c>
      <c r="Q56" s="41">
        <v>0</v>
      </c>
      <c r="R56" s="41">
        <v>115939949723</v>
      </c>
      <c r="S56" s="41">
        <f t="shared" si="0"/>
        <v>22981734975</v>
      </c>
      <c r="T56" s="43">
        <f t="shared" si="2"/>
        <v>92958214748</v>
      </c>
    </row>
    <row r="57" spans="1:20" x14ac:dyDescent="0.2">
      <c r="A57" s="40" t="s">
        <v>53</v>
      </c>
      <c r="B57" s="41">
        <v>3716628947</v>
      </c>
      <c r="C57" s="41">
        <v>2865321504</v>
      </c>
      <c r="D57" s="41">
        <v>306106952</v>
      </c>
      <c r="E57" s="41">
        <v>1220038124</v>
      </c>
      <c r="F57" s="41">
        <v>2433309795</v>
      </c>
      <c r="G57" s="41">
        <v>7029963</v>
      </c>
      <c r="H57" s="41">
        <v>329709103</v>
      </c>
      <c r="I57" s="41">
        <v>17822897</v>
      </c>
      <c r="J57" s="41" t="s">
        <v>115</v>
      </c>
      <c r="K57" s="41">
        <v>256794704</v>
      </c>
      <c r="L57" s="41">
        <v>1420558</v>
      </c>
      <c r="M57" s="41">
        <v>993795</v>
      </c>
      <c r="N57" s="41">
        <v>16966079</v>
      </c>
      <c r="O57" s="41">
        <v>271705</v>
      </c>
      <c r="P57" s="41">
        <v>11053177</v>
      </c>
      <c r="Q57" s="41">
        <v>0</v>
      </c>
      <c r="R57" s="41">
        <v>48624582223</v>
      </c>
      <c r="S57" s="41">
        <f t="shared" si="0"/>
        <v>11183467303</v>
      </c>
      <c r="T57" s="43">
        <f t="shared" si="2"/>
        <v>37441114920</v>
      </c>
    </row>
    <row r="58" spans="1:20" x14ac:dyDescent="0.2">
      <c r="A58" s="40" t="s">
        <v>54</v>
      </c>
      <c r="B58" s="41">
        <v>471857380</v>
      </c>
      <c r="C58" s="41">
        <v>263160024</v>
      </c>
      <c r="D58" s="41">
        <v>41032710</v>
      </c>
      <c r="E58" s="41">
        <v>536800707</v>
      </c>
      <c r="F58" s="41">
        <v>210829972</v>
      </c>
      <c r="G58" s="41">
        <v>1106600</v>
      </c>
      <c r="H58" s="41">
        <v>34092800</v>
      </c>
      <c r="I58" s="41">
        <v>2024385</v>
      </c>
      <c r="J58" s="41" t="s">
        <v>115</v>
      </c>
      <c r="K58" s="41" t="s">
        <v>115</v>
      </c>
      <c r="L58" s="41">
        <v>137430</v>
      </c>
      <c r="M58" s="41" t="s">
        <v>115</v>
      </c>
      <c r="N58" s="41">
        <v>2685130</v>
      </c>
      <c r="O58" s="41">
        <v>168735</v>
      </c>
      <c r="P58" s="41">
        <v>6830330</v>
      </c>
      <c r="Q58" s="41">
        <v>0</v>
      </c>
      <c r="R58" s="41">
        <v>5055028601</v>
      </c>
      <c r="S58" s="41">
        <f t="shared" si="0"/>
        <v>1570726203</v>
      </c>
      <c r="T58" s="43">
        <f t="shared" si="2"/>
        <v>3484302398</v>
      </c>
    </row>
    <row r="59" spans="1:20" x14ac:dyDescent="0.2">
      <c r="A59" s="40" t="s">
        <v>55</v>
      </c>
      <c r="B59" s="41">
        <v>1937023267</v>
      </c>
      <c r="C59" s="41">
        <v>1864262180</v>
      </c>
      <c r="D59" s="41">
        <v>117904881</v>
      </c>
      <c r="E59" s="41">
        <v>1508415335</v>
      </c>
      <c r="F59" s="41">
        <v>617289251</v>
      </c>
      <c r="G59" s="41">
        <v>3172276</v>
      </c>
      <c r="H59" s="41">
        <v>375664222</v>
      </c>
      <c r="I59" s="41">
        <v>3912975</v>
      </c>
      <c r="J59" s="41">
        <v>1565985</v>
      </c>
      <c r="K59" s="41" t="s">
        <v>115</v>
      </c>
      <c r="L59" s="41">
        <v>6631</v>
      </c>
      <c r="M59" s="41">
        <v>1027356</v>
      </c>
      <c r="N59" s="41">
        <v>36624575</v>
      </c>
      <c r="O59" s="41">
        <v>8769695</v>
      </c>
      <c r="P59" s="41">
        <v>7911263</v>
      </c>
      <c r="Q59" s="41">
        <v>0</v>
      </c>
      <c r="R59" s="41">
        <v>39861694215</v>
      </c>
      <c r="S59" s="41">
        <f t="shared" si="0"/>
        <v>6483549892</v>
      </c>
      <c r="T59" s="43">
        <f t="shared" si="2"/>
        <v>33378144323</v>
      </c>
    </row>
    <row r="60" spans="1:20" x14ac:dyDescent="0.2">
      <c r="A60" s="40" t="s">
        <v>56</v>
      </c>
      <c r="B60" s="41">
        <v>2177023130</v>
      </c>
      <c r="C60" s="41">
        <v>1870345252</v>
      </c>
      <c r="D60" s="41">
        <v>205063126</v>
      </c>
      <c r="E60" s="41">
        <v>1434475723</v>
      </c>
      <c r="F60" s="41">
        <v>446958015</v>
      </c>
      <c r="G60" s="41">
        <v>4018961</v>
      </c>
      <c r="H60" s="41">
        <v>269965575</v>
      </c>
      <c r="I60" s="41">
        <v>678314</v>
      </c>
      <c r="J60" s="41" t="s">
        <v>115</v>
      </c>
      <c r="K60" s="41">
        <v>49630728</v>
      </c>
      <c r="L60" s="41" t="s">
        <v>115</v>
      </c>
      <c r="M60" s="41" t="s">
        <v>115</v>
      </c>
      <c r="N60" s="41">
        <v>15276067</v>
      </c>
      <c r="O60" s="41">
        <v>131836</v>
      </c>
      <c r="P60" s="41" t="s">
        <v>115</v>
      </c>
      <c r="Q60" s="41">
        <v>0</v>
      </c>
      <c r="R60" s="41">
        <v>28424907816</v>
      </c>
      <c r="S60" s="41">
        <f t="shared" si="0"/>
        <v>6473566727</v>
      </c>
      <c r="T60" s="43">
        <f t="shared" si="2"/>
        <v>21951341089</v>
      </c>
    </row>
    <row r="61" spans="1:20" x14ac:dyDescent="0.2">
      <c r="A61" s="40" t="s">
        <v>57</v>
      </c>
      <c r="B61" s="41">
        <v>1225507772</v>
      </c>
      <c r="C61" s="41">
        <v>1044428629</v>
      </c>
      <c r="D61" s="41">
        <v>86283282</v>
      </c>
      <c r="E61" s="41">
        <v>1324029745</v>
      </c>
      <c r="F61" s="41">
        <v>237590546</v>
      </c>
      <c r="G61" s="41">
        <v>1579445</v>
      </c>
      <c r="H61" s="41">
        <v>407883305</v>
      </c>
      <c r="I61" s="41">
        <v>155630</v>
      </c>
      <c r="J61" s="41" t="s">
        <v>115</v>
      </c>
      <c r="K61" s="41" t="s">
        <v>115</v>
      </c>
      <c r="L61" s="41" t="s">
        <v>115</v>
      </c>
      <c r="M61" s="41">
        <v>842759</v>
      </c>
      <c r="N61" s="41">
        <v>25917611</v>
      </c>
      <c r="O61" s="41">
        <v>8417369</v>
      </c>
      <c r="P61" s="41">
        <v>14194274</v>
      </c>
      <c r="Q61" s="41">
        <v>0</v>
      </c>
      <c r="R61" s="41">
        <v>15857979672</v>
      </c>
      <c r="S61" s="41">
        <f t="shared" si="0"/>
        <v>4376830367</v>
      </c>
      <c r="T61" s="43">
        <f t="shared" si="2"/>
        <v>11481149305</v>
      </c>
    </row>
    <row r="62" spans="1:20" x14ac:dyDescent="0.2">
      <c r="A62" s="40" t="s">
        <v>58</v>
      </c>
      <c r="B62" s="41">
        <v>3205631507</v>
      </c>
      <c r="C62" s="41">
        <v>2992031417</v>
      </c>
      <c r="D62" s="41">
        <v>10746451</v>
      </c>
      <c r="E62" s="41">
        <v>3912817878</v>
      </c>
      <c r="F62" s="41">
        <v>1431798334</v>
      </c>
      <c r="G62" s="41">
        <v>8691178</v>
      </c>
      <c r="H62" s="41">
        <v>370822371</v>
      </c>
      <c r="I62" s="41">
        <v>1828921</v>
      </c>
      <c r="J62" s="41">
        <v>402523</v>
      </c>
      <c r="K62" s="41">
        <v>14673790</v>
      </c>
      <c r="L62" s="41">
        <v>1502</v>
      </c>
      <c r="M62" s="41" t="s">
        <v>115</v>
      </c>
      <c r="N62" s="41">
        <v>64538189</v>
      </c>
      <c r="O62" s="41">
        <v>376863</v>
      </c>
      <c r="P62" s="41" t="s">
        <v>115</v>
      </c>
      <c r="Q62" s="41">
        <v>0</v>
      </c>
      <c r="R62" s="41">
        <v>79987829710</v>
      </c>
      <c r="S62" s="41">
        <f t="shared" si="0"/>
        <v>12014360924</v>
      </c>
      <c r="T62" s="43">
        <f t="shared" si="2"/>
        <v>67973468786</v>
      </c>
    </row>
    <row r="63" spans="1:20" x14ac:dyDescent="0.2">
      <c r="A63" s="40" t="s">
        <v>59</v>
      </c>
      <c r="B63" s="41">
        <v>2590002104</v>
      </c>
      <c r="C63" s="41">
        <v>2427932929</v>
      </c>
      <c r="D63" s="41">
        <v>245123752</v>
      </c>
      <c r="E63" s="41">
        <v>961413272</v>
      </c>
      <c r="F63" s="41">
        <v>1143492890</v>
      </c>
      <c r="G63" s="41">
        <v>3543838</v>
      </c>
      <c r="H63" s="41">
        <v>227391120</v>
      </c>
      <c r="I63" s="41">
        <v>228398</v>
      </c>
      <c r="J63" s="41" t="s">
        <v>115</v>
      </c>
      <c r="K63" s="41" t="s">
        <v>115</v>
      </c>
      <c r="L63" s="41">
        <v>7036</v>
      </c>
      <c r="M63" s="41">
        <v>1862001</v>
      </c>
      <c r="N63" s="41">
        <v>23756886</v>
      </c>
      <c r="O63" s="41">
        <v>489339</v>
      </c>
      <c r="P63" s="41" t="s">
        <v>115</v>
      </c>
      <c r="Q63" s="41">
        <v>0</v>
      </c>
      <c r="R63" s="41">
        <v>45448659440</v>
      </c>
      <c r="S63" s="41">
        <f t="shared" si="0"/>
        <v>7625243565</v>
      </c>
      <c r="T63" s="43">
        <f t="shared" si="2"/>
        <v>37823415875</v>
      </c>
    </row>
    <row r="64" spans="1:20" x14ac:dyDescent="0.2">
      <c r="A64" s="40" t="s">
        <v>60</v>
      </c>
      <c r="B64" s="41">
        <v>1239617928</v>
      </c>
      <c r="C64" s="41">
        <v>1141264309</v>
      </c>
      <c r="D64" s="41">
        <v>30012070</v>
      </c>
      <c r="E64" s="41">
        <v>384224110</v>
      </c>
      <c r="F64" s="41">
        <v>148154289</v>
      </c>
      <c r="G64" s="41">
        <v>3530800</v>
      </c>
      <c r="H64" s="41">
        <v>185684232</v>
      </c>
      <c r="I64" s="41" t="s">
        <v>115</v>
      </c>
      <c r="J64" s="41" t="s">
        <v>115</v>
      </c>
      <c r="K64" s="41" t="s">
        <v>115</v>
      </c>
      <c r="L64" s="41">
        <v>34470</v>
      </c>
      <c r="M64" s="41">
        <v>24104</v>
      </c>
      <c r="N64" s="41">
        <v>68952860</v>
      </c>
      <c r="O64" s="41" t="s">
        <v>115</v>
      </c>
      <c r="P64" s="41" t="s">
        <v>115</v>
      </c>
      <c r="Q64" s="41">
        <v>0</v>
      </c>
      <c r="R64" s="41">
        <v>17515476477</v>
      </c>
      <c r="S64" s="41">
        <f t="shared" si="0"/>
        <v>3201499172</v>
      </c>
      <c r="T64" s="43">
        <f t="shared" si="2"/>
        <v>14313977305</v>
      </c>
    </row>
    <row r="65" spans="1:20" x14ac:dyDescent="0.2">
      <c r="A65" s="40" t="s">
        <v>61</v>
      </c>
      <c r="B65" s="41">
        <v>251114319</v>
      </c>
      <c r="C65" s="41">
        <v>156066778</v>
      </c>
      <c r="D65" s="41">
        <v>12238110</v>
      </c>
      <c r="E65" s="41">
        <v>116538602</v>
      </c>
      <c r="F65" s="41">
        <v>73250373</v>
      </c>
      <c r="G65" s="41">
        <v>511957</v>
      </c>
      <c r="H65" s="41">
        <v>32893062</v>
      </c>
      <c r="I65" s="41">
        <v>8187820</v>
      </c>
      <c r="J65" s="41" t="s">
        <v>115</v>
      </c>
      <c r="K65" s="41" t="s">
        <v>115</v>
      </c>
      <c r="L65" s="41">
        <v>9050</v>
      </c>
      <c r="M65" s="41" t="s">
        <v>115</v>
      </c>
      <c r="N65" s="41">
        <v>218668</v>
      </c>
      <c r="O65" s="41">
        <v>13506</v>
      </c>
      <c r="P65" s="41" t="s">
        <v>115</v>
      </c>
      <c r="Q65" s="41">
        <v>0</v>
      </c>
      <c r="R65" s="41">
        <v>2067844428</v>
      </c>
      <c r="S65" s="41">
        <f t="shared" si="0"/>
        <v>651042245</v>
      </c>
      <c r="T65" s="43">
        <f t="shared" si="2"/>
        <v>1416802183</v>
      </c>
    </row>
    <row r="66" spans="1:20" x14ac:dyDescent="0.2">
      <c r="A66" s="40" t="s">
        <v>62</v>
      </c>
      <c r="B66" s="41">
        <v>128265888</v>
      </c>
      <c r="C66" s="41">
        <v>63890450</v>
      </c>
      <c r="D66" s="41" t="s">
        <v>115</v>
      </c>
      <c r="E66" s="41">
        <v>166761330</v>
      </c>
      <c r="F66" s="41">
        <v>43004840</v>
      </c>
      <c r="G66" s="41">
        <v>184690</v>
      </c>
      <c r="H66" s="41">
        <v>10472260</v>
      </c>
      <c r="I66" s="41">
        <v>4238320</v>
      </c>
      <c r="J66" s="41" t="s">
        <v>115</v>
      </c>
      <c r="K66" s="41">
        <v>3008705</v>
      </c>
      <c r="L66" s="41">
        <v>4700</v>
      </c>
      <c r="M66" s="41" t="s">
        <v>115</v>
      </c>
      <c r="N66" s="41">
        <v>762581</v>
      </c>
      <c r="O66" s="41">
        <v>154090</v>
      </c>
      <c r="P66" s="41" t="s">
        <v>115</v>
      </c>
      <c r="Q66" s="41">
        <v>0</v>
      </c>
      <c r="R66" s="41">
        <v>1309670638</v>
      </c>
      <c r="S66" s="41">
        <f t="shared" si="0"/>
        <v>420747854</v>
      </c>
      <c r="T66" s="43">
        <f t="shared" si="2"/>
        <v>888922784</v>
      </c>
    </row>
    <row r="67" spans="1:20" x14ac:dyDescent="0.2">
      <c r="A67" s="40" t="s">
        <v>63</v>
      </c>
      <c r="B67" s="41">
        <v>67423643</v>
      </c>
      <c r="C67" s="41">
        <v>35625492</v>
      </c>
      <c r="D67" s="41">
        <v>2205645</v>
      </c>
      <c r="E67" s="41">
        <v>101098318</v>
      </c>
      <c r="F67" s="41">
        <v>15437183</v>
      </c>
      <c r="G67" s="41">
        <v>133212</v>
      </c>
      <c r="H67" s="41">
        <v>2694088</v>
      </c>
      <c r="I67" s="41" t="s">
        <v>115</v>
      </c>
      <c r="J67" s="41" t="s">
        <v>115</v>
      </c>
      <c r="K67" s="41" t="s">
        <v>115</v>
      </c>
      <c r="L67" s="41" t="s">
        <v>115</v>
      </c>
      <c r="M67" s="41" t="s">
        <v>115</v>
      </c>
      <c r="N67" s="41">
        <v>2724941</v>
      </c>
      <c r="O67" s="41">
        <v>47337</v>
      </c>
      <c r="P67" s="41" t="s">
        <v>115</v>
      </c>
      <c r="Q67" s="41">
        <v>0</v>
      </c>
      <c r="R67" s="41">
        <v>452664262</v>
      </c>
      <c r="S67" s="41">
        <f t="shared" si="0"/>
        <v>227389859</v>
      </c>
      <c r="T67" s="43">
        <f>R67-S67</f>
        <v>225274403</v>
      </c>
    </row>
    <row r="68" spans="1:20" x14ac:dyDescent="0.2">
      <c r="A68" s="40" t="s">
        <v>64</v>
      </c>
      <c r="B68" s="41">
        <v>3534908019</v>
      </c>
      <c r="C68" s="41">
        <v>3085681373</v>
      </c>
      <c r="D68" s="41">
        <v>507935745</v>
      </c>
      <c r="E68" s="41">
        <v>2834923459</v>
      </c>
      <c r="F68" s="41">
        <v>2108289818</v>
      </c>
      <c r="G68" s="41">
        <v>6377819</v>
      </c>
      <c r="H68" s="41">
        <v>700215676</v>
      </c>
      <c r="I68" s="41">
        <v>13332541</v>
      </c>
      <c r="J68" s="41">
        <v>172082</v>
      </c>
      <c r="K68" s="41">
        <v>343993</v>
      </c>
      <c r="L68" s="41">
        <v>614429</v>
      </c>
      <c r="M68" s="41">
        <v>3697114</v>
      </c>
      <c r="N68" s="41">
        <v>49964287</v>
      </c>
      <c r="O68" s="41">
        <v>666635</v>
      </c>
      <c r="P68" s="41">
        <v>28384380</v>
      </c>
      <c r="Q68" s="41">
        <v>0</v>
      </c>
      <c r="R68" s="41">
        <v>52047550400</v>
      </c>
      <c r="S68" s="41">
        <f t="shared" si="0"/>
        <v>12875507370</v>
      </c>
      <c r="T68" s="43">
        <f t="shared" si="2"/>
        <v>39172043030</v>
      </c>
    </row>
    <row r="69" spans="1:20" x14ac:dyDescent="0.2">
      <c r="A69" s="40" t="s">
        <v>65</v>
      </c>
      <c r="B69" s="41">
        <v>227522384</v>
      </c>
      <c r="C69" s="41">
        <v>167446873</v>
      </c>
      <c r="D69" s="41">
        <v>16186204</v>
      </c>
      <c r="E69" s="41">
        <v>385498726</v>
      </c>
      <c r="F69" s="41">
        <v>31891158</v>
      </c>
      <c r="G69" s="41">
        <v>299620</v>
      </c>
      <c r="H69" s="41">
        <v>22490441</v>
      </c>
      <c r="I69" s="41">
        <v>34501</v>
      </c>
      <c r="J69" s="41" t="s">
        <v>115</v>
      </c>
      <c r="K69" s="41" t="s">
        <v>115</v>
      </c>
      <c r="L69" s="41" t="s">
        <v>115</v>
      </c>
      <c r="M69" s="41">
        <v>264251</v>
      </c>
      <c r="N69" s="41">
        <v>2877499</v>
      </c>
      <c r="O69" s="41">
        <v>455385</v>
      </c>
      <c r="P69" s="41" t="s">
        <v>115</v>
      </c>
      <c r="Q69" s="41">
        <v>0</v>
      </c>
      <c r="R69" s="41">
        <v>2194740831</v>
      </c>
      <c r="S69" s="41">
        <f t="shared" si="0"/>
        <v>854967042</v>
      </c>
      <c r="T69" s="43">
        <f t="shared" si="2"/>
        <v>1339773789</v>
      </c>
    </row>
    <row r="70" spans="1:20" x14ac:dyDescent="0.2">
      <c r="A70" s="40" t="s">
        <v>66</v>
      </c>
      <c r="B70" s="41">
        <v>463538722</v>
      </c>
      <c r="C70" s="41">
        <v>363433717</v>
      </c>
      <c r="D70" s="41">
        <v>34125547</v>
      </c>
      <c r="E70" s="41">
        <v>1283923607</v>
      </c>
      <c r="F70" s="41">
        <v>186779515</v>
      </c>
      <c r="G70" s="41">
        <v>698276</v>
      </c>
      <c r="H70" s="41">
        <v>95697285</v>
      </c>
      <c r="I70" s="41">
        <v>4303761</v>
      </c>
      <c r="J70" s="41" t="s">
        <v>115</v>
      </c>
      <c r="K70" s="41">
        <v>967896</v>
      </c>
      <c r="L70" s="41">
        <v>2906</v>
      </c>
      <c r="M70" s="41" t="s">
        <v>115</v>
      </c>
      <c r="N70" s="41">
        <v>11194047</v>
      </c>
      <c r="O70" s="41">
        <v>3023106</v>
      </c>
      <c r="P70" s="41" t="s">
        <v>115</v>
      </c>
      <c r="Q70" s="41">
        <v>0</v>
      </c>
      <c r="R70" s="41">
        <v>27333830021</v>
      </c>
      <c r="S70" s="41">
        <f>SUM(B70:Q70)</f>
        <v>2447688385</v>
      </c>
      <c r="T70" s="43">
        <f t="shared" si="2"/>
        <v>24886141636</v>
      </c>
    </row>
    <row r="71" spans="1:20" x14ac:dyDescent="0.2">
      <c r="A71" s="40" t="s">
        <v>67</v>
      </c>
      <c r="B71" s="41">
        <v>143180876</v>
      </c>
      <c r="C71" s="41">
        <v>80834699</v>
      </c>
      <c r="D71" s="41">
        <v>14409229</v>
      </c>
      <c r="E71" s="41">
        <v>136622727</v>
      </c>
      <c r="F71" s="41">
        <v>52707804</v>
      </c>
      <c r="G71" s="41">
        <v>330995</v>
      </c>
      <c r="H71" s="41">
        <v>15816312</v>
      </c>
      <c r="I71" s="41">
        <v>414743</v>
      </c>
      <c r="J71" s="41" t="s">
        <v>115</v>
      </c>
      <c r="K71" s="41" t="s">
        <v>115</v>
      </c>
      <c r="L71" s="41" t="s">
        <v>115</v>
      </c>
      <c r="M71" s="41">
        <v>43385</v>
      </c>
      <c r="N71" s="41">
        <v>554342</v>
      </c>
      <c r="O71" s="41" t="s">
        <v>115</v>
      </c>
      <c r="P71" s="41" t="s">
        <v>115</v>
      </c>
      <c r="Q71" s="41">
        <v>0</v>
      </c>
      <c r="R71" s="41">
        <v>1187083451</v>
      </c>
      <c r="S71" s="41">
        <f>SUM(B71:Q71)</f>
        <v>444915112</v>
      </c>
      <c r="T71" s="43">
        <f t="shared" si="2"/>
        <v>742168339</v>
      </c>
    </row>
    <row r="72" spans="1:20" x14ac:dyDescent="0.2">
      <c r="A72" s="40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3"/>
    </row>
    <row r="73" spans="1:20" ht="15.75" thickBot="1" x14ac:dyDescent="0.3">
      <c r="A73" s="45" t="s">
        <v>68</v>
      </c>
      <c r="B73" s="46">
        <f>SUM(B5:B71)</f>
        <v>120101722716</v>
      </c>
      <c r="C73" s="46">
        <f>SUM(C5:C71)</f>
        <v>104297499940</v>
      </c>
      <c r="D73" s="46">
        <f>SUM(D5:D71)</f>
        <v>7623083361</v>
      </c>
      <c r="E73" s="46">
        <f>SUM(E5:E71)</f>
        <v>159729191711</v>
      </c>
      <c r="F73" s="46">
        <f t="shared" ref="F73:T73" si="3">SUM(F5:F71)</f>
        <v>76415265424</v>
      </c>
      <c r="G73" s="46">
        <f t="shared" si="3"/>
        <v>210423952</v>
      </c>
      <c r="H73" s="46">
        <f t="shared" si="3"/>
        <v>15907498704</v>
      </c>
      <c r="I73" s="46">
        <f t="shared" si="3"/>
        <v>358011967</v>
      </c>
      <c r="J73" s="46">
        <f t="shared" si="3"/>
        <v>352724843</v>
      </c>
      <c r="K73" s="46">
        <f t="shared" si="3"/>
        <v>1228474086</v>
      </c>
      <c r="L73" s="46">
        <f t="shared" si="3"/>
        <v>13233839</v>
      </c>
      <c r="M73" s="46">
        <f t="shared" si="3"/>
        <v>39146852</v>
      </c>
      <c r="N73" s="46">
        <f t="shared" si="3"/>
        <v>1251663446</v>
      </c>
      <c r="O73" s="46">
        <f t="shared" si="3"/>
        <v>110847514</v>
      </c>
      <c r="P73" s="46">
        <f>SUM(P5:P71)</f>
        <v>954688281</v>
      </c>
      <c r="Q73" s="46">
        <f>SUM(Q5:Q71)</f>
        <v>0</v>
      </c>
      <c r="R73" s="46">
        <f t="shared" si="3"/>
        <v>2609183534741</v>
      </c>
      <c r="S73" s="46">
        <f t="shared" si="3"/>
        <v>488593476636</v>
      </c>
      <c r="T73" s="48">
        <f t="shared" si="3"/>
        <v>2120590058105</v>
      </c>
    </row>
    <row r="75" spans="1:20" x14ac:dyDescent="0.2">
      <c r="A75" s="38" t="s">
        <v>122</v>
      </c>
      <c r="T75" s="29"/>
    </row>
  </sheetData>
  <phoneticPr fontId="18" type="noConversion"/>
  <conditionalFormatting sqref="A4:T73">
    <cfRule type="expression" dxfId="2" priority="1" stopIfTrue="1">
      <formula>MOD(ROW(),3)=1</formula>
    </cfRule>
  </conditionalFormatting>
  <pageMargins left="0.75" right="0.75" top="1" bottom="1" header="0.5" footer="0.5"/>
  <pageSetup scale="76" fitToWidth="2" fitToHeight="2" orientation="landscape" r:id="rId1"/>
  <headerFooter alignWithMargins="0"/>
  <rowBreaks count="1" manualBreakCount="1">
    <brk id="37" max="16383" man="1"/>
  </rowBreaks>
  <ignoredErrors>
    <ignoredError sqref="S20:S21 S33 S41 S68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5"/>
  <sheetViews>
    <sheetView zoomScaleNormal="100" workbookViewId="0">
      <pane ySplit="4" topLeftCell="A53" activePane="bottomLeft" state="frozen"/>
      <selection pane="bottomLeft"/>
    </sheetView>
  </sheetViews>
  <sheetFormatPr defaultRowHeight="14.25" x14ac:dyDescent="0.2"/>
  <cols>
    <col min="1" max="1" width="17.7109375" style="2" customWidth="1"/>
    <col min="2" max="2" width="17.5703125" style="2" customWidth="1"/>
    <col min="3" max="3" width="20.5703125" style="2" bestFit="1" customWidth="1"/>
    <col min="4" max="4" width="18.5703125" style="2" bestFit="1" customWidth="1"/>
    <col min="5" max="5" width="13.7109375" style="2" bestFit="1" customWidth="1"/>
    <col min="6" max="6" width="14" style="2" bestFit="1" customWidth="1"/>
    <col min="7" max="7" width="19.42578125" style="2" bestFit="1" customWidth="1"/>
    <col min="8" max="8" width="20.42578125" style="2" bestFit="1" customWidth="1"/>
    <col min="9" max="9" width="20.42578125" style="2" customWidth="1"/>
    <col min="10" max="10" width="23.140625" style="2" customWidth="1"/>
    <col min="11" max="11" width="22.28515625" style="2" bestFit="1" customWidth="1"/>
    <col min="12" max="12" width="22.28515625" style="2" customWidth="1"/>
    <col min="13" max="13" width="9.140625" style="2"/>
    <col min="14" max="14" width="11.28515625" style="2" bestFit="1" customWidth="1"/>
    <col min="15" max="16384" width="9.140625" style="2"/>
  </cols>
  <sheetData>
    <row r="1" spans="1:14" ht="23.25" x14ac:dyDescent="0.35">
      <c r="A1" s="6" t="s">
        <v>99</v>
      </c>
    </row>
    <row r="2" spans="1:14" ht="15" x14ac:dyDescent="0.25">
      <c r="A2" s="11">
        <v>2021</v>
      </c>
    </row>
    <row r="3" spans="1:14" ht="15" thickBot="1" x14ac:dyDescent="0.25">
      <c r="A3" s="39"/>
    </row>
    <row r="4" spans="1:14" s="58" customFormat="1" ht="38.25" x14ac:dyDescent="0.25">
      <c r="A4" s="50" t="s">
        <v>1</v>
      </c>
      <c r="B4" s="55" t="s">
        <v>82</v>
      </c>
      <c r="C4" s="55" t="s">
        <v>83</v>
      </c>
      <c r="D4" s="55" t="s">
        <v>70</v>
      </c>
      <c r="E4" s="55" t="s">
        <v>84</v>
      </c>
      <c r="F4" s="55" t="s">
        <v>85</v>
      </c>
      <c r="G4" s="55" t="s">
        <v>86</v>
      </c>
      <c r="H4" s="55" t="s">
        <v>87</v>
      </c>
      <c r="I4" s="56" t="s">
        <v>116</v>
      </c>
      <c r="J4" s="56" t="s">
        <v>74</v>
      </c>
      <c r="K4" s="56" t="s">
        <v>75</v>
      </c>
      <c r="L4" s="57" t="s">
        <v>76</v>
      </c>
      <c r="M4" s="54"/>
    </row>
    <row r="5" spans="1:14" x14ac:dyDescent="0.2">
      <c r="A5" s="40" t="s">
        <v>2</v>
      </c>
      <c r="B5" s="41">
        <v>76442512</v>
      </c>
      <c r="C5" s="41">
        <v>2305208142</v>
      </c>
      <c r="D5" s="41">
        <v>200784985</v>
      </c>
      <c r="E5" s="41" t="s">
        <v>115</v>
      </c>
      <c r="F5" s="41" t="s">
        <v>115</v>
      </c>
      <c r="G5" s="41" t="s">
        <v>115</v>
      </c>
      <c r="H5" s="41" t="s">
        <v>115</v>
      </c>
      <c r="I5" s="42">
        <v>0</v>
      </c>
      <c r="J5" s="42">
        <v>3941012646</v>
      </c>
      <c r="K5" s="42">
        <f>SUM(B5:I5)</f>
        <v>2582435639</v>
      </c>
      <c r="L5" s="43">
        <f>J5-K5</f>
        <v>1358577007</v>
      </c>
      <c r="M5" s="44"/>
      <c r="N5" s="29"/>
    </row>
    <row r="6" spans="1:14" x14ac:dyDescent="0.2">
      <c r="A6" s="40" t="s">
        <v>3</v>
      </c>
      <c r="B6" s="41">
        <v>6032387</v>
      </c>
      <c r="C6" s="41">
        <v>8300078</v>
      </c>
      <c r="D6" s="41">
        <v>20051777</v>
      </c>
      <c r="E6" s="41" t="s">
        <v>115</v>
      </c>
      <c r="F6" s="41" t="s">
        <v>115</v>
      </c>
      <c r="G6" s="41" t="s">
        <v>115</v>
      </c>
      <c r="H6" s="41" t="s">
        <v>115</v>
      </c>
      <c r="I6" s="42">
        <v>0</v>
      </c>
      <c r="J6" s="42">
        <v>212565492</v>
      </c>
      <c r="K6" s="42">
        <f t="shared" ref="K6:K69" si="0">SUM(B6:I6)</f>
        <v>34384242</v>
      </c>
      <c r="L6" s="43">
        <f t="shared" ref="L6:L69" si="1">J6-K6</f>
        <v>178181250</v>
      </c>
      <c r="N6" s="29"/>
    </row>
    <row r="7" spans="1:14" x14ac:dyDescent="0.2">
      <c r="A7" s="40" t="s">
        <v>4</v>
      </c>
      <c r="B7" s="41">
        <v>81357439</v>
      </c>
      <c r="C7" s="41">
        <v>506439811</v>
      </c>
      <c r="D7" s="41">
        <v>9055832</v>
      </c>
      <c r="E7" s="41" t="s">
        <v>115</v>
      </c>
      <c r="F7" s="41" t="s">
        <v>115</v>
      </c>
      <c r="G7" s="41" t="s">
        <v>115</v>
      </c>
      <c r="H7" s="41">
        <v>8048423</v>
      </c>
      <c r="I7" s="42">
        <v>0</v>
      </c>
      <c r="J7" s="42">
        <v>2100383350</v>
      </c>
      <c r="K7" s="42">
        <f t="shared" si="0"/>
        <v>604901505</v>
      </c>
      <c r="L7" s="43">
        <f t="shared" si="1"/>
        <v>1495481845</v>
      </c>
      <c r="N7" s="29"/>
    </row>
    <row r="8" spans="1:14" x14ac:dyDescent="0.2">
      <c r="A8" s="40" t="s">
        <v>5</v>
      </c>
      <c r="B8" s="41">
        <v>7759030</v>
      </c>
      <c r="C8" s="41">
        <v>651331</v>
      </c>
      <c r="D8" s="41">
        <v>294139</v>
      </c>
      <c r="E8" s="41" t="s">
        <v>115</v>
      </c>
      <c r="F8" s="41" t="s">
        <v>115</v>
      </c>
      <c r="G8" s="41" t="s">
        <v>115</v>
      </c>
      <c r="H8" s="41" t="s">
        <v>115</v>
      </c>
      <c r="I8" s="42">
        <v>0</v>
      </c>
      <c r="J8" s="42">
        <v>280307914</v>
      </c>
      <c r="K8" s="42">
        <f t="shared" si="0"/>
        <v>8704500</v>
      </c>
      <c r="L8" s="43">
        <f t="shared" si="1"/>
        <v>271603414</v>
      </c>
      <c r="N8" s="29"/>
    </row>
    <row r="9" spans="1:14" x14ac:dyDescent="0.2">
      <c r="A9" s="40" t="s">
        <v>6</v>
      </c>
      <c r="B9" s="41">
        <v>164749290</v>
      </c>
      <c r="C9" s="41">
        <v>5746476695</v>
      </c>
      <c r="D9" s="41">
        <v>702630465</v>
      </c>
      <c r="E9" s="41">
        <v>25500</v>
      </c>
      <c r="F9" s="41">
        <v>11500</v>
      </c>
      <c r="G9" s="41" t="s">
        <v>115</v>
      </c>
      <c r="H9" s="41">
        <v>68893173</v>
      </c>
      <c r="I9" s="42">
        <v>44287848</v>
      </c>
      <c r="J9" s="42">
        <v>10218862749</v>
      </c>
      <c r="K9" s="42">
        <f t="shared" si="0"/>
        <v>6727074471</v>
      </c>
      <c r="L9" s="43">
        <f t="shared" si="1"/>
        <v>3491788278</v>
      </c>
      <c r="N9" s="29"/>
    </row>
    <row r="10" spans="1:14" x14ac:dyDescent="0.2">
      <c r="A10" s="40" t="s">
        <v>7</v>
      </c>
      <c r="B10" s="41">
        <v>805286446</v>
      </c>
      <c r="C10" s="41">
        <v>14737915</v>
      </c>
      <c r="D10" s="41">
        <v>207257834</v>
      </c>
      <c r="E10" s="41">
        <v>796</v>
      </c>
      <c r="F10" s="41">
        <v>23150</v>
      </c>
      <c r="G10" s="41" t="s">
        <v>115</v>
      </c>
      <c r="H10" s="41">
        <v>491000</v>
      </c>
      <c r="I10" s="42">
        <v>0</v>
      </c>
      <c r="J10" s="42">
        <v>10097482335</v>
      </c>
      <c r="K10" s="42">
        <f t="shared" si="0"/>
        <v>1027797141</v>
      </c>
      <c r="L10" s="43">
        <f t="shared" si="1"/>
        <v>9069685194</v>
      </c>
      <c r="N10" s="29"/>
    </row>
    <row r="11" spans="1:14" x14ac:dyDescent="0.2">
      <c r="A11" s="40" t="s">
        <v>8</v>
      </c>
      <c r="B11" s="41">
        <v>5024378</v>
      </c>
      <c r="C11" s="41">
        <v>5692876</v>
      </c>
      <c r="D11" s="41">
        <v>32582</v>
      </c>
      <c r="E11" s="41" t="s">
        <v>115</v>
      </c>
      <c r="F11" s="41" t="s">
        <v>115</v>
      </c>
      <c r="G11" s="41" t="s">
        <v>115</v>
      </c>
      <c r="H11" s="41" t="s">
        <v>115</v>
      </c>
      <c r="I11" s="42">
        <v>0</v>
      </c>
      <c r="J11" s="42">
        <v>133383210</v>
      </c>
      <c r="K11" s="42">
        <f t="shared" si="0"/>
        <v>10749836</v>
      </c>
      <c r="L11" s="43">
        <f t="shared" si="1"/>
        <v>122633374</v>
      </c>
      <c r="N11" s="29"/>
    </row>
    <row r="12" spans="1:14" x14ac:dyDescent="0.2">
      <c r="A12" s="40" t="s">
        <v>9</v>
      </c>
      <c r="B12" s="41">
        <v>98125269</v>
      </c>
      <c r="C12" s="41">
        <v>241422069</v>
      </c>
      <c r="D12" s="41">
        <v>65494139</v>
      </c>
      <c r="E12" s="41">
        <v>5000</v>
      </c>
      <c r="F12" s="41">
        <v>17500</v>
      </c>
      <c r="G12" s="41" t="s">
        <v>115</v>
      </c>
      <c r="H12" s="41">
        <v>4953341</v>
      </c>
      <c r="I12" s="42">
        <v>154339</v>
      </c>
      <c r="J12" s="42">
        <v>1424298660</v>
      </c>
      <c r="K12" s="42">
        <f t="shared" si="0"/>
        <v>410171657</v>
      </c>
      <c r="L12" s="43">
        <f t="shared" si="1"/>
        <v>1014127003</v>
      </c>
      <c r="N12" s="29"/>
    </row>
    <row r="13" spans="1:14" x14ac:dyDescent="0.2">
      <c r="A13" s="40" t="s">
        <v>10</v>
      </c>
      <c r="B13" s="41">
        <v>54559809</v>
      </c>
      <c r="C13" s="41">
        <v>6542877</v>
      </c>
      <c r="D13" s="41">
        <v>323111</v>
      </c>
      <c r="E13" s="41">
        <v>21910</v>
      </c>
      <c r="F13" s="41">
        <v>32490</v>
      </c>
      <c r="G13" s="41" t="s">
        <v>115</v>
      </c>
      <c r="H13" s="41" t="s">
        <v>115</v>
      </c>
      <c r="I13" s="42">
        <v>0</v>
      </c>
      <c r="J13" s="42">
        <v>2178464345</v>
      </c>
      <c r="K13" s="42">
        <f t="shared" si="0"/>
        <v>61480197</v>
      </c>
      <c r="L13" s="43">
        <f t="shared" si="1"/>
        <v>2116984148</v>
      </c>
      <c r="N13" s="29"/>
    </row>
    <row r="14" spans="1:14" x14ac:dyDescent="0.2">
      <c r="A14" s="40" t="s">
        <v>11</v>
      </c>
      <c r="B14" s="41">
        <v>49291464</v>
      </c>
      <c r="C14" s="41">
        <v>499327213</v>
      </c>
      <c r="D14" s="41">
        <v>49941198</v>
      </c>
      <c r="E14" s="41" t="s">
        <v>115</v>
      </c>
      <c r="F14" s="41" t="s">
        <v>115</v>
      </c>
      <c r="G14" s="41" t="s">
        <v>115</v>
      </c>
      <c r="H14" s="41" t="s">
        <v>115</v>
      </c>
      <c r="I14" s="42">
        <v>0</v>
      </c>
      <c r="J14" s="42">
        <v>1541520833</v>
      </c>
      <c r="K14" s="42">
        <f t="shared" si="0"/>
        <v>598559875</v>
      </c>
      <c r="L14" s="43">
        <f t="shared" si="1"/>
        <v>942960958</v>
      </c>
      <c r="N14" s="29"/>
    </row>
    <row r="15" spans="1:14" x14ac:dyDescent="0.2">
      <c r="A15" s="40" t="s">
        <v>12</v>
      </c>
      <c r="B15" s="41">
        <v>162720728</v>
      </c>
      <c r="C15" s="41">
        <v>184827757</v>
      </c>
      <c r="D15" s="41">
        <v>120838987</v>
      </c>
      <c r="E15" s="41" t="s">
        <v>115</v>
      </c>
      <c r="F15" s="41" t="s">
        <v>115</v>
      </c>
      <c r="G15" s="41" t="s">
        <v>115</v>
      </c>
      <c r="H15" s="41" t="s">
        <v>115</v>
      </c>
      <c r="I15" s="42">
        <v>654624</v>
      </c>
      <c r="J15" s="42">
        <v>2835230083</v>
      </c>
      <c r="K15" s="42">
        <f t="shared" si="0"/>
        <v>469042096</v>
      </c>
      <c r="L15" s="43">
        <f t="shared" si="1"/>
        <v>2366187987</v>
      </c>
      <c r="N15" s="29"/>
    </row>
    <row r="16" spans="1:14" x14ac:dyDescent="0.2">
      <c r="A16" s="40" t="s">
        <v>13</v>
      </c>
      <c r="B16" s="41">
        <v>22258005</v>
      </c>
      <c r="C16" s="41">
        <v>22992956</v>
      </c>
      <c r="D16" s="41">
        <v>7843397</v>
      </c>
      <c r="E16" s="41" t="s">
        <v>115</v>
      </c>
      <c r="F16" s="41" t="s">
        <v>115</v>
      </c>
      <c r="G16" s="41" t="s">
        <v>115</v>
      </c>
      <c r="H16" s="41">
        <v>1638191</v>
      </c>
      <c r="I16" s="42">
        <v>80395754</v>
      </c>
      <c r="J16" s="42">
        <v>690369074</v>
      </c>
      <c r="K16" s="42">
        <f t="shared" si="0"/>
        <v>135128303</v>
      </c>
      <c r="L16" s="43">
        <f t="shared" si="1"/>
        <v>555240771</v>
      </c>
      <c r="N16" s="29"/>
    </row>
    <row r="17" spans="1:14" x14ac:dyDescent="0.2">
      <c r="A17" s="40" t="s">
        <v>106</v>
      </c>
      <c r="B17" s="41">
        <v>1068262143</v>
      </c>
      <c r="C17" s="41">
        <v>18144276</v>
      </c>
      <c r="D17" s="41">
        <v>1111138671</v>
      </c>
      <c r="E17" s="41" t="s">
        <v>115</v>
      </c>
      <c r="F17" s="41" t="s">
        <v>115</v>
      </c>
      <c r="G17" s="41" t="s">
        <v>115</v>
      </c>
      <c r="H17" s="41" t="s">
        <v>115</v>
      </c>
      <c r="I17" s="42">
        <v>3615118</v>
      </c>
      <c r="J17" s="42">
        <v>18749078831</v>
      </c>
      <c r="K17" s="42">
        <f t="shared" si="0"/>
        <v>2201160208</v>
      </c>
      <c r="L17" s="43">
        <f t="shared" si="1"/>
        <v>16547918623</v>
      </c>
      <c r="N17" s="29"/>
    </row>
    <row r="18" spans="1:14" x14ac:dyDescent="0.2">
      <c r="A18" s="40" t="s">
        <v>14</v>
      </c>
      <c r="B18" s="41">
        <v>20935519</v>
      </c>
      <c r="C18" s="41">
        <v>403952</v>
      </c>
      <c r="D18" s="41">
        <v>242250</v>
      </c>
      <c r="E18" s="41" t="s">
        <v>115</v>
      </c>
      <c r="F18" s="41" t="s">
        <v>115</v>
      </c>
      <c r="G18" s="41" t="s">
        <v>115</v>
      </c>
      <c r="H18" s="41" t="s">
        <v>115</v>
      </c>
      <c r="I18" s="42">
        <v>40910948</v>
      </c>
      <c r="J18" s="42">
        <v>701968938</v>
      </c>
      <c r="K18" s="42">
        <f t="shared" si="0"/>
        <v>62492669</v>
      </c>
      <c r="L18" s="43">
        <f t="shared" si="1"/>
        <v>639476269</v>
      </c>
      <c r="N18" s="29"/>
    </row>
    <row r="19" spans="1:14" x14ac:dyDescent="0.2">
      <c r="A19" s="40" t="s">
        <v>15</v>
      </c>
      <c r="B19" s="41">
        <v>3542148</v>
      </c>
      <c r="C19" s="41" t="s">
        <v>115</v>
      </c>
      <c r="D19" s="41" t="s">
        <v>115</v>
      </c>
      <c r="E19" s="41" t="s">
        <v>115</v>
      </c>
      <c r="F19" s="41" t="s">
        <v>115</v>
      </c>
      <c r="G19" s="41" t="s">
        <v>115</v>
      </c>
      <c r="H19" s="41" t="s">
        <v>115</v>
      </c>
      <c r="I19" s="42">
        <v>0</v>
      </c>
      <c r="J19" s="42">
        <v>93860975</v>
      </c>
      <c r="K19" s="42">
        <f t="shared" si="0"/>
        <v>3542148</v>
      </c>
      <c r="L19" s="43">
        <f t="shared" si="1"/>
        <v>90318827</v>
      </c>
      <c r="N19" s="29"/>
    </row>
    <row r="20" spans="1:14" x14ac:dyDescent="0.2">
      <c r="A20" s="40" t="s">
        <v>16</v>
      </c>
      <c r="B20" s="41">
        <v>270240099</v>
      </c>
      <c r="C20" s="41">
        <v>6525677617</v>
      </c>
      <c r="D20" s="41">
        <v>1094620533</v>
      </c>
      <c r="E20" s="41">
        <v>720</v>
      </c>
      <c r="F20" s="41" t="s">
        <v>115</v>
      </c>
      <c r="G20" s="41" t="s">
        <v>115</v>
      </c>
      <c r="H20" s="41" t="s">
        <v>115</v>
      </c>
      <c r="I20" s="42">
        <v>46204759</v>
      </c>
      <c r="J20" s="42">
        <v>14710612218</v>
      </c>
      <c r="K20" s="42">
        <f t="shared" si="0"/>
        <v>7936743728</v>
      </c>
      <c r="L20" s="43">
        <f t="shared" si="1"/>
        <v>6773868490</v>
      </c>
      <c r="N20" s="29"/>
    </row>
    <row r="21" spans="1:14" x14ac:dyDescent="0.2">
      <c r="A21" s="40" t="s">
        <v>17</v>
      </c>
      <c r="B21" s="41">
        <v>103595051</v>
      </c>
      <c r="C21" s="41" t="s">
        <v>115</v>
      </c>
      <c r="D21" s="41">
        <v>212170716</v>
      </c>
      <c r="E21" s="41" t="s">
        <v>115</v>
      </c>
      <c r="F21" s="41" t="s">
        <v>115</v>
      </c>
      <c r="G21" s="41" t="s">
        <v>115</v>
      </c>
      <c r="H21" s="41">
        <v>55474257</v>
      </c>
      <c r="I21" s="42">
        <v>63831204</v>
      </c>
      <c r="J21" s="42">
        <v>2844099168</v>
      </c>
      <c r="K21" s="42">
        <f t="shared" si="0"/>
        <v>435071228</v>
      </c>
      <c r="L21" s="43">
        <f t="shared" si="1"/>
        <v>2409027940</v>
      </c>
      <c r="N21" s="29"/>
    </row>
    <row r="22" spans="1:14" x14ac:dyDescent="0.2">
      <c r="A22" s="40" t="s">
        <v>18</v>
      </c>
      <c r="B22" s="41">
        <v>31406963</v>
      </c>
      <c r="C22" s="41">
        <v>199025564</v>
      </c>
      <c r="D22" s="41">
        <v>97750537</v>
      </c>
      <c r="E22" s="41">
        <v>4500</v>
      </c>
      <c r="F22" s="41">
        <v>45008</v>
      </c>
      <c r="G22" s="41" t="s">
        <v>115</v>
      </c>
      <c r="H22" s="41" t="s">
        <v>115</v>
      </c>
      <c r="I22" s="42">
        <v>0</v>
      </c>
      <c r="J22" s="42">
        <v>710973206</v>
      </c>
      <c r="K22" s="42">
        <f t="shared" si="0"/>
        <v>328232572</v>
      </c>
      <c r="L22" s="43">
        <f t="shared" si="1"/>
        <v>382740634</v>
      </c>
      <c r="N22" s="29"/>
    </row>
    <row r="23" spans="1:14" x14ac:dyDescent="0.2">
      <c r="A23" s="40" t="s">
        <v>19</v>
      </c>
      <c r="B23" s="41">
        <v>4820175</v>
      </c>
      <c r="C23" s="41" t="s">
        <v>115</v>
      </c>
      <c r="D23" s="41" t="s">
        <v>115</v>
      </c>
      <c r="E23" s="41" t="s">
        <v>115</v>
      </c>
      <c r="F23" s="41" t="s">
        <v>115</v>
      </c>
      <c r="G23" s="41" t="s">
        <v>115</v>
      </c>
      <c r="H23" s="41" t="s">
        <v>115</v>
      </c>
      <c r="I23" s="42">
        <v>0</v>
      </c>
      <c r="J23" s="42">
        <v>94797882</v>
      </c>
      <c r="K23" s="42">
        <f t="shared" si="0"/>
        <v>4820175</v>
      </c>
      <c r="L23" s="43">
        <f t="shared" si="1"/>
        <v>89977707</v>
      </c>
      <c r="N23" s="29"/>
    </row>
    <row r="24" spans="1:14" x14ac:dyDescent="0.2">
      <c r="A24" s="40" t="s">
        <v>20</v>
      </c>
      <c r="B24" s="41">
        <v>11783152</v>
      </c>
      <c r="C24" s="41">
        <v>258046090</v>
      </c>
      <c r="D24" s="41">
        <v>1824853</v>
      </c>
      <c r="E24" s="41">
        <v>1000</v>
      </c>
      <c r="F24" s="41" t="s">
        <v>115</v>
      </c>
      <c r="G24" s="41" t="s">
        <v>115</v>
      </c>
      <c r="H24" s="41">
        <v>17745524</v>
      </c>
      <c r="I24" s="42">
        <v>0</v>
      </c>
      <c r="J24" s="42">
        <v>668532174</v>
      </c>
      <c r="K24" s="42">
        <f t="shared" si="0"/>
        <v>289400619</v>
      </c>
      <c r="L24" s="43">
        <f t="shared" si="1"/>
        <v>379131555</v>
      </c>
      <c r="N24" s="29"/>
    </row>
    <row r="25" spans="1:14" x14ac:dyDescent="0.2">
      <c r="A25" s="40" t="s">
        <v>21</v>
      </c>
      <c r="B25" s="41">
        <v>5771300</v>
      </c>
      <c r="C25" s="41" t="s">
        <v>115</v>
      </c>
      <c r="D25" s="41">
        <v>165153</v>
      </c>
      <c r="E25" s="41" t="s">
        <v>115</v>
      </c>
      <c r="F25" s="41" t="s">
        <v>115</v>
      </c>
      <c r="G25" s="41" t="s">
        <v>115</v>
      </c>
      <c r="H25" s="41" t="s">
        <v>115</v>
      </c>
      <c r="I25" s="42">
        <v>0</v>
      </c>
      <c r="J25" s="42">
        <v>321385564</v>
      </c>
      <c r="K25" s="42">
        <f t="shared" si="0"/>
        <v>5936453</v>
      </c>
      <c r="L25" s="43">
        <f t="shared" si="1"/>
        <v>315449111</v>
      </c>
      <c r="N25" s="29"/>
    </row>
    <row r="26" spans="1:14" x14ac:dyDescent="0.2">
      <c r="A26" s="40" t="s">
        <v>22</v>
      </c>
      <c r="B26" s="41">
        <v>14847043</v>
      </c>
      <c r="C26" s="41">
        <v>13125897</v>
      </c>
      <c r="D26" s="41">
        <v>386177</v>
      </c>
      <c r="E26" s="41">
        <v>500</v>
      </c>
      <c r="F26" s="41" t="s">
        <v>115</v>
      </c>
      <c r="G26" s="41" t="s">
        <v>115</v>
      </c>
      <c r="H26" s="41">
        <v>1714552</v>
      </c>
      <c r="I26" s="42">
        <v>0</v>
      </c>
      <c r="J26" s="42">
        <v>155993595</v>
      </c>
      <c r="K26" s="42">
        <f t="shared" si="0"/>
        <v>30074169</v>
      </c>
      <c r="L26" s="43">
        <f t="shared" si="1"/>
        <v>125919426</v>
      </c>
      <c r="N26" s="29"/>
    </row>
    <row r="27" spans="1:14" x14ac:dyDescent="0.2">
      <c r="A27" s="40" t="s">
        <v>23</v>
      </c>
      <c r="B27" s="41">
        <v>4836538</v>
      </c>
      <c r="C27" s="41">
        <v>2263499</v>
      </c>
      <c r="D27" s="41">
        <v>56626</v>
      </c>
      <c r="E27" s="41" t="s">
        <v>115</v>
      </c>
      <c r="F27" s="41" t="s">
        <v>115</v>
      </c>
      <c r="G27" s="41" t="s">
        <v>115</v>
      </c>
      <c r="H27" s="41" t="s">
        <v>115</v>
      </c>
      <c r="I27" s="42">
        <v>0</v>
      </c>
      <c r="J27" s="42">
        <v>116444943</v>
      </c>
      <c r="K27" s="42">
        <f t="shared" si="0"/>
        <v>7156663</v>
      </c>
      <c r="L27" s="43">
        <f t="shared" si="1"/>
        <v>109288280</v>
      </c>
      <c r="N27" s="29"/>
    </row>
    <row r="28" spans="1:14" x14ac:dyDescent="0.2">
      <c r="A28" s="40" t="s">
        <v>24</v>
      </c>
      <c r="B28" s="41">
        <v>6685886</v>
      </c>
      <c r="C28" s="41" t="s">
        <v>115</v>
      </c>
      <c r="D28" s="41">
        <v>980693</v>
      </c>
      <c r="E28" s="41" t="s">
        <v>115</v>
      </c>
      <c r="F28" s="41" t="s">
        <v>115</v>
      </c>
      <c r="G28" s="41" t="s">
        <v>115</v>
      </c>
      <c r="H28" s="41" t="s">
        <v>115</v>
      </c>
      <c r="I28" s="42">
        <v>0</v>
      </c>
      <c r="J28" s="42">
        <v>583469261</v>
      </c>
      <c r="K28" s="42">
        <f t="shared" si="0"/>
        <v>7666579</v>
      </c>
      <c r="L28" s="43">
        <f t="shared" si="1"/>
        <v>575802682</v>
      </c>
      <c r="N28" s="29"/>
    </row>
    <row r="29" spans="1:14" x14ac:dyDescent="0.2">
      <c r="A29" s="40" t="s">
        <v>25</v>
      </c>
      <c r="B29" s="41">
        <v>18420673</v>
      </c>
      <c r="C29" s="41" t="s">
        <v>115</v>
      </c>
      <c r="D29" s="41">
        <v>4616168</v>
      </c>
      <c r="E29" s="41" t="s">
        <v>115</v>
      </c>
      <c r="F29" s="41" t="s">
        <v>115</v>
      </c>
      <c r="G29" s="41" t="s">
        <v>115</v>
      </c>
      <c r="H29" s="41" t="s">
        <v>115</v>
      </c>
      <c r="I29" s="42">
        <v>0</v>
      </c>
      <c r="J29" s="42">
        <v>831531431</v>
      </c>
      <c r="K29" s="42">
        <f t="shared" si="0"/>
        <v>23036841</v>
      </c>
      <c r="L29" s="43">
        <f t="shared" si="1"/>
        <v>808494590</v>
      </c>
      <c r="N29" s="29"/>
    </row>
    <row r="30" spans="1:14" x14ac:dyDescent="0.2">
      <c r="A30" s="40" t="s">
        <v>26</v>
      </c>
      <c r="B30" s="41">
        <v>16163573</v>
      </c>
      <c r="C30" s="41">
        <v>48758256</v>
      </c>
      <c r="D30" s="41">
        <v>4906278</v>
      </c>
      <c r="E30" s="41">
        <v>1500</v>
      </c>
      <c r="F30" s="41" t="s">
        <v>115</v>
      </c>
      <c r="G30" s="41" t="s">
        <v>115</v>
      </c>
      <c r="H30" s="41" t="s">
        <v>115</v>
      </c>
      <c r="I30" s="42">
        <v>59969902</v>
      </c>
      <c r="J30" s="42">
        <v>939563531</v>
      </c>
      <c r="K30" s="42">
        <f t="shared" si="0"/>
        <v>129799509</v>
      </c>
      <c r="L30" s="43">
        <f t="shared" si="1"/>
        <v>809764022</v>
      </c>
      <c r="N30" s="29"/>
    </row>
    <row r="31" spans="1:14" x14ac:dyDescent="0.2">
      <c r="A31" s="40" t="s">
        <v>27</v>
      </c>
      <c r="B31" s="41">
        <v>55835686</v>
      </c>
      <c r="C31" s="41">
        <v>550479476</v>
      </c>
      <c r="D31" s="41">
        <v>2531876</v>
      </c>
      <c r="E31" s="41" t="s">
        <v>115</v>
      </c>
      <c r="F31" s="41" t="s">
        <v>115</v>
      </c>
      <c r="G31" s="41" t="s">
        <v>115</v>
      </c>
      <c r="H31" s="41" t="s">
        <v>115</v>
      </c>
      <c r="I31" s="42">
        <v>0</v>
      </c>
      <c r="J31" s="42">
        <v>1790065157</v>
      </c>
      <c r="K31" s="42">
        <f t="shared" si="0"/>
        <v>608847038</v>
      </c>
      <c r="L31" s="43">
        <f t="shared" si="1"/>
        <v>1181218119</v>
      </c>
      <c r="N31" s="29"/>
    </row>
    <row r="32" spans="1:14" x14ac:dyDescent="0.2">
      <c r="A32" s="40" t="s">
        <v>28</v>
      </c>
      <c r="B32" s="41">
        <v>76212084</v>
      </c>
      <c r="C32" s="41">
        <v>12862534</v>
      </c>
      <c r="D32" s="41">
        <v>9354539</v>
      </c>
      <c r="E32" s="41">
        <v>87963</v>
      </c>
      <c r="F32" s="41">
        <v>152238</v>
      </c>
      <c r="G32" s="41" t="s">
        <v>115</v>
      </c>
      <c r="H32" s="41">
        <v>850945</v>
      </c>
      <c r="I32" s="42">
        <v>0</v>
      </c>
      <c r="J32" s="42">
        <v>751757665</v>
      </c>
      <c r="K32" s="42">
        <f t="shared" si="0"/>
        <v>99520303</v>
      </c>
      <c r="L32" s="43">
        <f t="shared" si="1"/>
        <v>652237362</v>
      </c>
      <c r="N32" s="29"/>
    </row>
    <row r="33" spans="1:14" x14ac:dyDescent="0.2">
      <c r="A33" s="40" t="s">
        <v>29</v>
      </c>
      <c r="B33" s="41">
        <v>413286888</v>
      </c>
      <c r="C33" s="41">
        <v>997474330</v>
      </c>
      <c r="D33" s="41">
        <v>750928209</v>
      </c>
      <c r="E33" s="41" t="s">
        <v>115</v>
      </c>
      <c r="F33" s="41" t="s">
        <v>115</v>
      </c>
      <c r="G33" s="41" t="s">
        <v>115</v>
      </c>
      <c r="H33" s="41">
        <v>13566140</v>
      </c>
      <c r="I33" s="42">
        <v>0</v>
      </c>
      <c r="J33" s="42">
        <v>11845650280</v>
      </c>
      <c r="K33" s="42">
        <f t="shared" si="0"/>
        <v>2175255567</v>
      </c>
      <c r="L33" s="43">
        <f t="shared" si="1"/>
        <v>9670394713</v>
      </c>
      <c r="N33" s="29"/>
    </row>
    <row r="34" spans="1:14" x14ac:dyDescent="0.2">
      <c r="A34" s="40" t="s">
        <v>30</v>
      </c>
      <c r="B34" s="41">
        <v>11904444</v>
      </c>
      <c r="C34" s="41">
        <v>6405661</v>
      </c>
      <c r="D34" s="41">
        <v>716971</v>
      </c>
      <c r="E34" s="41" t="s">
        <v>115</v>
      </c>
      <c r="F34" s="41" t="s">
        <v>115</v>
      </c>
      <c r="G34" s="41" t="s">
        <v>115</v>
      </c>
      <c r="H34" s="41" t="s">
        <v>115</v>
      </c>
      <c r="I34" s="42">
        <v>0</v>
      </c>
      <c r="J34" s="42">
        <v>99918420</v>
      </c>
      <c r="K34" s="42">
        <f t="shared" si="0"/>
        <v>19027076</v>
      </c>
      <c r="L34" s="43">
        <f t="shared" si="1"/>
        <v>80891344</v>
      </c>
      <c r="N34" s="29"/>
    </row>
    <row r="35" spans="1:14" x14ac:dyDescent="0.2">
      <c r="A35" s="40" t="s">
        <v>31</v>
      </c>
      <c r="B35" s="41">
        <v>47475168</v>
      </c>
      <c r="C35" s="41">
        <v>9260096</v>
      </c>
      <c r="D35" s="41">
        <v>35616930</v>
      </c>
      <c r="E35" s="41">
        <v>33499</v>
      </c>
      <c r="F35" s="41">
        <v>14058</v>
      </c>
      <c r="G35" s="41" t="s">
        <v>115</v>
      </c>
      <c r="H35" s="41" t="s">
        <v>115</v>
      </c>
      <c r="I35" s="42">
        <v>0</v>
      </c>
      <c r="J35" s="42">
        <v>850268303</v>
      </c>
      <c r="K35" s="42">
        <f t="shared" si="0"/>
        <v>92399751</v>
      </c>
      <c r="L35" s="43">
        <f t="shared" si="1"/>
        <v>757868552</v>
      </c>
      <c r="N35" s="29"/>
    </row>
    <row r="36" spans="1:14" x14ac:dyDescent="0.2">
      <c r="A36" s="40" t="s">
        <v>32</v>
      </c>
      <c r="B36" s="41">
        <v>17491607</v>
      </c>
      <c r="C36" s="41">
        <v>51769623</v>
      </c>
      <c r="D36" s="41">
        <v>159332</v>
      </c>
      <c r="E36" s="41" t="s">
        <v>115</v>
      </c>
      <c r="F36" s="41" t="s">
        <v>115</v>
      </c>
      <c r="G36" s="41" t="s">
        <v>115</v>
      </c>
      <c r="H36" s="41" t="s">
        <v>115</v>
      </c>
      <c r="I36" s="42">
        <v>0</v>
      </c>
      <c r="J36" s="42">
        <v>452186698</v>
      </c>
      <c r="K36" s="42">
        <f t="shared" si="0"/>
        <v>69420562</v>
      </c>
      <c r="L36" s="43">
        <f t="shared" si="1"/>
        <v>382766136</v>
      </c>
      <c r="N36" s="29"/>
    </row>
    <row r="37" spans="1:14" x14ac:dyDescent="0.2">
      <c r="A37" s="40" t="s">
        <v>33</v>
      </c>
      <c r="B37" s="41">
        <v>13787617</v>
      </c>
      <c r="C37" s="41">
        <v>6660326</v>
      </c>
      <c r="D37" s="41">
        <v>289946</v>
      </c>
      <c r="E37" s="41">
        <v>500</v>
      </c>
      <c r="F37" s="41" t="s">
        <v>115</v>
      </c>
      <c r="G37" s="41" t="s">
        <v>115</v>
      </c>
      <c r="H37" s="41" t="s">
        <v>115</v>
      </c>
      <c r="I37" s="42">
        <v>0</v>
      </c>
      <c r="J37" s="42">
        <v>171059426</v>
      </c>
      <c r="K37" s="42">
        <f t="shared" si="0"/>
        <v>20738389</v>
      </c>
      <c r="L37" s="43">
        <f t="shared" si="1"/>
        <v>150321037</v>
      </c>
      <c r="N37" s="29"/>
    </row>
    <row r="38" spans="1:14" x14ac:dyDescent="0.2">
      <c r="A38" s="40" t="s">
        <v>34</v>
      </c>
      <c r="B38" s="41">
        <v>3545606</v>
      </c>
      <c r="C38" s="41">
        <v>4335826</v>
      </c>
      <c r="D38" s="41">
        <v>48893</v>
      </c>
      <c r="E38" s="41" t="s">
        <v>115</v>
      </c>
      <c r="F38" s="41" t="s">
        <v>115</v>
      </c>
      <c r="G38" s="41" t="s">
        <v>115</v>
      </c>
      <c r="H38" s="41" t="s">
        <v>115</v>
      </c>
      <c r="I38" s="42">
        <v>0</v>
      </c>
      <c r="J38" s="42">
        <v>73281607</v>
      </c>
      <c r="K38" s="42">
        <f t="shared" si="0"/>
        <v>7930325</v>
      </c>
      <c r="L38" s="43">
        <f t="shared" si="1"/>
        <v>65351282</v>
      </c>
      <c r="N38" s="29"/>
    </row>
    <row r="39" spans="1:14" x14ac:dyDescent="0.2">
      <c r="A39" s="40" t="s">
        <v>35</v>
      </c>
      <c r="B39" s="41">
        <v>131429160</v>
      </c>
      <c r="C39" s="41">
        <v>169861545</v>
      </c>
      <c r="D39" s="41">
        <v>272439207</v>
      </c>
      <c r="E39" s="41" t="s">
        <v>115</v>
      </c>
      <c r="F39" s="41" t="s">
        <v>115</v>
      </c>
      <c r="G39" s="41" t="s">
        <v>115</v>
      </c>
      <c r="H39" s="41" t="s">
        <v>115</v>
      </c>
      <c r="I39" s="42">
        <v>0</v>
      </c>
      <c r="J39" s="42">
        <v>2097201257</v>
      </c>
      <c r="K39" s="42">
        <f t="shared" si="0"/>
        <v>573729912</v>
      </c>
      <c r="L39" s="43">
        <f t="shared" si="1"/>
        <v>1523471345</v>
      </c>
      <c r="N39" s="29"/>
    </row>
    <row r="40" spans="1:14" x14ac:dyDescent="0.2">
      <c r="A40" s="40" t="s">
        <v>36</v>
      </c>
      <c r="B40" s="41">
        <v>385736187</v>
      </c>
      <c r="C40" s="41">
        <v>295287375</v>
      </c>
      <c r="D40" s="41">
        <v>159696527</v>
      </c>
      <c r="E40" s="41">
        <v>114000</v>
      </c>
      <c r="F40" s="41">
        <v>139826</v>
      </c>
      <c r="G40" s="41" t="s">
        <v>115</v>
      </c>
      <c r="H40" s="41" t="s">
        <v>115</v>
      </c>
      <c r="I40" s="42">
        <v>668720</v>
      </c>
      <c r="J40" s="42">
        <v>5797237250</v>
      </c>
      <c r="K40" s="42">
        <f t="shared" si="0"/>
        <v>841642635</v>
      </c>
      <c r="L40" s="43">
        <f t="shared" si="1"/>
        <v>4955594615</v>
      </c>
      <c r="N40" s="29"/>
    </row>
    <row r="41" spans="1:14" x14ac:dyDescent="0.2">
      <c r="A41" s="40" t="s">
        <v>37</v>
      </c>
      <c r="B41" s="41">
        <v>118859450</v>
      </c>
      <c r="C41" s="41">
        <v>898147576</v>
      </c>
      <c r="D41" s="41">
        <v>33891986</v>
      </c>
      <c r="E41" s="41">
        <v>500</v>
      </c>
      <c r="F41" s="41">
        <v>500</v>
      </c>
      <c r="G41" s="41" t="s">
        <v>115</v>
      </c>
      <c r="H41" s="41" t="s">
        <v>115</v>
      </c>
      <c r="I41" s="42">
        <v>24583332</v>
      </c>
      <c r="J41" s="42">
        <v>2209042587</v>
      </c>
      <c r="K41" s="42">
        <f t="shared" si="0"/>
        <v>1075483344</v>
      </c>
      <c r="L41" s="43">
        <f t="shared" si="1"/>
        <v>1133559243</v>
      </c>
      <c r="N41" s="29"/>
    </row>
    <row r="42" spans="1:14" x14ac:dyDescent="0.2">
      <c r="A42" s="40" t="s">
        <v>38</v>
      </c>
      <c r="B42" s="41">
        <v>15105911</v>
      </c>
      <c r="C42" s="41" t="s">
        <v>115</v>
      </c>
      <c r="D42" s="41" t="s">
        <v>115</v>
      </c>
      <c r="E42" s="41" t="s">
        <v>115</v>
      </c>
      <c r="F42" s="41" t="s">
        <v>115</v>
      </c>
      <c r="G42" s="41" t="s">
        <v>115</v>
      </c>
      <c r="H42" s="41" t="s">
        <v>115</v>
      </c>
      <c r="I42" s="42">
        <v>0</v>
      </c>
      <c r="J42" s="42">
        <v>401320838</v>
      </c>
      <c r="K42" s="42">
        <f t="shared" si="0"/>
        <v>15105911</v>
      </c>
      <c r="L42" s="43">
        <f t="shared" si="1"/>
        <v>386214927</v>
      </c>
      <c r="N42" s="29"/>
    </row>
    <row r="43" spans="1:14" x14ac:dyDescent="0.2">
      <c r="A43" s="40" t="s">
        <v>39</v>
      </c>
      <c r="B43" s="41">
        <v>2160156</v>
      </c>
      <c r="C43" s="41">
        <v>393882</v>
      </c>
      <c r="D43" s="41">
        <v>9157</v>
      </c>
      <c r="E43" s="41" t="s">
        <v>115</v>
      </c>
      <c r="F43" s="41" t="s">
        <v>115</v>
      </c>
      <c r="G43" s="41" t="s">
        <v>115</v>
      </c>
      <c r="H43" s="41">
        <v>0</v>
      </c>
      <c r="I43" s="42">
        <v>0</v>
      </c>
      <c r="J43" s="42">
        <v>134282881</v>
      </c>
      <c r="K43" s="42">
        <f t="shared" si="0"/>
        <v>2563195</v>
      </c>
      <c r="L43" s="43">
        <f t="shared" si="1"/>
        <v>131719686</v>
      </c>
      <c r="N43" s="29"/>
    </row>
    <row r="44" spans="1:14" x14ac:dyDescent="0.2">
      <c r="A44" s="40" t="s">
        <v>40</v>
      </c>
      <c r="B44" s="41">
        <v>10825638</v>
      </c>
      <c r="C44" s="41" t="s">
        <v>115</v>
      </c>
      <c r="D44" s="41">
        <v>470689</v>
      </c>
      <c r="E44" s="41" t="s">
        <v>115</v>
      </c>
      <c r="F44" s="41" t="s">
        <v>115</v>
      </c>
      <c r="G44" s="41" t="s">
        <v>115</v>
      </c>
      <c r="H44" s="41">
        <v>973399</v>
      </c>
      <c r="I44" s="42">
        <v>0</v>
      </c>
      <c r="J44" s="42">
        <v>221209577</v>
      </c>
      <c r="K44" s="42">
        <f t="shared" si="0"/>
        <v>12269726</v>
      </c>
      <c r="L44" s="43">
        <f t="shared" si="1"/>
        <v>208939851</v>
      </c>
      <c r="N44" s="29"/>
    </row>
    <row r="45" spans="1:14" x14ac:dyDescent="0.2">
      <c r="A45" s="40" t="s">
        <v>41</v>
      </c>
      <c r="B45" s="41">
        <v>141979643</v>
      </c>
      <c r="C45" s="41">
        <v>4635415</v>
      </c>
      <c r="D45" s="41">
        <v>33919666</v>
      </c>
      <c r="E45" s="41">
        <v>34560</v>
      </c>
      <c r="F45" s="41">
        <v>33925</v>
      </c>
      <c r="G45" s="41" t="s">
        <v>115</v>
      </c>
      <c r="H45" s="41" t="s">
        <v>115</v>
      </c>
      <c r="I45" s="42">
        <v>0</v>
      </c>
      <c r="J45" s="42">
        <v>3449570973</v>
      </c>
      <c r="K45" s="42">
        <f t="shared" si="0"/>
        <v>180603209</v>
      </c>
      <c r="L45" s="43">
        <f t="shared" si="1"/>
        <v>3268967764</v>
      </c>
      <c r="N45" s="29"/>
    </row>
    <row r="46" spans="1:14" x14ac:dyDescent="0.2">
      <c r="A46" s="40" t="s">
        <v>42</v>
      </c>
      <c r="B46" s="41">
        <v>121944736</v>
      </c>
      <c r="C46" s="41">
        <v>22265041</v>
      </c>
      <c r="D46" s="41">
        <v>47743911</v>
      </c>
      <c r="E46" s="41" t="s">
        <v>115</v>
      </c>
      <c r="F46" s="41">
        <v>12166</v>
      </c>
      <c r="G46" s="41" t="s">
        <v>115</v>
      </c>
      <c r="H46" s="41" t="s">
        <v>115</v>
      </c>
      <c r="I46" s="42">
        <v>368427</v>
      </c>
      <c r="J46" s="42">
        <v>2083707138</v>
      </c>
      <c r="K46" s="42">
        <f t="shared" si="0"/>
        <v>192334281</v>
      </c>
      <c r="L46" s="43">
        <f t="shared" si="1"/>
        <v>1891372857</v>
      </c>
      <c r="N46" s="29"/>
    </row>
    <row r="47" spans="1:14" x14ac:dyDescent="0.2">
      <c r="A47" s="40" t="s">
        <v>43</v>
      </c>
      <c r="B47" s="41">
        <v>68094991</v>
      </c>
      <c r="C47" s="41">
        <v>26867261</v>
      </c>
      <c r="D47" s="41">
        <v>76846279</v>
      </c>
      <c r="E47" s="41" t="s">
        <v>115</v>
      </c>
      <c r="F47" s="41" t="s">
        <v>115</v>
      </c>
      <c r="G47" s="41" t="s">
        <v>115</v>
      </c>
      <c r="H47" s="41" t="s">
        <v>115</v>
      </c>
      <c r="I47" s="42">
        <v>37840532</v>
      </c>
      <c r="J47" s="42">
        <v>3125407152</v>
      </c>
      <c r="K47" s="42">
        <f t="shared" si="0"/>
        <v>209649063</v>
      </c>
      <c r="L47" s="43">
        <f t="shared" si="1"/>
        <v>2915758089</v>
      </c>
      <c r="N47" s="29"/>
    </row>
    <row r="48" spans="1:14" x14ac:dyDescent="0.2">
      <c r="A48" s="40" t="s">
        <v>44</v>
      </c>
      <c r="B48" s="41">
        <v>86071634</v>
      </c>
      <c r="C48" s="41">
        <v>140861413</v>
      </c>
      <c r="D48" s="41">
        <v>44360011</v>
      </c>
      <c r="E48" s="41" t="s">
        <v>115</v>
      </c>
      <c r="F48" s="41" t="s">
        <v>115</v>
      </c>
      <c r="G48" s="41" t="s">
        <v>115</v>
      </c>
      <c r="H48" s="41" t="s">
        <v>115</v>
      </c>
      <c r="I48" s="42" t="s">
        <v>115</v>
      </c>
      <c r="J48" s="42">
        <v>905787545</v>
      </c>
      <c r="K48" s="42">
        <f t="shared" si="0"/>
        <v>271293058</v>
      </c>
      <c r="L48" s="43">
        <f t="shared" si="1"/>
        <v>634494487</v>
      </c>
      <c r="N48" s="29"/>
    </row>
    <row r="49" spans="1:14" x14ac:dyDescent="0.2">
      <c r="A49" s="40" t="s">
        <v>45</v>
      </c>
      <c r="B49" s="41">
        <v>25512436</v>
      </c>
      <c r="C49" s="41">
        <v>363187461</v>
      </c>
      <c r="D49" s="41">
        <v>34261918</v>
      </c>
      <c r="E49" s="41" t="s">
        <v>115</v>
      </c>
      <c r="F49" s="41" t="s">
        <v>115</v>
      </c>
      <c r="G49" s="41" t="s">
        <v>115</v>
      </c>
      <c r="H49" s="41" t="s">
        <v>115</v>
      </c>
      <c r="I49" s="42">
        <v>0</v>
      </c>
      <c r="J49" s="42">
        <v>1260164802</v>
      </c>
      <c r="K49" s="42">
        <f t="shared" si="0"/>
        <v>422961815</v>
      </c>
      <c r="L49" s="43">
        <f t="shared" si="1"/>
        <v>837202987</v>
      </c>
      <c r="N49" s="29"/>
    </row>
    <row r="50" spans="1:14" x14ac:dyDescent="0.2">
      <c r="A50" s="40" t="s">
        <v>46</v>
      </c>
      <c r="B50" s="41">
        <v>83972327</v>
      </c>
      <c r="C50" s="41">
        <v>2389721</v>
      </c>
      <c r="D50" s="41">
        <v>298766</v>
      </c>
      <c r="E50" s="41" t="s">
        <v>115</v>
      </c>
      <c r="F50" s="41" t="s">
        <v>115</v>
      </c>
      <c r="G50" s="41" t="s">
        <v>115</v>
      </c>
      <c r="H50" s="41">
        <v>3352478</v>
      </c>
      <c r="I50" s="42">
        <v>34697272</v>
      </c>
      <c r="J50" s="42">
        <v>1039271284</v>
      </c>
      <c r="K50" s="42">
        <f t="shared" si="0"/>
        <v>124710564</v>
      </c>
      <c r="L50" s="43">
        <f t="shared" si="1"/>
        <v>914560720</v>
      </c>
      <c r="N50" s="29"/>
    </row>
    <row r="51" spans="1:14" x14ac:dyDescent="0.2">
      <c r="A51" s="40" t="s">
        <v>47</v>
      </c>
      <c r="B51" s="41">
        <v>30098904</v>
      </c>
      <c r="C51" s="41">
        <v>2280060</v>
      </c>
      <c r="D51" s="41">
        <v>2044511</v>
      </c>
      <c r="E51" s="41" t="s">
        <v>115</v>
      </c>
      <c r="F51" s="41" t="s">
        <v>115</v>
      </c>
      <c r="G51" s="41" t="s">
        <v>115</v>
      </c>
      <c r="H51" s="41">
        <v>550750537</v>
      </c>
      <c r="I51" s="42">
        <v>132211178</v>
      </c>
      <c r="J51" s="42">
        <v>1733762694</v>
      </c>
      <c r="K51" s="42">
        <f t="shared" si="0"/>
        <v>717385190</v>
      </c>
      <c r="L51" s="43">
        <f t="shared" si="1"/>
        <v>1016377504</v>
      </c>
      <c r="N51" s="29"/>
    </row>
    <row r="52" spans="1:14" x14ac:dyDescent="0.2">
      <c r="A52" s="40" t="s">
        <v>48</v>
      </c>
      <c r="B52" s="41">
        <v>522666255</v>
      </c>
      <c r="C52" s="41">
        <v>2612369550</v>
      </c>
      <c r="D52" s="41">
        <v>1243149316</v>
      </c>
      <c r="E52" s="41" t="s">
        <v>115</v>
      </c>
      <c r="F52" s="41" t="s">
        <v>115</v>
      </c>
      <c r="G52" s="41" t="s">
        <v>115</v>
      </c>
      <c r="H52" s="41">
        <v>118565477</v>
      </c>
      <c r="I52" s="42">
        <v>114538529</v>
      </c>
      <c r="J52" s="42">
        <v>16728860444</v>
      </c>
      <c r="K52" s="42">
        <f t="shared" si="0"/>
        <v>4611289127</v>
      </c>
      <c r="L52" s="43">
        <f t="shared" si="1"/>
        <v>12117571317</v>
      </c>
      <c r="N52" s="29"/>
    </row>
    <row r="53" spans="1:14" x14ac:dyDescent="0.2">
      <c r="A53" s="40" t="s">
        <v>49</v>
      </c>
      <c r="B53" s="41">
        <v>146865091</v>
      </c>
      <c r="C53" s="41">
        <v>1243958088</v>
      </c>
      <c r="D53" s="41">
        <v>267109590</v>
      </c>
      <c r="E53" s="41">
        <v>9000</v>
      </c>
      <c r="F53" s="41">
        <v>6627</v>
      </c>
      <c r="G53" s="41" t="s">
        <v>115</v>
      </c>
      <c r="H53" s="41" t="s">
        <v>115</v>
      </c>
      <c r="I53" s="42">
        <v>0</v>
      </c>
      <c r="J53" s="42">
        <v>3293289564</v>
      </c>
      <c r="K53" s="42">
        <f t="shared" si="0"/>
        <v>1657948396</v>
      </c>
      <c r="L53" s="43">
        <f t="shared" si="1"/>
        <v>1635341168</v>
      </c>
      <c r="N53" s="29"/>
    </row>
    <row r="54" spans="1:14" x14ac:dyDescent="0.2">
      <c r="A54" s="40" t="s">
        <v>50</v>
      </c>
      <c r="B54" s="41">
        <v>366121146</v>
      </c>
      <c r="C54" s="41">
        <v>651656110</v>
      </c>
      <c r="D54" s="41">
        <v>468997366</v>
      </c>
      <c r="E54" s="41" t="s">
        <v>115</v>
      </c>
      <c r="F54" s="41" t="s">
        <v>115</v>
      </c>
      <c r="G54" s="41" t="s">
        <v>115</v>
      </c>
      <c r="H54" s="41">
        <v>28229429</v>
      </c>
      <c r="I54" s="42">
        <v>68887686</v>
      </c>
      <c r="J54" s="42">
        <v>11895431997</v>
      </c>
      <c r="K54" s="42">
        <f t="shared" si="0"/>
        <v>1583891737</v>
      </c>
      <c r="L54" s="43">
        <f t="shared" si="1"/>
        <v>10311540260</v>
      </c>
      <c r="N54" s="29"/>
    </row>
    <row r="55" spans="1:14" x14ac:dyDescent="0.2">
      <c r="A55" s="40" t="s">
        <v>51</v>
      </c>
      <c r="B55" s="41">
        <v>120941550</v>
      </c>
      <c r="C55" s="41">
        <v>866155624</v>
      </c>
      <c r="D55" s="41">
        <v>82706451</v>
      </c>
      <c r="E55" s="41" t="s">
        <v>115</v>
      </c>
      <c r="F55" s="41" t="s">
        <v>115</v>
      </c>
      <c r="G55" s="41" t="s">
        <v>115</v>
      </c>
      <c r="H55" s="41" t="s">
        <v>115</v>
      </c>
      <c r="I55" s="42">
        <v>0</v>
      </c>
      <c r="J55" s="42">
        <v>3241443520</v>
      </c>
      <c r="K55" s="42">
        <f t="shared" si="0"/>
        <v>1069803625</v>
      </c>
      <c r="L55" s="43">
        <f t="shared" si="1"/>
        <v>2171639895</v>
      </c>
      <c r="N55" s="29"/>
    </row>
    <row r="56" spans="1:14" x14ac:dyDescent="0.2">
      <c r="A56" s="40" t="s">
        <v>52</v>
      </c>
      <c r="B56" s="41">
        <v>321314693</v>
      </c>
      <c r="C56" s="41">
        <v>388269205</v>
      </c>
      <c r="D56" s="41">
        <v>750890579</v>
      </c>
      <c r="E56" s="41">
        <v>382344</v>
      </c>
      <c r="F56" s="41">
        <v>203716</v>
      </c>
      <c r="G56" s="41" t="s">
        <v>115</v>
      </c>
      <c r="H56" s="41" t="s">
        <v>115</v>
      </c>
      <c r="I56" s="42">
        <v>1684963</v>
      </c>
      <c r="J56" s="42">
        <v>6489459200</v>
      </c>
      <c r="K56" s="42">
        <f t="shared" si="0"/>
        <v>1462745500</v>
      </c>
      <c r="L56" s="43">
        <f t="shared" si="1"/>
        <v>5026713700</v>
      </c>
      <c r="N56" s="29"/>
    </row>
    <row r="57" spans="1:14" x14ac:dyDescent="0.2">
      <c r="A57" s="40" t="s">
        <v>53</v>
      </c>
      <c r="B57" s="41">
        <v>353315163</v>
      </c>
      <c r="C57" s="41">
        <v>581350273</v>
      </c>
      <c r="D57" s="41">
        <v>177039367</v>
      </c>
      <c r="E57" s="41">
        <v>9500</v>
      </c>
      <c r="F57" s="41">
        <v>33209</v>
      </c>
      <c r="G57" s="41" t="s">
        <v>115</v>
      </c>
      <c r="H57" s="41">
        <v>253836545</v>
      </c>
      <c r="I57" s="42">
        <v>180594779</v>
      </c>
      <c r="J57" s="42">
        <v>7857002953</v>
      </c>
      <c r="K57" s="42">
        <f t="shared" si="0"/>
        <v>1546178836</v>
      </c>
      <c r="L57" s="43">
        <f t="shared" si="1"/>
        <v>6310824117</v>
      </c>
      <c r="N57" s="29"/>
    </row>
    <row r="58" spans="1:14" x14ac:dyDescent="0.2">
      <c r="A58" s="40" t="s">
        <v>54</v>
      </c>
      <c r="B58" s="41">
        <v>21601604</v>
      </c>
      <c r="C58" s="41">
        <v>128493190</v>
      </c>
      <c r="D58" s="41">
        <v>6808021</v>
      </c>
      <c r="E58" s="41" t="s">
        <v>115</v>
      </c>
      <c r="F58" s="41" t="s">
        <v>115</v>
      </c>
      <c r="G58" s="41" t="s">
        <v>115</v>
      </c>
      <c r="H58" s="41" t="s">
        <v>115</v>
      </c>
      <c r="I58" s="42">
        <v>0</v>
      </c>
      <c r="J58" s="42">
        <v>1608755240</v>
      </c>
      <c r="K58" s="42">
        <f t="shared" si="0"/>
        <v>156902815</v>
      </c>
      <c r="L58" s="43">
        <f t="shared" si="1"/>
        <v>1451852425</v>
      </c>
      <c r="N58" s="29"/>
    </row>
    <row r="59" spans="1:14" x14ac:dyDescent="0.2">
      <c r="A59" s="40" t="s">
        <v>55</v>
      </c>
      <c r="B59" s="41">
        <v>103306999</v>
      </c>
      <c r="C59" s="41">
        <v>19088084</v>
      </c>
      <c r="D59" s="41">
        <v>245013579</v>
      </c>
      <c r="E59" s="41">
        <v>500</v>
      </c>
      <c r="F59" s="41">
        <v>10000</v>
      </c>
      <c r="G59" s="41" t="s">
        <v>115</v>
      </c>
      <c r="H59" s="41" t="s">
        <v>115</v>
      </c>
      <c r="I59" s="42">
        <v>0</v>
      </c>
      <c r="J59" s="42">
        <v>1634017229</v>
      </c>
      <c r="K59" s="42">
        <f t="shared" si="0"/>
        <v>367419162</v>
      </c>
      <c r="L59" s="43">
        <f t="shared" si="1"/>
        <v>1266598067</v>
      </c>
      <c r="N59" s="29"/>
    </row>
    <row r="60" spans="1:14" x14ac:dyDescent="0.2">
      <c r="A60" s="40" t="s">
        <v>56</v>
      </c>
      <c r="B60" s="41">
        <v>86273818</v>
      </c>
      <c r="C60" s="41">
        <v>1005685204</v>
      </c>
      <c r="D60" s="41">
        <v>51639591</v>
      </c>
      <c r="E60" s="41" t="s">
        <v>115</v>
      </c>
      <c r="F60" s="41" t="s">
        <v>115</v>
      </c>
      <c r="G60" s="41" t="s">
        <v>115</v>
      </c>
      <c r="H60" s="41">
        <v>10204487</v>
      </c>
      <c r="I60" s="42">
        <v>128911475</v>
      </c>
      <c r="J60" s="42">
        <v>4952388012</v>
      </c>
      <c r="K60" s="42">
        <f t="shared" si="0"/>
        <v>1282714575</v>
      </c>
      <c r="L60" s="43">
        <f t="shared" si="1"/>
        <v>3669673437</v>
      </c>
      <c r="N60" s="29"/>
    </row>
    <row r="61" spans="1:14" x14ac:dyDescent="0.2">
      <c r="A61" s="40" t="s">
        <v>57</v>
      </c>
      <c r="B61" s="41">
        <v>38338817</v>
      </c>
      <c r="C61" s="41">
        <v>526711</v>
      </c>
      <c r="D61" s="41">
        <v>6859971</v>
      </c>
      <c r="E61" s="41" t="s">
        <v>115</v>
      </c>
      <c r="F61" s="41" t="s">
        <v>115</v>
      </c>
      <c r="G61" s="41" t="s">
        <v>115</v>
      </c>
      <c r="H61" s="41" t="s">
        <v>115</v>
      </c>
      <c r="I61" s="42">
        <v>42506673</v>
      </c>
      <c r="J61" s="42">
        <v>855960190</v>
      </c>
      <c r="K61" s="42">
        <f t="shared" si="0"/>
        <v>88232172</v>
      </c>
      <c r="L61" s="43">
        <f t="shared" si="1"/>
        <v>767728018</v>
      </c>
      <c r="N61" s="29"/>
    </row>
    <row r="62" spans="1:14" x14ac:dyDescent="0.2">
      <c r="A62" s="40" t="s">
        <v>58</v>
      </c>
      <c r="B62" s="41">
        <v>136197193</v>
      </c>
      <c r="C62" s="41">
        <v>591817805</v>
      </c>
      <c r="D62" s="41">
        <v>98843981</v>
      </c>
      <c r="E62" s="41" t="s">
        <v>115</v>
      </c>
      <c r="F62" s="41" t="s">
        <v>115</v>
      </c>
      <c r="G62" s="41" t="s">
        <v>115</v>
      </c>
      <c r="H62" s="41">
        <v>5059899</v>
      </c>
      <c r="I62" s="42">
        <v>0</v>
      </c>
      <c r="J62" s="42">
        <v>2953230673</v>
      </c>
      <c r="K62" s="42">
        <f t="shared" si="0"/>
        <v>831918878</v>
      </c>
      <c r="L62" s="43">
        <f t="shared" si="1"/>
        <v>2121311795</v>
      </c>
      <c r="N62" s="29"/>
    </row>
    <row r="63" spans="1:14" x14ac:dyDescent="0.2">
      <c r="A63" s="40" t="s">
        <v>59</v>
      </c>
      <c r="B63" s="41">
        <v>162331513</v>
      </c>
      <c r="C63" s="41">
        <v>136828429</v>
      </c>
      <c r="D63" s="41">
        <v>314429964</v>
      </c>
      <c r="E63" s="41" t="s">
        <v>115</v>
      </c>
      <c r="F63" s="41" t="s">
        <v>115</v>
      </c>
      <c r="G63" s="41" t="s">
        <v>115</v>
      </c>
      <c r="H63" s="41" t="s">
        <v>115</v>
      </c>
      <c r="I63" s="42">
        <v>3450305</v>
      </c>
      <c r="J63" s="42">
        <v>2780602095</v>
      </c>
      <c r="K63" s="42">
        <f t="shared" si="0"/>
        <v>617040211</v>
      </c>
      <c r="L63" s="43">
        <f t="shared" si="1"/>
        <v>2163561884</v>
      </c>
      <c r="N63" s="29"/>
    </row>
    <row r="64" spans="1:14" x14ac:dyDescent="0.2">
      <c r="A64" s="40" t="s">
        <v>60</v>
      </c>
      <c r="B64" s="41">
        <v>31662144</v>
      </c>
      <c r="C64" s="41">
        <v>5342860</v>
      </c>
      <c r="D64" s="41">
        <v>43317130</v>
      </c>
      <c r="E64" s="41" t="s">
        <v>115</v>
      </c>
      <c r="F64" s="41" t="s">
        <v>115</v>
      </c>
      <c r="G64" s="41" t="s">
        <v>115</v>
      </c>
      <c r="H64" s="41" t="s">
        <v>115</v>
      </c>
      <c r="I64" s="42">
        <v>0</v>
      </c>
      <c r="J64" s="42">
        <v>1034127981</v>
      </c>
      <c r="K64" s="42">
        <f t="shared" si="0"/>
        <v>80322134</v>
      </c>
      <c r="L64" s="43">
        <f t="shared" si="1"/>
        <v>953805847</v>
      </c>
      <c r="N64" s="29"/>
    </row>
    <row r="65" spans="1:14" x14ac:dyDescent="0.2">
      <c r="A65" s="40" t="s">
        <v>61</v>
      </c>
      <c r="B65" s="41">
        <v>13849401</v>
      </c>
      <c r="C65" s="41">
        <v>3192299</v>
      </c>
      <c r="D65" s="41">
        <v>186089</v>
      </c>
      <c r="E65" s="41" t="s">
        <v>115</v>
      </c>
      <c r="F65" s="41" t="s">
        <v>115</v>
      </c>
      <c r="G65" s="41" t="s">
        <v>115</v>
      </c>
      <c r="H65" s="41" t="s">
        <v>115</v>
      </c>
      <c r="I65" s="42">
        <v>0</v>
      </c>
      <c r="J65" s="42">
        <v>702908697</v>
      </c>
      <c r="K65" s="42">
        <f t="shared" si="0"/>
        <v>17227789</v>
      </c>
      <c r="L65" s="43">
        <f t="shared" si="1"/>
        <v>685680908</v>
      </c>
      <c r="N65" s="29"/>
    </row>
    <row r="66" spans="1:14" x14ac:dyDescent="0.2">
      <c r="A66" s="40" t="s">
        <v>62</v>
      </c>
      <c r="B66" s="41">
        <v>11417063</v>
      </c>
      <c r="C66" s="41">
        <v>18606481</v>
      </c>
      <c r="D66" s="41">
        <v>2103232</v>
      </c>
      <c r="E66" s="41" t="s">
        <v>115</v>
      </c>
      <c r="F66" s="41" t="s">
        <v>115</v>
      </c>
      <c r="G66" s="41" t="s">
        <v>115</v>
      </c>
      <c r="H66" s="41">
        <v>14326754</v>
      </c>
      <c r="I66" s="42">
        <v>0</v>
      </c>
      <c r="J66" s="42">
        <v>776876686</v>
      </c>
      <c r="K66" s="42">
        <f t="shared" si="0"/>
        <v>46453530</v>
      </c>
      <c r="L66" s="43">
        <f t="shared" si="1"/>
        <v>730423156</v>
      </c>
      <c r="N66" s="29"/>
    </row>
    <row r="67" spans="1:14" x14ac:dyDescent="0.2">
      <c r="A67" s="40" t="s">
        <v>63</v>
      </c>
      <c r="B67" s="41">
        <v>3806154</v>
      </c>
      <c r="C67" s="41">
        <v>14734128</v>
      </c>
      <c r="D67" s="41">
        <v>1519805</v>
      </c>
      <c r="E67" s="41" t="s">
        <v>115</v>
      </c>
      <c r="F67" s="41" t="s">
        <v>115</v>
      </c>
      <c r="G67" s="41" t="s">
        <v>115</v>
      </c>
      <c r="H67" s="41" t="s">
        <v>115</v>
      </c>
      <c r="I67" s="42">
        <v>0</v>
      </c>
      <c r="J67" s="42">
        <v>88506542</v>
      </c>
      <c r="K67" s="42">
        <f t="shared" si="0"/>
        <v>20060087</v>
      </c>
      <c r="L67" s="43">
        <f t="shared" si="1"/>
        <v>68446455</v>
      </c>
      <c r="N67" s="29"/>
    </row>
    <row r="68" spans="1:14" x14ac:dyDescent="0.2">
      <c r="A68" s="40" t="s">
        <v>64</v>
      </c>
      <c r="B68" s="41">
        <v>227738292</v>
      </c>
      <c r="C68" s="41">
        <v>207885991</v>
      </c>
      <c r="D68" s="41">
        <v>214193957</v>
      </c>
      <c r="E68" s="41">
        <v>90994</v>
      </c>
      <c r="F68" s="41">
        <v>94434</v>
      </c>
      <c r="G68" s="41" t="s">
        <v>115</v>
      </c>
      <c r="H68" s="41" t="s">
        <v>115</v>
      </c>
      <c r="I68" s="42">
        <v>112594938</v>
      </c>
      <c r="J68" s="42">
        <v>4267178585</v>
      </c>
      <c r="K68" s="42">
        <f t="shared" si="0"/>
        <v>762598606</v>
      </c>
      <c r="L68" s="43">
        <f t="shared" si="1"/>
        <v>3504579979</v>
      </c>
      <c r="N68" s="29"/>
    </row>
    <row r="69" spans="1:14" x14ac:dyDescent="0.2">
      <c r="A69" s="40" t="s">
        <v>65</v>
      </c>
      <c r="B69" s="41">
        <v>6776899</v>
      </c>
      <c r="C69" s="41">
        <v>10464445</v>
      </c>
      <c r="D69" s="41">
        <v>23682</v>
      </c>
      <c r="E69" s="41" t="s">
        <v>115</v>
      </c>
      <c r="F69" s="41" t="s">
        <v>115</v>
      </c>
      <c r="G69" s="41" t="s">
        <v>115</v>
      </c>
      <c r="H69" s="41" t="s">
        <v>115</v>
      </c>
      <c r="I69" s="42">
        <v>0</v>
      </c>
      <c r="J69" s="42">
        <v>195831629</v>
      </c>
      <c r="K69" s="42">
        <f t="shared" si="0"/>
        <v>17265026</v>
      </c>
      <c r="L69" s="43">
        <f t="shared" si="1"/>
        <v>178566603</v>
      </c>
      <c r="N69" s="29"/>
    </row>
    <row r="70" spans="1:14" x14ac:dyDescent="0.2">
      <c r="A70" s="40" t="s">
        <v>66</v>
      </c>
      <c r="B70" s="41">
        <v>57085666</v>
      </c>
      <c r="C70" s="41">
        <v>26157580</v>
      </c>
      <c r="D70" s="41">
        <v>52947893</v>
      </c>
      <c r="E70" s="41" t="s">
        <v>115</v>
      </c>
      <c r="F70" s="41" t="s">
        <v>115</v>
      </c>
      <c r="G70" s="41" t="s">
        <v>115</v>
      </c>
      <c r="H70" s="41">
        <v>368695</v>
      </c>
      <c r="I70" s="42">
        <v>0</v>
      </c>
      <c r="J70" s="42">
        <v>693919502</v>
      </c>
      <c r="K70" s="42">
        <f>SUM(B70:I70)</f>
        <v>136559834</v>
      </c>
      <c r="L70" s="43">
        <f>J70-K70</f>
        <v>557359668</v>
      </c>
      <c r="N70" s="29"/>
    </row>
    <row r="71" spans="1:14" x14ac:dyDescent="0.2">
      <c r="A71" s="40" t="s">
        <v>67</v>
      </c>
      <c r="B71" s="41">
        <v>9211446</v>
      </c>
      <c r="C71" s="41" t="s">
        <v>115</v>
      </c>
      <c r="D71" s="41">
        <v>26126</v>
      </c>
      <c r="E71" s="41" t="s">
        <v>115</v>
      </c>
      <c r="F71" s="41" t="s">
        <v>115</v>
      </c>
      <c r="G71" s="41" t="s">
        <v>115</v>
      </c>
      <c r="H71" s="41" t="s">
        <v>115</v>
      </c>
      <c r="I71" s="42">
        <v>0</v>
      </c>
      <c r="J71" s="42">
        <v>263038611</v>
      </c>
      <c r="K71" s="42">
        <f>SUM(B71:I71)</f>
        <v>9237572</v>
      </c>
      <c r="L71" s="43">
        <f>J71-K71</f>
        <v>253801039</v>
      </c>
      <c r="N71" s="29"/>
    </row>
    <row r="72" spans="1:14" x14ac:dyDescent="0.2">
      <c r="A72" s="40"/>
      <c r="B72" s="41"/>
      <c r="C72" s="41"/>
      <c r="D72" s="41"/>
      <c r="E72" s="41"/>
      <c r="F72" s="41"/>
      <c r="G72" s="41"/>
      <c r="H72" s="41"/>
      <c r="I72" s="42"/>
      <c r="J72" s="42"/>
      <c r="K72" s="42"/>
      <c r="L72" s="43"/>
      <c r="N72" s="29"/>
    </row>
    <row r="73" spans="1:14" ht="15.75" thickBot="1" x14ac:dyDescent="0.3">
      <c r="A73" s="45" t="s">
        <v>68</v>
      </c>
      <c r="B73" s="46">
        <f>SUM(B5:B71)</f>
        <v>7717068200</v>
      </c>
      <c r="C73" s="46">
        <f t="shared" ref="C73:J73" si="2">SUM(C5:C71)</f>
        <v>28686071550</v>
      </c>
      <c r="D73" s="46">
        <f t="shared" si="2"/>
        <v>9446842115</v>
      </c>
      <c r="E73" s="46">
        <f>SUM(E5:E71)</f>
        <v>824786</v>
      </c>
      <c r="F73" s="46">
        <f t="shared" si="2"/>
        <v>830347</v>
      </c>
      <c r="G73" s="46">
        <f t="shared" si="2"/>
        <v>0</v>
      </c>
      <c r="H73" s="46">
        <f>SUM(H5:H71)</f>
        <v>1159043246</v>
      </c>
      <c r="I73" s="46">
        <f>SUM(I5:I71)</f>
        <v>1223563305</v>
      </c>
      <c r="J73" s="46">
        <f t="shared" si="2"/>
        <v>189981175292</v>
      </c>
      <c r="K73" s="47">
        <f>SUM(K5:K71)</f>
        <v>48234243549</v>
      </c>
      <c r="L73" s="48">
        <f>SUM(L5:L71)</f>
        <v>141746931743</v>
      </c>
      <c r="N73" s="29"/>
    </row>
    <row r="75" spans="1:14" x14ac:dyDescent="0.2">
      <c r="A75" s="38" t="s">
        <v>122</v>
      </c>
    </row>
  </sheetData>
  <phoneticPr fontId="18" type="noConversion"/>
  <conditionalFormatting sqref="A4:L73">
    <cfRule type="expression" dxfId="1" priority="1" stopIfTrue="1">
      <formula>MOD(ROW(),3)=1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5"/>
  <sheetViews>
    <sheetView zoomScaleNormal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7.7109375" style="2" customWidth="1"/>
    <col min="2" max="2" width="9.28515625" style="7" bestFit="1" customWidth="1"/>
    <col min="3" max="3" width="19.7109375" style="2" bestFit="1" customWidth="1"/>
    <col min="4" max="4" width="16.42578125" style="8" bestFit="1" customWidth="1"/>
    <col min="5" max="5" width="21.42578125" style="2" bestFit="1" customWidth="1"/>
    <col min="6" max="6" width="16.42578125" style="10" customWidth="1"/>
    <col min="7" max="7" width="21.140625" style="2" bestFit="1" customWidth="1"/>
    <col min="8" max="8" width="19.7109375" style="2" customWidth="1"/>
    <col min="9" max="9" width="16.42578125" style="10" customWidth="1"/>
    <col min="10" max="10" width="19.140625" style="2" bestFit="1" customWidth="1"/>
    <col min="11" max="11" width="16.42578125" style="10" customWidth="1"/>
    <col min="12" max="12" width="20.5703125" style="2" bestFit="1" customWidth="1"/>
    <col min="13" max="13" width="20.5703125" style="2" customWidth="1"/>
    <col min="14" max="14" width="16.42578125" style="10" customWidth="1"/>
    <col min="15" max="15" width="20.7109375" style="2" bestFit="1" customWidth="1"/>
    <col min="16" max="16" width="16.42578125" style="10" customWidth="1"/>
    <col min="17" max="17" width="20.28515625" style="2" bestFit="1" customWidth="1"/>
    <col min="18" max="18" width="14" style="2" bestFit="1" customWidth="1"/>
    <col min="19" max="16384" width="9.140625" style="2"/>
  </cols>
  <sheetData>
    <row r="1" spans="1:18" ht="23.25" x14ac:dyDescent="0.35">
      <c r="A1" s="6" t="s">
        <v>117</v>
      </c>
      <c r="E1" s="9"/>
    </row>
    <row r="2" spans="1:18" ht="15.75" thickBot="1" x14ac:dyDescent="0.3">
      <c r="A2" s="11">
        <v>2021</v>
      </c>
    </row>
    <row r="3" spans="1:18" ht="15.75" thickBot="1" x14ac:dyDescent="0.3">
      <c r="C3" s="12"/>
      <c r="D3" s="13"/>
      <c r="E3" s="14" t="s">
        <v>77</v>
      </c>
      <c r="F3" s="15"/>
      <c r="G3" s="16"/>
      <c r="H3" s="17"/>
      <c r="I3" s="18"/>
      <c r="J3" s="19" t="s">
        <v>78</v>
      </c>
      <c r="K3" s="20"/>
      <c r="L3" s="21"/>
      <c r="M3" s="22"/>
      <c r="N3" s="15"/>
      <c r="O3" s="14" t="s">
        <v>79</v>
      </c>
      <c r="P3" s="15"/>
      <c r="Q3" s="16"/>
    </row>
    <row r="4" spans="1:18" s="54" customFormat="1" ht="25.5" x14ac:dyDescent="0.25">
      <c r="A4" s="50" t="s">
        <v>1</v>
      </c>
      <c r="B4" s="59" t="s">
        <v>69</v>
      </c>
      <c r="C4" s="50" t="s">
        <v>118</v>
      </c>
      <c r="D4" s="51" t="s">
        <v>119</v>
      </c>
      <c r="E4" s="52" t="s">
        <v>113</v>
      </c>
      <c r="F4" s="51" t="s">
        <v>114</v>
      </c>
      <c r="G4" s="53" t="s">
        <v>112</v>
      </c>
      <c r="H4" s="50" t="s">
        <v>118</v>
      </c>
      <c r="I4" s="51" t="s">
        <v>119</v>
      </c>
      <c r="J4" s="52" t="s">
        <v>113</v>
      </c>
      <c r="K4" s="51" t="s">
        <v>114</v>
      </c>
      <c r="L4" s="53" t="s">
        <v>112</v>
      </c>
      <c r="M4" s="50" t="s">
        <v>118</v>
      </c>
      <c r="N4" s="51" t="s">
        <v>119</v>
      </c>
      <c r="O4" s="52" t="s">
        <v>113</v>
      </c>
      <c r="P4" s="51" t="s">
        <v>114</v>
      </c>
      <c r="Q4" s="53" t="s">
        <v>112</v>
      </c>
    </row>
    <row r="5" spans="1:18" x14ac:dyDescent="0.2">
      <c r="A5" s="23" t="s">
        <v>2</v>
      </c>
      <c r="B5" s="60" t="s">
        <v>120</v>
      </c>
      <c r="C5" s="24">
        <v>1311678783</v>
      </c>
      <c r="D5" s="25">
        <f>((C5-E5)/E5)</f>
        <v>1.4539665232693197E-2</v>
      </c>
      <c r="E5" s="26">
        <v>1292880730</v>
      </c>
      <c r="F5" s="25">
        <f>((E5-G5)/G5)</f>
        <v>1.6237638903879602E-2</v>
      </c>
      <c r="G5" s="27">
        <v>1272222835</v>
      </c>
      <c r="H5" s="24">
        <v>1136734402</v>
      </c>
      <c r="I5" s="25">
        <f t="shared" ref="I5:I36" si="0">((H5-J5)/J5)</f>
        <v>2.4802818741093108E-2</v>
      </c>
      <c r="J5" s="26">
        <v>1109222556</v>
      </c>
      <c r="K5" s="25">
        <f t="shared" ref="K5:K36" si="1">((J5-L5)/L5)</f>
        <v>3.2537481039552674E-2</v>
      </c>
      <c r="L5" s="27">
        <v>1074268563</v>
      </c>
      <c r="M5" s="24">
        <f t="shared" ref="M5:M36" si="2">C5+H5</f>
        <v>2448413185</v>
      </c>
      <c r="N5" s="25">
        <f t="shared" ref="N5:N36" si="3">((M5-O5)/O5)</f>
        <v>1.9278895820135852E-2</v>
      </c>
      <c r="O5" s="26">
        <f t="shared" ref="O5:O36" si="4">E5+J5</f>
        <v>2402103286</v>
      </c>
      <c r="P5" s="25">
        <f t="shared" ref="P5:P36" si="5">((O5-Q5)/Q5)</f>
        <v>2.3700017842554221E-2</v>
      </c>
      <c r="Q5" s="28">
        <f t="shared" ref="Q5:Q36" si="6">G5+L5</f>
        <v>2346491398</v>
      </c>
      <c r="R5" s="29"/>
    </row>
    <row r="6" spans="1:18" x14ac:dyDescent="0.2">
      <c r="A6" s="23" t="s">
        <v>3</v>
      </c>
      <c r="B6" s="60" t="s">
        <v>121</v>
      </c>
      <c r="C6" s="24">
        <v>155063389</v>
      </c>
      <c r="D6" s="25">
        <f t="shared" ref="D6:F69" si="7">((C6-E6)/E6)</f>
        <v>1.4925061210307225E-2</v>
      </c>
      <c r="E6" s="26">
        <v>152783092</v>
      </c>
      <c r="F6" s="25">
        <f t="shared" si="7"/>
        <v>1.400539562337501E-2</v>
      </c>
      <c r="G6" s="27">
        <v>150672859</v>
      </c>
      <c r="H6" s="24">
        <v>118697611</v>
      </c>
      <c r="I6" s="25">
        <f t="shared" si="0"/>
        <v>4.5710447732450185E-2</v>
      </c>
      <c r="J6" s="26">
        <v>113509061</v>
      </c>
      <c r="K6" s="25">
        <f t="shared" si="1"/>
        <v>5.0282192461071087E-2</v>
      </c>
      <c r="L6" s="27">
        <v>108074822</v>
      </c>
      <c r="M6" s="24">
        <f t="shared" si="2"/>
        <v>273761000</v>
      </c>
      <c r="N6" s="25">
        <f t="shared" si="3"/>
        <v>2.8047566989328445E-2</v>
      </c>
      <c r="O6" s="26">
        <f t="shared" si="4"/>
        <v>266292153</v>
      </c>
      <c r="P6" s="25">
        <f t="shared" si="5"/>
        <v>2.915764103022048E-2</v>
      </c>
      <c r="Q6" s="28">
        <f t="shared" si="6"/>
        <v>258747681</v>
      </c>
    </row>
    <row r="7" spans="1:18" x14ac:dyDescent="0.2">
      <c r="A7" s="23" t="s">
        <v>4</v>
      </c>
      <c r="B7" s="60" t="s">
        <v>120</v>
      </c>
      <c r="C7" s="24">
        <v>1010281908</v>
      </c>
      <c r="D7" s="25">
        <f t="shared" si="7"/>
        <v>1.6695539656465818E-2</v>
      </c>
      <c r="E7" s="26">
        <v>993691689</v>
      </c>
      <c r="F7" s="25">
        <f t="shared" si="7"/>
        <v>-1.9961719880638345E-3</v>
      </c>
      <c r="G7" s="27">
        <v>995679236</v>
      </c>
      <c r="H7" s="24">
        <v>798569920</v>
      </c>
      <c r="I7" s="25">
        <f t="shared" si="0"/>
        <v>5.0158651270813537E-2</v>
      </c>
      <c r="J7" s="26">
        <v>760427883</v>
      </c>
      <c r="K7" s="25">
        <f t="shared" si="1"/>
        <v>1.9699827335774932E-2</v>
      </c>
      <c r="L7" s="27">
        <v>745736993</v>
      </c>
      <c r="M7" s="24">
        <f t="shared" si="2"/>
        <v>1808851828</v>
      </c>
      <c r="N7" s="25">
        <f t="shared" si="3"/>
        <v>3.1202123774034259E-2</v>
      </c>
      <c r="O7" s="26">
        <f t="shared" si="4"/>
        <v>1754119572</v>
      </c>
      <c r="P7" s="25">
        <f t="shared" si="5"/>
        <v>7.2948343930932785E-3</v>
      </c>
      <c r="Q7" s="28">
        <f t="shared" si="6"/>
        <v>1741416229</v>
      </c>
    </row>
    <row r="8" spans="1:18" x14ac:dyDescent="0.2">
      <c r="A8" s="23" t="s">
        <v>5</v>
      </c>
      <c r="B8" s="60" t="s">
        <v>121</v>
      </c>
      <c r="C8" s="24">
        <v>162303684</v>
      </c>
      <c r="D8" s="25">
        <f t="shared" si="7"/>
        <v>1.4214712029642593E-2</v>
      </c>
      <c r="E8" s="26">
        <v>160028919</v>
      </c>
      <c r="F8" s="25">
        <f t="shared" si="7"/>
        <v>9.8809660163892993E-3</v>
      </c>
      <c r="G8" s="27">
        <v>158463150</v>
      </c>
      <c r="H8" s="24">
        <v>102353370</v>
      </c>
      <c r="I8" s="25">
        <f t="shared" si="0"/>
        <v>5.4408336620589047E-2</v>
      </c>
      <c r="J8" s="26">
        <v>97071852</v>
      </c>
      <c r="K8" s="25">
        <f t="shared" si="1"/>
        <v>4.8161287856505169E-2</v>
      </c>
      <c r="L8" s="27">
        <v>92611560</v>
      </c>
      <c r="M8" s="24">
        <f t="shared" si="2"/>
        <v>264657054</v>
      </c>
      <c r="N8" s="25">
        <f t="shared" si="3"/>
        <v>2.939035527046319E-2</v>
      </c>
      <c r="O8" s="26">
        <f t="shared" si="4"/>
        <v>257100771</v>
      </c>
      <c r="P8" s="25">
        <f t="shared" si="5"/>
        <v>2.4001067252054181E-2</v>
      </c>
      <c r="Q8" s="28">
        <f t="shared" si="6"/>
        <v>251074710</v>
      </c>
    </row>
    <row r="9" spans="1:18" x14ac:dyDescent="0.2">
      <c r="A9" s="23" t="s">
        <v>6</v>
      </c>
      <c r="B9" s="60" t="s">
        <v>120</v>
      </c>
      <c r="C9" s="24">
        <v>4087948100</v>
      </c>
      <c r="D9" s="25">
        <f t="shared" si="7"/>
        <v>1.6989718041220396E-2</v>
      </c>
      <c r="E9" s="26">
        <v>4019655290</v>
      </c>
      <c r="F9" s="25">
        <f t="shared" si="7"/>
        <v>1.9087965425758809E-2</v>
      </c>
      <c r="G9" s="27">
        <v>3944365380</v>
      </c>
      <c r="H9" s="24">
        <v>3505410815</v>
      </c>
      <c r="I9" s="25">
        <f t="shared" si="0"/>
        <v>3.5741002938212411E-2</v>
      </c>
      <c r="J9" s="26">
        <v>3384447275</v>
      </c>
      <c r="K9" s="25">
        <f t="shared" si="1"/>
        <v>4.340410260614435E-2</v>
      </c>
      <c r="L9" s="27">
        <v>3243659160</v>
      </c>
      <c r="M9" s="24">
        <f t="shared" si="2"/>
        <v>7593358915</v>
      </c>
      <c r="N9" s="25">
        <f t="shared" si="3"/>
        <v>2.5561011390446614E-2</v>
      </c>
      <c r="O9" s="26">
        <f t="shared" si="4"/>
        <v>7404102565</v>
      </c>
      <c r="P9" s="25">
        <f t="shared" si="5"/>
        <v>3.0060835741108918E-2</v>
      </c>
      <c r="Q9" s="28">
        <f t="shared" si="6"/>
        <v>7188024540</v>
      </c>
    </row>
    <row r="10" spans="1:18" x14ac:dyDescent="0.2">
      <c r="A10" s="23" t="s">
        <v>7</v>
      </c>
      <c r="B10" s="60" t="s">
        <v>120</v>
      </c>
      <c r="C10" s="24">
        <v>10269385070</v>
      </c>
      <c r="D10" s="25">
        <f t="shared" si="7"/>
        <v>9.7130398231808929E-3</v>
      </c>
      <c r="E10" s="26">
        <v>10170597650</v>
      </c>
      <c r="F10" s="25">
        <f t="shared" si="7"/>
        <v>1.5373282776718575E-2</v>
      </c>
      <c r="G10" s="27">
        <v>10016609480</v>
      </c>
      <c r="H10" s="24">
        <v>9083807510</v>
      </c>
      <c r="I10" s="25">
        <f t="shared" si="0"/>
        <v>2.1309977429515639E-2</v>
      </c>
      <c r="J10" s="26">
        <v>8894270800</v>
      </c>
      <c r="K10" s="25">
        <f t="shared" si="1"/>
        <v>2.9596274612266733E-2</v>
      </c>
      <c r="L10" s="27">
        <v>8638600410</v>
      </c>
      <c r="M10" s="24">
        <f t="shared" si="2"/>
        <v>19353192580</v>
      </c>
      <c r="N10" s="25">
        <f t="shared" si="3"/>
        <v>1.5123321241694694E-2</v>
      </c>
      <c r="O10" s="26">
        <f t="shared" si="4"/>
        <v>19064868450</v>
      </c>
      <c r="P10" s="25">
        <f t="shared" si="5"/>
        <v>2.1959472041083533E-2</v>
      </c>
      <c r="Q10" s="28">
        <f t="shared" si="6"/>
        <v>18655209890</v>
      </c>
    </row>
    <row r="11" spans="1:18" x14ac:dyDescent="0.2">
      <c r="A11" s="23" t="s">
        <v>8</v>
      </c>
      <c r="B11" s="60" t="s">
        <v>121</v>
      </c>
      <c r="C11" s="24">
        <v>79023523</v>
      </c>
      <c r="D11" s="25">
        <f t="shared" si="7"/>
        <v>9.9907945654386255E-3</v>
      </c>
      <c r="E11" s="26">
        <v>78241825</v>
      </c>
      <c r="F11" s="25">
        <f t="shared" si="7"/>
        <v>4.9148488747483132E-3</v>
      </c>
      <c r="G11" s="27">
        <v>77859159</v>
      </c>
      <c r="H11" s="24">
        <v>36464601</v>
      </c>
      <c r="I11" s="25">
        <f t="shared" si="0"/>
        <v>5.6968485559330713E-2</v>
      </c>
      <c r="J11" s="26">
        <v>34499232</v>
      </c>
      <c r="K11" s="25">
        <f t="shared" si="1"/>
        <v>0.11109832872276307</v>
      </c>
      <c r="L11" s="27">
        <v>31049666</v>
      </c>
      <c r="M11" s="24">
        <f t="shared" si="2"/>
        <v>115488124</v>
      </c>
      <c r="N11" s="25">
        <f t="shared" si="3"/>
        <v>2.4366163251423125E-2</v>
      </c>
      <c r="O11" s="26">
        <f t="shared" si="4"/>
        <v>112741057</v>
      </c>
      <c r="P11" s="25">
        <f t="shared" si="5"/>
        <v>3.5187524977888615E-2</v>
      </c>
      <c r="Q11" s="28">
        <f t="shared" si="6"/>
        <v>108908825</v>
      </c>
    </row>
    <row r="12" spans="1:18" x14ac:dyDescent="0.2">
      <c r="A12" s="23" t="s">
        <v>9</v>
      </c>
      <c r="B12" s="60" t="s">
        <v>120</v>
      </c>
      <c r="C12" s="24">
        <v>1482256136</v>
      </c>
      <c r="D12" s="25">
        <f t="shared" si="7"/>
        <v>3.7927168738143183E-2</v>
      </c>
      <c r="E12" s="26">
        <v>1428092626</v>
      </c>
      <c r="F12" s="25">
        <f t="shared" si="7"/>
        <v>3.8104753078273081E-2</v>
      </c>
      <c r="G12" s="27">
        <v>1375672948</v>
      </c>
      <c r="H12" s="24">
        <v>1292277461</v>
      </c>
      <c r="I12" s="25">
        <f t="shared" si="0"/>
        <v>5.7064612477468683E-2</v>
      </c>
      <c r="J12" s="26">
        <v>1222515110</v>
      </c>
      <c r="K12" s="25">
        <f t="shared" si="1"/>
        <v>6.1025602183604491E-2</v>
      </c>
      <c r="L12" s="27">
        <v>1152201330</v>
      </c>
      <c r="M12" s="24">
        <f t="shared" si="2"/>
        <v>2774533597</v>
      </c>
      <c r="N12" s="25">
        <f t="shared" si="3"/>
        <v>4.6753753607848066E-2</v>
      </c>
      <c r="O12" s="26">
        <f t="shared" si="4"/>
        <v>2650607736</v>
      </c>
      <c r="P12" s="25">
        <f t="shared" si="5"/>
        <v>4.8552041954042148E-2</v>
      </c>
      <c r="Q12" s="28">
        <f t="shared" si="6"/>
        <v>2527874278</v>
      </c>
    </row>
    <row r="13" spans="1:18" x14ac:dyDescent="0.2">
      <c r="A13" s="23" t="s">
        <v>10</v>
      </c>
      <c r="B13" s="60" t="s">
        <v>120</v>
      </c>
      <c r="C13" s="24">
        <v>1207975265</v>
      </c>
      <c r="D13" s="25">
        <f t="shared" si="7"/>
        <v>2.0488831238687416E-2</v>
      </c>
      <c r="E13" s="26">
        <v>1183722181</v>
      </c>
      <c r="F13" s="25">
        <f t="shared" si="7"/>
        <v>2.6052723217936384E-2</v>
      </c>
      <c r="G13" s="27">
        <v>1153666039</v>
      </c>
      <c r="H13" s="24">
        <v>895834284</v>
      </c>
      <c r="I13" s="25">
        <f t="shared" si="0"/>
        <v>5.4446300281041915E-2</v>
      </c>
      <c r="J13" s="26">
        <v>849577910</v>
      </c>
      <c r="K13" s="25">
        <f t="shared" si="1"/>
        <v>6.838032838189681E-2</v>
      </c>
      <c r="L13" s="27">
        <v>795201753</v>
      </c>
      <c r="M13" s="24">
        <f t="shared" si="2"/>
        <v>2103809549</v>
      </c>
      <c r="N13" s="25">
        <f t="shared" si="3"/>
        <v>3.4677349552137506E-2</v>
      </c>
      <c r="O13" s="26">
        <f t="shared" si="4"/>
        <v>2033300091</v>
      </c>
      <c r="P13" s="25">
        <f t="shared" si="5"/>
        <v>4.3323769496622686E-2</v>
      </c>
      <c r="Q13" s="28">
        <f t="shared" si="6"/>
        <v>1948867792</v>
      </c>
    </row>
    <row r="14" spans="1:18" x14ac:dyDescent="0.2">
      <c r="A14" s="23" t="s">
        <v>11</v>
      </c>
      <c r="B14" s="60" t="s">
        <v>120</v>
      </c>
      <c r="C14" s="24">
        <v>1316164072</v>
      </c>
      <c r="D14" s="25">
        <f t="shared" si="7"/>
        <v>1.433020355782293E-2</v>
      </c>
      <c r="E14" s="26">
        <v>1297569635</v>
      </c>
      <c r="F14" s="25">
        <f t="shared" si="7"/>
        <v>-1.3117938616032599E-2</v>
      </c>
      <c r="G14" s="27">
        <v>1314817328</v>
      </c>
      <c r="H14" s="24">
        <v>1189837997</v>
      </c>
      <c r="I14" s="25">
        <f t="shared" si="0"/>
        <v>2.3274733633378553E-2</v>
      </c>
      <c r="J14" s="26">
        <v>1162774725</v>
      </c>
      <c r="K14" s="25">
        <f t="shared" si="1"/>
        <v>2.0854410660699336E-2</v>
      </c>
      <c r="L14" s="27">
        <v>1139021111</v>
      </c>
      <c r="M14" s="24">
        <f t="shared" si="2"/>
        <v>2506002069</v>
      </c>
      <c r="N14" s="25">
        <f t="shared" si="3"/>
        <v>1.8557446568170644E-2</v>
      </c>
      <c r="O14" s="26">
        <f t="shared" si="4"/>
        <v>2460344360</v>
      </c>
      <c r="P14" s="25">
        <f t="shared" si="5"/>
        <v>2.6513241037381926E-3</v>
      </c>
      <c r="Q14" s="28">
        <f t="shared" si="6"/>
        <v>2453838439</v>
      </c>
    </row>
    <row r="15" spans="1:18" x14ac:dyDescent="0.2">
      <c r="A15" s="23" t="s">
        <v>12</v>
      </c>
      <c r="B15" s="60" t="s">
        <v>120</v>
      </c>
      <c r="C15" s="24">
        <v>2503670869</v>
      </c>
      <c r="D15" s="25">
        <f t="shared" si="7"/>
        <v>2.8960063475454788E-2</v>
      </c>
      <c r="E15" s="26">
        <v>2433205095</v>
      </c>
      <c r="F15" s="25">
        <f t="shared" si="7"/>
        <v>3.3666355180099444E-2</v>
      </c>
      <c r="G15" s="27">
        <v>2353955977</v>
      </c>
      <c r="H15" s="24">
        <v>2363885539</v>
      </c>
      <c r="I15" s="25">
        <f t="shared" si="0"/>
        <v>3.3391585167663579E-2</v>
      </c>
      <c r="J15" s="26">
        <v>2287502214</v>
      </c>
      <c r="K15" s="25">
        <f t="shared" si="1"/>
        <v>3.8761920033522836E-2</v>
      </c>
      <c r="L15" s="27">
        <v>2202142926</v>
      </c>
      <c r="M15" s="24">
        <f t="shared" si="2"/>
        <v>4867556408</v>
      </c>
      <c r="N15" s="25">
        <f t="shared" si="3"/>
        <v>3.1107435684485898E-2</v>
      </c>
      <c r="O15" s="26">
        <f t="shared" si="4"/>
        <v>4720707309</v>
      </c>
      <c r="P15" s="25">
        <f t="shared" si="5"/>
        <v>3.6129243351502374E-2</v>
      </c>
      <c r="Q15" s="28">
        <f t="shared" si="6"/>
        <v>4556098903</v>
      </c>
    </row>
    <row r="16" spans="1:18" x14ac:dyDescent="0.2">
      <c r="A16" s="23" t="s">
        <v>13</v>
      </c>
      <c r="B16" s="60" t="s">
        <v>121</v>
      </c>
      <c r="C16" s="24">
        <v>396351214</v>
      </c>
      <c r="D16" s="25">
        <f t="shared" si="7"/>
        <v>6.1769172958489856E-3</v>
      </c>
      <c r="E16" s="26">
        <v>393918015</v>
      </c>
      <c r="F16" s="25">
        <f t="shared" si="7"/>
        <v>1.193666904040893E-2</v>
      </c>
      <c r="G16" s="27">
        <v>389271411</v>
      </c>
      <c r="H16" s="24">
        <v>267598414</v>
      </c>
      <c r="I16" s="25">
        <f t="shared" si="0"/>
        <v>3.4198919416497185E-2</v>
      </c>
      <c r="J16" s="26">
        <v>258749462</v>
      </c>
      <c r="K16" s="25">
        <f t="shared" si="1"/>
        <v>4.3667443162236884E-2</v>
      </c>
      <c r="L16" s="27">
        <v>247923286</v>
      </c>
      <c r="M16" s="24">
        <f t="shared" si="2"/>
        <v>663949628</v>
      </c>
      <c r="N16" s="25">
        <f t="shared" si="3"/>
        <v>1.7286216025132198E-2</v>
      </c>
      <c r="O16" s="26">
        <f t="shared" si="4"/>
        <v>652667477</v>
      </c>
      <c r="P16" s="25">
        <f t="shared" si="5"/>
        <v>2.4282656577099541E-2</v>
      </c>
      <c r="Q16" s="28">
        <f t="shared" si="6"/>
        <v>637194697</v>
      </c>
    </row>
    <row r="17" spans="1:17" x14ac:dyDescent="0.2">
      <c r="A17" s="23" t="s">
        <v>106</v>
      </c>
      <c r="B17" s="60" t="s">
        <v>120</v>
      </c>
      <c r="C17" s="24">
        <v>10963346965</v>
      </c>
      <c r="D17" s="25">
        <f t="shared" si="7"/>
        <v>8.4861152237863738E-3</v>
      </c>
      <c r="E17" s="26">
        <v>10871093612</v>
      </c>
      <c r="F17" s="25">
        <f t="shared" si="7"/>
        <v>1.104330520702909E-2</v>
      </c>
      <c r="G17" s="27">
        <v>10752352106</v>
      </c>
      <c r="H17" s="24">
        <v>10055932448</v>
      </c>
      <c r="I17" s="25">
        <f t="shared" si="0"/>
        <v>1.1318532806958024E-2</v>
      </c>
      <c r="J17" s="26">
        <v>9943387886</v>
      </c>
      <c r="K17" s="25">
        <f t="shared" si="1"/>
        <v>2.2745954937466211E-2</v>
      </c>
      <c r="L17" s="27">
        <v>9722246114</v>
      </c>
      <c r="M17" s="24">
        <f t="shared" si="2"/>
        <v>21019279413</v>
      </c>
      <c r="N17" s="25">
        <f t="shared" si="3"/>
        <v>9.8392032979384286E-3</v>
      </c>
      <c r="O17" s="26">
        <f t="shared" si="4"/>
        <v>20814481498</v>
      </c>
      <c r="P17" s="25">
        <f t="shared" si="5"/>
        <v>1.6600241643227712E-2</v>
      </c>
      <c r="Q17" s="28">
        <f t="shared" si="6"/>
        <v>20474598220</v>
      </c>
    </row>
    <row r="18" spans="1:17" x14ac:dyDescent="0.2">
      <c r="A18" s="23" t="s">
        <v>14</v>
      </c>
      <c r="B18" s="60" t="s">
        <v>120</v>
      </c>
      <c r="C18" s="24">
        <v>150951727</v>
      </c>
      <c r="D18" s="25">
        <f t="shared" si="7"/>
        <v>1.699169201065857E-2</v>
      </c>
      <c r="E18" s="26">
        <v>148429656</v>
      </c>
      <c r="F18" s="25">
        <f t="shared" si="7"/>
        <v>9.9633802202020571E-3</v>
      </c>
      <c r="G18" s="27">
        <v>146965384</v>
      </c>
      <c r="H18" s="24">
        <v>101570479</v>
      </c>
      <c r="I18" s="25">
        <f t="shared" si="0"/>
        <v>5.3276445819650846E-2</v>
      </c>
      <c r="J18" s="26">
        <v>96432878</v>
      </c>
      <c r="K18" s="25">
        <f t="shared" si="1"/>
        <v>6.3157275604906915E-2</v>
      </c>
      <c r="L18" s="27">
        <v>90704245</v>
      </c>
      <c r="M18" s="24">
        <f t="shared" si="2"/>
        <v>252522206</v>
      </c>
      <c r="N18" s="25">
        <f t="shared" si="3"/>
        <v>3.1281518960348587E-2</v>
      </c>
      <c r="O18" s="26">
        <f t="shared" si="4"/>
        <v>244862534</v>
      </c>
      <c r="P18" s="25">
        <f t="shared" si="5"/>
        <v>3.0264300197986174E-2</v>
      </c>
      <c r="Q18" s="28">
        <f t="shared" si="6"/>
        <v>237669629</v>
      </c>
    </row>
    <row r="19" spans="1:17" x14ac:dyDescent="0.2">
      <c r="A19" s="23" t="s">
        <v>15</v>
      </c>
      <c r="B19" s="60" t="s">
        <v>121</v>
      </c>
      <c r="C19" s="24">
        <v>106478319</v>
      </c>
      <c r="D19" s="25">
        <f t="shared" si="7"/>
        <v>1.7119728793848422E-2</v>
      </c>
      <c r="E19" s="26">
        <v>104686121</v>
      </c>
      <c r="F19" s="25">
        <f t="shared" si="7"/>
        <v>9.8805934479447369E-4</v>
      </c>
      <c r="G19" s="27">
        <v>104582787</v>
      </c>
      <c r="H19" s="24">
        <v>32720081</v>
      </c>
      <c r="I19" s="25">
        <f t="shared" si="0"/>
        <v>0.11392268844166789</v>
      </c>
      <c r="J19" s="26">
        <v>29373745</v>
      </c>
      <c r="K19" s="25">
        <f t="shared" si="1"/>
        <v>8.9861521009309428E-2</v>
      </c>
      <c r="L19" s="27">
        <v>26951814</v>
      </c>
      <c r="M19" s="24">
        <f t="shared" si="2"/>
        <v>139198400</v>
      </c>
      <c r="N19" s="25">
        <f t="shared" si="3"/>
        <v>3.8330144235710337E-2</v>
      </c>
      <c r="O19" s="26">
        <f t="shared" si="4"/>
        <v>134059866</v>
      </c>
      <c r="P19" s="25">
        <f t="shared" si="5"/>
        <v>1.919848451131121E-2</v>
      </c>
      <c r="Q19" s="28">
        <f t="shared" si="6"/>
        <v>131534601</v>
      </c>
    </row>
    <row r="20" spans="1:17" x14ac:dyDescent="0.2">
      <c r="A20" s="23" t="s">
        <v>16</v>
      </c>
      <c r="B20" s="60" t="s">
        <v>120</v>
      </c>
      <c r="C20" s="24">
        <v>5044217773</v>
      </c>
      <c r="D20" s="25">
        <f t="shared" si="7"/>
        <v>1.8461984540805429E-2</v>
      </c>
      <c r="E20" s="26">
        <v>4952779632</v>
      </c>
      <c r="F20" s="25">
        <f t="shared" si="7"/>
        <v>1.7240903267276755E-2</v>
      </c>
      <c r="G20" s="27">
        <v>4868836493</v>
      </c>
      <c r="H20" s="24">
        <v>4368933014</v>
      </c>
      <c r="I20" s="25">
        <f t="shared" si="0"/>
        <v>3.499889145986624E-2</v>
      </c>
      <c r="J20" s="26">
        <v>4221195839</v>
      </c>
      <c r="K20" s="25">
        <f t="shared" si="1"/>
        <v>3.7650313454908879E-2</v>
      </c>
      <c r="L20" s="27">
        <v>4068033117</v>
      </c>
      <c r="M20" s="24">
        <f t="shared" si="2"/>
        <v>9413150787</v>
      </c>
      <c r="N20" s="25">
        <f t="shared" si="3"/>
        <v>2.6071065565420454E-2</v>
      </c>
      <c r="O20" s="26">
        <f t="shared" si="4"/>
        <v>9173975471</v>
      </c>
      <c r="P20" s="25">
        <f t="shared" si="5"/>
        <v>2.6531198433810427E-2</v>
      </c>
      <c r="Q20" s="28">
        <f t="shared" si="6"/>
        <v>8936869610</v>
      </c>
    </row>
    <row r="21" spans="1:17" x14ac:dyDescent="0.2">
      <c r="A21" s="23" t="s">
        <v>17</v>
      </c>
      <c r="B21" s="60" t="s">
        <v>120</v>
      </c>
      <c r="C21" s="24">
        <v>1793724951</v>
      </c>
      <c r="D21" s="25">
        <f t="shared" si="7"/>
        <v>1.150995017158812E-2</v>
      </c>
      <c r="E21" s="26">
        <v>1773314193</v>
      </c>
      <c r="F21" s="25">
        <f t="shared" si="7"/>
        <v>1.3843202038836598E-2</v>
      </c>
      <c r="G21" s="27">
        <v>1749101034</v>
      </c>
      <c r="H21" s="24">
        <v>1457757582</v>
      </c>
      <c r="I21" s="25">
        <f t="shared" si="0"/>
        <v>3.04372211348049E-2</v>
      </c>
      <c r="J21" s="26">
        <v>1414698103</v>
      </c>
      <c r="K21" s="25">
        <f t="shared" si="1"/>
        <v>4.024696568167422E-2</v>
      </c>
      <c r="L21" s="27">
        <v>1359963691</v>
      </c>
      <c r="M21" s="24">
        <f t="shared" si="2"/>
        <v>3251482533</v>
      </c>
      <c r="N21" s="25">
        <f t="shared" si="3"/>
        <v>1.990903142990889E-2</v>
      </c>
      <c r="O21" s="26">
        <f t="shared" si="4"/>
        <v>3188012296</v>
      </c>
      <c r="P21" s="25">
        <f t="shared" si="5"/>
        <v>2.5392707448379029E-2</v>
      </c>
      <c r="Q21" s="28">
        <f t="shared" si="6"/>
        <v>3109064725</v>
      </c>
    </row>
    <row r="22" spans="1:17" x14ac:dyDescent="0.2">
      <c r="A22" s="23" t="s">
        <v>18</v>
      </c>
      <c r="B22" s="60" t="s">
        <v>120</v>
      </c>
      <c r="C22" s="24">
        <v>894701687</v>
      </c>
      <c r="D22" s="25">
        <f t="shared" si="7"/>
        <v>4.3506491084490728E-2</v>
      </c>
      <c r="E22" s="26">
        <v>857399254</v>
      </c>
      <c r="F22" s="25">
        <f t="shared" si="7"/>
        <v>5.991191689166811E-2</v>
      </c>
      <c r="G22" s="27">
        <v>808934441</v>
      </c>
      <c r="H22" s="24">
        <v>865938458</v>
      </c>
      <c r="I22" s="25">
        <f t="shared" si="0"/>
        <v>8.0503582197556642E-2</v>
      </c>
      <c r="J22" s="26">
        <v>801421182</v>
      </c>
      <c r="K22" s="25">
        <f t="shared" si="1"/>
        <v>4.6705230574702376E-2</v>
      </c>
      <c r="L22" s="27">
        <v>765660817</v>
      </c>
      <c r="M22" s="24">
        <f t="shared" si="2"/>
        <v>1760640145</v>
      </c>
      <c r="N22" s="25">
        <f t="shared" si="3"/>
        <v>6.1380790102588297E-2</v>
      </c>
      <c r="O22" s="26">
        <f t="shared" si="4"/>
        <v>1658820436</v>
      </c>
      <c r="P22" s="25">
        <f t="shared" si="5"/>
        <v>5.3490049313993294E-2</v>
      </c>
      <c r="Q22" s="28">
        <f t="shared" si="6"/>
        <v>1574595258</v>
      </c>
    </row>
    <row r="23" spans="1:17" x14ac:dyDescent="0.2">
      <c r="A23" s="23" t="s">
        <v>19</v>
      </c>
      <c r="B23" s="60" t="s">
        <v>121</v>
      </c>
      <c r="C23" s="24">
        <v>77688517</v>
      </c>
      <c r="D23" s="25">
        <f t="shared" si="7"/>
        <v>2.2620670031367699E-3</v>
      </c>
      <c r="E23" s="26">
        <v>77513177</v>
      </c>
      <c r="F23" s="25">
        <f t="shared" si="7"/>
        <v>1.120366697438125E-2</v>
      </c>
      <c r="G23" s="27">
        <v>76654367</v>
      </c>
      <c r="H23" s="24">
        <v>51418212</v>
      </c>
      <c r="I23" s="25">
        <f t="shared" si="0"/>
        <v>2.1174984299037601E-2</v>
      </c>
      <c r="J23" s="26">
        <v>50352009</v>
      </c>
      <c r="K23" s="25">
        <f t="shared" si="1"/>
        <v>3.3401402385709496E-2</v>
      </c>
      <c r="L23" s="27">
        <v>48724541</v>
      </c>
      <c r="M23" s="24">
        <f t="shared" si="2"/>
        <v>129106729</v>
      </c>
      <c r="N23" s="25">
        <f t="shared" si="3"/>
        <v>9.7097813630052515E-3</v>
      </c>
      <c r="O23" s="26">
        <f t="shared" si="4"/>
        <v>127865186</v>
      </c>
      <c r="P23" s="25">
        <f t="shared" si="5"/>
        <v>1.9830113690254822E-2</v>
      </c>
      <c r="Q23" s="28">
        <f t="shared" si="6"/>
        <v>125378908</v>
      </c>
    </row>
    <row r="24" spans="1:17" x14ac:dyDescent="0.2">
      <c r="A24" s="23" t="s">
        <v>20</v>
      </c>
      <c r="B24" s="60" t="s">
        <v>121</v>
      </c>
      <c r="C24" s="24">
        <v>244143811</v>
      </c>
      <c r="D24" s="25">
        <f t="shared" si="7"/>
        <v>-2.0021455150131942E-2</v>
      </c>
      <c r="E24" s="26">
        <v>249131792</v>
      </c>
      <c r="F24" s="25">
        <f t="shared" si="7"/>
        <v>3.63704523579947E-3</v>
      </c>
      <c r="G24" s="27">
        <v>248228972</v>
      </c>
      <c r="H24" s="24">
        <v>139129739</v>
      </c>
      <c r="I24" s="25">
        <f t="shared" si="0"/>
        <v>1.605879816881221E-2</v>
      </c>
      <c r="J24" s="26">
        <v>136930795</v>
      </c>
      <c r="K24" s="25">
        <f t="shared" si="1"/>
        <v>1.924007871974245E-2</v>
      </c>
      <c r="L24" s="27">
        <v>134345968</v>
      </c>
      <c r="M24" s="24">
        <f t="shared" si="2"/>
        <v>383273550</v>
      </c>
      <c r="N24" s="25">
        <f t="shared" si="3"/>
        <v>-7.224313087867279E-3</v>
      </c>
      <c r="O24" s="26">
        <f t="shared" si="4"/>
        <v>386062587</v>
      </c>
      <c r="P24" s="25">
        <f t="shared" si="5"/>
        <v>9.1162453034691719E-3</v>
      </c>
      <c r="Q24" s="28">
        <f t="shared" si="6"/>
        <v>382574940</v>
      </c>
    </row>
    <row r="25" spans="1:17" x14ac:dyDescent="0.2">
      <c r="A25" s="23" t="s">
        <v>21</v>
      </c>
      <c r="B25" s="60" t="s">
        <v>121</v>
      </c>
      <c r="C25" s="24">
        <v>124136023</v>
      </c>
      <c r="D25" s="25">
        <f t="shared" si="7"/>
        <v>1.9447198338525408E-2</v>
      </c>
      <c r="E25" s="26">
        <v>121767977</v>
      </c>
      <c r="F25" s="25">
        <f t="shared" si="7"/>
        <v>1.2848239533297197E-2</v>
      </c>
      <c r="G25" s="27">
        <v>120223319</v>
      </c>
      <c r="H25" s="24">
        <v>73828295</v>
      </c>
      <c r="I25" s="25">
        <f t="shared" si="0"/>
        <v>5.4780489010556481E-2</v>
      </c>
      <c r="J25" s="26">
        <v>69993990</v>
      </c>
      <c r="K25" s="25">
        <f t="shared" si="1"/>
        <v>6.1954559856989166E-2</v>
      </c>
      <c r="L25" s="27">
        <v>65910532</v>
      </c>
      <c r="M25" s="24">
        <f t="shared" si="2"/>
        <v>197964318</v>
      </c>
      <c r="N25" s="25">
        <f t="shared" si="3"/>
        <v>3.234401011332972E-2</v>
      </c>
      <c r="O25" s="26">
        <f t="shared" si="4"/>
        <v>191761967</v>
      </c>
      <c r="P25" s="25">
        <f t="shared" si="5"/>
        <v>3.0236928800232044E-2</v>
      </c>
      <c r="Q25" s="28">
        <f t="shared" si="6"/>
        <v>186133851</v>
      </c>
    </row>
    <row r="26" spans="1:17" x14ac:dyDescent="0.2">
      <c r="A26" s="23" t="s">
        <v>22</v>
      </c>
      <c r="B26" s="60" t="s">
        <v>120</v>
      </c>
      <c r="C26" s="24">
        <v>61917060</v>
      </c>
      <c r="D26" s="25">
        <f t="shared" si="7"/>
        <v>1.6938329271326952E-2</v>
      </c>
      <c r="E26" s="26">
        <v>60885757</v>
      </c>
      <c r="F26" s="25">
        <f t="shared" si="7"/>
        <v>2.8852894233581464E-2</v>
      </c>
      <c r="G26" s="27">
        <v>59178292</v>
      </c>
      <c r="H26" s="24">
        <v>37826437</v>
      </c>
      <c r="I26" s="25">
        <f t="shared" si="0"/>
        <v>5.9261682470418596E-2</v>
      </c>
      <c r="J26" s="26">
        <v>35710191</v>
      </c>
      <c r="K26" s="25">
        <f t="shared" si="1"/>
        <v>8.6887236737139967E-2</v>
      </c>
      <c r="L26" s="27">
        <v>32855470</v>
      </c>
      <c r="M26" s="24">
        <f t="shared" si="2"/>
        <v>99743497</v>
      </c>
      <c r="N26" s="25">
        <f t="shared" si="3"/>
        <v>3.2584689784296128E-2</v>
      </c>
      <c r="O26" s="26">
        <f t="shared" si="4"/>
        <v>96595948</v>
      </c>
      <c r="P26" s="25">
        <f t="shared" si="5"/>
        <v>4.9570786859717851E-2</v>
      </c>
      <c r="Q26" s="28">
        <f t="shared" si="6"/>
        <v>92033762</v>
      </c>
    </row>
    <row r="27" spans="1:17" x14ac:dyDescent="0.2">
      <c r="A27" s="23" t="s">
        <v>23</v>
      </c>
      <c r="B27" s="60" t="s">
        <v>121</v>
      </c>
      <c r="C27" s="24">
        <v>91064685</v>
      </c>
      <c r="D27" s="25">
        <f t="shared" si="7"/>
        <v>1.8471569345806602E-2</v>
      </c>
      <c r="E27" s="26">
        <v>89413085</v>
      </c>
      <c r="F27" s="25">
        <f t="shared" si="7"/>
        <v>-7.5229958455930888E-3</v>
      </c>
      <c r="G27" s="27">
        <v>90090838</v>
      </c>
      <c r="H27" s="24">
        <v>56311215</v>
      </c>
      <c r="I27" s="25">
        <f t="shared" si="0"/>
        <v>6.6968254750824241E-2</v>
      </c>
      <c r="J27" s="26">
        <v>52776842</v>
      </c>
      <c r="K27" s="25">
        <f t="shared" si="1"/>
        <v>-1.150391353996273E-2</v>
      </c>
      <c r="L27" s="27">
        <v>53391048</v>
      </c>
      <c r="M27" s="24">
        <f t="shared" si="2"/>
        <v>147375900</v>
      </c>
      <c r="N27" s="25">
        <f t="shared" si="3"/>
        <v>3.6472154599249497E-2</v>
      </c>
      <c r="O27" s="26">
        <f t="shared" si="4"/>
        <v>142189927</v>
      </c>
      <c r="P27" s="25">
        <f t="shared" si="5"/>
        <v>-9.0043352231932612E-3</v>
      </c>
      <c r="Q27" s="28">
        <f t="shared" si="6"/>
        <v>143481886</v>
      </c>
    </row>
    <row r="28" spans="1:17" x14ac:dyDescent="0.2">
      <c r="A28" s="23" t="s">
        <v>24</v>
      </c>
      <c r="B28" s="60" t="s">
        <v>121</v>
      </c>
      <c r="C28" s="24">
        <v>66266139</v>
      </c>
      <c r="D28" s="25">
        <f t="shared" si="7"/>
        <v>1.5279241807121556E-2</v>
      </c>
      <c r="E28" s="26">
        <v>65268880</v>
      </c>
      <c r="F28" s="25">
        <f t="shared" si="7"/>
        <v>1.5495257927619134E-2</v>
      </c>
      <c r="G28" s="27">
        <v>64272954</v>
      </c>
      <c r="H28" s="24">
        <v>30805544</v>
      </c>
      <c r="I28" s="25">
        <f t="shared" si="0"/>
        <v>6.4317757761686523E-2</v>
      </c>
      <c r="J28" s="26">
        <v>28943935</v>
      </c>
      <c r="K28" s="25">
        <f t="shared" si="1"/>
        <v>6.2847811337920709E-2</v>
      </c>
      <c r="L28" s="27">
        <v>27232436</v>
      </c>
      <c r="M28" s="24">
        <f t="shared" si="2"/>
        <v>97071683</v>
      </c>
      <c r="N28" s="25">
        <f t="shared" si="3"/>
        <v>3.0344789082037301E-2</v>
      </c>
      <c r="O28" s="26">
        <f t="shared" si="4"/>
        <v>94212815</v>
      </c>
      <c r="P28" s="25">
        <f t="shared" si="5"/>
        <v>2.9587601342390871E-2</v>
      </c>
      <c r="Q28" s="28">
        <f t="shared" si="6"/>
        <v>91505390</v>
      </c>
    </row>
    <row r="29" spans="1:17" x14ac:dyDescent="0.2">
      <c r="A29" s="23" t="s">
        <v>25</v>
      </c>
      <c r="B29" s="60" t="s">
        <v>120</v>
      </c>
      <c r="C29" s="24">
        <v>109262903</v>
      </c>
      <c r="D29" s="25">
        <f t="shared" si="7"/>
        <v>2.7729984066281479E-3</v>
      </c>
      <c r="E29" s="26">
        <v>108960755</v>
      </c>
      <c r="F29" s="25">
        <f t="shared" si="7"/>
        <v>-6.1047966203126979E-3</v>
      </c>
      <c r="G29" s="27">
        <v>109630024</v>
      </c>
      <c r="H29" s="24">
        <v>63167930</v>
      </c>
      <c r="I29" s="25">
        <f t="shared" si="0"/>
        <v>4.6330280031474755E-2</v>
      </c>
      <c r="J29" s="26">
        <v>60370928</v>
      </c>
      <c r="K29" s="25">
        <f t="shared" si="1"/>
        <v>3.9764642376321532E-2</v>
      </c>
      <c r="L29" s="27">
        <v>58062109</v>
      </c>
      <c r="M29" s="24">
        <f t="shared" si="2"/>
        <v>172430833</v>
      </c>
      <c r="N29" s="25">
        <f t="shared" si="3"/>
        <v>1.8302245303969487E-2</v>
      </c>
      <c r="O29" s="26">
        <f t="shared" si="4"/>
        <v>169331683</v>
      </c>
      <c r="P29" s="25">
        <f t="shared" si="5"/>
        <v>9.7771432127946034E-3</v>
      </c>
      <c r="Q29" s="28">
        <f t="shared" si="6"/>
        <v>167692133</v>
      </c>
    </row>
    <row r="30" spans="1:17" x14ac:dyDescent="0.2">
      <c r="A30" s="23" t="s">
        <v>26</v>
      </c>
      <c r="B30" s="60" t="s">
        <v>120</v>
      </c>
      <c r="C30" s="24">
        <v>175306339</v>
      </c>
      <c r="D30" s="25">
        <f t="shared" si="7"/>
        <v>3.2277903753393969E-2</v>
      </c>
      <c r="E30" s="26">
        <v>169824752</v>
      </c>
      <c r="F30" s="25">
        <f t="shared" si="7"/>
        <v>3.1437207341222302E-2</v>
      </c>
      <c r="G30" s="27">
        <v>164648658</v>
      </c>
      <c r="H30" s="24">
        <v>106328325</v>
      </c>
      <c r="I30" s="25">
        <f t="shared" si="0"/>
        <v>9.3623774679549965E-2</v>
      </c>
      <c r="J30" s="26">
        <v>97225689</v>
      </c>
      <c r="K30" s="25">
        <f t="shared" si="1"/>
        <v>9.76462578012912E-2</v>
      </c>
      <c r="L30" s="27">
        <v>88576523</v>
      </c>
      <c r="M30" s="24">
        <f t="shared" si="2"/>
        <v>281634664</v>
      </c>
      <c r="N30" s="25">
        <f t="shared" si="3"/>
        <v>5.4612240838800938E-2</v>
      </c>
      <c r="O30" s="26">
        <f t="shared" si="4"/>
        <v>267050441</v>
      </c>
      <c r="P30" s="25">
        <f t="shared" si="5"/>
        <v>5.4596703003245164E-2</v>
      </c>
      <c r="Q30" s="28">
        <f t="shared" si="6"/>
        <v>253225181</v>
      </c>
    </row>
    <row r="31" spans="1:17" x14ac:dyDescent="0.2">
      <c r="A31" s="23" t="s">
        <v>27</v>
      </c>
      <c r="B31" s="60" t="s">
        <v>120</v>
      </c>
      <c r="C31" s="24">
        <v>1355551191</v>
      </c>
      <c r="D31" s="25">
        <f t="shared" si="7"/>
        <v>2.4291769585557677E-2</v>
      </c>
      <c r="E31" s="26">
        <v>1323403381</v>
      </c>
      <c r="F31" s="25">
        <f t="shared" si="7"/>
        <v>3.1558742700692151E-2</v>
      </c>
      <c r="G31" s="27">
        <v>1282916160</v>
      </c>
      <c r="H31" s="24">
        <v>1112931399</v>
      </c>
      <c r="I31" s="25">
        <f t="shared" si="0"/>
        <v>4.7464375867757848E-2</v>
      </c>
      <c r="J31" s="26">
        <v>1062500477</v>
      </c>
      <c r="K31" s="25">
        <f t="shared" si="1"/>
        <v>6.6680069784357379E-2</v>
      </c>
      <c r="L31" s="27">
        <v>996081681</v>
      </c>
      <c r="M31" s="24">
        <f t="shared" si="2"/>
        <v>2468482590</v>
      </c>
      <c r="N31" s="25">
        <f t="shared" si="3"/>
        <v>3.4611089513565806E-2</v>
      </c>
      <c r="O31" s="26">
        <f t="shared" si="4"/>
        <v>2385903858</v>
      </c>
      <c r="P31" s="25">
        <f t="shared" si="5"/>
        <v>4.6909222587543473E-2</v>
      </c>
      <c r="Q31" s="28">
        <f t="shared" si="6"/>
        <v>2278997841</v>
      </c>
    </row>
    <row r="32" spans="1:17" x14ac:dyDescent="0.2">
      <c r="A32" s="23" t="s">
        <v>28</v>
      </c>
      <c r="B32" s="60" t="s">
        <v>120</v>
      </c>
      <c r="C32" s="24">
        <v>615776639</v>
      </c>
      <c r="D32" s="25">
        <f t="shared" si="7"/>
        <v>1.5102875595191341E-2</v>
      </c>
      <c r="E32" s="26">
        <v>606615008</v>
      </c>
      <c r="F32" s="25">
        <f t="shared" si="7"/>
        <v>1.0849026202619834E-2</v>
      </c>
      <c r="G32" s="27">
        <v>600104459</v>
      </c>
      <c r="H32" s="24">
        <v>444621462</v>
      </c>
      <c r="I32" s="25">
        <f t="shared" si="0"/>
        <v>4.8607532688549601E-2</v>
      </c>
      <c r="J32" s="26">
        <v>424011318</v>
      </c>
      <c r="K32" s="25">
        <f t="shared" si="1"/>
        <v>5.4095767598015217E-2</v>
      </c>
      <c r="L32" s="27">
        <v>402251229</v>
      </c>
      <c r="M32" s="24">
        <f t="shared" si="2"/>
        <v>1060398101</v>
      </c>
      <c r="N32" s="25">
        <f t="shared" si="3"/>
        <v>2.888707017173555E-2</v>
      </c>
      <c r="O32" s="26">
        <f t="shared" si="4"/>
        <v>1030626326</v>
      </c>
      <c r="P32" s="25">
        <f t="shared" si="5"/>
        <v>2.8204197709905149E-2</v>
      </c>
      <c r="Q32" s="28">
        <f t="shared" si="6"/>
        <v>1002355688</v>
      </c>
    </row>
    <row r="33" spans="1:17" x14ac:dyDescent="0.2">
      <c r="A33" s="23" t="s">
        <v>29</v>
      </c>
      <c r="B33" s="60" t="s">
        <v>120</v>
      </c>
      <c r="C33" s="24">
        <v>7241384677</v>
      </c>
      <c r="D33" s="25">
        <f t="shared" si="7"/>
        <v>2.4477073384709443E-2</v>
      </c>
      <c r="E33" s="26">
        <v>7068371626</v>
      </c>
      <c r="F33" s="25">
        <f t="shared" si="7"/>
        <v>2.6100549640941276E-2</v>
      </c>
      <c r="G33" s="27">
        <v>6888576006</v>
      </c>
      <c r="H33" s="24">
        <v>6422436714</v>
      </c>
      <c r="I33" s="25">
        <f t="shared" si="0"/>
        <v>3.9576871206814711E-2</v>
      </c>
      <c r="J33" s="26">
        <v>6177933438</v>
      </c>
      <c r="K33" s="25">
        <f t="shared" si="1"/>
        <v>4.6493962951818735E-2</v>
      </c>
      <c r="L33" s="27">
        <v>5903458268</v>
      </c>
      <c r="M33" s="24">
        <f t="shared" si="2"/>
        <v>13663821391</v>
      </c>
      <c r="N33" s="25">
        <f t="shared" si="3"/>
        <v>3.1519455801655993E-2</v>
      </c>
      <c r="O33" s="26">
        <f t="shared" si="4"/>
        <v>13246305064</v>
      </c>
      <c r="P33" s="25">
        <f t="shared" si="5"/>
        <v>3.551200538317132E-2</v>
      </c>
      <c r="Q33" s="28">
        <f t="shared" si="6"/>
        <v>12792034274</v>
      </c>
    </row>
    <row r="34" spans="1:17" x14ac:dyDescent="0.2">
      <c r="A34" s="23" t="s">
        <v>30</v>
      </c>
      <c r="B34" s="60" t="s">
        <v>121</v>
      </c>
      <c r="C34" s="24">
        <v>115226337</v>
      </c>
      <c r="D34" s="25">
        <f t="shared" si="7"/>
        <v>5.8635073243865406E-3</v>
      </c>
      <c r="E34" s="26">
        <v>114554645</v>
      </c>
      <c r="F34" s="25">
        <f t="shared" si="7"/>
        <v>8.5564466726382286E-3</v>
      </c>
      <c r="G34" s="27">
        <v>113582780</v>
      </c>
      <c r="H34" s="24">
        <v>56809423</v>
      </c>
      <c r="I34" s="25">
        <f t="shared" si="0"/>
        <v>4.1589585626482441E-2</v>
      </c>
      <c r="J34" s="26">
        <v>54541082</v>
      </c>
      <c r="K34" s="25">
        <f t="shared" si="1"/>
        <v>2.7876672247633533E-2</v>
      </c>
      <c r="L34" s="27">
        <v>53061893</v>
      </c>
      <c r="M34" s="24">
        <f t="shared" si="2"/>
        <v>172035760</v>
      </c>
      <c r="N34" s="25">
        <f t="shared" si="3"/>
        <v>1.7386796533303293E-2</v>
      </c>
      <c r="O34" s="26">
        <f t="shared" si="4"/>
        <v>169095727</v>
      </c>
      <c r="P34" s="25">
        <f t="shared" si="5"/>
        <v>1.4708264932056963E-2</v>
      </c>
      <c r="Q34" s="28">
        <f t="shared" si="6"/>
        <v>166644673</v>
      </c>
    </row>
    <row r="35" spans="1:17" x14ac:dyDescent="0.2">
      <c r="A35" s="23" t="s">
        <v>31</v>
      </c>
      <c r="B35" s="60" t="s">
        <v>120</v>
      </c>
      <c r="C35" s="24">
        <v>1166079795</v>
      </c>
      <c r="D35" s="25">
        <f t="shared" si="7"/>
        <v>3.0938640427114077E-2</v>
      </c>
      <c r="E35" s="26">
        <v>1131085546</v>
      </c>
      <c r="F35" s="25">
        <f t="shared" si="7"/>
        <v>3.8532618817066371E-2</v>
      </c>
      <c r="G35" s="27">
        <v>1089118941</v>
      </c>
      <c r="H35" s="24">
        <v>1033568996</v>
      </c>
      <c r="I35" s="25">
        <f t="shared" si="0"/>
        <v>4.6844274250170868E-2</v>
      </c>
      <c r="J35" s="26">
        <v>987318765</v>
      </c>
      <c r="K35" s="25">
        <f t="shared" si="1"/>
        <v>6.1530725113211747E-2</v>
      </c>
      <c r="L35" s="27">
        <v>930089673</v>
      </c>
      <c r="M35" s="24">
        <f t="shared" si="2"/>
        <v>2199648791</v>
      </c>
      <c r="N35" s="25">
        <f t="shared" si="3"/>
        <v>3.8351734642027929E-2</v>
      </c>
      <c r="O35" s="26">
        <f t="shared" si="4"/>
        <v>2118404311</v>
      </c>
      <c r="P35" s="25">
        <f t="shared" si="5"/>
        <v>4.912602705447848E-2</v>
      </c>
      <c r="Q35" s="28">
        <f t="shared" si="6"/>
        <v>2019208614</v>
      </c>
    </row>
    <row r="36" spans="1:17" x14ac:dyDescent="0.2">
      <c r="A36" s="23" t="s">
        <v>32</v>
      </c>
      <c r="B36" s="60" t="s">
        <v>121</v>
      </c>
      <c r="C36" s="24">
        <v>245160245</v>
      </c>
      <c r="D36" s="25">
        <f t="shared" si="7"/>
        <v>-2.871296785412532E-4</v>
      </c>
      <c r="E36" s="26">
        <v>245230658</v>
      </c>
      <c r="F36" s="25">
        <f t="shared" si="7"/>
        <v>5.9822824117500483E-3</v>
      </c>
      <c r="G36" s="27">
        <v>243772343</v>
      </c>
      <c r="H36" s="24">
        <v>124512971</v>
      </c>
      <c r="I36" s="25">
        <f t="shared" si="0"/>
        <v>4.7761238591016157E-2</v>
      </c>
      <c r="J36" s="26">
        <v>118837161</v>
      </c>
      <c r="K36" s="25">
        <f t="shared" si="1"/>
        <v>7.9774400990290539E-2</v>
      </c>
      <c r="L36" s="27">
        <v>110057398</v>
      </c>
      <c r="M36" s="24">
        <f t="shared" si="2"/>
        <v>369673216</v>
      </c>
      <c r="N36" s="25">
        <f t="shared" si="3"/>
        <v>1.5396573680685576E-2</v>
      </c>
      <c r="O36" s="26">
        <f t="shared" si="4"/>
        <v>364067819</v>
      </c>
      <c r="P36" s="25">
        <f t="shared" si="5"/>
        <v>2.8935040822359814E-2</v>
      </c>
      <c r="Q36" s="28">
        <f t="shared" si="6"/>
        <v>353829741</v>
      </c>
    </row>
    <row r="37" spans="1:17" x14ac:dyDescent="0.2">
      <c r="A37" s="23" t="s">
        <v>33</v>
      </c>
      <c r="B37" s="60" t="s">
        <v>121</v>
      </c>
      <c r="C37" s="24">
        <v>93170361</v>
      </c>
      <c r="D37" s="25">
        <f t="shared" si="7"/>
        <v>9.3938374605305186E-3</v>
      </c>
      <c r="E37" s="26">
        <v>92303279</v>
      </c>
      <c r="F37" s="25">
        <f t="shared" si="7"/>
        <v>1.1472573509253615E-2</v>
      </c>
      <c r="G37" s="27">
        <v>91256334</v>
      </c>
      <c r="H37" s="24">
        <v>60816497</v>
      </c>
      <c r="I37" s="25">
        <f t="shared" ref="I37:I68" si="8">((H37-J37)/J37)</f>
        <v>4.8994450203053867E-2</v>
      </c>
      <c r="J37" s="26">
        <v>57975995</v>
      </c>
      <c r="K37" s="25">
        <f t="shared" ref="K37:K68" si="9">((J37-L37)/L37)</f>
        <v>4.9614037426666098E-2</v>
      </c>
      <c r="L37" s="27">
        <v>55235537</v>
      </c>
      <c r="M37" s="24">
        <f t="shared" ref="M37:M71" si="10">C37+H37</f>
        <v>153986858</v>
      </c>
      <c r="N37" s="25">
        <f t="shared" ref="N37:N68" si="11">((M37-O37)/O37)</f>
        <v>2.4671292995466561E-2</v>
      </c>
      <c r="O37" s="26">
        <f t="shared" ref="O37:O71" si="12">E37+J37</f>
        <v>150279274</v>
      </c>
      <c r="P37" s="25">
        <f t="shared" ref="P37:P68" si="13">((O37-Q37)/Q37)</f>
        <v>2.5854014793762856E-2</v>
      </c>
      <c r="Q37" s="28">
        <f t="shared" ref="Q37:Q71" si="14">G37+L37</f>
        <v>146491871</v>
      </c>
    </row>
    <row r="38" spans="1:17" x14ac:dyDescent="0.2">
      <c r="A38" s="23" t="s">
        <v>34</v>
      </c>
      <c r="B38" s="60" t="s">
        <v>121</v>
      </c>
      <c r="C38" s="24">
        <v>40574226</v>
      </c>
      <c r="D38" s="25">
        <f t="shared" si="7"/>
        <v>9.8798121784345692E-3</v>
      </c>
      <c r="E38" s="26">
        <v>40177282</v>
      </c>
      <c r="F38" s="25">
        <f t="shared" si="7"/>
        <v>-1.0935636455016535E-2</v>
      </c>
      <c r="G38" s="27">
        <v>40621504</v>
      </c>
      <c r="H38" s="24">
        <v>23865038</v>
      </c>
      <c r="I38" s="25">
        <f t="shared" si="8"/>
        <v>4.3534995075082364E-2</v>
      </c>
      <c r="J38" s="26">
        <v>22869418</v>
      </c>
      <c r="K38" s="25">
        <f t="shared" si="9"/>
        <v>-5.7172063429291676E-3</v>
      </c>
      <c r="L38" s="27">
        <v>23000919</v>
      </c>
      <c r="M38" s="24">
        <f t="shared" si="10"/>
        <v>64439264</v>
      </c>
      <c r="N38" s="25">
        <f t="shared" si="11"/>
        <v>2.2087817443260313E-2</v>
      </c>
      <c r="O38" s="26">
        <f t="shared" si="12"/>
        <v>63046700</v>
      </c>
      <c r="P38" s="25">
        <f t="shared" si="13"/>
        <v>-9.0490580655816898E-3</v>
      </c>
      <c r="Q38" s="28">
        <f t="shared" si="14"/>
        <v>63622423</v>
      </c>
    </row>
    <row r="39" spans="1:17" x14ac:dyDescent="0.2">
      <c r="A39" s="23" t="s">
        <v>35</v>
      </c>
      <c r="B39" s="60" t="s">
        <v>120</v>
      </c>
      <c r="C39" s="24">
        <v>2405029623</v>
      </c>
      <c r="D39" s="25">
        <f t="shared" si="7"/>
        <v>3.2708494249770868E-2</v>
      </c>
      <c r="E39" s="26">
        <v>2328856242</v>
      </c>
      <c r="F39" s="25">
        <f t="shared" si="7"/>
        <v>3.7781228868607623E-2</v>
      </c>
      <c r="G39" s="27">
        <v>2244072428</v>
      </c>
      <c r="H39" s="24">
        <v>2143608891</v>
      </c>
      <c r="I39" s="25">
        <f t="shared" si="8"/>
        <v>4.4229468526554072E-2</v>
      </c>
      <c r="J39" s="26">
        <v>2052814018</v>
      </c>
      <c r="K39" s="25">
        <f t="shared" si="9"/>
        <v>5.2460450648962223E-2</v>
      </c>
      <c r="L39" s="27">
        <v>1950490412</v>
      </c>
      <c r="M39" s="24">
        <f t="shared" si="10"/>
        <v>4548638514</v>
      </c>
      <c r="N39" s="25">
        <f t="shared" si="11"/>
        <v>3.8106074645607863E-2</v>
      </c>
      <c r="O39" s="26">
        <f t="shared" si="12"/>
        <v>4381670260</v>
      </c>
      <c r="P39" s="25">
        <f t="shared" si="13"/>
        <v>4.4607132408582537E-2</v>
      </c>
      <c r="Q39" s="28">
        <f t="shared" si="14"/>
        <v>4194562840</v>
      </c>
    </row>
    <row r="40" spans="1:17" x14ac:dyDescent="0.2">
      <c r="A40" s="23" t="s">
        <v>36</v>
      </c>
      <c r="B40" s="60" t="s">
        <v>120</v>
      </c>
      <c r="C40" s="24">
        <v>4827414915</v>
      </c>
      <c r="D40" s="25">
        <f t="shared" si="7"/>
        <v>4.2268335438780544E-2</v>
      </c>
      <c r="E40" s="26">
        <v>4631643072</v>
      </c>
      <c r="F40" s="25">
        <f t="shared" si="7"/>
        <v>3.4218280523833175E-2</v>
      </c>
      <c r="G40" s="27">
        <v>4478399927</v>
      </c>
      <c r="H40" s="24">
        <v>4312833968</v>
      </c>
      <c r="I40" s="25">
        <f t="shared" si="8"/>
        <v>5.8674923336514896E-2</v>
      </c>
      <c r="J40" s="26">
        <v>4073803840</v>
      </c>
      <c r="K40" s="25">
        <f t="shared" si="9"/>
        <v>5.3215076983350484E-2</v>
      </c>
      <c r="L40" s="27">
        <v>3867969543</v>
      </c>
      <c r="M40" s="24">
        <f t="shared" si="10"/>
        <v>9140248883</v>
      </c>
      <c r="N40" s="25">
        <f t="shared" si="11"/>
        <v>4.9945967782613017E-2</v>
      </c>
      <c r="O40" s="26">
        <f t="shared" si="12"/>
        <v>8705446912</v>
      </c>
      <c r="P40" s="25">
        <f t="shared" si="13"/>
        <v>4.302199217164538E-2</v>
      </c>
      <c r="Q40" s="28">
        <f t="shared" si="14"/>
        <v>8346369470</v>
      </c>
    </row>
    <row r="41" spans="1:17" x14ac:dyDescent="0.2">
      <c r="A41" s="23" t="s">
        <v>37</v>
      </c>
      <c r="B41" s="60" t="s">
        <v>120</v>
      </c>
      <c r="C41" s="24">
        <v>1407847324</v>
      </c>
      <c r="D41" s="25">
        <f t="shared" si="7"/>
        <v>4.0413337783886854E-3</v>
      </c>
      <c r="E41" s="26">
        <v>1402180644</v>
      </c>
      <c r="F41" s="25">
        <f t="shared" si="7"/>
        <v>1.1193540572072289E-2</v>
      </c>
      <c r="G41" s="27">
        <v>1386659020</v>
      </c>
      <c r="H41" s="24">
        <v>1249865551</v>
      </c>
      <c r="I41" s="25">
        <f t="shared" si="8"/>
        <v>1.1541683374479264E-2</v>
      </c>
      <c r="J41" s="26">
        <v>1235604594</v>
      </c>
      <c r="K41" s="25">
        <f t="shared" si="9"/>
        <v>1.9996819662401296E-2</v>
      </c>
      <c r="L41" s="27">
        <v>1211380830</v>
      </c>
      <c r="M41" s="24">
        <f t="shared" si="10"/>
        <v>2657712875</v>
      </c>
      <c r="N41" s="25">
        <f t="shared" si="11"/>
        <v>7.5546851627349958E-3</v>
      </c>
      <c r="O41" s="26">
        <f t="shared" si="12"/>
        <v>2637785238</v>
      </c>
      <c r="P41" s="25">
        <f t="shared" si="13"/>
        <v>1.529822108001923E-2</v>
      </c>
      <c r="Q41" s="28">
        <f t="shared" si="14"/>
        <v>2598039850</v>
      </c>
    </row>
    <row r="42" spans="1:17" x14ac:dyDescent="0.2">
      <c r="A42" s="23" t="s">
        <v>38</v>
      </c>
      <c r="B42" s="60" t="s">
        <v>121</v>
      </c>
      <c r="C42" s="24">
        <v>302882740</v>
      </c>
      <c r="D42" s="25">
        <f t="shared" si="7"/>
        <v>2.5798205385525977E-2</v>
      </c>
      <c r="E42" s="26">
        <v>295265422</v>
      </c>
      <c r="F42" s="25">
        <f t="shared" si="7"/>
        <v>1.5647222464650064E-2</v>
      </c>
      <c r="G42" s="27">
        <v>290716516</v>
      </c>
      <c r="H42" s="24">
        <v>175046950</v>
      </c>
      <c r="I42" s="25">
        <f t="shared" si="8"/>
        <v>7.5202661266624934E-2</v>
      </c>
      <c r="J42" s="26">
        <v>162803680</v>
      </c>
      <c r="K42" s="25">
        <f t="shared" si="9"/>
        <v>6.6120657586693457E-2</v>
      </c>
      <c r="L42" s="27">
        <v>152706618</v>
      </c>
      <c r="M42" s="24">
        <f t="shared" si="10"/>
        <v>477929690</v>
      </c>
      <c r="N42" s="25">
        <f t="shared" si="11"/>
        <v>4.3357187623626274E-2</v>
      </c>
      <c r="O42" s="26">
        <f t="shared" si="12"/>
        <v>458069102</v>
      </c>
      <c r="P42" s="25">
        <f t="shared" si="13"/>
        <v>3.3029327694030504E-2</v>
      </c>
      <c r="Q42" s="28">
        <f t="shared" si="14"/>
        <v>443423134</v>
      </c>
    </row>
    <row r="43" spans="1:17" x14ac:dyDescent="0.2">
      <c r="A43" s="23" t="s">
        <v>39</v>
      </c>
      <c r="B43" s="60" t="s">
        <v>121</v>
      </c>
      <c r="C43" s="24">
        <v>35555468</v>
      </c>
      <c r="D43" s="25">
        <f t="shared" si="7"/>
        <v>4.8764513211131097E-4</v>
      </c>
      <c r="E43" s="26">
        <v>35538138</v>
      </c>
      <c r="F43" s="25">
        <f t="shared" si="7"/>
        <v>5.0819538233126066E-3</v>
      </c>
      <c r="G43" s="27">
        <v>35358448</v>
      </c>
      <c r="H43" s="24">
        <v>17675448</v>
      </c>
      <c r="I43" s="25">
        <f t="shared" si="8"/>
        <v>5.1351337365304783E-2</v>
      </c>
      <c r="J43" s="26">
        <v>16812123</v>
      </c>
      <c r="K43" s="25">
        <f t="shared" si="9"/>
        <v>3.9119163202446398E-2</v>
      </c>
      <c r="L43" s="27">
        <v>16179206</v>
      </c>
      <c r="M43" s="24">
        <f t="shared" si="10"/>
        <v>53230916</v>
      </c>
      <c r="N43" s="25">
        <f t="shared" si="11"/>
        <v>1.6822361210386324E-2</v>
      </c>
      <c r="O43" s="26">
        <f t="shared" si="12"/>
        <v>52350261</v>
      </c>
      <c r="P43" s="25">
        <f t="shared" si="13"/>
        <v>1.5767248544142114E-2</v>
      </c>
      <c r="Q43" s="28">
        <f t="shared" si="14"/>
        <v>51537654</v>
      </c>
    </row>
    <row r="44" spans="1:17" x14ac:dyDescent="0.2">
      <c r="A44" s="23" t="s">
        <v>40</v>
      </c>
      <c r="B44" s="60" t="s">
        <v>121</v>
      </c>
      <c r="C44" s="24">
        <v>99588867</v>
      </c>
      <c r="D44" s="25">
        <f t="shared" si="7"/>
        <v>3.0706632423680694E-4</v>
      </c>
      <c r="E44" s="26">
        <v>99558296</v>
      </c>
      <c r="F44" s="25">
        <f t="shared" si="7"/>
        <v>6.2060406464877326E-3</v>
      </c>
      <c r="G44" s="27">
        <v>98944244</v>
      </c>
      <c r="H44" s="24">
        <v>50390530</v>
      </c>
      <c r="I44" s="25">
        <f t="shared" si="8"/>
        <v>2.8831121914143956E-2</v>
      </c>
      <c r="J44" s="26">
        <v>48978427</v>
      </c>
      <c r="K44" s="25">
        <f t="shared" si="9"/>
        <v>6.3678629823257754E-2</v>
      </c>
      <c r="L44" s="27">
        <v>46046264</v>
      </c>
      <c r="M44" s="24">
        <f t="shared" si="10"/>
        <v>149979397</v>
      </c>
      <c r="N44" s="25">
        <f t="shared" si="11"/>
        <v>9.7125745799575766E-3</v>
      </c>
      <c r="O44" s="26">
        <f t="shared" si="12"/>
        <v>148536723</v>
      </c>
      <c r="P44" s="25">
        <f t="shared" si="13"/>
        <v>2.4458256260471892E-2</v>
      </c>
      <c r="Q44" s="28">
        <f t="shared" si="14"/>
        <v>144990508</v>
      </c>
    </row>
    <row r="45" spans="1:17" x14ac:dyDescent="0.2">
      <c r="A45" s="23" t="s">
        <v>41</v>
      </c>
      <c r="B45" s="60" t="s">
        <v>120</v>
      </c>
      <c r="C45" s="24">
        <v>2378172596</v>
      </c>
      <c r="D45" s="25">
        <f t="shared" si="7"/>
        <v>3.2479879908016866E-2</v>
      </c>
      <c r="E45" s="26">
        <v>2303359748</v>
      </c>
      <c r="F45" s="25">
        <f t="shared" si="7"/>
        <v>3.561074286993867E-2</v>
      </c>
      <c r="G45" s="27">
        <v>2224155904</v>
      </c>
      <c r="H45" s="24">
        <v>2157420500</v>
      </c>
      <c r="I45" s="25">
        <f t="shared" si="8"/>
        <v>4.4907621158781309E-2</v>
      </c>
      <c r="J45" s="26">
        <v>2064699746</v>
      </c>
      <c r="K45" s="25">
        <f t="shared" si="9"/>
        <v>5.173684162780412E-2</v>
      </c>
      <c r="L45" s="27">
        <v>1963133423</v>
      </c>
      <c r="M45" s="24">
        <f t="shared" si="10"/>
        <v>4535593096</v>
      </c>
      <c r="N45" s="25">
        <f t="shared" si="11"/>
        <v>3.8354239961732539E-2</v>
      </c>
      <c r="O45" s="26">
        <f t="shared" si="12"/>
        <v>4368059494</v>
      </c>
      <c r="P45" s="25">
        <f t="shared" si="13"/>
        <v>4.3171167044602936E-2</v>
      </c>
      <c r="Q45" s="28">
        <f t="shared" si="14"/>
        <v>4187289327</v>
      </c>
    </row>
    <row r="46" spans="1:17" x14ac:dyDescent="0.2">
      <c r="A46" s="23" t="s">
        <v>42</v>
      </c>
      <c r="B46" s="60" t="s">
        <v>120</v>
      </c>
      <c r="C46" s="24">
        <v>2525834891</v>
      </c>
      <c r="D46" s="25">
        <f t="shared" si="7"/>
        <v>2.1733852547265647E-2</v>
      </c>
      <c r="E46" s="26">
        <v>2472106493</v>
      </c>
      <c r="F46" s="25">
        <f t="shared" si="7"/>
        <v>3.381551484173078E-2</v>
      </c>
      <c r="G46" s="27">
        <v>2391245302</v>
      </c>
      <c r="H46" s="24">
        <v>1950346983</v>
      </c>
      <c r="I46" s="25">
        <f t="shared" si="8"/>
        <v>5.0170979418210783E-2</v>
      </c>
      <c r="J46" s="26">
        <v>1857170900</v>
      </c>
      <c r="K46" s="25">
        <f t="shared" si="9"/>
        <v>6.7699745711409298E-2</v>
      </c>
      <c r="L46" s="27">
        <v>1739413077</v>
      </c>
      <c r="M46" s="24">
        <f t="shared" si="10"/>
        <v>4476181874</v>
      </c>
      <c r="N46" s="25">
        <f t="shared" si="11"/>
        <v>3.3932794705538984E-2</v>
      </c>
      <c r="O46" s="26">
        <f t="shared" si="12"/>
        <v>4329277393</v>
      </c>
      <c r="P46" s="25">
        <f t="shared" si="13"/>
        <v>4.8084105674234941E-2</v>
      </c>
      <c r="Q46" s="28">
        <f t="shared" si="14"/>
        <v>4130658379</v>
      </c>
    </row>
    <row r="47" spans="1:17" x14ac:dyDescent="0.2">
      <c r="A47" s="23" t="s">
        <v>43</v>
      </c>
      <c r="B47" s="60" t="s">
        <v>120</v>
      </c>
      <c r="C47" s="24">
        <v>1181281506</v>
      </c>
      <c r="D47" s="25">
        <f t="shared" si="7"/>
        <v>1.2373409873857901E-2</v>
      </c>
      <c r="E47" s="26">
        <v>1166843671</v>
      </c>
      <c r="F47" s="25">
        <f t="shared" si="7"/>
        <v>1.7381931837646105E-2</v>
      </c>
      <c r="G47" s="27">
        <v>1146908191</v>
      </c>
      <c r="H47" s="24">
        <v>1061076392</v>
      </c>
      <c r="I47" s="25">
        <f t="shared" si="8"/>
        <v>3.4616827090527665E-2</v>
      </c>
      <c r="J47" s="26">
        <v>1025574265</v>
      </c>
      <c r="K47" s="25">
        <f t="shared" si="9"/>
        <v>2.9971523455058203E-2</v>
      </c>
      <c r="L47" s="27">
        <v>995730699</v>
      </c>
      <c r="M47" s="24">
        <f t="shared" si="10"/>
        <v>2242357898</v>
      </c>
      <c r="N47" s="25">
        <f t="shared" si="11"/>
        <v>2.2778486336922577E-2</v>
      </c>
      <c r="O47" s="26">
        <f t="shared" si="12"/>
        <v>2192417936</v>
      </c>
      <c r="P47" s="25">
        <f t="shared" si="13"/>
        <v>2.3232587736704433E-2</v>
      </c>
      <c r="Q47" s="28">
        <f t="shared" si="14"/>
        <v>2142638890</v>
      </c>
    </row>
    <row r="48" spans="1:17" x14ac:dyDescent="0.2">
      <c r="A48" s="23" t="s">
        <v>44</v>
      </c>
      <c r="B48" s="60" t="s">
        <v>120</v>
      </c>
      <c r="C48" s="24">
        <v>402155349</v>
      </c>
      <c r="D48" s="25">
        <f t="shared" si="7"/>
        <v>7.3738660951188353E-3</v>
      </c>
      <c r="E48" s="26">
        <v>399211616</v>
      </c>
      <c r="F48" s="25">
        <f t="shared" si="7"/>
        <v>3.3531655111295861E-3</v>
      </c>
      <c r="G48" s="27">
        <v>397877467</v>
      </c>
      <c r="H48" s="24">
        <v>396143413</v>
      </c>
      <c r="I48" s="25">
        <f t="shared" si="8"/>
        <v>1.055507183817838E-2</v>
      </c>
      <c r="J48" s="26">
        <v>392005764</v>
      </c>
      <c r="K48" s="25">
        <f t="shared" si="9"/>
        <v>7.5484911372287319E-3</v>
      </c>
      <c r="L48" s="27">
        <v>389068881</v>
      </c>
      <c r="M48" s="24">
        <f t="shared" si="10"/>
        <v>798298762</v>
      </c>
      <c r="N48" s="25">
        <f t="shared" si="11"/>
        <v>8.9499828732275827E-3</v>
      </c>
      <c r="O48" s="26">
        <f t="shared" si="12"/>
        <v>791217380</v>
      </c>
      <c r="P48" s="25">
        <f t="shared" si="13"/>
        <v>5.4273483965643866E-3</v>
      </c>
      <c r="Q48" s="28">
        <f t="shared" si="14"/>
        <v>786946348</v>
      </c>
    </row>
    <row r="49" spans="1:17" x14ac:dyDescent="0.2">
      <c r="A49" s="23" t="s">
        <v>45</v>
      </c>
      <c r="B49" s="60" t="s">
        <v>120</v>
      </c>
      <c r="C49" s="24">
        <v>643627041</v>
      </c>
      <c r="D49" s="25">
        <f t="shared" si="7"/>
        <v>3.9011406942560757E-2</v>
      </c>
      <c r="E49" s="26">
        <v>619460996</v>
      </c>
      <c r="F49" s="25">
        <f t="shared" si="7"/>
        <v>4.1132818182104819E-2</v>
      </c>
      <c r="G49" s="27">
        <v>594987484</v>
      </c>
      <c r="H49" s="24">
        <v>577328799</v>
      </c>
      <c r="I49" s="25">
        <f t="shared" si="8"/>
        <v>5.1178914909008277E-2</v>
      </c>
      <c r="J49" s="26">
        <v>549220300</v>
      </c>
      <c r="K49" s="25">
        <f t="shared" si="9"/>
        <v>6.0267842599496566E-2</v>
      </c>
      <c r="L49" s="27">
        <v>518001469</v>
      </c>
      <c r="M49" s="24">
        <f t="shared" si="10"/>
        <v>1220955840</v>
      </c>
      <c r="N49" s="25">
        <f t="shared" si="11"/>
        <v>4.4729511954129879E-2</v>
      </c>
      <c r="O49" s="26">
        <f t="shared" si="12"/>
        <v>1168681296</v>
      </c>
      <c r="P49" s="25">
        <f t="shared" si="13"/>
        <v>5.0038540679028645E-2</v>
      </c>
      <c r="Q49" s="28">
        <f t="shared" si="14"/>
        <v>1112988953</v>
      </c>
    </row>
    <row r="50" spans="1:17" x14ac:dyDescent="0.2">
      <c r="A50" s="23" t="s">
        <v>46</v>
      </c>
      <c r="B50" s="60" t="s">
        <v>120</v>
      </c>
      <c r="C50" s="24">
        <v>1190753177</v>
      </c>
      <c r="D50" s="25">
        <f t="shared" si="7"/>
        <v>1.2072018069007507E-2</v>
      </c>
      <c r="E50" s="26">
        <v>1176549846</v>
      </c>
      <c r="F50" s="25">
        <f t="shared" si="7"/>
        <v>1.9610959096335766E-2</v>
      </c>
      <c r="G50" s="27">
        <v>1153920361</v>
      </c>
      <c r="H50" s="24">
        <v>1063870661</v>
      </c>
      <c r="I50" s="25">
        <f t="shared" si="8"/>
        <v>1.2309179845295386E-2</v>
      </c>
      <c r="J50" s="26">
        <v>1050934519</v>
      </c>
      <c r="K50" s="25">
        <f t="shared" si="9"/>
        <v>2.3666719596747977E-2</v>
      </c>
      <c r="L50" s="27">
        <v>1026637380</v>
      </c>
      <c r="M50" s="24">
        <f t="shared" si="10"/>
        <v>2254623838</v>
      </c>
      <c r="N50" s="25">
        <f t="shared" si="11"/>
        <v>1.2183911782473947E-2</v>
      </c>
      <c r="O50" s="26">
        <f t="shared" si="12"/>
        <v>2227484365</v>
      </c>
      <c r="P50" s="25">
        <f t="shared" si="13"/>
        <v>2.1520468418543014E-2</v>
      </c>
      <c r="Q50" s="28">
        <f t="shared" si="14"/>
        <v>2180557741</v>
      </c>
    </row>
    <row r="51" spans="1:17" x14ac:dyDescent="0.2">
      <c r="A51" s="23" t="s">
        <v>47</v>
      </c>
      <c r="B51" s="60" t="s">
        <v>120</v>
      </c>
      <c r="C51" s="24">
        <v>201336424</v>
      </c>
      <c r="D51" s="25">
        <f t="shared" si="7"/>
        <v>1.3638666417496626E-2</v>
      </c>
      <c r="E51" s="26">
        <v>198627411</v>
      </c>
      <c r="F51" s="25">
        <f t="shared" si="7"/>
        <v>1.5258906969759673E-2</v>
      </c>
      <c r="G51" s="27">
        <v>195642126</v>
      </c>
      <c r="H51" s="24">
        <v>124639230</v>
      </c>
      <c r="I51" s="25">
        <f t="shared" si="8"/>
        <v>5.7934808354018888E-2</v>
      </c>
      <c r="J51" s="26">
        <v>117813715</v>
      </c>
      <c r="K51" s="25">
        <f t="shared" si="9"/>
        <v>8.107734489646784E-2</v>
      </c>
      <c r="L51" s="27">
        <v>108978063</v>
      </c>
      <c r="M51" s="24">
        <f t="shared" si="10"/>
        <v>325975654</v>
      </c>
      <c r="N51" s="25">
        <f t="shared" si="11"/>
        <v>3.0130495743464141E-2</v>
      </c>
      <c r="O51" s="26">
        <f t="shared" si="12"/>
        <v>316441126</v>
      </c>
      <c r="P51" s="25">
        <f t="shared" si="13"/>
        <v>3.8805494274051548E-2</v>
      </c>
      <c r="Q51" s="28">
        <f t="shared" si="14"/>
        <v>304620189</v>
      </c>
    </row>
    <row r="52" spans="1:17" x14ac:dyDescent="0.2">
      <c r="A52" s="23" t="s">
        <v>48</v>
      </c>
      <c r="B52" s="60" t="s">
        <v>120</v>
      </c>
      <c r="C52" s="24">
        <v>5969257411</v>
      </c>
      <c r="D52" s="25">
        <f t="shared" si="7"/>
        <v>1.7653291259706105E-2</v>
      </c>
      <c r="E52" s="26">
        <v>5865708353</v>
      </c>
      <c r="F52" s="25">
        <f t="shared" si="7"/>
        <v>2.3738130809806628E-2</v>
      </c>
      <c r="G52" s="27">
        <v>5729696078</v>
      </c>
      <c r="H52" s="24">
        <v>5389531403</v>
      </c>
      <c r="I52" s="25">
        <f t="shared" si="8"/>
        <v>2.8292049677831787E-2</v>
      </c>
      <c r="J52" s="26">
        <v>5241245816</v>
      </c>
      <c r="K52" s="25">
        <f t="shared" si="9"/>
        <v>3.8381618723718119E-2</v>
      </c>
      <c r="L52" s="27">
        <v>5047514056</v>
      </c>
      <c r="M52" s="24">
        <f t="shared" si="10"/>
        <v>11358788814</v>
      </c>
      <c r="N52" s="25">
        <f t="shared" si="11"/>
        <v>2.2673600806140139E-2</v>
      </c>
      <c r="O52" s="26">
        <f t="shared" si="12"/>
        <v>11106954169</v>
      </c>
      <c r="P52" s="25">
        <f t="shared" si="13"/>
        <v>3.0596418822689719E-2</v>
      </c>
      <c r="Q52" s="28">
        <f t="shared" si="14"/>
        <v>10777210134</v>
      </c>
    </row>
    <row r="53" spans="1:17" x14ac:dyDescent="0.2">
      <c r="A53" s="23" t="s">
        <v>49</v>
      </c>
      <c r="B53" s="60" t="s">
        <v>120</v>
      </c>
      <c r="C53" s="24">
        <v>1806437960</v>
      </c>
      <c r="D53" s="25">
        <f t="shared" si="7"/>
        <v>5.9831166822342234E-2</v>
      </c>
      <c r="E53" s="26">
        <v>1704458235</v>
      </c>
      <c r="F53" s="25">
        <f t="shared" si="7"/>
        <v>6.0154369137650904E-2</v>
      </c>
      <c r="G53" s="27">
        <v>1607745329</v>
      </c>
      <c r="H53" s="24">
        <v>1615108849</v>
      </c>
      <c r="I53" s="25">
        <f t="shared" si="8"/>
        <v>7.201815120489119E-2</v>
      </c>
      <c r="J53" s="26">
        <v>1506605879</v>
      </c>
      <c r="K53" s="25">
        <f t="shared" si="9"/>
        <v>8.0173307531454338E-2</v>
      </c>
      <c r="L53" s="27">
        <v>1394781623</v>
      </c>
      <c r="M53" s="24">
        <f t="shared" si="10"/>
        <v>3421546809</v>
      </c>
      <c r="N53" s="25">
        <f t="shared" si="11"/>
        <v>6.5549203481273119E-2</v>
      </c>
      <c r="O53" s="26">
        <f t="shared" si="12"/>
        <v>3211064114</v>
      </c>
      <c r="P53" s="25">
        <f t="shared" si="13"/>
        <v>6.94538851220277E-2</v>
      </c>
      <c r="Q53" s="28">
        <f t="shared" si="14"/>
        <v>3002526952</v>
      </c>
    </row>
    <row r="54" spans="1:17" x14ac:dyDescent="0.2">
      <c r="A54" s="23" t="s">
        <v>50</v>
      </c>
      <c r="B54" s="60" t="s">
        <v>120</v>
      </c>
      <c r="C54" s="24">
        <v>8790128513</v>
      </c>
      <c r="D54" s="25">
        <f t="shared" si="7"/>
        <v>1.5355502357644917E-2</v>
      </c>
      <c r="E54" s="26">
        <v>8657192966</v>
      </c>
      <c r="F54" s="25">
        <f t="shared" si="7"/>
        <v>1.882747607766146E-2</v>
      </c>
      <c r="G54" s="27">
        <v>8497211912</v>
      </c>
      <c r="H54" s="24">
        <v>7845392965</v>
      </c>
      <c r="I54" s="25">
        <f t="shared" si="8"/>
        <v>2.5687286729994166E-2</v>
      </c>
      <c r="J54" s="26">
        <v>7648913140</v>
      </c>
      <c r="K54" s="25">
        <f t="shared" si="9"/>
        <v>3.1678950486164814E-2</v>
      </c>
      <c r="L54" s="27">
        <v>7414044007</v>
      </c>
      <c r="M54" s="24">
        <f t="shared" si="10"/>
        <v>16635521478</v>
      </c>
      <c r="N54" s="25">
        <f t="shared" si="11"/>
        <v>2.0201964212583422E-2</v>
      </c>
      <c r="O54" s="26">
        <f t="shared" si="12"/>
        <v>16306106106</v>
      </c>
      <c r="P54" s="25">
        <f t="shared" si="13"/>
        <v>2.4815777523162091E-2</v>
      </c>
      <c r="Q54" s="28">
        <f t="shared" si="14"/>
        <v>15911255919</v>
      </c>
    </row>
    <row r="55" spans="1:17" x14ac:dyDescent="0.2">
      <c r="A55" s="23" t="s">
        <v>51</v>
      </c>
      <c r="B55" s="60" t="s">
        <v>120</v>
      </c>
      <c r="C55" s="24">
        <v>3618326621</v>
      </c>
      <c r="D55" s="25">
        <f t="shared" si="7"/>
        <v>3.9857976556765082E-2</v>
      </c>
      <c r="E55" s="26">
        <v>3479635395</v>
      </c>
      <c r="F55" s="25">
        <f t="shared" si="7"/>
        <v>3.3736574769485508E-2</v>
      </c>
      <c r="G55" s="27">
        <v>3366075536</v>
      </c>
      <c r="H55" s="24">
        <v>2909908086</v>
      </c>
      <c r="I55" s="25">
        <f t="shared" si="8"/>
        <v>6.754051269126983E-2</v>
      </c>
      <c r="J55" s="26">
        <v>2725805767</v>
      </c>
      <c r="K55" s="25">
        <f t="shared" si="9"/>
        <v>6.6206724542118595E-2</v>
      </c>
      <c r="L55" s="27">
        <v>2556545278</v>
      </c>
      <c r="M55" s="24">
        <f t="shared" si="10"/>
        <v>6528234707</v>
      </c>
      <c r="N55" s="25">
        <f t="shared" si="11"/>
        <v>5.2017823805449531E-2</v>
      </c>
      <c r="O55" s="26">
        <f t="shared" si="12"/>
        <v>6205441162</v>
      </c>
      <c r="P55" s="25">
        <f t="shared" si="13"/>
        <v>4.7752567128975076E-2</v>
      </c>
      <c r="Q55" s="28">
        <f t="shared" si="14"/>
        <v>5922620814</v>
      </c>
    </row>
    <row r="56" spans="1:17" x14ac:dyDescent="0.2">
      <c r="A56" s="23" t="s">
        <v>52</v>
      </c>
      <c r="B56" s="60" t="s">
        <v>120</v>
      </c>
      <c r="C56" s="24">
        <v>6178614021</v>
      </c>
      <c r="D56" s="25">
        <f t="shared" si="7"/>
        <v>1.1321570834649139E-2</v>
      </c>
      <c r="E56" s="26">
        <v>6109445501</v>
      </c>
      <c r="F56" s="25">
        <f t="shared" si="7"/>
        <v>1.6408527408852434E-2</v>
      </c>
      <c r="G56" s="27">
        <v>6010816848</v>
      </c>
      <c r="H56" s="24">
        <v>5322883512</v>
      </c>
      <c r="I56" s="25">
        <f t="shared" si="8"/>
        <v>2.6713750653800279E-2</v>
      </c>
      <c r="J56" s="26">
        <v>5184389036</v>
      </c>
      <c r="K56" s="25">
        <f t="shared" si="9"/>
        <v>3.6737570611688551E-2</v>
      </c>
      <c r="L56" s="27">
        <v>5000676336</v>
      </c>
      <c r="M56" s="24">
        <f t="shared" si="10"/>
        <v>11501497533</v>
      </c>
      <c r="N56" s="25">
        <f t="shared" si="11"/>
        <v>1.8387288685669186E-2</v>
      </c>
      <c r="O56" s="26">
        <f t="shared" si="12"/>
        <v>11293834537</v>
      </c>
      <c r="P56" s="25">
        <f t="shared" si="13"/>
        <v>2.5640605527527338E-2</v>
      </c>
      <c r="Q56" s="28">
        <f t="shared" si="14"/>
        <v>11011493184</v>
      </c>
    </row>
    <row r="57" spans="1:17" x14ac:dyDescent="0.2">
      <c r="A57" s="23" t="s">
        <v>53</v>
      </c>
      <c r="B57" s="60" t="s">
        <v>120</v>
      </c>
      <c r="C57" s="24">
        <v>3716628947</v>
      </c>
      <c r="D57" s="25">
        <f t="shared" si="7"/>
        <v>3.0743520054373537E-2</v>
      </c>
      <c r="E57" s="26">
        <v>3605774739</v>
      </c>
      <c r="F57" s="25">
        <f t="shared" si="7"/>
        <v>3.5258976534341492E-2</v>
      </c>
      <c r="G57" s="27">
        <v>3482968823</v>
      </c>
      <c r="H57" s="24">
        <v>2865321504</v>
      </c>
      <c r="I57" s="25">
        <f t="shared" si="8"/>
        <v>6.3021152893715862E-2</v>
      </c>
      <c r="J57" s="26">
        <v>2695451070</v>
      </c>
      <c r="K57" s="25">
        <f t="shared" si="9"/>
        <v>7.624591213480035E-2</v>
      </c>
      <c r="L57" s="27">
        <v>2504493666</v>
      </c>
      <c r="M57" s="24">
        <f t="shared" si="10"/>
        <v>6581950451</v>
      </c>
      <c r="N57" s="25">
        <f t="shared" si="11"/>
        <v>4.4550798607953836E-2</v>
      </c>
      <c r="O57" s="26">
        <f t="shared" si="12"/>
        <v>6301225809</v>
      </c>
      <c r="P57" s="25">
        <f t="shared" si="13"/>
        <v>5.240338800893321E-2</v>
      </c>
      <c r="Q57" s="28">
        <f t="shared" si="14"/>
        <v>5987462489</v>
      </c>
    </row>
    <row r="58" spans="1:17" x14ac:dyDescent="0.2">
      <c r="A58" s="23" t="s">
        <v>54</v>
      </c>
      <c r="B58" s="60" t="s">
        <v>120</v>
      </c>
      <c r="C58" s="24">
        <v>471857380</v>
      </c>
      <c r="D58" s="25">
        <f t="shared" si="7"/>
        <v>8.3236978685569223E-3</v>
      </c>
      <c r="E58" s="26">
        <v>467962204</v>
      </c>
      <c r="F58" s="25">
        <f t="shared" si="7"/>
        <v>7.9204608298508051E-3</v>
      </c>
      <c r="G58" s="27">
        <v>464284854</v>
      </c>
      <c r="H58" s="24">
        <v>263160024</v>
      </c>
      <c r="I58" s="25">
        <f t="shared" si="8"/>
        <v>5.2827335024570113E-2</v>
      </c>
      <c r="J58" s="26">
        <v>249955539</v>
      </c>
      <c r="K58" s="25">
        <f t="shared" si="9"/>
        <v>5.35174898699552E-2</v>
      </c>
      <c r="L58" s="27">
        <v>237258082</v>
      </c>
      <c r="M58" s="24">
        <f t="shared" si="10"/>
        <v>735017404</v>
      </c>
      <c r="N58" s="25">
        <f t="shared" si="11"/>
        <v>2.3818412578222072E-2</v>
      </c>
      <c r="O58" s="26">
        <f t="shared" si="12"/>
        <v>717917743</v>
      </c>
      <c r="P58" s="25">
        <f t="shared" si="13"/>
        <v>2.3341133036510257E-2</v>
      </c>
      <c r="Q58" s="28">
        <f t="shared" si="14"/>
        <v>701542936</v>
      </c>
    </row>
    <row r="59" spans="1:17" x14ac:dyDescent="0.2">
      <c r="A59" s="23" t="s">
        <v>55</v>
      </c>
      <c r="B59" s="60" t="s">
        <v>120</v>
      </c>
      <c r="C59" s="24">
        <v>1937023267</v>
      </c>
      <c r="D59" s="25">
        <f t="shared" si="7"/>
        <v>5.8691204374509795E-2</v>
      </c>
      <c r="E59" s="26">
        <v>1829639520</v>
      </c>
      <c r="F59" s="25">
        <f t="shared" si="7"/>
        <v>4.9706716723545236E-2</v>
      </c>
      <c r="G59" s="27">
        <v>1743000679</v>
      </c>
      <c r="H59" s="24">
        <v>1864262180</v>
      </c>
      <c r="I59" s="25">
        <f t="shared" si="8"/>
        <v>6.5204385276756788E-2</v>
      </c>
      <c r="J59" s="26">
        <v>1750145048</v>
      </c>
      <c r="K59" s="25">
        <f t="shared" si="9"/>
        <v>5.7917394396590396E-2</v>
      </c>
      <c r="L59" s="27">
        <v>1654330534</v>
      </c>
      <c r="M59" s="24">
        <f t="shared" si="10"/>
        <v>3801285447</v>
      </c>
      <c r="N59" s="25">
        <f t="shared" si="11"/>
        <v>6.1875477362524904E-2</v>
      </c>
      <c r="O59" s="26">
        <f t="shared" si="12"/>
        <v>3579784568</v>
      </c>
      <c r="P59" s="25">
        <f t="shared" si="13"/>
        <v>5.3704906457703101E-2</v>
      </c>
      <c r="Q59" s="28">
        <f t="shared" si="14"/>
        <v>3397331213</v>
      </c>
    </row>
    <row r="60" spans="1:17" x14ac:dyDescent="0.2">
      <c r="A60" s="23" t="s">
        <v>56</v>
      </c>
      <c r="B60" s="60" t="s">
        <v>120</v>
      </c>
      <c r="C60" s="24">
        <v>2177023130</v>
      </c>
      <c r="D60" s="25">
        <f t="shared" si="7"/>
        <v>3.9647556976309554E-2</v>
      </c>
      <c r="E60" s="26">
        <v>2094001102</v>
      </c>
      <c r="F60" s="25">
        <f t="shared" si="7"/>
        <v>4.2866875429547063E-2</v>
      </c>
      <c r="G60" s="27">
        <v>2007927523</v>
      </c>
      <c r="H60" s="24">
        <v>1870345252</v>
      </c>
      <c r="I60" s="25">
        <f t="shared" si="8"/>
        <v>5.8261688063788564E-2</v>
      </c>
      <c r="J60" s="26">
        <v>1767375001</v>
      </c>
      <c r="K60" s="25">
        <f t="shared" si="9"/>
        <v>6.812839685907017E-2</v>
      </c>
      <c r="L60" s="27">
        <v>1654646582</v>
      </c>
      <c r="M60" s="24">
        <f t="shared" si="10"/>
        <v>4047368382</v>
      </c>
      <c r="N60" s="25">
        <f t="shared" si="11"/>
        <v>4.8167356413558869E-2</v>
      </c>
      <c r="O60" s="26">
        <f t="shared" si="12"/>
        <v>3861376103</v>
      </c>
      <c r="P60" s="25">
        <f t="shared" si="13"/>
        <v>5.4279310752676224E-2</v>
      </c>
      <c r="Q60" s="28">
        <f t="shared" si="14"/>
        <v>3662574105</v>
      </c>
    </row>
    <row r="61" spans="1:17" x14ac:dyDescent="0.2">
      <c r="A61" s="23" t="s">
        <v>57</v>
      </c>
      <c r="B61" s="60" t="s">
        <v>120</v>
      </c>
      <c r="C61" s="24">
        <v>1225507772</v>
      </c>
      <c r="D61" s="25">
        <f t="shared" si="7"/>
        <v>2.4779383811933085E-2</v>
      </c>
      <c r="E61" s="26">
        <v>1195874733</v>
      </c>
      <c r="F61" s="25">
        <f t="shared" si="7"/>
        <v>2.4405563520510171E-2</v>
      </c>
      <c r="G61" s="27">
        <v>1167384067</v>
      </c>
      <c r="H61" s="24">
        <v>1044428629</v>
      </c>
      <c r="I61" s="25">
        <f t="shared" si="8"/>
        <v>2.9166752953751776E-2</v>
      </c>
      <c r="J61" s="26">
        <v>1014829352</v>
      </c>
      <c r="K61" s="25">
        <f t="shared" si="9"/>
        <v>3.130306225601294E-2</v>
      </c>
      <c r="L61" s="27">
        <v>984026315</v>
      </c>
      <c r="M61" s="24">
        <f t="shared" si="10"/>
        <v>2269936401</v>
      </c>
      <c r="N61" s="25">
        <f t="shared" si="11"/>
        <v>2.6793416813177869E-2</v>
      </c>
      <c r="O61" s="26">
        <f t="shared" si="12"/>
        <v>2210704085</v>
      </c>
      <c r="P61" s="25">
        <f t="shared" si="13"/>
        <v>2.7560387128409795E-2</v>
      </c>
      <c r="Q61" s="28">
        <f t="shared" si="14"/>
        <v>2151410382</v>
      </c>
    </row>
    <row r="62" spans="1:17" x14ac:dyDescent="0.2">
      <c r="A62" s="23" t="s">
        <v>58</v>
      </c>
      <c r="B62" s="60" t="s">
        <v>120</v>
      </c>
      <c r="C62" s="24">
        <v>3205631507</v>
      </c>
      <c r="D62" s="25">
        <f t="shared" si="7"/>
        <v>2.5676933243313382E-2</v>
      </c>
      <c r="E62" s="26">
        <v>3125381300</v>
      </c>
      <c r="F62" s="25">
        <f t="shared" si="7"/>
        <v>2.6716302241695473E-2</v>
      </c>
      <c r="G62" s="27">
        <v>3044055396</v>
      </c>
      <c r="H62" s="24">
        <v>2992031417</v>
      </c>
      <c r="I62" s="25">
        <f t="shared" si="8"/>
        <v>3.3979061060136637E-2</v>
      </c>
      <c r="J62" s="26">
        <v>2893706004</v>
      </c>
      <c r="K62" s="25">
        <f t="shared" si="9"/>
        <v>3.8143889626036369E-2</v>
      </c>
      <c r="L62" s="27">
        <v>2787384324</v>
      </c>
      <c r="M62" s="24">
        <f t="shared" si="10"/>
        <v>6197662924</v>
      </c>
      <c r="N62" s="25">
        <f t="shared" si="11"/>
        <v>2.966822227039756E-2</v>
      </c>
      <c r="O62" s="26">
        <f t="shared" si="12"/>
        <v>6019087304</v>
      </c>
      <c r="P62" s="25">
        <f t="shared" si="13"/>
        <v>3.2178603056879411E-2</v>
      </c>
      <c r="Q62" s="28">
        <f t="shared" si="14"/>
        <v>5831439720</v>
      </c>
    </row>
    <row r="63" spans="1:17" x14ac:dyDescent="0.2">
      <c r="A63" s="23" t="s">
        <v>59</v>
      </c>
      <c r="B63" s="60" t="s">
        <v>120</v>
      </c>
      <c r="C63" s="24">
        <v>2590002104</v>
      </c>
      <c r="D63" s="25">
        <f t="shared" si="7"/>
        <v>1.2905368715837001E-2</v>
      </c>
      <c r="E63" s="26">
        <v>2557003037</v>
      </c>
      <c r="F63" s="25">
        <f t="shared" si="7"/>
        <v>1.7134088669814671E-2</v>
      </c>
      <c r="G63" s="27">
        <v>2513929152</v>
      </c>
      <c r="H63" s="24">
        <v>2427932929</v>
      </c>
      <c r="I63" s="25">
        <f t="shared" si="8"/>
        <v>2.0785079777646653E-2</v>
      </c>
      <c r="J63" s="26">
        <v>2378495706</v>
      </c>
      <c r="K63" s="25">
        <f t="shared" si="9"/>
        <v>2.7104301538890114E-2</v>
      </c>
      <c r="L63" s="27">
        <v>2315729476</v>
      </c>
      <c r="M63" s="24">
        <f t="shared" si="10"/>
        <v>5017935033</v>
      </c>
      <c r="N63" s="25">
        <f t="shared" si="11"/>
        <v>1.6702727382297299E-2</v>
      </c>
      <c r="O63" s="26">
        <f t="shared" si="12"/>
        <v>4935498743</v>
      </c>
      <c r="P63" s="25">
        <f t="shared" si="13"/>
        <v>2.19146161565935E-2</v>
      </c>
      <c r="Q63" s="28">
        <f t="shared" si="14"/>
        <v>4829658628</v>
      </c>
    </row>
    <row r="64" spans="1:17" x14ac:dyDescent="0.2">
      <c r="A64" s="23" t="s">
        <v>60</v>
      </c>
      <c r="B64" s="60" t="s">
        <v>120</v>
      </c>
      <c r="C64" s="24">
        <v>1239617928</v>
      </c>
      <c r="D64" s="25">
        <f t="shared" si="7"/>
        <v>3.1618888843436506E-2</v>
      </c>
      <c r="E64" s="26">
        <v>1201623915</v>
      </c>
      <c r="F64" s="25">
        <f t="shared" si="7"/>
        <v>4.300976528664268E-2</v>
      </c>
      <c r="G64" s="27">
        <v>1152073504</v>
      </c>
      <c r="H64" s="24">
        <v>1141264309</v>
      </c>
      <c r="I64" s="25">
        <f t="shared" si="8"/>
        <v>4.3445118896157105E-2</v>
      </c>
      <c r="J64" s="26">
        <v>1093746368</v>
      </c>
      <c r="K64" s="25">
        <f t="shared" si="9"/>
        <v>5.3277069927868417E-2</v>
      </c>
      <c r="L64" s="27">
        <v>1038422272</v>
      </c>
      <c r="M64" s="24">
        <f t="shared" si="10"/>
        <v>2380882237</v>
      </c>
      <c r="N64" s="25">
        <f t="shared" si="11"/>
        <v>3.7254099973899509E-2</v>
      </c>
      <c r="O64" s="26">
        <f t="shared" si="12"/>
        <v>2295370283</v>
      </c>
      <c r="P64" s="25">
        <f t="shared" si="13"/>
        <v>4.787706424684747E-2</v>
      </c>
      <c r="Q64" s="28">
        <f t="shared" si="14"/>
        <v>2190495776</v>
      </c>
    </row>
    <row r="65" spans="1:17" x14ac:dyDescent="0.2">
      <c r="A65" s="23" t="s">
        <v>61</v>
      </c>
      <c r="B65" s="60" t="s">
        <v>121</v>
      </c>
      <c r="C65" s="24">
        <v>251114319</v>
      </c>
      <c r="D65" s="25">
        <f t="shared" si="7"/>
        <v>1.5238844505594464E-2</v>
      </c>
      <c r="E65" s="26">
        <v>247345066</v>
      </c>
      <c r="F65" s="25">
        <f t="shared" si="7"/>
        <v>3.7905323210015141E-3</v>
      </c>
      <c r="G65" s="27">
        <v>246411037</v>
      </c>
      <c r="H65" s="24">
        <v>156066778</v>
      </c>
      <c r="I65" s="25">
        <f t="shared" si="8"/>
        <v>4.9163807854188835E-2</v>
      </c>
      <c r="J65" s="26">
        <v>148753490</v>
      </c>
      <c r="K65" s="25">
        <f t="shared" si="9"/>
        <v>3.768514039815634E-2</v>
      </c>
      <c r="L65" s="27">
        <v>143351277</v>
      </c>
      <c r="M65" s="24">
        <f t="shared" si="10"/>
        <v>407181097</v>
      </c>
      <c r="N65" s="25">
        <f t="shared" si="11"/>
        <v>2.7979251204339153E-2</v>
      </c>
      <c r="O65" s="26">
        <f t="shared" si="12"/>
        <v>396098556</v>
      </c>
      <c r="P65" s="25">
        <f t="shared" si="13"/>
        <v>1.62566820146701E-2</v>
      </c>
      <c r="Q65" s="28">
        <f t="shared" si="14"/>
        <v>389762314</v>
      </c>
    </row>
    <row r="66" spans="1:17" x14ac:dyDescent="0.2">
      <c r="A66" s="23" t="s">
        <v>62</v>
      </c>
      <c r="B66" s="60" t="s">
        <v>121</v>
      </c>
      <c r="C66" s="24">
        <v>128265888</v>
      </c>
      <c r="D66" s="25">
        <f t="shared" si="7"/>
        <v>9.1825495405751158E-3</v>
      </c>
      <c r="E66" s="26">
        <v>127098797</v>
      </c>
      <c r="F66" s="25">
        <f t="shared" si="7"/>
        <v>1.3518600120282113E-2</v>
      </c>
      <c r="G66" s="27">
        <v>125403517</v>
      </c>
      <c r="H66" s="24">
        <v>63890450</v>
      </c>
      <c r="I66" s="25">
        <f t="shared" si="8"/>
        <v>5.7008051336909719E-2</v>
      </c>
      <c r="J66" s="26">
        <v>60444620</v>
      </c>
      <c r="K66" s="25">
        <f t="shared" si="9"/>
        <v>3.9878458441244304E-2</v>
      </c>
      <c r="L66" s="27">
        <v>58126620</v>
      </c>
      <c r="M66" s="24">
        <f t="shared" si="10"/>
        <v>192156338</v>
      </c>
      <c r="N66" s="25">
        <f t="shared" si="11"/>
        <v>2.4596549821847388E-2</v>
      </c>
      <c r="O66" s="26">
        <f t="shared" si="12"/>
        <v>187543417</v>
      </c>
      <c r="P66" s="25">
        <f t="shared" si="13"/>
        <v>2.1867144358967052E-2</v>
      </c>
      <c r="Q66" s="28">
        <f t="shared" si="14"/>
        <v>183530137</v>
      </c>
    </row>
    <row r="67" spans="1:17" x14ac:dyDescent="0.2">
      <c r="A67" s="23" t="s">
        <v>63</v>
      </c>
      <c r="B67" s="60" t="s">
        <v>121</v>
      </c>
      <c r="C67" s="24">
        <v>67423643</v>
      </c>
      <c r="D67" s="25">
        <f t="shared" si="7"/>
        <v>1.285345541478825E-2</v>
      </c>
      <c r="E67" s="26">
        <v>66568014</v>
      </c>
      <c r="F67" s="25">
        <f t="shared" si="7"/>
        <v>1.3308114497460444E-2</v>
      </c>
      <c r="G67" s="27">
        <v>65693754</v>
      </c>
      <c r="H67" s="24">
        <v>35625492</v>
      </c>
      <c r="I67" s="25">
        <f t="shared" si="8"/>
        <v>3.7370867673838681E-2</v>
      </c>
      <c r="J67" s="26">
        <v>34342098</v>
      </c>
      <c r="K67" s="25">
        <f t="shared" si="9"/>
        <v>4.900656838374947E-2</v>
      </c>
      <c r="L67" s="27">
        <v>32737734</v>
      </c>
      <c r="M67" s="24">
        <f t="shared" si="10"/>
        <v>103049135</v>
      </c>
      <c r="N67" s="25">
        <f t="shared" si="11"/>
        <v>2.1197310731356635E-2</v>
      </c>
      <c r="O67" s="26">
        <f t="shared" si="12"/>
        <v>100910112</v>
      </c>
      <c r="P67" s="25">
        <f t="shared" si="13"/>
        <v>2.5181210305385202E-2</v>
      </c>
      <c r="Q67" s="28">
        <f t="shared" si="14"/>
        <v>98431488</v>
      </c>
    </row>
    <row r="68" spans="1:17" x14ac:dyDescent="0.2">
      <c r="A68" s="23" t="s">
        <v>64</v>
      </c>
      <c r="B68" s="60" t="s">
        <v>120</v>
      </c>
      <c r="C68" s="24">
        <v>3534908019</v>
      </c>
      <c r="D68" s="25">
        <f t="shared" si="7"/>
        <v>2.265972832511862E-2</v>
      </c>
      <c r="E68" s="26">
        <v>3456582792</v>
      </c>
      <c r="F68" s="25">
        <f t="shared" si="7"/>
        <v>2.4297978827273699E-2</v>
      </c>
      <c r="G68" s="27">
        <v>3374587145</v>
      </c>
      <c r="H68" s="24">
        <v>3085681373</v>
      </c>
      <c r="I68" s="25">
        <f t="shared" si="8"/>
        <v>4.185685538141197E-2</v>
      </c>
      <c r="J68" s="26">
        <v>2961713365</v>
      </c>
      <c r="K68" s="25">
        <f t="shared" si="9"/>
        <v>5.0225206476359738E-2</v>
      </c>
      <c r="L68" s="27">
        <v>2820074539</v>
      </c>
      <c r="M68" s="24">
        <f t="shared" si="10"/>
        <v>6620589392</v>
      </c>
      <c r="N68" s="25">
        <f t="shared" si="11"/>
        <v>3.1518214499867303E-2</v>
      </c>
      <c r="O68" s="26">
        <f t="shared" si="12"/>
        <v>6418296157</v>
      </c>
      <c r="P68" s="25">
        <f t="shared" si="13"/>
        <v>3.6101160064579245E-2</v>
      </c>
      <c r="Q68" s="28">
        <f t="shared" si="14"/>
        <v>6194661684</v>
      </c>
    </row>
    <row r="69" spans="1:17" x14ac:dyDescent="0.2">
      <c r="A69" s="23" t="s">
        <v>65</v>
      </c>
      <c r="B69" s="60" t="s">
        <v>121</v>
      </c>
      <c r="C69" s="24">
        <v>227522384</v>
      </c>
      <c r="D69" s="25">
        <f t="shared" si="7"/>
        <v>3.6895204065851728E-2</v>
      </c>
      <c r="E69" s="26">
        <v>219426595</v>
      </c>
      <c r="F69" s="25">
        <f t="shared" si="7"/>
        <v>3.3915153145410194E-2</v>
      </c>
      <c r="G69" s="27">
        <v>212228822</v>
      </c>
      <c r="H69" s="24">
        <v>167446873</v>
      </c>
      <c r="I69" s="25">
        <f>((H69-J69)/J69)</f>
        <v>6.5038196563889192E-2</v>
      </c>
      <c r="J69" s="26">
        <v>157221472</v>
      </c>
      <c r="K69" s="25">
        <f>((J69-L69)/L69)</f>
        <v>6.8651110042621047E-2</v>
      </c>
      <c r="L69" s="27">
        <v>147121423</v>
      </c>
      <c r="M69" s="24">
        <f t="shared" si="10"/>
        <v>394969257</v>
      </c>
      <c r="N69" s="25">
        <f>((M69-O69)/O69)</f>
        <v>4.8642729394387151E-2</v>
      </c>
      <c r="O69" s="26">
        <f t="shared" si="12"/>
        <v>376648067</v>
      </c>
      <c r="P69" s="25">
        <f>((O69-Q69)/Q69)</f>
        <v>4.8136385714722417E-2</v>
      </c>
      <c r="Q69" s="28">
        <f t="shared" si="14"/>
        <v>359350245</v>
      </c>
    </row>
    <row r="70" spans="1:17" x14ac:dyDescent="0.2">
      <c r="A70" s="23" t="s">
        <v>66</v>
      </c>
      <c r="B70" s="60" t="s">
        <v>121</v>
      </c>
      <c r="C70" s="24">
        <v>463538722</v>
      </c>
      <c r="D70" s="25">
        <f t="shared" ref="D70:F73" si="15">((C70-E70)/E70)</f>
        <v>4.3943832577054143E-2</v>
      </c>
      <c r="E70" s="26">
        <v>444026496</v>
      </c>
      <c r="F70" s="25">
        <f t="shared" si="15"/>
        <v>4.0650362603175817E-2</v>
      </c>
      <c r="G70" s="27">
        <v>426681729</v>
      </c>
      <c r="H70" s="24">
        <v>363433717</v>
      </c>
      <c r="I70" s="25">
        <f>((H70-J70)/J70)</f>
        <v>6.1110508132108582E-2</v>
      </c>
      <c r="J70" s="26">
        <v>342503174</v>
      </c>
      <c r="K70" s="25">
        <f>((J70-L70)/L70)</f>
        <v>5.7291502527540727E-2</v>
      </c>
      <c r="L70" s="27">
        <v>323943939</v>
      </c>
      <c r="M70" s="24">
        <f t="shared" si="10"/>
        <v>826972439</v>
      </c>
      <c r="N70" s="25">
        <f>((M70-O70)/O70)</f>
        <v>5.1419254152230517E-2</v>
      </c>
      <c r="O70" s="26">
        <f t="shared" si="12"/>
        <v>786529670</v>
      </c>
      <c r="P70" s="25">
        <f>((O70-Q70)/Q70)</f>
        <v>4.7832099980892204E-2</v>
      </c>
      <c r="Q70" s="28">
        <f t="shared" si="14"/>
        <v>750625668</v>
      </c>
    </row>
    <row r="71" spans="1:17" x14ac:dyDescent="0.2">
      <c r="A71" s="23" t="s">
        <v>67</v>
      </c>
      <c r="B71" s="60" t="s">
        <v>121</v>
      </c>
      <c r="C71" s="24">
        <v>143180876</v>
      </c>
      <c r="D71" s="25">
        <f t="shared" si="15"/>
        <v>1.185930292012978E-2</v>
      </c>
      <c r="E71" s="26">
        <v>141502752</v>
      </c>
      <c r="F71" s="25">
        <f t="shared" si="15"/>
        <v>7.9613076894633188E-3</v>
      </c>
      <c r="G71" s="27">
        <v>140385103</v>
      </c>
      <c r="H71" s="24">
        <v>80834699</v>
      </c>
      <c r="I71" s="25">
        <f>((H71-J71)/J71)</f>
        <v>6.5207674826485207E-2</v>
      </c>
      <c r="J71" s="26">
        <v>75886328</v>
      </c>
      <c r="K71" s="25">
        <f>((J71-L71)/L71)</f>
        <v>6.4139755837591711E-2</v>
      </c>
      <c r="L71" s="27">
        <v>71312370</v>
      </c>
      <c r="M71" s="24">
        <f t="shared" si="10"/>
        <v>224015575</v>
      </c>
      <c r="N71" s="25">
        <f>((M71-O71)/O71)</f>
        <v>3.048218889375676E-2</v>
      </c>
      <c r="O71" s="26">
        <f t="shared" si="12"/>
        <v>217389080</v>
      </c>
      <c r="P71" s="25">
        <f>((O71-Q71)/Q71)</f>
        <v>2.68855689174901E-2</v>
      </c>
      <c r="Q71" s="28">
        <f t="shared" si="14"/>
        <v>211697473</v>
      </c>
    </row>
    <row r="72" spans="1:17" x14ac:dyDescent="0.2">
      <c r="A72" s="23"/>
      <c r="B72" s="60"/>
      <c r="C72" s="24"/>
      <c r="D72" s="30"/>
      <c r="E72" s="26"/>
      <c r="F72" s="30"/>
      <c r="G72" s="27"/>
      <c r="H72" s="24"/>
      <c r="I72" s="30"/>
      <c r="J72" s="26"/>
      <c r="K72" s="30"/>
      <c r="L72" s="27"/>
      <c r="M72" s="24"/>
      <c r="N72" s="30"/>
      <c r="O72" s="26"/>
      <c r="P72" s="30"/>
      <c r="Q72" s="28"/>
    </row>
    <row r="73" spans="1:17" ht="15.75" thickBot="1" x14ac:dyDescent="0.3">
      <c r="A73" s="31" t="s">
        <v>68</v>
      </c>
      <c r="B73" s="32"/>
      <c r="C73" s="33">
        <f>SUM(C5:C71)</f>
        <v>120101722716</v>
      </c>
      <c r="D73" s="34">
        <f t="shared" si="15"/>
        <v>2.1255350528820861E-2</v>
      </c>
      <c r="E73" s="33">
        <f>SUM(E5:E71)</f>
        <v>117602049922</v>
      </c>
      <c r="F73" s="34">
        <f t="shared" si="15"/>
        <v>2.3210621075244943E-2</v>
      </c>
      <c r="G73" s="36">
        <f>SUM(G5:G71)</f>
        <v>114934352224</v>
      </c>
      <c r="H73" s="33">
        <f>SUM(H5:H71)</f>
        <v>104297499940</v>
      </c>
      <c r="I73" s="34">
        <f>((H73-J73)/J73)</f>
        <v>3.5733832956458642E-2</v>
      </c>
      <c r="J73" s="35">
        <f>SUM(J5:J71)</f>
        <v>100699133910</v>
      </c>
      <c r="K73" s="34">
        <f>((J73-L73)/L73)</f>
        <v>4.1801652360279155E-2</v>
      </c>
      <c r="L73" s="36">
        <f>SUM(L5:L71)</f>
        <v>96658642921</v>
      </c>
      <c r="M73" s="33">
        <f>SUM(M5:M71)</f>
        <v>224399222656</v>
      </c>
      <c r="N73" s="34">
        <f>((M73-O73)/O73)</f>
        <v>2.7934062092365576E-2</v>
      </c>
      <c r="O73" s="35">
        <f>SUM(O5:O71)</f>
        <v>218301183832</v>
      </c>
      <c r="P73" s="34">
        <f>((O73-Q73)/Q73)</f>
        <v>3.1703264479067593E-2</v>
      </c>
      <c r="Q73" s="37">
        <f>SUM(Q5:Q71)</f>
        <v>211592995145</v>
      </c>
    </row>
    <row r="75" spans="1:17" x14ac:dyDescent="0.2">
      <c r="A75" s="38" t="s">
        <v>122</v>
      </c>
    </row>
  </sheetData>
  <phoneticPr fontId="0" type="noConversion"/>
  <conditionalFormatting sqref="A4:Q73">
    <cfRule type="expression" dxfId="0" priority="1" stopIfTrue="1">
      <formula>MOD(ROW(),3)=1</formula>
    </cfRule>
  </conditionalFormatting>
  <pageMargins left="0.7" right="0.7" top="0.75" bottom="0.75" header="0.3" footer="0.3"/>
  <pageSetup scale="65" fitToWidth="3" orientation="landscape" r:id="rId1"/>
  <headerFooter alignWithMargins="0"/>
  <rowBreaks count="1" manualBreakCount="1">
    <brk id="37" max="16383" man="1"/>
  </rowBreaks>
  <ignoredErrors>
    <ignoredError sqref="Q5:Q16 J73 O72:O73 O5:O28 O66:O71 O29:O65 G73 L73 N5:N73 P5:P7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11667BA-5A91-4017-9720-7756279A2ED1}"/>
</file>

<file path=customXml/itemProps2.xml><?xml version="1.0" encoding="utf-8"?>
<ds:datastoreItem xmlns:ds="http://schemas.openxmlformats.org/officeDocument/2006/customXml" ds:itemID="{6D5EF071-23D7-49C2-9025-E657B27305C6}"/>
</file>

<file path=customXml/itemProps3.xml><?xml version="1.0" encoding="utf-8"?>
<ds:datastoreItem xmlns:ds="http://schemas.openxmlformats.org/officeDocument/2006/customXml" ds:itemID="{8DD600BE-0CF6-471D-BC70-1E9D7714C1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 Index</vt:lpstr>
      <vt:lpstr>Total Exemption Value by Type</vt:lpstr>
      <vt:lpstr>Real Exemption Value by Type</vt:lpstr>
      <vt:lpstr>Personal Property by Type</vt:lpstr>
      <vt:lpstr>3-Year Homestead Comparison</vt:lpstr>
    </vt:vector>
  </TitlesOfParts>
  <Company>Florida Dept.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Florida Dept. of Revenue</dc:creator>
  <cp:lastModifiedBy>Allison Kever</cp:lastModifiedBy>
  <cp:lastPrinted>2011-08-03T19:54:02Z</cp:lastPrinted>
  <dcterms:created xsi:type="dcterms:W3CDTF">2011-02-09T19:53:54Z</dcterms:created>
  <dcterms:modified xsi:type="dcterms:W3CDTF">2021-12-14T14:21:21Z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