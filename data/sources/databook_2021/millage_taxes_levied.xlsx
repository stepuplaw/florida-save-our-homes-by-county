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1 Data Book\Final Drafts\"/>
    </mc:Choice>
  </mc:AlternateContent>
  <xr:revisionPtr revIDLastSave="0" documentId="13_ncr:1_{F8E61477-0F69-4D8B-87C5-FF348E1F3F2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Report Index" sheetId="4" r:id="rId1"/>
    <sheet name="Millage Rates" sheetId="1" r:id="rId2"/>
    <sheet name="Taxes Levied" sheetId="2" r:id="rId3"/>
    <sheet name="Tax Roll Reconciliatio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3" i="2" l="1"/>
  <c r="C73" i="2"/>
  <c r="D73" i="2"/>
  <c r="E73" i="2"/>
  <c r="F73" i="2"/>
  <c r="G73" i="2"/>
  <c r="I73" i="2"/>
  <c r="J73" i="2"/>
  <c r="K73" i="2"/>
  <c r="L73" i="2"/>
  <c r="M73" i="2"/>
  <c r="N73" i="2" s="1"/>
  <c r="E73" i="3"/>
  <c r="C73" i="3"/>
  <c r="D73" i="3"/>
  <c r="F73" i="3"/>
  <c r="G73" i="3"/>
  <c r="H73" i="3"/>
  <c r="I73" i="3"/>
  <c r="J73" i="3"/>
  <c r="K73" i="3"/>
  <c r="L73" i="3"/>
  <c r="M73" i="3"/>
  <c r="N73" i="3"/>
  <c r="O73" i="3"/>
  <c r="B73" i="3"/>
  <c r="H73" i="2" l="1"/>
  <c r="O73" i="2" s="1"/>
</calcChain>
</file>

<file path=xl/sharedStrings.xml><?xml version="1.0" encoding="utf-8"?>
<sst xmlns="http://schemas.openxmlformats.org/spreadsheetml/2006/main" count="274" uniqueCount="119">
  <si>
    <t>County-Wide Levies</t>
  </si>
  <si>
    <t>County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</si>
  <si>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</si>
  <si>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</si>
  <si>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</si>
  <si>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</si>
  <si>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</si>
  <si>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</si>
  <si>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</si>
  <si>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</si>
  <si>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</si>
  <si>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</si>
  <si>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</si>
  <si>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</si>
  <si>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</si>
  <si>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</si>
  <si>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</si>
  <si>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</si>
  <si>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</si>
  <si>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</si>
  <si>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</si>
  <si>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</si>
  <si>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</si>
  <si>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</si>
  <si>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</si>
  <si>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</si>
  <si>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</si>
  <si>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</si>
  <si>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</si>
  <si>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</si>
  <si>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</si>
  <si>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</si>
  <si>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</si>
  <si>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</si>
  <si>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</si>
  <si>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</si>
  <si>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</si>
  <si>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</si>
  <si>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</si>
  <si>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</si>
  <si>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</si>
  <si>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</si>
  <si>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</si>
  <si>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</si>
  <si>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</si>
  <si>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</si>
  <si>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</si>
  <si>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</si>
  <si>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</si>
  <si>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</si>
  <si>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</si>
  <si>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</si>
  <si>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</si>
  <si>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</si>
  <si>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</si>
  <si>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</si>
  <si>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</si>
  <si>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</si>
  <si>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</si>
  <si>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</si>
  <si>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</si>
  <si>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</si>
  <si>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</si>
  <si>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</si>
  <si>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</si>
  <si>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</si>
  <si>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MSTU</t>
  </si>
  <si>
    <t>Municipal</t>
  </si>
  <si>
    <t>*Aggregate millage rates calculated by dividing total taxes levied by the county-wide taxable value.</t>
  </si>
  <si>
    <t>School millages are calculated based on school taxable value.</t>
  </si>
  <si>
    <t>Statewide</t>
  </si>
  <si>
    <t>Less Than County-Wide Levies</t>
  </si>
  <si>
    <t>Grand Total</t>
  </si>
  <si>
    <t>County Government Operating</t>
  </si>
  <si>
    <t>County Government Debt Service</t>
  </si>
  <si>
    <t>County Government Dependent Special District</t>
  </si>
  <si>
    <t>School Board Operating</t>
  </si>
  <si>
    <t>School Board Debt Service</t>
  </si>
  <si>
    <t>Independent Special Districts</t>
  </si>
  <si>
    <t>Sub Total (County Wide Millage)</t>
  </si>
  <si>
    <t>Sub Total (Aggregate Millage)</t>
  </si>
  <si>
    <t>Total Millage Rate</t>
  </si>
  <si>
    <t>Millage Rates by County</t>
  </si>
  <si>
    <t>Taxes Levied by County</t>
  </si>
  <si>
    <t>Total</t>
  </si>
  <si>
    <t>As Certified by Property Appraisers</t>
  </si>
  <si>
    <t>Additions or Deductions (-)</t>
  </si>
  <si>
    <t>Collected on Current Tax Roll</t>
  </si>
  <si>
    <t>Total Taxes Levied (1+2)</t>
  </si>
  <si>
    <t>Total Monies Collected</t>
  </si>
  <si>
    <t>Discount Allowed</t>
  </si>
  <si>
    <t>Credit on Collections (5+6)</t>
  </si>
  <si>
    <t>Warrants Pending</t>
  </si>
  <si>
    <t>Sale Certificates Omitted Taxes</t>
  </si>
  <si>
    <t>Errors and Insolvencies</t>
  </si>
  <si>
    <t>Uncollected Taxes Due to Pending Litigation</t>
  </si>
  <si>
    <t>Penalties and Interest on Warrants</t>
  </si>
  <si>
    <t>Over (-) or Under Collected</t>
  </si>
  <si>
    <t>Total Credits</t>
  </si>
  <si>
    <t>Millage and Taxes Levied Report</t>
  </si>
  <si>
    <t>Millage Rates</t>
  </si>
  <si>
    <t>Taxes Levied</t>
  </si>
  <si>
    <t>Tax Roll Reconciliation</t>
  </si>
  <si>
    <t>All other millages calculated based on county taxable value.</t>
  </si>
  <si>
    <t xml:space="preserve">Contact Information: </t>
  </si>
  <si>
    <t xml:space="preserve">Property Tax Oversight, Research &amp; Analysis  </t>
  </si>
  <si>
    <t>Dade</t>
  </si>
  <si>
    <r>
      <t>Reconciliation of Tax Roll Collections</t>
    </r>
    <r>
      <rPr>
        <b/>
        <vertAlign val="superscript"/>
        <sz val="18"/>
        <color indexed="8"/>
        <rFont val="Arial"/>
        <family val="2"/>
      </rPr>
      <t>1</t>
    </r>
  </si>
  <si>
    <r>
      <t>Orange</t>
    </r>
    <r>
      <rPr>
        <vertAlign val="superscript"/>
        <sz val="11"/>
        <rFont val="Arial"/>
        <family val="2"/>
      </rPr>
      <t>2</t>
    </r>
  </si>
  <si>
    <r>
      <t>Osceola</t>
    </r>
    <r>
      <rPr>
        <vertAlign val="superscript"/>
        <sz val="11"/>
        <rFont val="Arial"/>
        <family val="2"/>
      </rPr>
      <t>2</t>
    </r>
  </si>
  <si>
    <r>
      <rPr>
        <vertAlign val="superscript"/>
        <sz val="11"/>
        <color indexed="8"/>
        <rFont val="Arial"/>
        <family val="2"/>
      </rPr>
      <t>1</t>
    </r>
    <r>
      <rPr>
        <sz val="11"/>
        <color indexed="8"/>
        <rFont val="Arial"/>
        <family val="2"/>
      </rPr>
      <t>In some counties warrants and penalty data may be reported in the over/under collected column.</t>
    </r>
  </si>
  <si>
    <r>
      <rPr>
        <vertAlign val="superscript"/>
        <sz val="11"/>
        <color indexed="8"/>
        <rFont val="Arial"/>
        <family val="2"/>
      </rPr>
      <t>2</t>
    </r>
    <r>
      <rPr>
        <sz val="11"/>
        <color indexed="8"/>
        <rFont val="Arial"/>
        <family val="2"/>
      </rPr>
      <t>Data does not include Reedy Creek Improvement District.</t>
    </r>
  </si>
  <si>
    <r>
      <t>Orange</t>
    </r>
    <r>
      <rPr>
        <vertAlign val="superscript"/>
        <sz val="11"/>
        <color indexed="8"/>
        <rFont val="Arial"/>
        <family val="2"/>
      </rPr>
      <t>1</t>
    </r>
  </si>
  <si>
    <r>
      <t>Osceola</t>
    </r>
    <r>
      <rPr>
        <vertAlign val="superscript"/>
        <sz val="11"/>
        <color indexed="8"/>
        <rFont val="Arial"/>
        <family val="2"/>
      </rPr>
      <t>1</t>
    </r>
  </si>
  <si>
    <r>
      <rPr>
        <vertAlign val="superscript"/>
        <sz val="11"/>
        <color indexed="8"/>
        <rFont val="Arial"/>
        <family val="2"/>
      </rPr>
      <t>1</t>
    </r>
    <r>
      <rPr>
        <sz val="11"/>
        <color indexed="8"/>
        <rFont val="Arial"/>
        <family val="2"/>
      </rPr>
      <t>Data does not include Reedy Creek Improvement District.</t>
    </r>
  </si>
  <si>
    <t>PTOResearchAnalysis@floridarevenue.com</t>
  </si>
  <si>
    <t>Percent Increase 2020 Over 2019</t>
  </si>
  <si>
    <t>2021 Report - Collections of 2020 Tax Roll Levies</t>
  </si>
  <si>
    <t>Data Extract: November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</si>
</sst>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u/>
      <sz val="11"/>
      <color indexed="12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</font>
    <font>
      <i/>
      <sz val="11"/>
      <name val="Arial"/>
      <family val="2"/>
    </font>
    <font>
      <sz val="11"/>
      <name val="Arial"/>
      <family val="2"/>
    </font>
    <font>
      <b/>
      <vertAlign val="superscript"/>
      <sz val="18"/>
      <color indexed="8"/>
      <name val="Arial"/>
      <family val="2"/>
    </font>
    <font>
      <b/>
      <sz val="11"/>
      <name val="Arial"/>
      <family val="2"/>
    </font>
    <font>
      <vertAlign val="superscript"/>
      <sz val="11"/>
      <name val="Arial"/>
      <family val="2"/>
    </font>
    <font>
      <vertAlign val="superscript"/>
      <sz val="11"/>
      <color indexed="8"/>
      <name val="Arial"/>
      <family val="2"/>
    </font>
    <font>
      <u/>
      <sz val="11"/>
      <color theme="10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7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8" fillId="0" borderId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1" xfId="0" applyFont="1" applyBorder="1" applyAlignment="1">
      <alignment horizontal="left" vertical="center"/>
    </xf>
    <xf numFmtId="0" fontId="4" fillId="0" borderId="0" xfId="0" applyFont="1"/>
    <xf numFmtId="0" fontId="3" fillId="0" borderId="0" xfId="0" applyFont="1"/>
    <xf numFmtId="0" fontId="10" fillId="0" borderId="0" xfId="0" applyFont="1"/>
    <xf numFmtId="0" fontId="11" fillId="0" borderId="0" xfId="0" applyFont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7" fillId="2" borderId="3" xfId="3" applyFont="1" applyFill="1" applyBorder="1" applyAlignment="1">
      <alignment horizontal="center" vertical="center" wrapText="1"/>
    </xf>
    <xf numFmtId="0" fontId="7" fillId="2" borderId="4" xfId="3" applyFont="1" applyFill="1" applyBorder="1" applyAlignment="1">
      <alignment horizontal="center" vertical="center" wrapText="1"/>
    </xf>
    <xf numFmtId="0" fontId="7" fillId="2" borderId="5" xfId="3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17" fillId="0" borderId="0" xfId="0" applyFont="1" applyBorder="1"/>
    <xf numFmtId="0" fontId="17" fillId="0" borderId="0" xfId="0" applyFont="1" applyFill="1"/>
    <xf numFmtId="0" fontId="4" fillId="0" borderId="1" xfId="0" applyFont="1" applyBorder="1" applyAlignment="1">
      <alignment horizontal="left" vertical="center"/>
    </xf>
    <xf numFmtId="0" fontId="11" fillId="0" borderId="0" xfId="3" applyFont="1"/>
    <xf numFmtId="0" fontId="4" fillId="0" borderId="0" xfId="0" applyFont="1" applyBorder="1" applyAlignment="1">
      <alignment horizontal="left" vertical="center"/>
    </xf>
    <xf numFmtId="0" fontId="11" fillId="0" borderId="6" xfId="3" applyFont="1" applyBorder="1"/>
    <xf numFmtId="4" fontId="11" fillId="0" borderId="7" xfId="3" applyNumberFormat="1" applyFont="1" applyBorder="1"/>
    <xf numFmtId="4" fontId="11" fillId="0" borderId="8" xfId="3" applyNumberFormat="1" applyFont="1" applyBorder="1"/>
    <xf numFmtId="4" fontId="11" fillId="0" borderId="9" xfId="3" applyNumberFormat="1" applyFont="1" applyBorder="1"/>
    <xf numFmtId="4" fontId="11" fillId="0" borderId="10" xfId="3" applyNumberFormat="1" applyFont="1" applyBorder="1"/>
    <xf numFmtId="4" fontId="11" fillId="0" borderId="7" xfId="1" applyNumberFormat="1" applyFont="1" applyBorder="1"/>
    <xf numFmtId="0" fontId="13" fillId="2" borderId="11" xfId="3" applyFont="1" applyFill="1" applyBorder="1"/>
    <xf numFmtId="4" fontId="13" fillId="2" borderId="12" xfId="3" applyNumberFormat="1" applyFont="1" applyFill="1" applyBorder="1"/>
    <xf numFmtId="4" fontId="13" fillId="2" borderId="13" xfId="3" applyNumberFormat="1" applyFont="1" applyFill="1" applyBorder="1"/>
    <xf numFmtId="0" fontId="3" fillId="0" borderId="0" xfId="0" applyFont="1" applyFill="1" applyBorder="1" applyAlignment="1">
      <alignment horizontal="left"/>
    </xf>
    <xf numFmtId="0" fontId="3" fillId="0" borderId="0" xfId="0" applyFont="1" applyAlignment="1"/>
    <xf numFmtId="0" fontId="3" fillId="0" borderId="0" xfId="0" applyFont="1" applyBorder="1" applyAlignment="1"/>
    <xf numFmtId="0" fontId="3" fillId="0" borderId="14" xfId="0" applyFont="1" applyBorder="1" applyAlignment="1">
      <alignment horizontal="left"/>
    </xf>
    <xf numFmtId="3" fontId="3" fillId="0" borderId="15" xfId="0" applyNumberFormat="1" applyFont="1" applyBorder="1" applyAlignment="1">
      <alignment horizontal="right"/>
    </xf>
    <xf numFmtId="3" fontId="3" fillId="0" borderId="7" xfId="0" applyNumberFormat="1" applyFont="1" applyBorder="1" applyAlignment="1">
      <alignment horizontal="right"/>
    </xf>
    <xf numFmtId="3" fontId="3" fillId="0" borderId="9" xfId="0" applyNumberFormat="1" applyFont="1" applyBorder="1" applyAlignment="1">
      <alignment horizontal="right"/>
    </xf>
    <xf numFmtId="3" fontId="3" fillId="0" borderId="14" xfId="0" applyNumberFormat="1" applyFont="1" applyBorder="1" applyAlignment="1">
      <alignment horizontal="right"/>
    </xf>
    <xf numFmtId="3" fontId="3" fillId="0" borderId="6" xfId="0" applyNumberFormat="1" applyFont="1" applyBorder="1" applyAlignment="1">
      <alignment horizontal="right"/>
    </xf>
    <xf numFmtId="3" fontId="3" fillId="0" borderId="16" xfId="0" applyNumberFormat="1" applyFont="1" applyBorder="1" applyAlignment="1">
      <alignment horizontal="right"/>
    </xf>
    <xf numFmtId="3" fontId="3" fillId="0" borderId="17" xfId="0" applyNumberFormat="1" applyFont="1" applyBorder="1" applyAlignment="1">
      <alignment horizontal="right"/>
    </xf>
    <xf numFmtId="3" fontId="3" fillId="0" borderId="18" xfId="0" applyNumberFormat="1" applyFont="1" applyBorder="1" applyAlignment="1">
      <alignment horizontal="right"/>
    </xf>
    <xf numFmtId="3" fontId="3" fillId="0" borderId="19" xfId="0" applyNumberFormat="1" applyFont="1" applyFill="1" applyBorder="1" applyAlignment="1">
      <alignment horizontal="right"/>
    </xf>
    <xf numFmtId="3" fontId="3" fillId="0" borderId="12" xfId="0" applyNumberFormat="1" applyFont="1" applyFill="1" applyBorder="1" applyAlignment="1">
      <alignment horizontal="right"/>
    </xf>
    <xf numFmtId="3" fontId="3" fillId="0" borderId="20" xfId="0" applyNumberFormat="1" applyFont="1" applyFill="1" applyBorder="1" applyAlignment="1">
      <alignment horizontal="right"/>
    </xf>
    <xf numFmtId="3" fontId="3" fillId="0" borderId="21" xfId="0" applyNumberFormat="1" applyFont="1" applyBorder="1" applyAlignment="1">
      <alignment horizontal="right"/>
    </xf>
    <xf numFmtId="3" fontId="3" fillId="0" borderId="11" xfId="0" applyNumberFormat="1" applyFont="1" applyBorder="1" applyAlignment="1">
      <alignment horizontal="right"/>
    </xf>
    <xf numFmtId="3" fontId="3" fillId="0" borderId="12" xfId="0" applyNumberFormat="1" applyFont="1" applyBorder="1" applyAlignment="1">
      <alignment horizontal="right"/>
    </xf>
    <xf numFmtId="0" fontId="3" fillId="0" borderId="21" xfId="0" applyFont="1" applyBorder="1" applyAlignment="1">
      <alignment horizontal="left"/>
    </xf>
    <xf numFmtId="0" fontId="6" fillId="2" borderId="2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left"/>
    </xf>
    <xf numFmtId="3" fontId="3" fillId="0" borderId="21" xfId="0" applyNumberFormat="1" applyFont="1" applyFill="1" applyBorder="1" applyAlignment="1">
      <alignment horizontal="left"/>
    </xf>
    <xf numFmtId="164" fontId="3" fillId="0" borderId="15" xfId="0" applyNumberFormat="1" applyFont="1" applyBorder="1" applyAlignment="1">
      <alignment horizontal="right"/>
    </xf>
    <xf numFmtId="164" fontId="3" fillId="0" borderId="7" xfId="0" applyNumberFormat="1" applyFont="1" applyBorder="1" applyAlignment="1">
      <alignment horizontal="right"/>
    </xf>
    <xf numFmtId="164" fontId="3" fillId="0" borderId="9" xfId="0" applyNumberFormat="1" applyFont="1" applyBorder="1" applyAlignment="1">
      <alignment horizontal="right"/>
    </xf>
    <xf numFmtId="164" fontId="3" fillId="0" borderId="14" xfId="0" applyNumberFormat="1" applyFont="1" applyBorder="1" applyAlignment="1">
      <alignment horizontal="right"/>
    </xf>
    <xf numFmtId="164" fontId="3" fillId="0" borderId="6" xfId="0" applyNumberFormat="1" applyFont="1" applyBorder="1" applyAlignment="1">
      <alignment horizontal="right"/>
    </xf>
    <xf numFmtId="164" fontId="3" fillId="0" borderId="8" xfId="0" applyNumberFormat="1" applyFont="1" applyBorder="1" applyAlignment="1">
      <alignment horizontal="right"/>
    </xf>
    <xf numFmtId="164" fontId="3" fillId="0" borderId="19" xfId="0" applyNumberFormat="1" applyFont="1" applyBorder="1" applyAlignment="1">
      <alignment horizontal="right"/>
    </xf>
    <xf numFmtId="164" fontId="3" fillId="0" borderId="12" xfId="0" applyNumberFormat="1" applyFont="1" applyBorder="1" applyAlignment="1">
      <alignment horizontal="right"/>
    </xf>
    <xf numFmtId="164" fontId="3" fillId="0" borderId="20" xfId="0" applyNumberFormat="1" applyFont="1" applyBorder="1" applyAlignment="1">
      <alignment horizontal="right"/>
    </xf>
    <xf numFmtId="164" fontId="3" fillId="0" borderId="21" xfId="0" applyNumberFormat="1" applyFont="1" applyBorder="1" applyAlignment="1">
      <alignment horizontal="right"/>
    </xf>
    <xf numFmtId="164" fontId="3" fillId="0" borderId="11" xfId="0" applyNumberFormat="1" applyFont="1" applyBorder="1" applyAlignment="1">
      <alignment horizontal="right"/>
    </xf>
    <xf numFmtId="164" fontId="3" fillId="0" borderId="13" xfId="0" applyNumberFormat="1" applyFont="1" applyBorder="1" applyAlignment="1">
      <alignment horizontal="right"/>
    </xf>
    <xf numFmtId="4" fontId="11" fillId="0" borderId="15" xfId="3" applyNumberFormat="1" applyFont="1" applyBorder="1"/>
    <xf numFmtId="0" fontId="19" fillId="0" borderId="0" xfId="2" applyFont="1" applyAlignment="1" applyProtection="1"/>
    <xf numFmtId="10" fontId="3" fillId="0" borderId="8" xfId="4" applyNumberFormat="1" applyFont="1" applyBorder="1" applyAlignment="1">
      <alignment horizontal="right"/>
    </xf>
    <xf numFmtId="10" fontId="3" fillId="0" borderId="13" xfId="4" applyNumberFormat="1" applyFont="1" applyBorder="1" applyAlignment="1">
      <alignment horizontal="right"/>
    </xf>
    <xf numFmtId="10" fontId="17" fillId="0" borderId="8" xfId="4" applyNumberFormat="1" applyFont="1" applyBorder="1" applyAlignment="1">
      <alignment horizontal="right" vertical="center"/>
    </xf>
    <xf numFmtId="0" fontId="5" fillId="0" borderId="0" xfId="2" applyFont="1" applyAlignment="1" applyProtection="1">
      <alignment horizontal="left"/>
    </xf>
    <xf numFmtId="0" fontId="4" fillId="2" borderId="24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_Sheet3" xfId="3" xr:uid="{00000000-0005-0000-0000-000003000000}"/>
    <cellStyle name="Percent" xfId="4" builtinId="5"/>
  </cellStyles>
  <dxfs count="5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OResearchAnalysis@floridarevenu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5"/>
  <sheetViews>
    <sheetView tabSelected="1" workbookViewId="0"/>
  </sheetViews>
  <sheetFormatPr defaultRowHeight="14.25" x14ac:dyDescent="0.2"/>
  <cols>
    <col min="1" max="16384" width="9.140625" style="3"/>
  </cols>
  <sheetData>
    <row r="2" spans="1:8" ht="15" x14ac:dyDescent="0.25">
      <c r="A2" s="2" t="s">
        <v>99</v>
      </c>
    </row>
    <row r="4" spans="1:8" x14ac:dyDescent="0.2">
      <c r="B4" s="71" t="s">
        <v>100</v>
      </c>
      <c r="C4" s="71"/>
      <c r="D4" s="71"/>
      <c r="E4" s="71"/>
      <c r="F4" s="71"/>
      <c r="G4" s="71"/>
      <c r="H4" s="71"/>
    </row>
    <row r="6" spans="1:8" x14ac:dyDescent="0.2">
      <c r="B6" s="71" t="s">
        <v>101</v>
      </c>
      <c r="C6" s="71"/>
      <c r="D6" s="71"/>
      <c r="E6" s="71"/>
      <c r="F6" s="71"/>
      <c r="G6" s="71"/>
      <c r="H6" s="71"/>
    </row>
    <row r="8" spans="1:8" x14ac:dyDescent="0.2">
      <c r="B8" s="71" t="s">
        <v>102</v>
      </c>
      <c r="C8" s="71"/>
      <c r="D8" s="71"/>
      <c r="E8" s="71"/>
      <c r="F8" s="71"/>
      <c r="G8" s="71"/>
      <c r="H8" s="71"/>
    </row>
    <row r="14" spans="1:8" x14ac:dyDescent="0.2">
      <c r="A14" s="4" t="s">
        <v>104</v>
      </c>
      <c r="B14" s="5"/>
      <c r="C14" s="5"/>
      <c r="D14" s="4" t="s">
        <v>105</v>
      </c>
      <c r="E14" s="5"/>
      <c r="F14" s="5"/>
      <c r="G14" s="5"/>
      <c r="H14" s="5"/>
    </row>
    <row r="15" spans="1:8" x14ac:dyDescent="0.2">
      <c r="A15" s="5"/>
      <c r="B15" s="5"/>
      <c r="C15" s="5"/>
      <c r="D15" s="67" t="s">
        <v>115</v>
      </c>
      <c r="E15" s="5"/>
      <c r="F15" s="5"/>
      <c r="G15" s="5"/>
      <c r="H15" s="5"/>
    </row>
  </sheetData>
  <mergeCells count="3">
    <mergeCell ref="B4:H4"/>
    <mergeCell ref="B6:H6"/>
    <mergeCell ref="B8:H8"/>
  </mergeCells>
  <phoneticPr fontId="9" type="noConversion"/>
  <hyperlinks>
    <hyperlink ref="B4:H4" location="'Millage Rates'!A1" display="Millage Rates" xr:uid="{00000000-0004-0000-0000-000000000000}"/>
    <hyperlink ref="B6:H6" location="'Taxes Levied'!A1" display="Taxes Levied" xr:uid="{00000000-0004-0000-0000-000001000000}"/>
    <hyperlink ref="B8:H8" location="'Tax Roll Reconciliation'!A1" display="Tax Roll Reconciliation" xr:uid="{00000000-0004-0000-0000-000002000000}"/>
    <hyperlink ref="D15" r:id="rId1" xr:uid="{00000000-0004-0000-0000-000003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9"/>
  <sheetViews>
    <sheetView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7.7109375" style="3" customWidth="1"/>
    <col min="2" max="2" width="13.5703125" style="3" bestFit="1" customWidth="1"/>
    <col min="3" max="3" width="13.140625" style="3" customWidth="1"/>
    <col min="4" max="4" width="13.42578125" style="3" customWidth="1"/>
    <col min="5" max="5" width="14" style="3" bestFit="1" customWidth="1"/>
    <col min="6" max="6" width="12.5703125" style="3" bestFit="1" customWidth="1"/>
    <col min="7" max="7" width="12.85546875" style="3" bestFit="1" customWidth="1"/>
    <col min="8" max="8" width="14" style="3" bestFit="1" customWidth="1"/>
    <col min="9" max="9" width="12.42578125" style="3" bestFit="1" customWidth="1"/>
    <col min="10" max="10" width="13.42578125" style="3" customWidth="1"/>
    <col min="11" max="11" width="12.7109375" style="3" bestFit="1" customWidth="1"/>
    <col min="12" max="12" width="12" style="3" bestFit="1" customWidth="1"/>
    <col min="13" max="13" width="12.85546875" style="3" bestFit="1" customWidth="1"/>
    <col min="14" max="14" width="13.5703125" style="3" bestFit="1" customWidth="1"/>
    <col min="15" max="15" width="13.85546875" style="3" bestFit="1" customWidth="1"/>
    <col min="16" max="16" width="10" style="10" bestFit="1" customWidth="1"/>
    <col min="17" max="16384" width="9.140625" style="10"/>
  </cols>
  <sheetData>
    <row r="1" spans="1:16" ht="23.25" x14ac:dyDescent="0.2">
      <c r="A1" s="1" t="s">
        <v>82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16"/>
    </row>
    <row r="2" spans="1:16" ht="15.75" thickBot="1" x14ac:dyDescent="0.25">
      <c r="A2" s="18">
        <v>2021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16"/>
    </row>
    <row r="3" spans="1:16" ht="15.75" thickBot="1" x14ac:dyDescent="0.3">
      <c r="A3" s="18"/>
      <c r="B3" s="72" t="s">
        <v>0</v>
      </c>
      <c r="C3" s="73"/>
      <c r="D3" s="73"/>
      <c r="E3" s="73"/>
      <c r="F3" s="73"/>
      <c r="G3" s="74"/>
      <c r="H3" s="31"/>
      <c r="I3" s="72" t="s">
        <v>71</v>
      </c>
      <c r="J3" s="73"/>
      <c r="K3" s="73"/>
      <c r="L3" s="73"/>
      <c r="M3" s="74"/>
      <c r="N3" s="31"/>
      <c r="O3" s="31"/>
      <c r="P3" s="16"/>
    </row>
    <row r="4" spans="1:16" s="11" customFormat="1" ht="63.75" x14ac:dyDescent="0.2">
      <c r="A4" s="6" t="s">
        <v>1</v>
      </c>
      <c r="B4" s="49" t="s">
        <v>73</v>
      </c>
      <c r="C4" s="50" t="s">
        <v>74</v>
      </c>
      <c r="D4" s="50" t="s">
        <v>75</v>
      </c>
      <c r="E4" s="50" t="s">
        <v>76</v>
      </c>
      <c r="F4" s="50" t="s">
        <v>77</v>
      </c>
      <c r="G4" s="51" t="s">
        <v>78</v>
      </c>
      <c r="H4" s="6" t="s">
        <v>79</v>
      </c>
      <c r="I4" s="49" t="s">
        <v>73</v>
      </c>
      <c r="J4" s="50" t="s">
        <v>75</v>
      </c>
      <c r="K4" s="50" t="s">
        <v>78</v>
      </c>
      <c r="L4" s="50" t="s">
        <v>66</v>
      </c>
      <c r="M4" s="51" t="s">
        <v>67</v>
      </c>
      <c r="N4" s="7" t="s">
        <v>80</v>
      </c>
      <c r="O4" s="15" t="s">
        <v>81</v>
      </c>
    </row>
    <row r="5" spans="1:16" ht="14.25" customHeight="1" x14ac:dyDescent="0.2">
      <c r="A5" s="33" t="s">
        <v>2</v>
      </c>
      <c r="B5" s="54">
        <v>7.8662000000000001</v>
      </c>
      <c r="C5" s="55"/>
      <c r="D5" s="55"/>
      <c r="E5" s="55">
        <v>6.843</v>
      </c>
      <c r="F5" s="55"/>
      <c r="G5" s="56">
        <v>1.5855999999999999</v>
      </c>
      <c r="H5" s="57">
        <v>16.294799999999999</v>
      </c>
      <c r="I5" s="54"/>
      <c r="J5" s="55"/>
      <c r="K5" s="55">
        <v>0.26119999999999999</v>
      </c>
      <c r="L5" s="55">
        <v>1.4885999999999999</v>
      </c>
      <c r="M5" s="56">
        <v>3.2608999999999999</v>
      </c>
      <c r="N5" s="58">
        <v>5.0106999999999999</v>
      </c>
      <c r="O5" s="59">
        <v>21.305499999999999</v>
      </c>
    </row>
    <row r="6" spans="1:16" ht="14.25" customHeight="1" x14ac:dyDescent="0.2">
      <c r="A6" s="33" t="s">
        <v>3</v>
      </c>
      <c r="B6" s="54">
        <v>7.2915999999999999</v>
      </c>
      <c r="C6" s="55"/>
      <c r="D6" s="55"/>
      <c r="E6" s="55">
        <v>5.8120000000000003</v>
      </c>
      <c r="F6" s="55"/>
      <c r="G6" s="56">
        <v>1.0713999999999999</v>
      </c>
      <c r="H6" s="57">
        <v>14.175000000000001</v>
      </c>
      <c r="I6" s="54"/>
      <c r="J6" s="55"/>
      <c r="K6" s="55">
        <v>0.22389999999999999</v>
      </c>
      <c r="L6" s="55"/>
      <c r="M6" s="56">
        <v>1.0233000000000001</v>
      </c>
      <c r="N6" s="58">
        <v>1.2472000000000001</v>
      </c>
      <c r="O6" s="59">
        <v>15.4222</v>
      </c>
    </row>
    <row r="7" spans="1:16" ht="14.25" customHeight="1" x14ac:dyDescent="0.2">
      <c r="A7" s="33" t="s">
        <v>4</v>
      </c>
      <c r="B7" s="54">
        <v>4.4362000000000004</v>
      </c>
      <c r="C7" s="55"/>
      <c r="D7" s="55"/>
      <c r="E7" s="55">
        <v>5.8470000000000004</v>
      </c>
      <c r="F7" s="55"/>
      <c r="G7" s="56">
        <v>2.9399999999999999E-2</v>
      </c>
      <c r="H7" s="57">
        <v>10.3126</v>
      </c>
      <c r="I7" s="54">
        <v>8.1000000000000003E-2</v>
      </c>
      <c r="J7" s="55">
        <v>0.55159999999999998</v>
      </c>
      <c r="K7" s="55">
        <v>0.16739999999999999</v>
      </c>
      <c r="L7" s="55"/>
      <c r="M7" s="56">
        <v>1.1638999999999999</v>
      </c>
      <c r="N7" s="58">
        <v>1.9639</v>
      </c>
      <c r="O7" s="59">
        <v>12.2765</v>
      </c>
    </row>
    <row r="8" spans="1:16" ht="14.25" customHeight="1" x14ac:dyDescent="0.2">
      <c r="A8" s="33" t="s">
        <v>5</v>
      </c>
      <c r="B8" s="54">
        <v>10</v>
      </c>
      <c r="C8" s="55"/>
      <c r="D8" s="55"/>
      <c r="E8" s="55">
        <v>5.9130000000000003</v>
      </c>
      <c r="F8" s="55"/>
      <c r="G8" s="56"/>
      <c r="H8" s="57">
        <v>15.913</v>
      </c>
      <c r="I8" s="54"/>
      <c r="J8" s="55"/>
      <c r="K8" s="55">
        <v>0.35470000000000002</v>
      </c>
      <c r="L8" s="55"/>
      <c r="M8" s="56">
        <v>1.0786</v>
      </c>
      <c r="N8" s="58">
        <v>1.4333</v>
      </c>
      <c r="O8" s="59">
        <v>17.346299999999999</v>
      </c>
    </row>
    <row r="9" spans="1:16" ht="14.25" customHeight="1" x14ac:dyDescent="0.2">
      <c r="A9" s="33" t="s">
        <v>6</v>
      </c>
      <c r="B9" s="54">
        <v>3.5661</v>
      </c>
      <c r="C9" s="55"/>
      <c r="D9" s="55">
        <v>0.68459999999999999</v>
      </c>
      <c r="E9" s="55">
        <v>5.85</v>
      </c>
      <c r="F9" s="55"/>
      <c r="G9" s="56">
        <v>0.25090000000000001</v>
      </c>
      <c r="H9" s="57">
        <v>10.351599999999999</v>
      </c>
      <c r="I9" s="54"/>
      <c r="J9" s="55">
        <v>0.4728</v>
      </c>
      <c r="K9" s="55">
        <v>4.7399999999999998E-2</v>
      </c>
      <c r="L9" s="55">
        <v>0.97529999999999994</v>
      </c>
      <c r="M9" s="56">
        <v>3.7566000000000002</v>
      </c>
      <c r="N9" s="58">
        <v>5.2521000000000004</v>
      </c>
      <c r="O9" s="59">
        <v>15.6037</v>
      </c>
    </row>
    <row r="10" spans="1:16" ht="14.25" customHeight="1" x14ac:dyDescent="0.2">
      <c r="A10" s="33" t="s">
        <v>7</v>
      </c>
      <c r="B10" s="54">
        <v>5.5133999999999999</v>
      </c>
      <c r="C10" s="55">
        <v>0.15559999999999999</v>
      </c>
      <c r="D10" s="55"/>
      <c r="E10" s="55">
        <v>6.3179999999999996</v>
      </c>
      <c r="F10" s="55">
        <v>0.14410000000000001</v>
      </c>
      <c r="G10" s="56">
        <v>0.7591</v>
      </c>
      <c r="H10" s="57">
        <v>12.8902</v>
      </c>
      <c r="I10" s="54"/>
      <c r="J10" s="55">
        <v>9.5999999999999992E-3</v>
      </c>
      <c r="K10" s="55">
        <v>0.96419999999999995</v>
      </c>
      <c r="L10" s="55">
        <v>2.3199999999999998E-2</v>
      </c>
      <c r="M10" s="56">
        <v>5.9554999999999998</v>
      </c>
      <c r="N10" s="58">
        <v>6.9524999999999997</v>
      </c>
      <c r="O10" s="59">
        <v>19.842700000000001</v>
      </c>
    </row>
    <row r="11" spans="1:16" ht="14.25" customHeight="1" x14ac:dyDescent="0.2">
      <c r="A11" s="33" t="s">
        <v>8</v>
      </c>
      <c r="B11" s="54">
        <v>9.9</v>
      </c>
      <c r="C11" s="55"/>
      <c r="D11" s="55"/>
      <c r="E11" s="55">
        <v>5.7889999999999997</v>
      </c>
      <c r="F11" s="55"/>
      <c r="G11" s="56">
        <v>2.9399999999999999E-2</v>
      </c>
      <c r="H11" s="57">
        <v>15.718400000000001</v>
      </c>
      <c r="I11" s="54"/>
      <c r="J11" s="55"/>
      <c r="K11" s="55"/>
      <c r="L11" s="55"/>
      <c r="M11" s="56">
        <v>0.2258</v>
      </c>
      <c r="N11" s="58">
        <v>0.2258</v>
      </c>
      <c r="O11" s="59">
        <v>15.9442</v>
      </c>
    </row>
    <row r="12" spans="1:16" ht="14.25" customHeight="1" x14ac:dyDescent="0.2">
      <c r="A12" s="33" t="s">
        <v>9</v>
      </c>
      <c r="B12" s="54">
        <v>6.3007</v>
      </c>
      <c r="C12" s="55">
        <v>0.2</v>
      </c>
      <c r="D12" s="55"/>
      <c r="E12" s="55">
        <v>6.85</v>
      </c>
      <c r="F12" s="55"/>
      <c r="G12" s="56">
        <v>3.9399999999999998E-2</v>
      </c>
      <c r="H12" s="57">
        <v>13.3901</v>
      </c>
      <c r="I12" s="54"/>
      <c r="J12" s="55"/>
      <c r="K12" s="55">
        <v>0.30609999999999998</v>
      </c>
      <c r="L12" s="55">
        <v>2.5065</v>
      </c>
      <c r="M12" s="56">
        <v>0.71689999999999998</v>
      </c>
      <c r="N12" s="58">
        <v>3.5295000000000001</v>
      </c>
      <c r="O12" s="59">
        <v>16.919599999999999</v>
      </c>
    </row>
    <row r="13" spans="1:16" ht="14.25" customHeight="1" x14ac:dyDescent="0.2">
      <c r="A13" s="33" t="s">
        <v>10</v>
      </c>
      <c r="B13" s="54">
        <v>6.8535000000000004</v>
      </c>
      <c r="C13" s="55"/>
      <c r="D13" s="55">
        <v>0.32069999999999999</v>
      </c>
      <c r="E13" s="55">
        <v>5.8170000000000002</v>
      </c>
      <c r="F13" s="55"/>
      <c r="G13" s="56">
        <v>0.68420000000000003</v>
      </c>
      <c r="H13" s="57">
        <v>13.6754</v>
      </c>
      <c r="I13" s="54"/>
      <c r="J13" s="55"/>
      <c r="K13" s="55">
        <v>6.6500000000000004E-2</v>
      </c>
      <c r="L13" s="55">
        <v>0.53180000000000005</v>
      </c>
      <c r="M13" s="56">
        <v>0.68979999999999997</v>
      </c>
      <c r="N13" s="58">
        <v>1.2881</v>
      </c>
      <c r="O13" s="59">
        <v>14.9635</v>
      </c>
    </row>
    <row r="14" spans="1:16" ht="14.25" customHeight="1" x14ac:dyDescent="0.2">
      <c r="A14" s="33" t="s">
        <v>11</v>
      </c>
      <c r="B14" s="54">
        <v>5.5727000000000002</v>
      </c>
      <c r="C14" s="55"/>
      <c r="D14" s="55"/>
      <c r="E14" s="55">
        <v>6.7750000000000004</v>
      </c>
      <c r="F14" s="55"/>
      <c r="G14" s="56">
        <v>0.21890000000000001</v>
      </c>
      <c r="H14" s="57">
        <v>12.566599999999999</v>
      </c>
      <c r="I14" s="54"/>
      <c r="J14" s="55"/>
      <c r="K14" s="55"/>
      <c r="L14" s="55">
        <v>2.7667000000000002</v>
      </c>
      <c r="M14" s="56">
        <v>0.48970000000000002</v>
      </c>
      <c r="N14" s="58">
        <v>3.2564000000000002</v>
      </c>
      <c r="O14" s="59">
        <v>15.823</v>
      </c>
    </row>
    <row r="15" spans="1:16" ht="14.25" customHeight="1" x14ac:dyDescent="0.2">
      <c r="A15" s="33" t="s">
        <v>12</v>
      </c>
      <c r="B15" s="54">
        <v>3.8144999999999998</v>
      </c>
      <c r="C15" s="55"/>
      <c r="D15" s="55">
        <v>2.93E-2</v>
      </c>
      <c r="E15" s="55">
        <v>4.8890000000000002</v>
      </c>
      <c r="F15" s="55"/>
      <c r="G15" s="56">
        <v>0.2177</v>
      </c>
      <c r="H15" s="57">
        <v>8.9504999999999999</v>
      </c>
      <c r="I15" s="54"/>
      <c r="J15" s="55"/>
      <c r="K15" s="55">
        <v>0.99850000000000005</v>
      </c>
      <c r="L15" s="55">
        <v>0.59699999999999998</v>
      </c>
      <c r="M15" s="56">
        <v>0.50680000000000003</v>
      </c>
      <c r="N15" s="58">
        <v>2.1023000000000001</v>
      </c>
      <c r="O15" s="59">
        <v>11.0528</v>
      </c>
    </row>
    <row r="16" spans="1:16" ht="14.25" customHeight="1" x14ac:dyDescent="0.2">
      <c r="A16" s="33" t="s">
        <v>13</v>
      </c>
      <c r="B16" s="54">
        <v>7.8150000000000004</v>
      </c>
      <c r="C16" s="55"/>
      <c r="D16" s="55"/>
      <c r="E16" s="55">
        <v>5.891</v>
      </c>
      <c r="F16" s="55"/>
      <c r="G16" s="56">
        <v>0.36149999999999999</v>
      </c>
      <c r="H16" s="57">
        <v>14.067500000000001</v>
      </c>
      <c r="I16" s="54"/>
      <c r="J16" s="55"/>
      <c r="K16" s="55"/>
      <c r="L16" s="55"/>
      <c r="M16" s="56">
        <v>1.3161</v>
      </c>
      <c r="N16" s="58">
        <v>1.3161</v>
      </c>
      <c r="O16" s="59">
        <v>15.383599999999999</v>
      </c>
    </row>
    <row r="17" spans="1:15" ht="14.25" customHeight="1" x14ac:dyDescent="0.2">
      <c r="A17" s="33" t="s">
        <v>106</v>
      </c>
      <c r="B17" s="54">
        <v>4.6669</v>
      </c>
      <c r="C17" s="55">
        <v>0.50749999999999995</v>
      </c>
      <c r="D17" s="55"/>
      <c r="E17" s="55">
        <v>6.8289999999999997</v>
      </c>
      <c r="F17" s="55">
        <v>0.18</v>
      </c>
      <c r="G17" s="56">
        <v>0.78920000000000001</v>
      </c>
      <c r="H17" s="57">
        <v>12.9726</v>
      </c>
      <c r="I17" s="54">
        <v>0.52600000000000002</v>
      </c>
      <c r="J17" s="55">
        <v>1.6192</v>
      </c>
      <c r="K17" s="55"/>
      <c r="L17" s="55"/>
      <c r="M17" s="56">
        <v>4.0330000000000004</v>
      </c>
      <c r="N17" s="58">
        <v>6.1782000000000004</v>
      </c>
      <c r="O17" s="59">
        <v>19.1508</v>
      </c>
    </row>
    <row r="18" spans="1:15" ht="14.25" customHeight="1" x14ac:dyDescent="0.2">
      <c r="A18" s="33" t="s">
        <v>14</v>
      </c>
      <c r="B18" s="54">
        <v>8.5060000000000002</v>
      </c>
      <c r="C18" s="55"/>
      <c r="D18" s="55"/>
      <c r="E18" s="55">
        <v>5.7930000000000001</v>
      </c>
      <c r="F18" s="55"/>
      <c r="G18" s="56">
        <v>0.2535</v>
      </c>
      <c r="H18" s="57">
        <v>14.5525</v>
      </c>
      <c r="I18" s="54"/>
      <c r="J18" s="55"/>
      <c r="K18" s="55"/>
      <c r="L18" s="55">
        <v>2.1815000000000002</v>
      </c>
      <c r="M18" s="56">
        <v>0.95399999999999996</v>
      </c>
      <c r="N18" s="58">
        <v>3.1355</v>
      </c>
      <c r="O18" s="59">
        <v>17.687999999999999</v>
      </c>
    </row>
    <row r="19" spans="1:15" ht="14.25" customHeight="1" x14ac:dyDescent="0.2">
      <c r="A19" s="33" t="s">
        <v>15</v>
      </c>
      <c r="B19" s="54">
        <v>10</v>
      </c>
      <c r="C19" s="55"/>
      <c r="D19" s="55"/>
      <c r="E19" s="55">
        <v>5.8760000000000003</v>
      </c>
      <c r="F19" s="55"/>
      <c r="G19" s="56">
        <v>0.36149999999999999</v>
      </c>
      <c r="H19" s="57">
        <v>16.237500000000001</v>
      </c>
      <c r="I19" s="54"/>
      <c r="J19" s="55"/>
      <c r="K19" s="55"/>
      <c r="L19" s="55">
        <v>3</v>
      </c>
      <c r="M19" s="56">
        <v>0.50749999999999995</v>
      </c>
      <c r="N19" s="58">
        <v>3.5074999999999998</v>
      </c>
      <c r="O19" s="59">
        <v>19.745000000000001</v>
      </c>
    </row>
    <row r="20" spans="1:15" ht="14.25" customHeight="1" x14ac:dyDescent="0.2">
      <c r="A20" s="33" t="s">
        <v>16</v>
      </c>
      <c r="B20" s="54"/>
      <c r="C20" s="55"/>
      <c r="D20" s="55"/>
      <c r="E20" s="55">
        <v>5.8079999999999998</v>
      </c>
      <c r="F20" s="55"/>
      <c r="G20" s="56">
        <v>0.25090000000000001</v>
      </c>
      <c r="H20" s="57">
        <v>6.0589000000000004</v>
      </c>
      <c r="I20" s="54">
        <v>11.132999999999999</v>
      </c>
      <c r="J20" s="55"/>
      <c r="K20" s="55"/>
      <c r="L20" s="55"/>
      <c r="M20" s="56">
        <v>0.34639999999999999</v>
      </c>
      <c r="N20" s="58">
        <v>11.4794</v>
      </c>
      <c r="O20" s="59">
        <v>17.5383</v>
      </c>
    </row>
    <row r="21" spans="1:15" ht="14.25" customHeight="1" x14ac:dyDescent="0.2">
      <c r="A21" s="33" t="s">
        <v>17</v>
      </c>
      <c r="B21" s="54">
        <v>6.6165000000000003</v>
      </c>
      <c r="C21" s="55"/>
      <c r="D21" s="55"/>
      <c r="E21" s="55">
        <v>5.657</v>
      </c>
      <c r="F21" s="55"/>
      <c r="G21" s="56">
        <v>0.52939999999999998</v>
      </c>
      <c r="H21" s="57">
        <v>12.802899999999999</v>
      </c>
      <c r="I21" s="54"/>
      <c r="J21" s="55"/>
      <c r="K21" s="55"/>
      <c r="L21" s="55">
        <v>0.8427</v>
      </c>
      <c r="M21" s="56">
        <v>1.002</v>
      </c>
      <c r="N21" s="58">
        <v>1.8447</v>
      </c>
      <c r="O21" s="59">
        <v>14.647600000000001</v>
      </c>
    </row>
    <row r="22" spans="1:15" ht="14.25" customHeight="1" x14ac:dyDescent="0.2">
      <c r="A22" s="33" t="s">
        <v>18</v>
      </c>
      <c r="B22" s="54">
        <v>8.1547000000000001</v>
      </c>
      <c r="C22" s="55">
        <v>0.33</v>
      </c>
      <c r="D22" s="55"/>
      <c r="E22" s="55">
        <v>5.8650000000000002</v>
      </c>
      <c r="F22" s="55"/>
      <c r="G22" s="56">
        <v>0.25090000000000001</v>
      </c>
      <c r="H22" s="57">
        <v>14.6006</v>
      </c>
      <c r="I22" s="54"/>
      <c r="J22" s="55"/>
      <c r="K22" s="55">
        <v>0.2419</v>
      </c>
      <c r="L22" s="55"/>
      <c r="M22" s="56">
        <v>3.3671000000000002</v>
      </c>
      <c r="N22" s="58">
        <v>3.609</v>
      </c>
      <c r="O22" s="59">
        <v>18.209599999999998</v>
      </c>
    </row>
    <row r="23" spans="1:15" ht="14.25" customHeight="1" x14ac:dyDescent="0.2">
      <c r="A23" s="33" t="s">
        <v>19</v>
      </c>
      <c r="B23" s="54">
        <v>5.4706999999999999</v>
      </c>
      <c r="C23" s="55"/>
      <c r="D23" s="55"/>
      <c r="E23" s="55">
        <v>5.0540000000000003</v>
      </c>
      <c r="F23" s="55"/>
      <c r="G23" s="56">
        <v>2.9399999999999999E-2</v>
      </c>
      <c r="H23" s="57">
        <v>10.5541</v>
      </c>
      <c r="I23" s="54"/>
      <c r="J23" s="55"/>
      <c r="K23" s="55">
        <v>0.28370000000000001</v>
      </c>
      <c r="L23" s="55"/>
      <c r="M23" s="56">
        <v>1.2056</v>
      </c>
      <c r="N23" s="58">
        <v>1.4893000000000001</v>
      </c>
      <c r="O23" s="59">
        <v>12.0434</v>
      </c>
    </row>
    <row r="24" spans="1:15" ht="14.25" customHeight="1" x14ac:dyDescent="0.2">
      <c r="A24" s="33" t="s">
        <v>20</v>
      </c>
      <c r="B24" s="54">
        <v>9</v>
      </c>
      <c r="C24" s="55"/>
      <c r="D24" s="55"/>
      <c r="E24" s="55">
        <v>5.8739999999999997</v>
      </c>
      <c r="F24" s="55"/>
      <c r="G24" s="56">
        <v>2.9399999999999999E-2</v>
      </c>
      <c r="H24" s="57">
        <v>14.9034</v>
      </c>
      <c r="I24" s="54"/>
      <c r="J24" s="55"/>
      <c r="K24" s="55"/>
      <c r="L24" s="55"/>
      <c r="M24" s="56">
        <v>1.5846</v>
      </c>
      <c r="N24" s="58">
        <v>1.5846</v>
      </c>
      <c r="O24" s="59">
        <v>16.488</v>
      </c>
    </row>
    <row r="25" spans="1:15" ht="14.25" customHeight="1" x14ac:dyDescent="0.2">
      <c r="A25" s="33" t="s">
        <v>21</v>
      </c>
      <c r="B25" s="54">
        <v>9.3000000000000007</v>
      </c>
      <c r="C25" s="55"/>
      <c r="D25" s="55">
        <v>1.0624</v>
      </c>
      <c r="E25" s="55">
        <v>5.8</v>
      </c>
      <c r="F25" s="55"/>
      <c r="G25" s="56">
        <v>0.36149999999999999</v>
      </c>
      <c r="H25" s="57">
        <v>16.523900000000001</v>
      </c>
      <c r="I25" s="54"/>
      <c r="J25" s="55"/>
      <c r="K25" s="55"/>
      <c r="L25" s="55"/>
      <c r="M25" s="56">
        <v>0.32050000000000001</v>
      </c>
      <c r="N25" s="58">
        <v>0.32050000000000001</v>
      </c>
      <c r="O25" s="59">
        <v>16.8444</v>
      </c>
    </row>
    <row r="26" spans="1:15" ht="14.25" customHeight="1" x14ac:dyDescent="0.2">
      <c r="A26" s="33" t="s">
        <v>22</v>
      </c>
      <c r="B26" s="54">
        <v>9.1366999999999994</v>
      </c>
      <c r="C26" s="55"/>
      <c r="D26" s="55"/>
      <c r="E26" s="55">
        <v>5.867</v>
      </c>
      <c r="F26" s="55"/>
      <c r="G26" s="56">
        <v>0.22070000000000001</v>
      </c>
      <c r="H26" s="57">
        <v>15.224399999999999</v>
      </c>
      <c r="I26" s="54"/>
      <c r="J26" s="55"/>
      <c r="K26" s="55">
        <v>0.36969999999999997</v>
      </c>
      <c r="L26" s="55">
        <v>3.1</v>
      </c>
      <c r="M26" s="56">
        <v>0.26989999999999997</v>
      </c>
      <c r="N26" s="58">
        <v>3.7395999999999998</v>
      </c>
      <c r="O26" s="59">
        <v>18.963999999999999</v>
      </c>
    </row>
    <row r="27" spans="1:15" ht="14.25" customHeight="1" x14ac:dyDescent="0.2">
      <c r="A27" s="33" t="s">
        <v>23</v>
      </c>
      <c r="B27" s="54">
        <v>6.8</v>
      </c>
      <c r="C27" s="55"/>
      <c r="D27" s="55"/>
      <c r="E27" s="55">
        <v>6.2080000000000002</v>
      </c>
      <c r="F27" s="55"/>
      <c r="G27" s="56">
        <v>2.9399999999999999E-2</v>
      </c>
      <c r="H27" s="57">
        <v>13.0374</v>
      </c>
      <c r="I27" s="54"/>
      <c r="J27" s="55">
        <v>0.39360000000000001</v>
      </c>
      <c r="K27" s="55"/>
      <c r="L27" s="55">
        <v>0.1961</v>
      </c>
      <c r="M27" s="56">
        <v>0.84050000000000002</v>
      </c>
      <c r="N27" s="58">
        <v>1.4301999999999999</v>
      </c>
      <c r="O27" s="59">
        <v>14.467599999999999</v>
      </c>
    </row>
    <row r="28" spans="1:15" ht="14.25" customHeight="1" x14ac:dyDescent="0.2">
      <c r="A28" s="33" t="s">
        <v>24</v>
      </c>
      <c r="B28" s="54">
        <v>10</v>
      </c>
      <c r="C28" s="55"/>
      <c r="D28" s="55"/>
      <c r="E28" s="55">
        <v>6.0209999999999999</v>
      </c>
      <c r="F28" s="55"/>
      <c r="G28" s="56">
        <v>0.36149999999999999</v>
      </c>
      <c r="H28" s="57">
        <v>16.3825</v>
      </c>
      <c r="I28" s="54"/>
      <c r="J28" s="55"/>
      <c r="K28" s="55"/>
      <c r="L28" s="55"/>
      <c r="M28" s="56">
        <v>0.57140000000000002</v>
      </c>
      <c r="N28" s="58">
        <v>0.57140000000000002</v>
      </c>
      <c r="O28" s="59">
        <v>16.953900000000001</v>
      </c>
    </row>
    <row r="29" spans="1:15" ht="14.25" customHeight="1" x14ac:dyDescent="0.2">
      <c r="A29" s="33" t="s">
        <v>25</v>
      </c>
      <c r="B29" s="54">
        <v>8.8000000000000007</v>
      </c>
      <c r="C29" s="55"/>
      <c r="D29" s="55"/>
      <c r="E29" s="55">
        <v>5.819</v>
      </c>
      <c r="F29" s="55"/>
      <c r="G29" s="56">
        <v>0.36990000000000001</v>
      </c>
      <c r="H29" s="57">
        <v>14.988899999999999</v>
      </c>
      <c r="I29" s="54"/>
      <c r="J29" s="55"/>
      <c r="K29" s="55"/>
      <c r="L29" s="55"/>
      <c r="M29" s="56">
        <v>0.78239999999999998</v>
      </c>
      <c r="N29" s="58">
        <v>0.78239999999999998</v>
      </c>
      <c r="O29" s="59">
        <v>15.7713</v>
      </c>
    </row>
    <row r="30" spans="1:15" ht="14.25" customHeight="1" x14ac:dyDescent="0.2">
      <c r="A30" s="33" t="s">
        <v>26</v>
      </c>
      <c r="B30" s="54">
        <v>7.4006999999999996</v>
      </c>
      <c r="C30" s="55"/>
      <c r="D30" s="55"/>
      <c r="E30" s="55">
        <v>5.8010000000000002</v>
      </c>
      <c r="F30" s="55"/>
      <c r="G30" s="56">
        <v>4.1471999999999998</v>
      </c>
      <c r="H30" s="57">
        <v>17.3489</v>
      </c>
      <c r="I30" s="54"/>
      <c r="J30" s="55"/>
      <c r="K30" s="55">
        <v>0.19989999999999999</v>
      </c>
      <c r="L30" s="55"/>
      <c r="M30" s="56">
        <v>1.0878000000000001</v>
      </c>
      <c r="N30" s="58">
        <v>1.2877000000000001</v>
      </c>
      <c r="O30" s="59">
        <v>18.636600000000001</v>
      </c>
    </row>
    <row r="31" spans="1:15" ht="14.25" customHeight="1" x14ac:dyDescent="0.2">
      <c r="A31" s="33" t="s">
        <v>27</v>
      </c>
      <c r="B31" s="54">
        <v>8.3605</v>
      </c>
      <c r="C31" s="55"/>
      <c r="D31" s="55"/>
      <c r="E31" s="55">
        <v>5.7770000000000001</v>
      </c>
      <c r="F31" s="55">
        <v>1</v>
      </c>
      <c r="G31" s="56">
        <v>0.2535</v>
      </c>
      <c r="H31" s="57">
        <v>15.391</v>
      </c>
      <c r="I31" s="54"/>
      <c r="J31" s="55"/>
      <c r="K31" s="55"/>
      <c r="L31" s="55">
        <v>1.0239</v>
      </c>
      <c r="M31" s="56">
        <v>0.28100000000000003</v>
      </c>
      <c r="N31" s="58">
        <v>1.3048999999999999</v>
      </c>
      <c r="O31" s="59">
        <v>16.695900000000002</v>
      </c>
    </row>
    <row r="32" spans="1:15" ht="14.25" customHeight="1" x14ac:dyDescent="0.2">
      <c r="A32" s="33" t="s">
        <v>28</v>
      </c>
      <c r="B32" s="54">
        <v>8.5500000000000007</v>
      </c>
      <c r="C32" s="55"/>
      <c r="D32" s="55"/>
      <c r="E32" s="55">
        <v>5.8789999999999996</v>
      </c>
      <c r="F32" s="55"/>
      <c r="G32" s="56"/>
      <c r="H32" s="57">
        <v>14.429</v>
      </c>
      <c r="I32" s="54"/>
      <c r="J32" s="55"/>
      <c r="K32" s="55">
        <v>0.25679999999999997</v>
      </c>
      <c r="L32" s="55"/>
      <c r="M32" s="56">
        <v>1.0421</v>
      </c>
      <c r="N32" s="58">
        <v>1.2988999999999999</v>
      </c>
      <c r="O32" s="59">
        <v>15.7279</v>
      </c>
    </row>
    <row r="33" spans="1:15" ht="14.25" customHeight="1" x14ac:dyDescent="0.2">
      <c r="A33" s="33" t="s">
        <v>29</v>
      </c>
      <c r="B33" s="54">
        <v>5.7309000000000001</v>
      </c>
      <c r="C33" s="55">
        <v>6.0400000000000002E-2</v>
      </c>
      <c r="D33" s="55"/>
      <c r="E33" s="55">
        <v>5.8490000000000002</v>
      </c>
      <c r="F33" s="55"/>
      <c r="G33" s="56">
        <v>0.80589999999999995</v>
      </c>
      <c r="H33" s="57">
        <v>12.446199999999999</v>
      </c>
      <c r="I33" s="54"/>
      <c r="J33" s="55">
        <v>0.53690000000000004</v>
      </c>
      <c r="K33" s="55">
        <v>0.48949999999999999</v>
      </c>
      <c r="L33" s="55">
        <v>2.6511999999999998</v>
      </c>
      <c r="M33" s="56">
        <v>2.476</v>
      </c>
      <c r="N33" s="58">
        <v>6.1536</v>
      </c>
      <c r="O33" s="59">
        <v>18.599799999999998</v>
      </c>
    </row>
    <row r="34" spans="1:15" ht="14.25" customHeight="1" x14ac:dyDescent="0.2">
      <c r="A34" s="33" t="s">
        <v>30</v>
      </c>
      <c r="B34" s="54">
        <v>9.4916</v>
      </c>
      <c r="C34" s="55"/>
      <c r="D34" s="55"/>
      <c r="E34" s="55">
        <v>5.85</v>
      </c>
      <c r="F34" s="55"/>
      <c r="G34" s="56">
        <v>2.9399999999999999E-2</v>
      </c>
      <c r="H34" s="57">
        <v>15.371</v>
      </c>
      <c r="I34" s="54"/>
      <c r="J34" s="55"/>
      <c r="K34" s="55"/>
      <c r="L34" s="55"/>
      <c r="M34" s="56">
        <v>7.1800000000000003E-2</v>
      </c>
      <c r="N34" s="58">
        <v>7.1800000000000003E-2</v>
      </c>
      <c r="O34" s="59">
        <v>15.4428</v>
      </c>
    </row>
    <row r="35" spans="1:15" ht="14.25" customHeight="1" x14ac:dyDescent="0.2">
      <c r="A35" s="33" t="s">
        <v>31</v>
      </c>
      <c r="B35" s="54">
        <v>3.5474999999999999</v>
      </c>
      <c r="C35" s="55"/>
      <c r="D35" s="55"/>
      <c r="E35" s="55">
        <v>6.2679999999999998</v>
      </c>
      <c r="F35" s="55"/>
      <c r="G35" s="56"/>
      <c r="H35" s="57">
        <v>9.8155000000000001</v>
      </c>
      <c r="I35" s="54"/>
      <c r="J35" s="55">
        <v>1.9371</v>
      </c>
      <c r="K35" s="55">
        <v>1.2398</v>
      </c>
      <c r="L35" s="55">
        <v>0.63639999999999997</v>
      </c>
      <c r="M35" s="56">
        <v>0.94099999999999995</v>
      </c>
      <c r="N35" s="58">
        <v>4.7542999999999997</v>
      </c>
      <c r="O35" s="59">
        <v>14.569800000000001</v>
      </c>
    </row>
    <row r="36" spans="1:15" ht="14.25" customHeight="1" x14ac:dyDescent="0.2">
      <c r="A36" s="33" t="s">
        <v>32</v>
      </c>
      <c r="B36" s="54">
        <v>7.4450000000000003</v>
      </c>
      <c r="C36" s="55"/>
      <c r="D36" s="55"/>
      <c r="E36" s="55">
        <v>5.3555999999999999</v>
      </c>
      <c r="F36" s="55"/>
      <c r="G36" s="56">
        <v>2.9399999999999999E-2</v>
      </c>
      <c r="H36" s="57">
        <v>12.83</v>
      </c>
      <c r="I36" s="54"/>
      <c r="J36" s="55"/>
      <c r="K36" s="55"/>
      <c r="L36" s="55"/>
      <c r="M36" s="56">
        <v>0.81210000000000004</v>
      </c>
      <c r="N36" s="58">
        <v>0.81210000000000004</v>
      </c>
      <c r="O36" s="59">
        <v>13.642099999999999</v>
      </c>
    </row>
    <row r="37" spans="1:15" ht="14.25" customHeight="1" x14ac:dyDescent="0.2">
      <c r="A37" s="33" t="s">
        <v>33</v>
      </c>
      <c r="B37" s="54">
        <v>7.95</v>
      </c>
      <c r="C37" s="55"/>
      <c r="D37" s="55"/>
      <c r="E37" s="55">
        <v>5.8650000000000002</v>
      </c>
      <c r="F37" s="55"/>
      <c r="G37" s="56"/>
      <c r="H37" s="57">
        <v>13.815</v>
      </c>
      <c r="I37" s="54"/>
      <c r="J37" s="55"/>
      <c r="K37" s="55">
        <v>0.1391</v>
      </c>
      <c r="L37" s="55"/>
      <c r="M37" s="56">
        <v>0.99209999999999998</v>
      </c>
      <c r="N37" s="58">
        <v>1.1312</v>
      </c>
      <c r="O37" s="59">
        <v>14.946199999999999</v>
      </c>
    </row>
    <row r="38" spans="1:15" ht="14.25" customHeight="1" x14ac:dyDescent="0.2">
      <c r="A38" s="33" t="s">
        <v>34</v>
      </c>
      <c r="B38" s="54">
        <v>10</v>
      </c>
      <c r="C38" s="55"/>
      <c r="D38" s="55"/>
      <c r="E38" s="55">
        <v>5.6820000000000004</v>
      </c>
      <c r="F38" s="55"/>
      <c r="G38" s="56">
        <v>0.36149999999999999</v>
      </c>
      <c r="H38" s="57">
        <v>16.043500000000002</v>
      </c>
      <c r="I38" s="54"/>
      <c r="J38" s="55"/>
      <c r="K38" s="55"/>
      <c r="L38" s="55"/>
      <c r="M38" s="56">
        <v>0.60299999999999998</v>
      </c>
      <c r="N38" s="58">
        <v>0.60299999999999998</v>
      </c>
      <c r="O38" s="59">
        <v>16.6465</v>
      </c>
    </row>
    <row r="39" spans="1:15" ht="14.25" customHeight="1" x14ac:dyDescent="0.2">
      <c r="A39" s="33" t="s">
        <v>35</v>
      </c>
      <c r="B39" s="54">
        <v>5.0529000000000002</v>
      </c>
      <c r="C39" s="55">
        <v>9.1800000000000007E-2</v>
      </c>
      <c r="D39" s="55"/>
      <c r="E39" s="55">
        <v>6.5919999999999996</v>
      </c>
      <c r="F39" s="55"/>
      <c r="G39" s="56">
        <v>0.32290000000000002</v>
      </c>
      <c r="H39" s="57">
        <v>12.0596</v>
      </c>
      <c r="I39" s="54"/>
      <c r="J39" s="55"/>
      <c r="K39" s="55">
        <v>0.2215</v>
      </c>
      <c r="L39" s="55">
        <v>0.95469999999999999</v>
      </c>
      <c r="M39" s="56">
        <v>2.7343000000000002</v>
      </c>
      <c r="N39" s="58">
        <v>3.9104999999999999</v>
      </c>
      <c r="O39" s="59">
        <v>15.9701</v>
      </c>
    </row>
    <row r="40" spans="1:15" ht="14.25" customHeight="1" x14ac:dyDescent="0.2">
      <c r="A40" s="33" t="s">
        <v>36</v>
      </c>
      <c r="B40" s="54">
        <v>3.8622999999999998</v>
      </c>
      <c r="C40" s="55"/>
      <c r="D40" s="55"/>
      <c r="E40" s="55">
        <v>5.891</v>
      </c>
      <c r="F40" s="55"/>
      <c r="G40" s="56">
        <v>0.29659999999999997</v>
      </c>
      <c r="H40" s="57">
        <v>10.049899999999999</v>
      </c>
      <c r="I40" s="54">
        <v>0.81259999999999999</v>
      </c>
      <c r="J40" s="55"/>
      <c r="K40" s="55">
        <v>2.028</v>
      </c>
      <c r="L40" s="55">
        <v>0.1003</v>
      </c>
      <c r="M40" s="56">
        <v>2.2132999999999998</v>
      </c>
      <c r="N40" s="58">
        <v>5.1542000000000003</v>
      </c>
      <c r="O40" s="59">
        <v>15.2041</v>
      </c>
    </row>
    <row r="41" spans="1:15" ht="14.25" customHeight="1" x14ac:dyDescent="0.2">
      <c r="A41" s="33" t="s">
        <v>37</v>
      </c>
      <c r="B41" s="54">
        <v>8.3143999999999991</v>
      </c>
      <c r="C41" s="55"/>
      <c r="D41" s="55"/>
      <c r="E41" s="55">
        <v>5.8760000000000003</v>
      </c>
      <c r="F41" s="55"/>
      <c r="G41" s="56">
        <v>0.40439999999999998</v>
      </c>
      <c r="H41" s="57">
        <v>14.594799999999999</v>
      </c>
      <c r="I41" s="54"/>
      <c r="J41" s="55"/>
      <c r="K41" s="55"/>
      <c r="L41" s="55">
        <v>0.5</v>
      </c>
      <c r="M41" s="56">
        <v>2.7961999999999998</v>
      </c>
      <c r="N41" s="58">
        <v>3.2961999999999998</v>
      </c>
      <c r="O41" s="59">
        <v>17.890999999999998</v>
      </c>
    </row>
    <row r="42" spans="1:15" ht="14.25" customHeight="1" x14ac:dyDescent="0.2">
      <c r="A42" s="33" t="s">
        <v>38</v>
      </c>
      <c r="B42" s="54">
        <v>9</v>
      </c>
      <c r="C42" s="55"/>
      <c r="D42" s="55"/>
      <c r="E42" s="55">
        <v>5.875</v>
      </c>
      <c r="F42" s="55"/>
      <c r="G42" s="56"/>
      <c r="H42" s="57">
        <v>14.875</v>
      </c>
      <c r="I42" s="54"/>
      <c r="J42" s="55"/>
      <c r="K42" s="55">
        <v>0.42520000000000002</v>
      </c>
      <c r="L42" s="55"/>
      <c r="M42" s="56">
        <v>1.6556999999999999</v>
      </c>
      <c r="N42" s="58">
        <v>2.0809000000000002</v>
      </c>
      <c r="O42" s="59">
        <v>16.9559</v>
      </c>
    </row>
    <row r="43" spans="1:15" ht="14.25" customHeight="1" x14ac:dyDescent="0.2">
      <c r="A43" s="33" t="s">
        <v>39</v>
      </c>
      <c r="B43" s="54">
        <v>9.3247</v>
      </c>
      <c r="C43" s="55"/>
      <c r="D43" s="55"/>
      <c r="E43" s="55">
        <v>5.7679999999999998</v>
      </c>
      <c r="F43" s="55"/>
      <c r="G43" s="56">
        <v>2.9399999999999999E-2</v>
      </c>
      <c r="H43" s="57">
        <v>15.1221</v>
      </c>
      <c r="I43" s="54"/>
      <c r="J43" s="55"/>
      <c r="K43" s="55"/>
      <c r="L43" s="55"/>
      <c r="M43" s="56">
        <v>0.53800000000000003</v>
      </c>
      <c r="N43" s="58">
        <v>0.53800000000000003</v>
      </c>
      <c r="O43" s="59">
        <v>15.6601</v>
      </c>
    </row>
    <row r="44" spans="1:15" ht="14.25" customHeight="1" x14ac:dyDescent="0.2">
      <c r="A44" s="33" t="s">
        <v>40</v>
      </c>
      <c r="B44" s="54">
        <v>10</v>
      </c>
      <c r="C44" s="55"/>
      <c r="D44" s="55"/>
      <c r="E44" s="55">
        <v>5.84</v>
      </c>
      <c r="F44" s="55"/>
      <c r="G44" s="56">
        <v>0.36149999999999999</v>
      </c>
      <c r="H44" s="57">
        <v>16.201499999999999</v>
      </c>
      <c r="I44" s="54"/>
      <c r="J44" s="55"/>
      <c r="K44" s="55"/>
      <c r="L44" s="55"/>
      <c r="M44" s="56">
        <v>1.0914999999999999</v>
      </c>
      <c r="N44" s="58">
        <v>1.0914999999999999</v>
      </c>
      <c r="O44" s="59">
        <v>17.292999999999999</v>
      </c>
    </row>
    <row r="45" spans="1:15" ht="14.25" customHeight="1" x14ac:dyDescent="0.2">
      <c r="A45" s="33" t="s">
        <v>41</v>
      </c>
      <c r="B45" s="54">
        <v>6.3826000000000001</v>
      </c>
      <c r="C45" s="55"/>
      <c r="D45" s="55"/>
      <c r="E45" s="55">
        <v>6.8760000000000003</v>
      </c>
      <c r="F45" s="55"/>
      <c r="G45" s="56">
        <v>0.49259999999999998</v>
      </c>
      <c r="H45" s="57">
        <v>13.751200000000001</v>
      </c>
      <c r="I45" s="54"/>
      <c r="J45" s="55"/>
      <c r="K45" s="55">
        <v>0.46679999999999999</v>
      </c>
      <c r="L45" s="55">
        <v>0.44919999999999999</v>
      </c>
      <c r="M45" s="56">
        <v>1.077</v>
      </c>
      <c r="N45" s="58">
        <v>1.9930000000000001</v>
      </c>
      <c r="O45" s="59">
        <v>15.744199999999999</v>
      </c>
    </row>
    <row r="46" spans="1:15" ht="14.25" customHeight="1" x14ac:dyDescent="0.2">
      <c r="A46" s="33" t="s">
        <v>42</v>
      </c>
      <c r="B46" s="54">
        <v>4.42</v>
      </c>
      <c r="C46" s="55"/>
      <c r="D46" s="55"/>
      <c r="E46" s="55">
        <v>4.4029999999999996</v>
      </c>
      <c r="F46" s="55">
        <v>1</v>
      </c>
      <c r="G46" s="56"/>
      <c r="H46" s="57">
        <v>9.8230000000000004</v>
      </c>
      <c r="I46" s="54"/>
      <c r="J46" s="55">
        <v>3.95E-2</v>
      </c>
      <c r="K46" s="55">
        <v>0.253</v>
      </c>
      <c r="L46" s="55">
        <v>3.5518000000000001</v>
      </c>
      <c r="M46" s="56">
        <v>1.8018000000000001</v>
      </c>
      <c r="N46" s="58">
        <v>5.6460999999999997</v>
      </c>
      <c r="O46" s="59">
        <v>15.469099999999999</v>
      </c>
    </row>
    <row r="47" spans="1:15" ht="14.25" customHeight="1" x14ac:dyDescent="0.2">
      <c r="A47" s="33" t="s">
        <v>43</v>
      </c>
      <c r="B47" s="54">
        <v>6.7934000000000001</v>
      </c>
      <c r="C47" s="55"/>
      <c r="D47" s="55"/>
      <c r="E47" s="55">
        <v>6.3230000000000004</v>
      </c>
      <c r="F47" s="55"/>
      <c r="G47" s="56">
        <v>0.65100000000000002</v>
      </c>
      <c r="H47" s="57">
        <v>13.7674</v>
      </c>
      <c r="I47" s="54"/>
      <c r="J47" s="55"/>
      <c r="K47" s="55"/>
      <c r="L47" s="55">
        <v>2.6705000000000001</v>
      </c>
      <c r="M47" s="56">
        <v>1.1553</v>
      </c>
      <c r="N47" s="58">
        <v>3.8258000000000001</v>
      </c>
      <c r="O47" s="59">
        <v>17.5932</v>
      </c>
    </row>
    <row r="48" spans="1:15" ht="14.25" customHeight="1" x14ac:dyDescent="0.2">
      <c r="A48" s="33" t="s">
        <v>44</v>
      </c>
      <c r="B48" s="54">
        <v>2.6149</v>
      </c>
      <c r="C48" s="55"/>
      <c r="D48" s="55"/>
      <c r="E48" s="55">
        <v>3.2839999999999998</v>
      </c>
      <c r="F48" s="55"/>
      <c r="G48" s="56">
        <v>0.46479999999999999</v>
      </c>
      <c r="H48" s="57">
        <v>6.3636999999999997</v>
      </c>
      <c r="I48" s="54"/>
      <c r="J48" s="55"/>
      <c r="K48" s="55">
        <v>0.38419999999999999</v>
      </c>
      <c r="L48" s="55">
        <v>0.753</v>
      </c>
      <c r="M48" s="56">
        <v>1.3150999999999999</v>
      </c>
      <c r="N48" s="58">
        <v>2.4523000000000001</v>
      </c>
      <c r="O48" s="59">
        <v>8.8160000000000007</v>
      </c>
    </row>
    <row r="49" spans="1:15" ht="14.25" customHeight="1" x14ac:dyDescent="0.2">
      <c r="A49" s="33" t="s">
        <v>45</v>
      </c>
      <c r="B49" s="54">
        <v>7.3238000000000003</v>
      </c>
      <c r="C49" s="55"/>
      <c r="D49" s="55"/>
      <c r="E49" s="55">
        <v>5.88</v>
      </c>
      <c r="F49" s="55"/>
      <c r="G49" s="56">
        <v>0.25090000000000001</v>
      </c>
      <c r="H49" s="57">
        <v>13.454700000000001</v>
      </c>
      <c r="I49" s="54">
        <v>1.6066</v>
      </c>
      <c r="J49" s="55"/>
      <c r="K49" s="55">
        <v>7.5600000000000001E-2</v>
      </c>
      <c r="L49" s="55"/>
      <c r="M49" s="56">
        <v>1.5431999999999999</v>
      </c>
      <c r="N49" s="58">
        <v>3.2254</v>
      </c>
      <c r="O49" s="59">
        <v>16.680099999999999</v>
      </c>
    </row>
    <row r="50" spans="1:15" ht="14.25" customHeight="1" x14ac:dyDescent="0.2">
      <c r="A50" s="33" t="s">
        <v>46</v>
      </c>
      <c r="B50" s="54">
        <v>3.8308</v>
      </c>
      <c r="C50" s="55"/>
      <c r="D50" s="55"/>
      <c r="E50" s="55">
        <v>5.9429999999999996</v>
      </c>
      <c r="F50" s="55"/>
      <c r="G50" s="56">
        <v>2.9399999999999999E-2</v>
      </c>
      <c r="H50" s="57">
        <v>9.8032000000000004</v>
      </c>
      <c r="I50" s="54"/>
      <c r="J50" s="55"/>
      <c r="K50" s="55">
        <v>1.2016</v>
      </c>
      <c r="L50" s="55">
        <v>0.13950000000000001</v>
      </c>
      <c r="M50" s="56">
        <v>1.7505999999999999</v>
      </c>
      <c r="N50" s="58">
        <v>3.0916999999999999</v>
      </c>
      <c r="O50" s="59">
        <v>12.8949</v>
      </c>
    </row>
    <row r="51" spans="1:15" ht="14.25" customHeight="1" x14ac:dyDescent="0.2">
      <c r="A51" s="33" t="s">
        <v>47</v>
      </c>
      <c r="B51" s="54">
        <v>8</v>
      </c>
      <c r="C51" s="55"/>
      <c r="D51" s="55"/>
      <c r="E51" s="55">
        <v>5.843</v>
      </c>
      <c r="F51" s="55"/>
      <c r="G51" s="56">
        <v>0.3</v>
      </c>
      <c r="H51" s="57">
        <v>14.143000000000001</v>
      </c>
      <c r="I51" s="54"/>
      <c r="J51" s="55"/>
      <c r="K51" s="55">
        <v>0.2923</v>
      </c>
      <c r="L51" s="55"/>
      <c r="M51" s="56">
        <v>0.9143</v>
      </c>
      <c r="N51" s="58">
        <v>1.2065999999999999</v>
      </c>
      <c r="O51" s="59">
        <v>15.349600000000001</v>
      </c>
    </row>
    <row r="52" spans="1:15" ht="14.25" customHeight="1" x14ac:dyDescent="0.2">
      <c r="A52" s="33" t="s">
        <v>112</v>
      </c>
      <c r="B52" s="54">
        <v>4.4347000000000003</v>
      </c>
      <c r="C52" s="55"/>
      <c r="D52" s="55"/>
      <c r="E52" s="55">
        <v>6.7370000000000001</v>
      </c>
      <c r="F52" s="55"/>
      <c r="G52" s="56"/>
      <c r="H52" s="57">
        <v>11.1717</v>
      </c>
      <c r="I52" s="54"/>
      <c r="J52" s="55">
        <v>1.2999999999999999E-2</v>
      </c>
      <c r="K52" s="55">
        <v>0.5907</v>
      </c>
      <c r="L52" s="55">
        <v>2.2090000000000001</v>
      </c>
      <c r="M52" s="56">
        <v>2.6894</v>
      </c>
      <c r="N52" s="58">
        <v>5.5021000000000004</v>
      </c>
      <c r="O52" s="59">
        <v>16.6738</v>
      </c>
    </row>
    <row r="53" spans="1:15" ht="14.25" customHeight="1" x14ac:dyDescent="0.2">
      <c r="A53" s="33" t="s">
        <v>113</v>
      </c>
      <c r="B53" s="54">
        <v>6.7652000000000001</v>
      </c>
      <c r="C53" s="55">
        <v>9.74E-2</v>
      </c>
      <c r="D53" s="55">
        <v>0.3</v>
      </c>
      <c r="E53" s="55">
        <v>5.8970000000000002</v>
      </c>
      <c r="F53" s="55"/>
      <c r="G53" s="56"/>
      <c r="H53" s="57">
        <v>13.0596</v>
      </c>
      <c r="I53" s="54"/>
      <c r="J53" s="55"/>
      <c r="K53" s="55">
        <v>0.2581</v>
      </c>
      <c r="L53" s="55">
        <v>0.85840000000000005</v>
      </c>
      <c r="M53" s="56">
        <v>1.0566</v>
      </c>
      <c r="N53" s="58">
        <v>2.1730999999999998</v>
      </c>
      <c r="O53" s="59">
        <v>15.232699999999999</v>
      </c>
    </row>
    <row r="54" spans="1:15" ht="14.25" customHeight="1" x14ac:dyDescent="0.2">
      <c r="A54" s="33" t="s">
        <v>48</v>
      </c>
      <c r="B54" s="54">
        <v>4.7815000000000003</v>
      </c>
      <c r="C54" s="55">
        <v>3.3399999999999999E-2</v>
      </c>
      <c r="D54" s="55"/>
      <c r="E54" s="55">
        <v>6.875</v>
      </c>
      <c r="F54" s="55"/>
      <c r="G54" s="56">
        <v>1.6386000000000001</v>
      </c>
      <c r="H54" s="57">
        <v>13.3285</v>
      </c>
      <c r="I54" s="54"/>
      <c r="J54" s="55">
        <v>1.819</v>
      </c>
      <c r="K54" s="55">
        <v>0.17050000000000001</v>
      </c>
      <c r="L54" s="55"/>
      <c r="M54" s="56">
        <v>3.4011</v>
      </c>
      <c r="N54" s="58">
        <v>5.3906000000000001</v>
      </c>
      <c r="O54" s="59">
        <v>18.719100000000001</v>
      </c>
    </row>
    <row r="55" spans="1:15" ht="14.25" customHeight="1" x14ac:dyDescent="0.2">
      <c r="A55" s="33" t="s">
        <v>49</v>
      </c>
      <c r="B55" s="54">
        <v>7.6075999999999997</v>
      </c>
      <c r="C55" s="55"/>
      <c r="D55" s="55"/>
      <c r="E55" s="55">
        <v>5.81</v>
      </c>
      <c r="F55" s="55"/>
      <c r="G55" s="56">
        <v>0.2535</v>
      </c>
      <c r="H55" s="57">
        <v>13.671099999999999</v>
      </c>
      <c r="I55" s="54"/>
      <c r="J55" s="55">
        <v>1.7405999999999999</v>
      </c>
      <c r="K55" s="55">
        <v>0.2545</v>
      </c>
      <c r="L55" s="55"/>
      <c r="M55" s="56">
        <v>0.48809999999999998</v>
      </c>
      <c r="N55" s="58">
        <v>2.4832000000000001</v>
      </c>
      <c r="O55" s="59">
        <v>16.154299999999999</v>
      </c>
    </row>
    <row r="56" spans="1:15" ht="14.25" customHeight="1" x14ac:dyDescent="0.2">
      <c r="A56" s="33" t="s">
        <v>50</v>
      </c>
      <c r="B56" s="54">
        <v>5.1302000000000003</v>
      </c>
      <c r="C56" s="55"/>
      <c r="D56" s="55">
        <v>9.4E-2</v>
      </c>
      <c r="E56" s="55">
        <v>6.3250000000000002</v>
      </c>
      <c r="F56" s="55"/>
      <c r="G56" s="56">
        <v>1.1516</v>
      </c>
      <c r="H56" s="57">
        <v>12.700799999999999</v>
      </c>
      <c r="I56" s="54">
        <v>0.86880000000000002</v>
      </c>
      <c r="J56" s="55"/>
      <c r="K56" s="55">
        <v>0.97940000000000005</v>
      </c>
      <c r="L56" s="55">
        <v>0.80820000000000003</v>
      </c>
      <c r="M56" s="56">
        <v>4.0289999999999999</v>
      </c>
      <c r="N56" s="58">
        <v>6.6853999999999996</v>
      </c>
      <c r="O56" s="59">
        <v>19.386199999999999</v>
      </c>
    </row>
    <row r="57" spans="1:15" ht="14.25" customHeight="1" x14ac:dyDescent="0.2">
      <c r="A57" s="33" t="s">
        <v>51</v>
      </c>
      <c r="B57" s="54">
        <v>6.899</v>
      </c>
      <c r="C57" s="55"/>
      <c r="D57" s="55"/>
      <c r="E57" s="55">
        <v>5.8289999999999997</v>
      </c>
      <c r="F57" s="55"/>
      <c r="G57" s="56"/>
      <c r="H57" s="57">
        <v>12.728</v>
      </c>
      <c r="I57" s="54"/>
      <c r="J57" s="55"/>
      <c r="K57" s="55">
        <v>0.43769999999999998</v>
      </c>
      <c r="L57" s="55">
        <v>0.51659999999999995</v>
      </c>
      <c r="M57" s="56">
        <v>2.5049999999999999</v>
      </c>
      <c r="N57" s="58">
        <v>3.4592999999999998</v>
      </c>
      <c r="O57" s="59">
        <v>16.1873</v>
      </c>
    </row>
    <row r="58" spans="1:15" ht="14.25" customHeight="1" x14ac:dyDescent="0.2">
      <c r="A58" s="33" t="s">
        <v>52</v>
      </c>
      <c r="B58" s="54">
        <v>9.3099000000000007</v>
      </c>
      <c r="C58" s="55"/>
      <c r="D58" s="55"/>
      <c r="E58" s="55">
        <v>5.78</v>
      </c>
      <c r="F58" s="55"/>
      <c r="G58" s="56"/>
      <c r="H58" s="57">
        <v>15.0899</v>
      </c>
      <c r="I58" s="54">
        <v>0.96099999999999997</v>
      </c>
      <c r="J58" s="55"/>
      <c r="K58" s="55">
        <v>0.2213</v>
      </c>
      <c r="L58" s="55"/>
      <c r="M58" s="56">
        <v>1.0342</v>
      </c>
      <c r="N58" s="58">
        <v>2.2164999999999999</v>
      </c>
      <c r="O58" s="59">
        <v>17.3064</v>
      </c>
    </row>
    <row r="59" spans="1:15" ht="14.25" customHeight="1" x14ac:dyDescent="0.2">
      <c r="A59" s="33" t="s">
        <v>53</v>
      </c>
      <c r="B59" s="54">
        <v>5.5141</v>
      </c>
      <c r="C59" s="55"/>
      <c r="D59" s="55"/>
      <c r="E59" s="55">
        <v>5.8120000000000003</v>
      </c>
      <c r="F59" s="55"/>
      <c r="G59" s="56">
        <v>0.25090000000000001</v>
      </c>
      <c r="H59" s="57">
        <v>11.577</v>
      </c>
      <c r="I59" s="54"/>
      <c r="J59" s="55">
        <v>1.2971999999999999</v>
      </c>
      <c r="K59" s="55">
        <v>0.24460000000000001</v>
      </c>
      <c r="L59" s="55">
        <v>3.3E-3</v>
      </c>
      <c r="M59" s="56">
        <v>0.59819999999999995</v>
      </c>
      <c r="N59" s="58">
        <v>2.1433</v>
      </c>
      <c r="O59" s="59">
        <v>13.7203</v>
      </c>
    </row>
    <row r="60" spans="1:15" ht="14.25" customHeight="1" x14ac:dyDescent="0.2">
      <c r="A60" s="33" t="s">
        <v>54</v>
      </c>
      <c r="B60" s="54">
        <v>7.3663999999999996</v>
      </c>
      <c r="C60" s="55"/>
      <c r="D60" s="55"/>
      <c r="E60" s="55">
        <v>6.8529999999999998</v>
      </c>
      <c r="F60" s="55"/>
      <c r="G60" s="56">
        <v>3.7435999999999998</v>
      </c>
      <c r="H60" s="57">
        <v>17.963000000000001</v>
      </c>
      <c r="I60" s="54"/>
      <c r="J60" s="55">
        <v>0.13189999999999999</v>
      </c>
      <c r="K60" s="55"/>
      <c r="L60" s="55">
        <v>1.0621</v>
      </c>
      <c r="M60" s="56">
        <v>3.6972</v>
      </c>
      <c r="N60" s="58">
        <v>4.8912000000000004</v>
      </c>
      <c r="O60" s="59">
        <v>22.854199999999999</v>
      </c>
    </row>
    <row r="61" spans="1:15" ht="14.25" customHeight="1" x14ac:dyDescent="0.2">
      <c r="A61" s="33" t="s">
        <v>55</v>
      </c>
      <c r="B61" s="54">
        <v>6.0952999999999999</v>
      </c>
      <c r="C61" s="55"/>
      <c r="D61" s="55"/>
      <c r="E61" s="55">
        <v>5.9039999999999999</v>
      </c>
      <c r="F61" s="55"/>
      <c r="G61" s="56">
        <v>2.9399999999999999E-2</v>
      </c>
      <c r="H61" s="57">
        <v>12.028700000000001</v>
      </c>
      <c r="I61" s="54"/>
      <c r="J61" s="55"/>
      <c r="K61" s="55">
        <v>0.50749999999999995</v>
      </c>
      <c r="L61" s="55"/>
      <c r="M61" s="56">
        <v>0.26989999999999997</v>
      </c>
      <c r="N61" s="58">
        <v>0.77739999999999998</v>
      </c>
      <c r="O61" s="59">
        <v>12.806100000000001</v>
      </c>
    </row>
    <row r="62" spans="1:15" ht="14.25" customHeight="1" x14ac:dyDescent="0.2">
      <c r="A62" s="33" t="s">
        <v>56</v>
      </c>
      <c r="B62" s="54">
        <v>3.2231999999999998</v>
      </c>
      <c r="C62" s="55">
        <v>0.11700000000000001</v>
      </c>
      <c r="D62" s="55">
        <v>0.1159</v>
      </c>
      <c r="E62" s="55">
        <v>6.7089999999999996</v>
      </c>
      <c r="F62" s="55"/>
      <c r="G62" s="56">
        <v>1.3349</v>
      </c>
      <c r="H62" s="57">
        <v>11.5</v>
      </c>
      <c r="I62" s="54"/>
      <c r="J62" s="55"/>
      <c r="K62" s="55"/>
      <c r="L62" s="55">
        <v>0.53620000000000001</v>
      </c>
      <c r="M62" s="56">
        <v>1.4419</v>
      </c>
      <c r="N62" s="58">
        <v>1.9781</v>
      </c>
      <c r="O62" s="59">
        <v>13.4781</v>
      </c>
    </row>
    <row r="63" spans="1:15" ht="14.25" customHeight="1" x14ac:dyDescent="0.2">
      <c r="A63" s="33" t="s">
        <v>57</v>
      </c>
      <c r="B63" s="54">
        <v>4.8750999999999998</v>
      </c>
      <c r="C63" s="55"/>
      <c r="D63" s="55"/>
      <c r="E63" s="55">
        <v>5.8250000000000002</v>
      </c>
      <c r="F63" s="55"/>
      <c r="G63" s="56">
        <v>0.21890000000000001</v>
      </c>
      <c r="H63" s="57">
        <v>10.919</v>
      </c>
      <c r="I63" s="54"/>
      <c r="J63" s="55"/>
      <c r="K63" s="55"/>
      <c r="L63" s="55">
        <v>2.0232000000000001</v>
      </c>
      <c r="M63" s="56">
        <v>2.2387000000000001</v>
      </c>
      <c r="N63" s="58">
        <v>4.2618999999999998</v>
      </c>
      <c r="O63" s="59">
        <v>15.180899999999999</v>
      </c>
    </row>
    <row r="64" spans="1:15" ht="14.25" customHeight="1" x14ac:dyDescent="0.2">
      <c r="A64" s="33" t="s">
        <v>58</v>
      </c>
      <c r="B64" s="54">
        <v>6.15</v>
      </c>
      <c r="C64" s="55"/>
      <c r="D64" s="55"/>
      <c r="E64" s="55">
        <v>5.1459999999999999</v>
      </c>
      <c r="F64" s="55"/>
      <c r="G64" s="56"/>
      <c r="H64" s="57">
        <v>11.295999999999999</v>
      </c>
      <c r="I64" s="54"/>
      <c r="J64" s="55"/>
      <c r="K64" s="55">
        <v>0.2586</v>
      </c>
      <c r="L64" s="55"/>
      <c r="M64" s="56">
        <v>0.72989999999999999</v>
      </c>
      <c r="N64" s="58">
        <v>0.98850000000000005</v>
      </c>
      <c r="O64" s="59">
        <v>12.2845</v>
      </c>
    </row>
    <row r="65" spans="1:15" ht="14.25" customHeight="1" x14ac:dyDescent="0.2">
      <c r="A65" s="33" t="s">
        <v>59</v>
      </c>
      <c r="B65" s="54">
        <v>9</v>
      </c>
      <c r="C65" s="55"/>
      <c r="D65" s="55"/>
      <c r="E65" s="55">
        <v>5.9820000000000002</v>
      </c>
      <c r="F65" s="55"/>
      <c r="G65" s="56">
        <v>0.36149999999999999</v>
      </c>
      <c r="H65" s="57">
        <v>15.343500000000001</v>
      </c>
      <c r="I65" s="54"/>
      <c r="J65" s="55"/>
      <c r="K65" s="55"/>
      <c r="L65" s="55"/>
      <c r="M65" s="56">
        <v>1.1458999999999999</v>
      </c>
      <c r="N65" s="58">
        <v>1.1458999999999999</v>
      </c>
      <c r="O65" s="59">
        <v>16.4894</v>
      </c>
    </row>
    <row r="66" spans="1:15" ht="14.25" customHeight="1" x14ac:dyDescent="0.2">
      <c r="A66" s="33" t="s">
        <v>60</v>
      </c>
      <c r="B66" s="54">
        <v>7.2426000000000004</v>
      </c>
      <c r="C66" s="55"/>
      <c r="D66" s="55"/>
      <c r="E66" s="55">
        <v>6.08</v>
      </c>
      <c r="F66" s="55"/>
      <c r="G66" s="56">
        <v>0.36149999999999999</v>
      </c>
      <c r="H66" s="57">
        <v>13.684100000000001</v>
      </c>
      <c r="I66" s="54"/>
      <c r="J66" s="55">
        <v>1.0293000000000001</v>
      </c>
      <c r="K66" s="55"/>
      <c r="L66" s="55"/>
      <c r="M66" s="56">
        <v>1.1133999999999999</v>
      </c>
      <c r="N66" s="58">
        <v>2.1427</v>
      </c>
      <c r="O66" s="59">
        <v>15.8268</v>
      </c>
    </row>
    <row r="67" spans="1:15" ht="14.25" customHeight="1" x14ac:dyDescent="0.2">
      <c r="A67" s="33" t="s">
        <v>61</v>
      </c>
      <c r="B67" s="54">
        <v>10</v>
      </c>
      <c r="C67" s="55"/>
      <c r="D67" s="55"/>
      <c r="E67" s="55">
        <v>5.9530000000000003</v>
      </c>
      <c r="F67" s="55"/>
      <c r="G67" s="56">
        <v>0.86150000000000004</v>
      </c>
      <c r="H67" s="57">
        <v>16.814499999999999</v>
      </c>
      <c r="I67" s="54"/>
      <c r="J67" s="55"/>
      <c r="K67" s="55"/>
      <c r="L67" s="55"/>
      <c r="M67" s="56">
        <v>0.41810000000000003</v>
      </c>
      <c r="N67" s="58">
        <v>0.41810000000000003</v>
      </c>
      <c r="O67" s="59">
        <v>17.232600000000001</v>
      </c>
    </row>
    <row r="68" spans="1:15" ht="14.25" customHeight="1" x14ac:dyDescent="0.2">
      <c r="A68" s="33" t="s">
        <v>62</v>
      </c>
      <c r="B68" s="54">
        <v>5.3811999999999998</v>
      </c>
      <c r="C68" s="55"/>
      <c r="D68" s="55">
        <v>0.91739999999999999</v>
      </c>
      <c r="E68" s="55">
        <v>5.8019999999999996</v>
      </c>
      <c r="F68" s="55"/>
      <c r="G68" s="56">
        <v>0.25090000000000001</v>
      </c>
      <c r="H68" s="57">
        <v>12.3515</v>
      </c>
      <c r="I68" s="54"/>
      <c r="J68" s="55">
        <v>0.98340000000000005</v>
      </c>
      <c r="K68" s="55">
        <v>1.1136999999999999</v>
      </c>
      <c r="L68" s="55">
        <v>0.4284</v>
      </c>
      <c r="M68" s="56">
        <v>4.3371000000000004</v>
      </c>
      <c r="N68" s="58">
        <v>6.8625999999999996</v>
      </c>
      <c r="O68" s="59">
        <v>19.214099999999998</v>
      </c>
    </row>
    <row r="69" spans="1:15" ht="14.25" customHeight="1" x14ac:dyDescent="0.2">
      <c r="A69" s="33" t="s">
        <v>63</v>
      </c>
      <c r="B69" s="54">
        <v>8.1999999999999993</v>
      </c>
      <c r="C69" s="55"/>
      <c r="D69" s="55"/>
      <c r="E69" s="55">
        <v>5.8719999999999999</v>
      </c>
      <c r="F69" s="55"/>
      <c r="G69" s="56">
        <v>2.9399999999999999E-2</v>
      </c>
      <c r="H69" s="57">
        <v>14.1014</v>
      </c>
      <c r="I69" s="54"/>
      <c r="J69" s="55"/>
      <c r="K69" s="55"/>
      <c r="L69" s="55"/>
      <c r="M69" s="56">
        <v>0.1173</v>
      </c>
      <c r="N69" s="58">
        <v>0.1173</v>
      </c>
      <c r="O69" s="59">
        <v>14.2187</v>
      </c>
    </row>
    <row r="70" spans="1:15" ht="14.25" customHeight="1" x14ac:dyDescent="0.2">
      <c r="A70" s="33" t="s">
        <v>64</v>
      </c>
      <c r="B70" s="54">
        <v>3.6362999999999999</v>
      </c>
      <c r="C70" s="55"/>
      <c r="D70" s="55"/>
      <c r="E70" s="55">
        <v>4.7839999999999998</v>
      </c>
      <c r="F70" s="55"/>
      <c r="G70" s="56">
        <v>2.9399999999999999E-2</v>
      </c>
      <c r="H70" s="57">
        <v>8.4497</v>
      </c>
      <c r="I70" s="54"/>
      <c r="J70" s="55">
        <v>2.7E-2</v>
      </c>
      <c r="K70" s="55">
        <v>1.1111</v>
      </c>
      <c r="L70" s="55"/>
      <c r="M70" s="56">
        <v>0.16980000000000001</v>
      </c>
      <c r="N70" s="58">
        <v>1.3079000000000001</v>
      </c>
      <c r="O70" s="59">
        <v>9.7576000000000001</v>
      </c>
    </row>
    <row r="71" spans="1:15" ht="14.25" customHeight="1" thickBot="1" x14ac:dyDescent="0.25">
      <c r="A71" s="48" t="s">
        <v>65</v>
      </c>
      <c r="B71" s="60">
        <v>8.5</v>
      </c>
      <c r="C71" s="61"/>
      <c r="D71" s="61"/>
      <c r="E71" s="61">
        <v>5.5960000000000001</v>
      </c>
      <c r="F71" s="61"/>
      <c r="G71" s="62">
        <v>2.9399999999999999E-2</v>
      </c>
      <c r="H71" s="63">
        <v>14.125400000000001</v>
      </c>
      <c r="I71" s="60"/>
      <c r="J71" s="61"/>
      <c r="K71" s="61"/>
      <c r="L71" s="61"/>
      <c r="M71" s="62">
        <v>1.2256</v>
      </c>
      <c r="N71" s="64">
        <v>1.2256</v>
      </c>
      <c r="O71" s="65">
        <v>15.351000000000001</v>
      </c>
    </row>
    <row r="73" spans="1:15" x14ac:dyDescent="0.2">
      <c r="A73" s="3" t="s">
        <v>68</v>
      </c>
    </row>
    <row r="74" spans="1:15" x14ac:dyDescent="0.2">
      <c r="A74" s="3" t="s">
        <v>69</v>
      </c>
    </row>
    <row r="75" spans="1:15" x14ac:dyDescent="0.2">
      <c r="A75" s="3" t="s">
        <v>103</v>
      </c>
    </row>
    <row r="77" spans="1:15" ht="16.5" x14ac:dyDescent="0.2">
      <c r="A77" s="3" t="s">
        <v>114</v>
      </c>
    </row>
    <row r="79" spans="1:15" x14ac:dyDescent="0.2">
      <c r="A79" s="3" t="s">
        <v>118</v>
      </c>
    </row>
  </sheetData>
  <mergeCells count="2">
    <mergeCell ref="B3:G3"/>
    <mergeCell ref="I3:M3"/>
  </mergeCells>
  <phoneticPr fontId="0" type="noConversion"/>
  <conditionalFormatting sqref="A4:O71">
    <cfRule type="expression" dxfId="4" priority="1" stopIfTrue="1">
      <formula>MOD(ROW(),3)=1</formula>
    </cfRule>
  </conditionalFormatting>
  <pageMargins left="0.7" right="0.7" top="0.75" bottom="0.75" header="0.3" footer="0.3"/>
  <pageSetup fitToHeight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77"/>
  <sheetViews>
    <sheetView workbookViewId="0">
      <pane ySplit="4" topLeftCell="A5" activePane="bottomLeft" state="frozen"/>
      <selection activeCell="A3" sqref="A3"/>
      <selection pane="bottomLeft"/>
    </sheetView>
  </sheetViews>
  <sheetFormatPr defaultRowHeight="14.25" x14ac:dyDescent="0.2"/>
  <cols>
    <col min="1" max="1" width="38.140625" style="3" customWidth="1"/>
    <col min="2" max="2" width="15.42578125" style="3" bestFit="1" customWidth="1"/>
    <col min="3" max="3" width="12.5703125" style="3" bestFit="1" customWidth="1"/>
    <col min="4" max="4" width="12.140625" style="3" bestFit="1" customWidth="1"/>
    <col min="5" max="5" width="15.42578125" style="3" bestFit="1" customWidth="1"/>
    <col min="6" max="6" width="12.42578125" style="3" bestFit="1" customWidth="1"/>
    <col min="7" max="7" width="14.28515625" style="3" bestFit="1" customWidth="1"/>
    <col min="8" max="8" width="15.42578125" style="3" bestFit="1" customWidth="1"/>
    <col min="9" max="10" width="14.28515625" style="3" bestFit="1" customWidth="1"/>
    <col min="11" max="11" width="12.42578125" style="3" bestFit="1" customWidth="1"/>
    <col min="12" max="13" width="14.28515625" style="3" bestFit="1" customWidth="1"/>
    <col min="14" max="15" width="15.42578125" style="3" bestFit="1" customWidth="1"/>
    <col min="16" max="16" width="13.85546875" style="3" bestFit="1" customWidth="1"/>
    <col min="17" max="17" width="10" style="10" bestFit="1" customWidth="1"/>
    <col min="18" max="16384" width="9.140625" style="10"/>
  </cols>
  <sheetData>
    <row r="1" spans="1:17" ht="23.25" x14ac:dyDescent="0.2">
      <c r="A1" s="1" t="s">
        <v>83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2"/>
      <c r="Q1" s="16"/>
    </row>
    <row r="2" spans="1:17" ht="15.75" thickBot="1" x14ac:dyDescent="0.25">
      <c r="A2" s="18">
        <v>2021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2"/>
      <c r="Q2" s="16"/>
    </row>
    <row r="3" spans="1:17" ht="15.75" thickBot="1" x14ac:dyDescent="0.3">
      <c r="A3" s="18"/>
      <c r="B3" s="72" t="s">
        <v>0</v>
      </c>
      <c r="C3" s="73"/>
      <c r="D3" s="73"/>
      <c r="E3" s="73"/>
      <c r="F3" s="73"/>
      <c r="G3" s="74"/>
      <c r="H3" s="31"/>
      <c r="I3" s="72" t="s">
        <v>71</v>
      </c>
      <c r="J3" s="73"/>
      <c r="K3" s="73"/>
      <c r="L3" s="73"/>
      <c r="M3" s="74"/>
      <c r="N3" s="31"/>
      <c r="O3" s="31"/>
      <c r="P3" s="32"/>
      <c r="Q3" s="16"/>
    </row>
    <row r="4" spans="1:17" s="11" customFormat="1" ht="63.75" x14ac:dyDescent="0.2">
      <c r="A4" s="6" t="s">
        <v>1</v>
      </c>
      <c r="B4" s="49" t="s">
        <v>73</v>
      </c>
      <c r="C4" s="50" t="s">
        <v>74</v>
      </c>
      <c r="D4" s="50" t="s">
        <v>75</v>
      </c>
      <c r="E4" s="50" t="s">
        <v>76</v>
      </c>
      <c r="F4" s="50" t="s">
        <v>77</v>
      </c>
      <c r="G4" s="51" t="s">
        <v>78</v>
      </c>
      <c r="H4" s="6" t="s">
        <v>79</v>
      </c>
      <c r="I4" s="49" t="s">
        <v>73</v>
      </c>
      <c r="J4" s="50" t="s">
        <v>75</v>
      </c>
      <c r="K4" s="50" t="s">
        <v>78</v>
      </c>
      <c r="L4" s="50" t="s">
        <v>66</v>
      </c>
      <c r="M4" s="51" t="s">
        <v>67</v>
      </c>
      <c r="N4" s="7" t="s">
        <v>80</v>
      </c>
      <c r="O4" s="8" t="s">
        <v>72</v>
      </c>
      <c r="P4" s="9" t="s">
        <v>116</v>
      </c>
    </row>
    <row r="5" spans="1:17" ht="14.25" customHeight="1" x14ac:dyDescent="0.2">
      <c r="A5" s="52" t="s">
        <v>2</v>
      </c>
      <c r="B5" s="34">
        <v>135524430</v>
      </c>
      <c r="C5" s="35"/>
      <c r="D5" s="35"/>
      <c r="E5" s="35">
        <v>132085374</v>
      </c>
      <c r="F5" s="35"/>
      <c r="G5" s="36">
        <v>27391733</v>
      </c>
      <c r="H5" s="37">
        <v>295001537</v>
      </c>
      <c r="I5" s="34"/>
      <c r="J5" s="35"/>
      <c r="K5" s="35">
        <v>4499390</v>
      </c>
      <c r="L5" s="35">
        <v>25647785</v>
      </c>
      <c r="M5" s="36">
        <v>56181577</v>
      </c>
      <c r="N5" s="38">
        <v>86328752</v>
      </c>
      <c r="O5" s="35">
        <v>381330289</v>
      </c>
      <c r="P5" s="70">
        <v>6.5599999999999992E-2</v>
      </c>
    </row>
    <row r="6" spans="1:17" ht="14.25" customHeight="1" x14ac:dyDescent="0.2">
      <c r="A6" s="52" t="s">
        <v>3</v>
      </c>
      <c r="B6" s="34">
        <v>8199987</v>
      </c>
      <c r="C6" s="35"/>
      <c r="D6" s="35"/>
      <c r="E6" s="35">
        <v>7371402</v>
      </c>
      <c r="F6" s="35"/>
      <c r="G6" s="36">
        <v>1219921</v>
      </c>
      <c r="H6" s="37">
        <v>16791310</v>
      </c>
      <c r="I6" s="34"/>
      <c r="J6" s="35"/>
      <c r="K6" s="35">
        <v>251809</v>
      </c>
      <c r="L6" s="35"/>
      <c r="M6" s="36">
        <v>1150756</v>
      </c>
      <c r="N6" s="38">
        <v>1402565</v>
      </c>
      <c r="O6" s="35">
        <v>18193875</v>
      </c>
      <c r="P6" s="70">
        <v>7.8799999999999995E-2</v>
      </c>
    </row>
    <row r="7" spans="1:17" ht="14.25" customHeight="1" x14ac:dyDescent="0.2">
      <c r="A7" s="52" t="s">
        <v>4</v>
      </c>
      <c r="B7" s="34">
        <v>86226380</v>
      </c>
      <c r="C7" s="35"/>
      <c r="D7" s="35"/>
      <c r="E7" s="35">
        <v>122992602</v>
      </c>
      <c r="F7" s="35"/>
      <c r="G7" s="36">
        <v>574387</v>
      </c>
      <c r="H7" s="37">
        <v>209793369</v>
      </c>
      <c r="I7" s="34">
        <v>1574774</v>
      </c>
      <c r="J7" s="35">
        <v>10720501</v>
      </c>
      <c r="K7" s="35">
        <v>3254125</v>
      </c>
      <c r="L7" s="35"/>
      <c r="M7" s="36">
        <v>22623624</v>
      </c>
      <c r="N7" s="38">
        <v>38173024</v>
      </c>
      <c r="O7" s="35">
        <v>247966393</v>
      </c>
      <c r="P7" s="70">
        <v>9.8599999999999993E-2</v>
      </c>
    </row>
    <row r="8" spans="1:17" ht="14.25" customHeight="1" x14ac:dyDescent="0.2">
      <c r="A8" s="52" t="s">
        <v>5</v>
      </c>
      <c r="B8" s="34">
        <v>10869017</v>
      </c>
      <c r="C8" s="35"/>
      <c r="D8" s="35"/>
      <c r="E8" s="35">
        <v>7113733</v>
      </c>
      <c r="F8" s="35"/>
      <c r="G8" s="36"/>
      <c r="H8" s="37">
        <v>17982750</v>
      </c>
      <c r="I8" s="34"/>
      <c r="J8" s="35"/>
      <c r="K8" s="35">
        <v>385540</v>
      </c>
      <c r="L8" s="35"/>
      <c r="M8" s="36">
        <v>1172468</v>
      </c>
      <c r="N8" s="38">
        <v>1558008</v>
      </c>
      <c r="O8" s="35">
        <v>19540758</v>
      </c>
      <c r="P8" s="70">
        <v>9.8699999999999996E-2</v>
      </c>
    </row>
    <row r="9" spans="1:17" ht="14.25" customHeight="1" x14ac:dyDescent="0.2">
      <c r="A9" s="52" t="s">
        <v>6</v>
      </c>
      <c r="B9" s="34">
        <v>167514991</v>
      </c>
      <c r="C9" s="35"/>
      <c r="D9" s="35">
        <v>32393677</v>
      </c>
      <c r="E9" s="35">
        <v>303805578</v>
      </c>
      <c r="F9" s="35"/>
      <c r="G9" s="36">
        <v>11927750</v>
      </c>
      <c r="H9" s="37">
        <v>515641996</v>
      </c>
      <c r="I9" s="34"/>
      <c r="J9" s="35">
        <v>22208511</v>
      </c>
      <c r="K9" s="35">
        <v>2224523</v>
      </c>
      <c r="L9" s="35">
        <v>45814720</v>
      </c>
      <c r="M9" s="36">
        <v>176466101</v>
      </c>
      <c r="N9" s="38">
        <v>246713855</v>
      </c>
      <c r="O9" s="35">
        <v>762355851</v>
      </c>
      <c r="P9" s="70">
        <v>5.0999999999999997E-2</v>
      </c>
    </row>
    <row r="10" spans="1:17" ht="14.25" customHeight="1" x14ac:dyDescent="0.2">
      <c r="A10" s="52" t="s">
        <v>7</v>
      </c>
      <c r="B10" s="34">
        <v>1221337011</v>
      </c>
      <c r="C10" s="35">
        <v>34472938</v>
      </c>
      <c r="D10" s="35"/>
      <c r="E10" s="35">
        <v>1497542888</v>
      </c>
      <c r="F10" s="35">
        <v>34155729</v>
      </c>
      <c r="G10" s="36">
        <v>168939751</v>
      </c>
      <c r="H10" s="37">
        <v>2956448317</v>
      </c>
      <c r="I10" s="34"/>
      <c r="J10" s="35">
        <v>2135362</v>
      </c>
      <c r="K10" s="35">
        <v>213595618</v>
      </c>
      <c r="L10" s="35">
        <v>5146172</v>
      </c>
      <c r="M10" s="36">
        <v>1319281620</v>
      </c>
      <c r="N10" s="38">
        <v>1540158772</v>
      </c>
      <c r="O10" s="35">
        <v>4496607089</v>
      </c>
      <c r="P10" s="70">
        <v>5.79E-2</v>
      </c>
    </row>
    <row r="11" spans="1:17" ht="14.25" customHeight="1" x14ac:dyDescent="0.2">
      <c r="A11" s="52" t="s">
        <v>8</v>
      </c>
      <c r="B11" s="34">
        <v>4463114</v>
      </c>
      <c r="C11" s="35"/>
      <c r="D11" s="35"/>
      <c r="E11" s="35">
        <v>2881096</v>
      </c>
      <c r="F11" s="35"/>
      <c r="G11" s="36">
        <v>13507</v>
      </c>
      <c r="H11" s="37">
        <v>7357717</v>
      </c>
      <c r="I11" s="34"/>
      <c r="J11" s="35"/>
      <c r="K11" s="35"/>
      <c r="L11" s="35"/>
      <c r="M11" s="36">
        <v>101803</v>
      </c>
      <c r="N11" s="38">
        <v>101803</v>
      </c>
      <c r="O11" s="35">
        <v>7459520</v>
      </c>
      <c r="P11" s="70">
        <v>4.6699999999999998E-2</v>
      </c>
    </row>
    <row r="12" spans="1:17" ht="14.25" customHeight="1" x14ac:dyDescent="0.2">
      <c r="A12" s="52" t="s">
        <v>9</v>
      </c>
      <c r="B12" s="34">
        <v>127145689</v>
      </c>
      <c r="C12" s="35">
        <v>4080505</v>
      </c>
      <c r="D12" s="35"/>
      <c r="E12" s="35">
        <v>152771804</v>
      </c>
      <c r="F12" s="35"/>
      <c r="G12" s="36">
        <v>803860</v>
      </c>
      <c r="H12" s="37">
        <v>284801858</v>
      </c>
      <c r="I12" s="34"/>
      <c r="J12" s="35"/>
      <c r="K12" s="35">
        <v>6177682</v>
      </c>
      <c r="L12" s="35">
        <v>50580173</v>
      </c>
      <c r="M12" s="36">
        <v>14466937</v>
      </c>
      <c r="N12" s="38">
        <v>71224792</v>
      </c>
      <c r="O12" s="35">
        <v>356026650</v>
      </c>
      <c r="P12" s="70">
        <v>7.17E-2</v>
      </c>
    </row>
    <row r="13" spans="1:17" ht="14.25" customHeight="1" x14ac:dyDescent="0.2">
      <c r="A13" s="52" t="s">
        <v>10</v>
      </c>
      <c r="B13" s="34">
        <v>76727806</v>
      </c>
      <c r="C13" s="35"/>
      <c r="D13" s="35">
        <v>3590393</v>
      </c>
      <c r="E13" s="35">
        <v>71454857</v>
      </c>
      <c r="F13" s="35"/>
      <c r="G13" s="36">
        <v>7659940</v>
      </c>
      <c r="H13" s="37">
        <v>159432996</v>
      </c>
      <c r="I13" s="34"/>
      <c r="J13" s="35"/>
      <c r="K13" s="35">
        <v>744580</v>
      </c>
      <c r="L13" s="35">
        <v>5953335</v>
      </c>
      <c r="M13" s="36">
        <v>7722518</v>
      </c>
      <c r="N13" s="38">
        <v>14420433</v>
      </c>
      <c r="O13" s="35">
        <v>173853429</v>
      </c>
      <c r="P13" s="70">
        <v>3.8199999999999998E-2</v>
      </c>
    </row>
    <row r="14" spans="1:17" ht="14.25" customHeight="1" x14ac:dyDescent="0.2">
      <c r="A14" s="52" t="s">
        <v>11</v>
      </c>
      <c r="B14" s="34">
        <v>72556602</v>
      </c>
      <c r="C14" s="35"/>
      <c r="D14" s="35"/>
      <c r="E14" s="35">
        <v>97485055</v>
      </c>
      <c r="F14" s="35"/>
      <c r="G14" s="36">
        <v>2865550</v>
      </c>
      <c r="H14" s="37">
        <v>172907207</v>
      </c>
      <c r="I14" s="34"/>
      <c r="J14" s="35"/>
      <c r="K14" s="35"/>
      <c r="L14" s="35">
        <v>36023266</v>
      </c>
      <c r="M14" s="36">
        <v>6376498</v>
      </c>
      <c r="N14" s="38">
        <v>42399764</v>
      </c>
      <c r="O14" s="35">
        <v>215306971</v>
      </c>
      <c r="P14" s="70">
        <v>8.8499999999999995E-2</v>
      </c>
    </row>
    <row r="15" spans="1:17" ht="14.25" customHeight="1" x14ac:dyDescent="0.2">
      <c r="A15" s="52" t="s">
        <v>12</v>
      </c>
      <c r="B15" s="34">
        <v>399298195</v>
      </c>
      <c r="C15" s="35"/>
      <c r="D15" s="35">
        <v>3067078</v>
      </c>
      <c r="E15" s="35">
        <v>533684701</v>
      </c>
      <c r="F15" s="35"/>
      <c r="G15" s="36">
        <v>22810181</v>
      </c>
      <c r="H15" s="37">
        <v>958860155</v>
      </c>
      <c r="I15" s="34"/>
      <c r="J15" s="35"/>
      <c r="K15" s="35">
        <v>104520589</v>
      </c>
      <c r="L15" s="35">
        <v>62494284</v>
      </c>
      <c r="M15" s="36">
        <v>53050032</v>
      </c>
      <c r="N15" s="38">
        <v>220064905</v>
      </c>
      <c r="O15" s="35">
        <v>1178925060</v>
      </c>
      <c r="P15" s="70">
        <v>6.4000000000000001E-2</v>
      </c>
    </row>
    <row r="16" spans="1:17" ht="14.25" customHeight="1" x14ac:dyDescent="0.2">
      <c r="A16" s="52" t="s">
        <v>13</v>
      </c>
      <c r="B16" s="34">
        <v>25183063</v>
      </c>
      <c r="C16" s="35"/>
      <c r="D16" s="35"/>
      <c r="E16" s="35">
        <v>20998953</v>
      </c>
      <c r="F16" s="35"/>
      <c r="G16" s="36">
        <v>1184904</v>
      </c>
      <c r="H16" s="37">
        <v>47366920</v>
      </c>
      <c r="I16" s="34"/>
      <c r="J16" s="35"/>
      <c r="K16" s="35"/>
      <c r="L16" s="35"/>
      <c r="M16" s="36">
        <v>4240913</v>
      </c>
      <c r="N16" s="38">
        <v>4240913</v>
      </c>
      <c r="O16" s="35">
        <v>51607833</v>
      </c>
      <c r="P16" s="70">
        <v>3.2799999999999996E-2</v>
      </c>
    </row>
    <row r="17" spans="1:16" ht="14.25" customHeight="1" x14ac:dyDescent="0.2">
      <c r="A17" s="52" t="s">
        <v>106</v>
      </c>
      <c r="B17" s="34">
        <v>1578996748</v>
      </c>
      <c r="C17" s="35">
        <v>171773864</v>
      </c>
      <c r="D17" s="35"/>
      <c r="E17" s="35">
        <v>2501353187</v>
      </c>
      <c r="F17" s="35">
        <v>65931113</v>
      </c>
      <c r="G17" s="36">
        <v>268668566</v>
      </c>
      <c r="H17" s="37">
        <v>4586723478</v>
      </c>
      <c r="I17" s="34">
        <v>177965446</v>
      </c>
      <c r="J17" s="35">
        <v>547847119</v>
      </c>
      <c r="K17" s="35"/>
      <c r="L17" s="35"/>
      <c r="M17" s="36">
        <v>1364527062</v>
      </c>
      <c r="N17" s="38">
        <v>2090339627</v>
      </c>
      <c r="O17" s="35">
        <v>6677063105</v>
      </c>
      <c r="P17" s="70">
        <v>5.8899999999999994E-2</v>
      </c>
    </row>
    <row r="18" spans="1:16" ht="14.25" customHeight="1" x14ac:dyDescent="0.2">
      <c r="A18" s="52" t="s">
        <v>14</v>
      </c>
      <c r="B18" s="34">
        <v>17216976</v>
      </c>
      <c r="C18" s="35"/>
      <c r="D18" s="35"/>
      <c r="E18" s="35">
        <v>12686397</v>
      </c>
      <c r="F18" s="35"/>
      <c r="G18" s="36">
        <v>517578</v>
      </c>
      <c r="H18" s="37">
        <v>30420951</v>
      </c>
      <c r="I18" s="34"/>
      <c r="J18" s="35"/>
      <c r="K18" s="35"/>
      <c r="L18" s="35">
        <v>4415537</v>
      </c>
      <c r="M18" s="36">
        <v>1930969</v>
      </c>
      <c r="N18" s="38">
        <v>6346506</v>
      </c>
      <c r="O18" s="35">
        <v>36767457</v>
      </c>
      <c r="P18" s="70">
        <v>3.5200000000000002E-2</v>
      </c>
    </row>
    <row r="19" spans="1:16" ht="14.25" customHeight="1" x14ac:dyDescent="0.2">
      <c r="A19" s="52" t="s">
        <v>15</v>
      </c>
      <c r="B19" s="34">
        <v>5968323</v>
      </c>
      <c r="C19" s="35"/>
      <c r="D19" s="35"/>
      <c r="E19" s="35">
        <v>3711429</v>
      </c>
      <c r="F19" s="35"/>
      <c r="G19" s="36">
        <v>215757</v>
      </c>
      <c r="H19" s="37">
        <v>9895509</v>
      </c>
      <c r="I19" s="34"/>
      <c r="J19" s="35"/>
      <c r="K19" s="35"/>
      <c r="L19" s="35">
        <v>1790498</v>
      </c>
      <c r="M19" s="36">
        <v>302883</v>
      </c>
      <c r="N19" s="38">
        <v>2093381</v>
      </c>
      <c r="O19" s="35">
        <v>11988890</v>
      </c>
      <c r="P19" s="70">
        <v>3.3700000000000001E-2</v>
      </c>
    </row>
    <row r="20" spans="1:16" ht="14.25" customHeight="1" x14ac:dyDescent="0.2">
      <c r="A20" s="52" t="s">
        <v>16</v>
      </c>
      <c r="B20" s="34"/>
      <c r="C20" s="35"/>
      <c r="D20" s="35"/>
      <c r="E20" s="35">
        <v>499072123</v>
      </c>
      <c r="F20" s="35"/>
      <c r="G20" s="36">
        <v>19986607</v>
      </c>
      <c r="H20" s="37">
        <v>519058730</v>
      </c>
      <c r="I20" s="34">
        <v>883771071</v>
      </c>
      <c r="J20" s="35"/>
      <c r="K20" s="35"/>
      <c r="L20" s="35"/>
      <c r="M20" s="36">
        <v>27501640</v>
      </c>
      <c r="N20" s="38">
        <v>911272711</v>
      </c>
      <c r="O20" s="35">
        <v>1430331441</v>
      </c>
      <c r="P20" s="70">
        <v>7.1099999999999997E-2</v>
      </c>
    </row>
    <row r="21" spans="1:16" ht="14.25" customHeight="1" x14ac:dyDescent="0.2">
      <c r="A21" s="52" t="s">
        <v>17</v>
      </c>
      <c r="B21" s="34">
        <v>138461046</v>
      </c>
      <c r="C21" s="35"/>
      <c r="D21" s="35"/>
      <c r="E21" s="35">
        <v>131546776</v>
      </c>
      <c r="F21" s="35"/>
      <c r="G21" s="36">
        <v>11096305</v>
      </c>
      <c r="H21" s="37">
        <v>281104127</v>
      </c>
      <c r="I21" s="34"/>
      <c r="J21" s="35"/>
      <c r="K21" s="35"/>
      <c r="L21" s="35">
        <v>17635318</v>
      </c>
      <c r="M21" s="36">
        <v>20967646</v>
      </c>
      <c r="N21" s="38">
        <v>38602964</v>
      </c>
      <c r="O21" s="35">
        <v>319707091</v>
      </c>
      <c r="P21" s="70">
        <v>7.9299999999999995E-2</v>
      </c>
    </row>
    <row r="22" spans="1:16" ht="14.25" customHeight="1" x14ac:dyDescent="0.2">
      <c r="A22" s="52" t="s">
        <v>18</v>
      </c>
      <c r="B22" s="34">
        <v>87556514</v>
      </c>
      <c r="C22" s="35">
        <v>3543186</v>
      </c>
      <c r="D22" s="35"/>
      <c r="E22" s="35">
        <v>46355227</v>
      </c>
      <c r="F22" s="35"/>
      <c r="G22" s="36">
        <v>2741812</v>
      </c>
      <c r="H22" s="37">
        <v>140196739</v>
      </c>
      <c r="I22" s="34"/>
      <c r="J22" s="35"/>
      <c r="K22" s="35">
        <v>2596958</v>
      </c>
      <c r="L22" s="35"/>
      <c r="M22" s="36">
        <v>36152452</v>
      </c>
      <c r="N22" s="38">
        <v>38749410</v>
      </c>
      <c r="O22" s="35">
        <v>178946149</v>
      </c>
      <c r="P22" s="70">
        <v>-4.9699999999999994E-2</v>
      </c>
    </row>
    <row r="23" spans="1:16" ht="14.25" customHeight="1" x14ac:dyDescent="0.2">
      <c r="A23" s="52" t="s">
        <v>19</v>
      </c>
      <c r="B23" s="34">
        <v>12804676</v>
      </c>
      <c r="C23" s="35"/>
      <c r="D23" s="35"/>
      <c r="E23" s="35">
        <v>12759223</v>
      </c>
      <c r="F23" s="35"/>
      <c r="G23" s="36">
        <v>69021</v>
      </c>
      <c r="H23" s="37">
        <v>25632920</v>
      </c>
      <c r="I23" s="34"/>
      <c r="J23" s="35"/>
      <c r="K23" s="35">
        <v>663987</v>
      </c>
      <c r="L23" s="35"/>
      <c r="M23" s="36">
        <v>2821724</v>
      </c>
      <c r="N23" s="38">
        <v>3485711</v>
      </c>
      <c r="O23" s="35">
        <v>29118631</v>
      </c>
      <c r="P23" s="70">
        <v>-2.2000000000000001E-3</v>
      </c>
    </row>
    <row r="24" spans="1:16" ht="14.25" customHeight="1" x14ac:dyDescent="0.2">
      <c r="A24" s="52" t="s">
        <v>20</v>
      </c>
      <c r="B24" s="34">
        <v>14637802</v>
      </c>
      <c r="C24" s="35"/>
      <c r="D24" s="35"/>
      <c r="E24" s="35">
        <v>10744849</v>
      </c>
      <c r="F24" s="35"/>
      <c r="G24" s="36">
        <v>48553</v>
      </c>
      <c r="H24" s="37">
        <v>25431204</v>
      </c>
      <c r="I24" s="34"/>
      <c r="J24" s="35"/>
      <c r="K24" s="35"/>
      <c r="L24" s="35"/>
      <c r="M24" s="36">
        <v>2577222</v>
      </c>
      <c r="N24" s="38">
        <v>2577222</v>
      </c>
      <c r="O24" s="35">
        <v>28008426</v>
      </c>
      <c r="P24" s="70">
        <v>8.4499999999999992E-2</v>
      </c>
    </row>
    <row r="25" spans="1:16" ht="14.25" customHeight="1" x14ac:dyDescent="0.2">
      <c r="A25" s="52" t="s">
        <v>21</v>
      </c>
      <c r="B25" s="34">
        <v>8822263</v>
      </c>
      <c r="C25" s="35"/>
      <c r="D25" s="35">
        <v>1016774</v>
      </c>
      <c r="E25" s="35">
        <v>6110749</v>
      </c>
      <c r="F25" s="35"/>
      <c r="G25" s="36">
        <v>345975</v>
      </c>
      <c r="H25" s="37">
        <v>16295761</v>
      </c>
      <c r="I25" s="34"/>
      <c r="J25" s="35"/>
      <c r="K25" s="35"/>
      <c r="L25" s="35"/>
      <c r="M25" s="36">
        <v>304051</v>
      </c>
      <c r="N25" s="38">
        <v>304051</v>
      </c>
      <c r="O25" s="35">
        <v>16599812</v>
      </c>
      <c r="P25" s="70">
        <v>8.6999999999999994E-2</v>
      </c>
    </row>
    <row r="26" spans="1:16" ht="14.25" customHeight="1" x14ac:dyDescent="0.2">
      <c r="A26" s="52" t="s">
        <v>22</v>
      </c>
      <c r="B26" s="34">
        <v>6943124</v>
      </c>
      <c r="C26" s="35"/>
      <c r="D26" s="35"/>
      <c r="E26" s="35">
        <v>4886809</v>
      </c>
      <c r="F26" s="35"/>
      <c r="G26" s="36">
        <v>168753</v>
      </c>
      <c r="H26" s="37">
        <v>11998686</v>
      </c>
      <c r="I26" s="34"/>
      <c r="J26" s="35"/>
      <c r="K26" s="35">
        <v>280954</v>
      </c>
      <c r="L26" s="35">
        <v>2355741</v>
      </c>
      <c r="M26" s="36">
        <v>205089</v>
      </c>
      <c r="N26" s="38">
        <v>2841784</v>
      </c>
      <c r="O26" s="35">
        <v>14840470</v>
      </c>
      <c r="P26" s="70">
        <v>6.6600000000000006E-2</v>
      </c>
    </row>
    <row r="27" spans="1:16" ht="14.25" customHeight="1" x14ac:dyDescent="0.2">
      <c r="A27" s="52" t="s">
        <v>23</v>
      </c>
      <c r="B27" s="34">
        <v>13872496</v>
      </c>
      <c r="C27" s="35"/>
      <c r="D27" s="35"/>
      <c r="E27" s="35">
        <v>14325917</v>
      </c>
      <c r="F27" s="35"/>
      <c r="G27" s="36">
        <v>60105</v>
      </c>
      <c r="H27" s="37">
        <v>28258518</v>
      </c>
      <c r="I27" s="34"/>
      <c r="J27" s="35">
        <v>802919</v>
      </c>
      <c r="K27" s="35"/>
      <c r="L27" s="35">
        <v>400086</v>
      </c>
      <c r="M27" s="36">
        <v>1714667</v>
      </c>
      <c r="N27" s="38">
        <v>2917672</v>
      </c>
      <c r="O27" s="35">
        <v>31176190</v>
      </c>
      <c r="P27" s="70">
        <v>0.10920000000000001</v>
      </c>
    </row>
    <row r="28" spans="1:16" ht="14.25" customHeight="1" x14ac:dyDescent="0.2">
      <c r="A28" s="52" t="s">
        <v>24</v>
      </c>
      <c r="B28" s="34">
        <v>10236160</v>
      </c>
      <c r="C28" s="35"/>
      <c r="D28" s="35"/>
      <c r="E28" s="35">
        <v>6431404</v>
      </c>
      <c r="F28" s="35"/>
      <c r="G28" s="36">
        <v>371823</v>
      </c>
      <c r="H28" s="37">
        <v>17039387</v>
      </c>
      <c r="I28" s="34"/>
      <c r="J28" s="35"/>
      <c r="K28" s="35"/>
      <c r="L28" s="35"/>
      <c r="M28" s="36">
        <v>584845</v>
      </c>
      <c r="N28" s="38">
        <v>584845</v>
      </c>
      <c r="O28" s="35">
        <v>17624232</v>
      </c>
      <c r="P28" s="70">
        <v>7.000000000000001E-4</v>
      </c>
    </row>
    <row r="29" spans="1:16" ht="14.25" customHeight="1" x14ac:dyDescent="0.2">
      <c r="A29" s="52" t="s">
        <v>25</v>
      </c>
      <c r="B29" s="34">
        <v>16106068</v>
      </c>
      <c r="C29" s="35"/>
      <c r="D29" s="35"/>
      <c r="E29" s="35">
        <v>11419207</v>
      </c>
      <c r="F29" s="35"/>
      <c r="G29" s="36">
        <v>679524</v>
      </c>
      <c r="H29" s="37">
        <v>28204799</v>
      </c>
      <c r="I29" s="34"/>
      <c r="J29" s="35"/>
      <c r="K29" s="35"/>
      <c r="L29" s="35"/>
      <c r="M29" s="36">
        <v>1431939</v>
      </c>
      <c r="N29" s="38">
        <v>1431939</v>
      </c>
      <c r="O29" s="35">
        <v>29636738</v>
      </c>
      <c r="P29" s="70">
        <v>2.0299999999999999E-2</v>
      </c>
    </row>
    <row r="30" spans="1:16" ht="14.25" customHeight="1" x14ac:dyDescent="0.2">
      <c r="A30" s="52" t="s">
        <v>26</v>
      </c>
      <c r="B30" s="34">
        <v>19863611</v>
      </c>
      <c r="C30" s="35"/>
      <c r="D30" s="35"/>
      <c r="E30" s="35">
        <v>17082417</v>
      </c>
      <c r="F30" s="35"/>
      <c r="G30" s="36">
        <v>11183726</v>
      </c>
      <c r="H30" s="37">
        <v>48129754</v>
      </c>
      <c r="I30" s="34"/>
      <c r="J30" s="35"/>
      <c r="K30" s="35">
        <v>536549</v>
      </c>
      <c r="L30" s="35"/>
      <c r="M30" s="36">
        <v>2919774</v>
      </c>
      <c r="N30" s="38">
        <v>3456323</v>
      </c>
      <c r="O30" s="35">
        <v>51586077</v>
      </c>
      <c r="P30" s="70">
        <v>9.1999999999999998E-2</v>
      </c>
    </row>
    <row r="31" spans="1:16" ht="14.25" customHeight="1" x14ac:dyDescent="0.2">
      <c r="A31" s="52" t="s">
        <v>27</v>
      </c>
      <c r="B31" s="34">
        <v>90826668</v>
      </c>
      <c r="C31" s="35"/>
      <c r="D31" s="35"/>
      <c r="E31" s="35">
        <v>71851931</v>
      </c>
      <c r="F31" s="35">
        <v>12437585</v>
      </c>
      <c r="G31" s="36">
        <v>2803644</v>
      </c>
      <c r="H31" s="37">
        <v>177919828</v>
      </c>
      <c r="I31" s="34"/>
      <c r="J31" s="35"/>
      <c r="K31" s="35"/>
      <c r="L31" s="35">
        <v>11123429</v>
      </c>
      <c r="M31" s="36">
        <v>3052442</v>
      </c>
      <c r="N31" s="38">
        <v>14175871</v>
      </c>
      <c r="O31" s="35">
        <v>192095699</v>
      </c>
      <c r="P31" s="70">
        <v>0.14319999999999999</v>
      </c>
    </row>
    <row r="32" spans="1:16" ht="14.25" customHeight="1" x14ac:dyDescent="0.2">
      <c r="A32" s="52" t="s">
        <v>28</v>
      </c>
      <c r="B32" s="34">
        <v>48740561</v>
      </c>
      <c r="C32" s="35"/>
      <c r="D32" s="35"/>
      <c r="E32" s="35">
        <v>37208964</v>
      </c>
      <c r="F32" s="35"/>
      <c r="G32" s="36"/>
      <c r="H32" s="37">
        <v>85949525</v>
      </c>
      <c r="I32" s="34"/>
      <c r="J32" s="35"/>
      <c r="K32" s="35">
        <v>1463640</v>
      </c>
      <c r="L32" s="35"/>
      <c r="M32" s="36">
        <v>5940660</v>
      </c>
      <c r="N32" s="38">
        <v>7404300</v>
      </c>
      <c r="O32" s="35">
        <v>93353825</v>
      </c>
      <c r="P32" s="70">
        <v>7.0499999999999993E-2</v>
      </c>
    </row>
    <row r="33" spans="1:16" ht="14.25" customHeight="1" x14ac:dyDescent="0.2">
      <c r="A33" s="52" t="s">
        <v>29</v>
      </c>
      <c r="B33" s="34">
        <v>701040714</v>
      </c>
      <c r="C33" s="35">
        <v>7416371</v>
      </c>
      <c r="D33" s="35"/>
      <c r="E33" s="35">
        <v>774511255</v>
      </c>
      <c r="F33" s="35"/>
      <c r="G33" s="36">
        <v>98956906</v>
      </c>
      <c r="H33" s="37">
        <v>1581925246</v>
      </c>
      <c r="I33" s="34"/>
      <c r="J33" s="35">
        <v>65679514</v>
      </c>
      <c r="K33" s="35">
        <v>59880482</v>
      </c>
      <c r="L33" s="35">
        <v>324320870</v>
      </c>
      <c r="M33" s="36">
        <v>302892945</v>
      </c>
      <c r="N33" s="38">
        <v>752773811</v>
      </c>
      <c r="O33" s="35">
        <v>2334699057</v>
      </c>
      <c r="P33" s="70">
        <v>8.0199999999999994E-2</v>
      </c>
    </row>
    <row r="34" spans="1:16" ht="14.25" customHeight="1" x14ac:dyDescent="0.2">
      <c r="A34" s="52" t="s">
        <v>30</v>
      </c>
      <c r="B34" s="34">
        <v>4660182</v>
      </c>
      <c r="C34" s="35"/>
      <c r="D34" s="35"/>
      <c r="E34" s="35">
        <v>3304941</v>
      </c>
      <c r="F34" s="35"/>
      <c r="G34" s="36">
        <v>14924</v>
      </c>
      <c r="H34" s="37">
        <v>7980047</v>
      </c>
      <c r="I34" s="34"/>
      <c r="J34" s="35"/>
      <c r="K34" s="35"/>
      <c r="L34" s="35"/>
      <c r="M34" s="36">
        <v>35266</v>
      </c>
      <c r="N34" s="38">
        <v>35266</v>
      </c>
      <c r="O34" s="35">
        <v>8015313</v>
      </c>
      <c r="P34" s="70">
        <v>5.1299999999999998E-2</v>
      </c>
    </row>
    <row r="35" spans="1:16" ht="14.25" customHeight="1" x14ac:dyDescent="0.2">
      <c r="A35" s="52" t="s">
        <v>31</v>
      </c>
      <c r="B35" s="34">
        <v>73040656</v>
      </c>
      <c r="C35" s="35"/>
      <c r="D35" s="35"/>
      <c r="E35" s="35">
        <v>137592992</v>
      </c>
      <c r="F35" s="35"/>
      <c r="G35" s="36"/>
      <c r="H35" s="37">
        <v>210633648</v>
      </c>
      <c r="I35" s="34"/>
      <c r="J35" s="35">
        <v>39884191</v>
      </c>
      <c r="K35" s="35">
        <v>25525703</v>
      </c>
      <c r="L35" s="35">
        <v>13102588</v>
      </c>
      <c r="M35" s="36">
        <v>19374575</v>
      </c>
      <c r="N35" s="38">
        <v>97887057</v>
      </c>
      <c r="O35" s="35">
        <v>308520705</v>
      </c>
      <c r="P35" s="70">
        <v>3.5200000000000002E-2</v>
      </c>
    </row>
    <row r="36" spans="1:16" ht="14.25" customHeight="1" x14ac:dyDescent="0.2">
      <c r="A36" s="52" t="s">
        <v>32</v>
      </c>
      <c r="B36" s="34">
        <v>13084228</v>
      </c>
      <c r="C36" s="35"/>
      <c r="D36" s="35"/>
      <c r="E36" s="35">
        <v>10262323</v>
      </c>
      <c r="F36" s="35"/>
      <c r="G36" s="36">
        <v>51887</v>
      </c>
      <c r="H36" s="37">
        <v>23398438</v>
      </c>
      <c r="I36" s="34"/>
      <c r="J36" s="35"/>
      <c r="K36" s="35"/>
      <c r="L36" s="35"/>
      <c r="M36" s="36">
        <v>1427176</v>
      </c>
      <c r="N36" s="38">
        <v>1427176</v>
      </c>
      <c r="O36" s="35">
        <v>24825614</v>
      </c>
      <c r="P36" s="70">
        <v>6.8499999999999991E-2</v>
      </c>
    </row>
    <row r="37" spans="1:16" ht="14.25" customHeight="1" x14ac:dyDescent="0.2">
      <c r="A37" s="52" t="s">
        <v>33</v>
      </c>
      <c r="B37" s="34">
        <v>5653232</v>
      </c>
      <c r="C37" s="35"/>
      <c r="D37" s="35"/>
      <c r="E37" s="35">
        <v>4659830</v>
      </c>
      <c r="F37" s="35"/>
      <c r="G37" s="36"/>
      <c r="H37" s="37">
        <v>10313062</v>
      </c>
      <c r="I37" s="34"/>
      <c r="J37" s="35"/>
      <c r="K37" s="35">
        <v>98944</v>
      </c>
      <c r="L37" s="35"/>
      <c r="M37" s="36">
        <v>705466</v>
      </c>
      <c r="N37" s="38">
        <v>804410</v>
      </c>
      <c r="O37" s="35">
        <v>11117472</v>
      </c>
      <c r="P37" s="70">
        <v>6.2600000000000003E-2</v>
      </c>
    </row>
    <row r="38" spans="1:16" ht="14.25" customHeight="1" x14ac:dyDescent="0.2">
      <c r="A38" s="52" t="s">
        <v>34</v>
      </c>
      <c r="B38" s="34">
        <v>2938255</v>
      </c>
      <c r="C38" s="35"/>
      <c r="D38" s="35"/>
      <c r="E38" s="35">
        <v>1814641</v>
      </c>
      <c r="F38" s="35"/>
      <c r="G38" s="36">
        <v>106405</v>
      </c>
      <c r="H38" s="37">
        <v>4859301</v>
      </c>
      <c r="I38" s="34"/>
      <c r="J38" s="35"/>
      <c r="K38" s="35"/>
      <c r="L38" s="35"/>
      <c r="M38" s="36">
        <v>177191</v>
      </c>
      <c r="N38" s="38">
        <v>177191</v>
      </c>
      <c r="O38" s="35">
        <v>5036492</v>
      </c>
      <c r="P38" s="70">
        <v>5.33E-2</v>
      </c>
    </row>
    <row r="39" spans="1:16" ht="14.25" customHeight="1" x14ac:dyDescent="0.2">
      <c r="A39" s="52" t="s">
        <v>35</v>
      </c>
      <c r="B39" s="34">
        <v>133342324</v>
      </c>
      <c r="C39" s="35">
        <v>2422535</v>
      </c>
      <c r="D39" s="35"/>
      <c r="E39" s="35">
        <v>193813650</v>
      </c>
      <c r="F39" s="35"/>
      <c r="G39" s="36">
        <v>8613911</v>
      </c>
      <c r="H39" s="37">
        <v>338192420</v>
      </c>
      <c r="I39" s="34"/>
      <c r="J39" s="35"/>
      <c r="K39" s="35">
        <v>5844122</v>
      </c>
      <c r="L39" s="35">
        <v>25193864</v>
      </c>
      <c r="M39" s="36">
        <v>72155792</v>
      </c>
      <c r="N39" s="38">
        <v>103193778</v>
      </c>
      <c r="O39" s="35">
        <v>441386198</v>
      </c>
      <c r="P39" s="70">
        <v>3.8399999999999997E-2</v>
      </c>
    </row>
    <row r="40" spans="1:16" ht="14.25" customHeight="1" x14ac:dyDescent="0.2">
      <c r="A40" s="52" t="s">
        <v>36</v>
      </c>
      <c r="B40" s="34">
        <v>370835254</v>
      </c>
      <c r="C40" s="35"/>
      <c r="D40" s="35"/>
      <c r="E40" s="35">
        <v>616397283</v>
      </c>
      <c r="F40" s="35"/>
      <c r="G40" s="36">
        <v>28561482</v>
      </c>
      <c r="H40" s="37">
        <v>1015794019</v>
      </c>
      <c r="I40" s="34">
        <v>78021075</v>
      </c>
      <c r="J40" s="35"/>
      <c r="K40" s="35">
        <v>194719531</v>
      </c>
      <c r="L40" s="35">
        <v>9634936</v>
      </c>
      <c r="M40" s="36">
        <v>212511246</v>
      </c>
      <c r="N40" s="38">
        <v>494886788</v>
      </c>
      <c r="O40" s="35">
        <v>1510680807</v>
      </c>
      <c r="P40" s="70">
        <v>4.7E-2</v>
      </c>
    </row>
    <row r="41" spans="1:16" ht="14.25" customHeight="1" x14ac:dyDescent="0.2">
      <c r="A41" s="52" t="s">
        <v>37</v>
      </c>
      <c r="B41" s="34">
        <v>162418082</v>
      </c>
      <c r="C41" s="35"/>
      <c r="D41" s="35"/>
      <c r="E41" s="35">
        <v>123206369</v>
      </c>
      <c r="F41" s="35"/>
      <c r="G41" s="36">
        <v>7925852</v>
      </c>
      <c r="H41" s="37">
        <v>293550303</v>
      </c>
      <c r="I41" s="34"/>
      <c r="J41" s="35"/>
      <c r="K41" s="35"/>
      <c r="L41" s="35">
        <v>9767305</v>
      </c>
      <c r="M41" s="36">
        <v>54622852</v>
      </c>
      <c r="N41" s="38">
        <v>64390157</v>
      </c>
      <c r="O41" s="35">
        <v>357940460</v>
      </c>
      <c r="P41" s="70">
        <v>6.5000000000000002E-2</v>
      </c>
    </row>
    <row r="42" spans="1:16" ht="14.25" customHeight="1" x14ac:dyDescent="0.2">
      <c r="A42" s="52" t="s">
        <v>38</v>
      </c>
      <c r="B42" s="34">
        <v>20205798</v>
      </c>
      <c r="C42" s="35"/>
      <c r="D42" s="35"/>
      <c r="E42" s="35">
        <v>14957686</v>
      </c>
      <c r="F42" s="35"/>
      <c r="G42" s="36"/>
      <c r="H42" s="37">
        <v>35163484</v>
      </c>
      <c r="I42" s="34"/>
      <c r="J42" s="35"/>
      <c r="K42" s="35">
        <v>954704</v>
      </c>
      <c r="L42" s="35"/>
      <c r="M42" s="36">
        <v>3717180</v>
      </c>
      <c r="N42" s="38">
        <v>4671884</v>
      </c>
      <c r="O42" s="35">
        <v>39835368</v>
      </c>
      <c r="P42" s="70">
        <v>7.4499999999999997E-2</v>
      </c>
    </row>
    <row r="43" spans="1:16" ht="14.25" customHeight="1" x14ac:dyDescent="0.2">
      <c r="A43" s="52" t="s">
        <v>39</v>
      </c>
      <c r="B43" s="34">
        <v>2961569</v>
      </c>
      <c r="C43" s="35"/>
      <c r="D43" s="35"/>
      <c r="E43" s="35">
        <v>1959771</v>
      </c>
      <c r="F43" s="35"/>
      <c r="G43" s="36">
        <v>9400</v>
      </c>
      <c r="H43" s="37">
        <v>4930740</v>
      </c>
      <c r="I43" s="34"/>
      <c r="J43" s="35"/>
      <c r="K43" s="35"/>
      <c r="L43" s="35"/>
      <c r="M43" s="36">
        <v>170858</v>
      </c>
      <c r="N43" s="38">
        <v>170858</v>
      </c>
      <c r="O43" s="35">
        <v>5101598</v>
      </c>
      <c r="P43" s="70">
        <v>0.13650000000000001</v>
      </c>
    </row>
    <row r="44" spans="1:16" ht="14.25" customHeight="1" x14ac:dyDescent="0.2">
      <c r="A44" s="52" t="s">
        <v>40</v>
      </c>
      <c r="B44" s="34">
        <v>8015347</v>
      </c>
      <c r="C44" s="35"/>
      <c r="D44" s="35"/>
      <c r="E44" s="35">
        <v>5111451</v>
      </c>
      <c r="F44" s="35"/>
      <c r="G44" s="36">
        <v>293043</v>
      </c>
      <c r="H44" s="37">
        <v>13419841</v>
      </c>
      <c r="I44" s="34"/>
      <c r="J44" s="35"/>
      <c r="K44" s="35"/>
      <c r="L44" s="35"/>
      <c r="M44" s="36">
        <v>874884</v>
      </c>
      <c r="N44" s="38">
        <v>874884</v>
      </c>
      <c r="O44" s="35">
        <v>14294725</v>
      </c>
      <c r="P44" s="70">
        <v>6.2699999999999992E-2</v>
      </c>
    </row>
    <row r="45" spans="1:16" ht="14.25" customHeight="1" x14ac:dyDescent="0.2">
      <c r="A45" s="52" t="s">
        <v>41</v>
      </c>
      <c r="B45" s="34">
        <v>286830683</v>
      </c>
      <c r="C45" s="35"/>
      <c r="D45" s="35"/>
      <c r="E45" s="35">
        <v>328162532</v>
      </c>
      <c r="F45" s="35"/>
      <c r="G45" s="36">
        <v>22168081</v>
      </c>
      <c r="H45" s="37">
        <v>637161296</v>
      </c>
      <c r="I45" s="34"/>
      <c r="J45" s="35"/>
      <c r="K45" s="35">
        <v>20976246</v>
      </c>
      <c r="L45" s="35">
        <v>20187068</v>
      </c>
      <c r="M45" s="36">
        <v>48400126</v>
      </c>
      <c r="N45" s="38">
        <v>89563440</v>
      </c>
      <c r="O45" s="35">
        <v>726724736</v>
      </c>
      <c r="P45" s="70">
        <v>6.83E-2</v>
      </c>
    </row>
    <row r="46" spans="1:16" ht="14.25" customHeight="1" x14ac:dyDescent="0.2">
      <c r="A46" s="52" t="s">
        <v>42</v>
      </c>
      <c r="B46" s="34">
        <v>97446528</v>
      </c>
      <c r="C46" s="35"/>
      <c r="D46" s="35"/>
      <c r="E46" s="35">
        <v>108260490</v>
      </c>
      <c r="F46" s="35">
        <v>24588002</v>
      </c>
      <c r="G46" s="36"/>
      <c r="H46" s="37">
        <v>230295020</v>
      </c>
      <c r="I46" s="34"/>
      <c r="J46" s="35">
        <v>870843</v>
      </c>
      <c r="K46" s="35">
        <v>5577728</v>
      </c>
      <c r="L46" s="35">
        <v>78306055</v>
      </c>
      <c r="M46" s="36">
        <v>39724770</v>
      </c>
      <c r="N46" s="38">
        <v>124479396</v>
      </c>
      <c r="O46" s="35">
        <v>354774416</v>
      </c>
      <c r="P46" s="70">
        <v>-2.1400000000000002E-2</v>
      </c>
    </row>
    <row r="47" spans="1:16" ht="14.25" customHeight="1" x14ac:dyDescent="0.2">
      <c r="A47" s="52" t="s">
        <v>43</v>
      </c>
      <c r="B47" s="34">
        <v>170798361</v>
      </c>
      <c r="C47" s="35"/>
      <c r="D47" s="35"/>
      <c r="E47" s="35">
        <v>168525111</v>
      </c>
      <c r="F47" s="35"/>
      <c r="G47" s="36">
        <v>16413860</v>
      </c>
      <c r="H47" s="37">
        <v>355737332</v>
      </c>
      <c r="I47" s="34"/>
      <c r="J47" s="35"/>
      <c r="K47" s="35"/>
      <c r="L47" s="35">
        <v>67140547</v>
      </c>
      <c r="M47" s="36">
        <v>29046656</v>
      </c>
      <c r="N47" s="38">
        <v>96187203</v>
      </c>
      <c r="O47" s="35">
        <v>451924535</v>
      </c>
      <c r="P47" s="70">
        <v>4.5400000000000003E-2</v>
      </c>
    </row>
    <row r="48" spans="1:16" ht="14.25" customHeight="1" x14ac:dyDescent="0.2">
      <c r="A48" s="52" t="s">
        <v>44</v>
      </c>
      <c r="B48" s="34">
        <v>82979201</v>
      </c>
      <c r="C48" s="35"/>
      <c r="D48" s="35"/>
      <c r="E48" s="35">
        <v>110921412</v>
      </c>
      <c r="F48" s="35"/>
      <c r="G48" s="36">
        <v>14761986</v>
      </c>
      <c r="H48" s="37">
        <v>208662599</v>
      </c>
      <c r="I48" s="34"/>
      <c r="J48" s="35"/>
      <c r="K48" s="35">
        <v>12192920</v>
      </c>
      <c r="L48" s="35">
        <v>23894791</v>
      </c>
      <c r="M48" s="36">
        <v>41732830</v>
      </c>
      <c r="N48" s="38">
        <v>77820541</v>
      </c>
      <c r="O48" s="35">
        <v>286483140</v>
      </c>
      <c r="P48" s="70">
        <v>5.1299999999999998E-2</v>
      </c>
    </row>
    <row r="49" spans="1:16" ht="14.25" customHeight="1" x14ac:dyDescent="0.2">
      <c r="A49" s="52" t="s">
        <v>45</v>
      </c>
      <c r="B49" s="34">
        <v>81512426</v>
      </c>
      <c r="C49" s="35"/>
      <c r="D49" s="35"/>
      <c r="E49" s="35">
        <v>70919051</v>
      </c>
      <c r="F49" s="35"/>
      <c r="G49" s="36">
        <v>2800466</v>
      </c>
      <c r="H49" s="37">
        <v>155231943</v>
      </c>
      <c r="I49" s="34">
        <v>17881009</v>
      </c>
      <c r="J49" s="35"/>
      <c r="K49" s="35">
        <v>841539</v>
      </c>
      <c r="L49" s="35"/>
      <c r="M49" s="36">
        <v>17175524</v>
      </c>
      <c r="N49" s="38">
        <v>35898072</v>
      </c>
      <c r="O49" s="35">
        <v>191130015</v>
      </c>
      <c r="P49" s="70">
        <v>7.6299999999999993E-2</v>
      </c>
    </row>
    <row r="50" spans="1:16" ht="14.25" customHeight="1" x14ac:dyDescent="0.2">
      <c r="A50" s="52" t="s">
        <v>46</v>
      </c>
      <c r="B50" s="34">
        <v>80843726</v>
      </c>
      <c r="C50" s="35"/>
      <c r="D50" s="35"/>
      <c r="E50" s="35">
        <v>134148421</v>
      </c>
      <c r="F50" s="35"/>
      <c r="G50" s="36">
        <v>622247</v>
      </c>
      <c r="H50" s="37">
        <v>215614394</v>
      </c>
      <c r="I50" s="34"/>
      <c r="J50" s="35"/>
      <c r="K50" s="35">
        <v>25358453</v>
      </c>
      <c r="L50" s="35">
        <v>2943488</v>
      </c>
      <c r="M50" s="36">
        <v>36944160</v>
      </c>
      <c r="N50" s="38">
        <v>65246101</v>
      </c>
      <c r="O50" s="35">
        <v>280860495</v>
      </c>
      <c r="P50" s="70">
        <v>6.0999999999999999E-2</v>
      </c>
    </row>
    <row r="51" spans="1:16" ht="14.25" customHeight="1" x14ac:dyDescent="0.2">
      <c r="A51" s="52" t="s">
        <v>47</v>
      </c>
      <c r="B51" s="34">
        <v>23411963</v>
      </c>
      <c r="C51" s="35"/>
      <c r="D51" s="35"/>
      <c r="E51" s="35">
        <v>21629189</v>
      </c>
      <c r="F51" s="35"/>
      <c r="G51" s="36">
        <v>1048410</v>
      </c>
      <c r="H51" s="37">
        <v>46089562</v>
      </c>
      <c r="I51" s="34"/>
      <c r="J51" s="35"/>
      <c r="K51" s="35">
        <v>855408</v>
      </c>
      <c r="L51" s="35"/>
      <c r="M51" s="36">
        <v>2675779</v>
      </c>
      <c r="N51" s="38">
        <v>3531187</v>
      </c>
      <c r="O51" s="35">
        <v>49620749</v>
      </c>
      <c r="P51" s="70">
        <v>6.2899999999999998E-2</v>
      </c>
    </row>
    <row r="52" spans="1:16" ht="14.25" customHeight="1" x14ac:dyDescent="0.2">
      <c r="A52" s="52" t="s">
        <v>112</v>
      </c>
      <c r="B52" s="34">
        <v>714517597</v>
      </c>
      <c r="C52" s="35"/>
      <c r="D52" s="35"/>
      <c r="E52" s="35">
        <v>1156387121</v>
      </c>
      <c r="F52" s="35"/>
      <c r="G52" s="36"/>
      <c r="H52" s="37">
        <v>1870904718</v>
      </c>
      <c r="I52" s="34"/>
      <c r="J52" s="35">
        <v>2097506</v>
      </c>
      <c r="K52" s="35">
        <v>95171182</v>
      </c>
      <c r="L52" s="35">
        <v>355915603</v>
      </c>
      <c r="M52" s="36">
        <v>433327156</v>
      </c>
      <c r="N52" s="38">
        <v>886511447</v>
      </c>
      <c r="O52" s="35">
        <v>2757416165</v>
      </c>
      <c r="P52" s="70">
        <v>3.6799999999999999E-2</v>
      </c>
    </row>
    <row r="53" spans="1:16" ht="14.25" customHeight="1" x14ac:dyDescent="0.2">
      <c r="A53" s="52" t="s">
        <v>113</v>
      </c>
      <c r="B53" s="34">
        <v>230756774</v>
      </c>
      <c r="C53" s="35">
        <v>3335336</v>
      </c>
      <c r="D53" s="35">
        <v>10273107</v>
      </c>
      <c r="E53" s="35">
        <v>215248061</v>
      </c>
      <c r="F53" s="35"/>
      <c r="G53" s="36"/>
      <c r="H53" s="37">
        <v>459613278</v>
      </c>
      <c r="I53" s="34"/>
      <c r="J53" s="35"/>
      <c r="K53" s="35">
        <v>8802548</v>
      </c>
      <c r="L53" s="35">
        <v>29280053</v>
      </c>
      <c r="M53" s="36">
        <v>36037119</v>
      </c>
      <c r="N53" s="38">
        <v>74119720</v>
      </c>
      <c r="O53" s="35">
        <v>533732998</v>
      </c>
      <c r="P53" s="70">
        <v>7.4900000000000008E-2</v>
      </c>
    </row>
    <row r="54" spans="1:16" ht="14.25" customHeight="1" x14ac:dyDescent="0.2">
      <c r="A54" s="52" t="s">
        <v>48</v>
      </c>
      <c r="B54" s="34">
        <v>1061082119</v>
      </c>
      <c r="C54" s="35">
        <v>7418967</v>
      </c>
      <c r="D54" s="35"/>
      <c r="E54" s="35">
        <v>1613707178</v>
      </c>
      <c r="F54" s="35"/>
      <c r="G54" s="36">
        <v>364505735</v>
      </c>
      <c r="H54" s="37">
        <v>3046713999</v>
      </c>
      <c r="I54" s="34"/>
      <c r="J54" s="35">
        <v>403658349</v>
      </c>
      <c r="K54" s="35">
        <v>37830795</v>
      </c>
      <c r="L54" s="35"/>
      <c r="M54" s="36">
        <v>754746608</v>
      </c>
      <c r="N54" s="38">
        <v>1196235752</v>
      </c>
      <c r="O54" s="35">
        <v>4242949751</v>
      </c>
      <c r="P54" s="70">
        <v>4.7800000000000002E-2</v>
      </c>
    </row>
    <row r="55" spans="1:16" ht="14.25" customHeight="1" x14ac:dyDescent="0.2">
      <c r="A55" s="52" t="s">
        <v>49</v>
      </c>
      <c r="B55" s="34">
        <v>266549090</v>
      </c>
      <c r="C55" s="35"/>
      <c r="D55" s="35"/>
      <c r="E55" s="35">
        <v>227955546</v>
      </c>
      <c r="F55" s="35"/>
      <c r="G55" s="36">
        <v>8881949</v>
      </c>
      <c r="H55" s="37">
        <v>503386585</v>
      </c>
      <c r="I55" s="34"/>
      <c r="J55" s="35">
        <v>60985932</v>
      </c>
      <c r="K55" s="35">
        <v>8916933</v>
      </c>
      <c r="L55" s="35"/>
      <c r="M55" s="36">
        <v>17099982</v>
      </c>
      <c r="N55" s="38">
        <v>87002847</v>
      </c>
      <c r="O55" s="35">
        <v>590389432</v>
      </c>
      <c r="P55" s="70">
        <v>0.10050000000000001</v>
      </c>
    </row>
    <row r="56" spans="1:16" ht="14.25" customHeight="1" x14ac:dyDescent="0.2">
      <c r="A56" s="52" t="s">
        <v>50</v>
      </c>
      <c r="B56" s="34">
        <v>502741284</v>
      </c>
      <c r="C56" s="35"/>
      <c r="D56" s="35">
        <v>9211960</v>
      </c>
      <c r="E56" s="35">
        <v>672197885</v>
      </c>
      <c r="F56" s="35"/>
      <c r="G56" s="36">
        <v>112858243</v>
      </c>
      <c r="H56" s="37">
        <v>1297009372</v>
      </c>
      <c r="I56" s="34">
        <v>85143014</v>
      </c>
      <c r="J56" s="35"/>
      <c r="K56" s="35">
        <v>95980693</v>
      </c>
      <c r="L56" s="35">
        <v>79197170</v>
      </c>
      <c r="M56" s="36">
        <v>394825894</v>
      </c>
      <c r="N56" s="38">
        <v>655146771</v>
      </c>
      <c r="O56" s="35">
        <v>1952156143</v>
      </c>
      <c r="P56" s="70">
        <v>5.2999999999999999E-2</v>
      </c>
    </row>
    <row r="57" spans="1:16" ht="14.25" customHeight="1" x14ac:dyDescent="0.2">
      <c r="A57" s="52" t="s">
        <v>51</v>
      </c>
      <c r="B57" s="34">
        <v>302693318</v>
      </c>
      <c r="C57" s="35"/>
      <c r="D57" s="35"/>
      <c r="E57" s="35">
        <v>285530675</v>
      </c>
      <c r="F57" s="35"/>
      <c r="G57" s="36"/>
      <c r="H57" s="37">
        <v>588223993</v>
      </c>
      <c r="I57" s="34"/>
      <c r="J57" s="35"/>
      <c r="K57" s="35">
        <v>19203343</v>
      </c>
      <c r="L57" s="35">
        <v>22667938</v>
      </c>
      <c r="M57" s="36">
        <v>109906481</v>
      </c>
      <c r="N57" s="38">
        <v>151777762</v>
      </c>
      <c r="O57" s="35">
        <v>740001755</v>
      </c>
      <c r="P57" s="70">
        <v>8.7599999999999997E-2</v>
      </c>
    </row>
    <row r="58" spans="1:16" ht="14.25" customHeight="1" x14ac:dyDescent="0.2">
      <c r="A58" s="52" t="s">
        <v>52</v>
      </c>
      <c r="B58" s="34">
        <v>45557836</v>
      </c>
      <c r="C58" s="35"/>
      <c r="D58" s="35"/>
      <c r="E58" s="35">
        <v>30597465</v>
      </c>
      <c r="F58" s="35"/>
      <c r="G58" s="36"/>
      <c r="H58" s="37">
        <v>76155301</v>
      </c>
      <c r="I58" s="34">
        <v>4702911</v>
      </c>
      <c r="J58" s="35"/>
      <c r="K58" s="35">
        <v>1083192</v>
      </c>
      <c r="L58" s="35"/>
      <c r="M58" s="36">
        <v>5060973</v>
      </c>
      <c r="N58" s="38">
        <v>10847076</v>
      </c>
      <c r="O58" s="35">
        <v>87002377</v>
      </c>
      <c r="P58" s="70">
        <v>4.7699999999999992E-2</v>
      </c>
    </row>
    <row r="59" spans="1:16" ht="14.25" customHeight="1" x14ac:dyDescent="0.2">
      <c r="A59" s="52" t="s">
        <v>53</v>
      </c>
      <c r="B59" s="34">
        <v>191244010</v>
      </c>
      <c r="C59" s="35"/>
      <c r="D59" s="35"/>
      <c r="E59" s="35">
        <v>215976612</v>
      </c>
      <c r="F59" s="35"/>
      <c r="G59" s="36">
        <v>8733711</v>
      </c>
      <c r="H59" s="37">
        <v>415954333</v>
      </c>
      <c r="I59" s="34"/>
      <c r="J59" s="35">
        <v>44989780</v>
      </c>
      <c r="K59" s="35">
        <v>8482539</v>
      </c>
      <c r="L59" s="35">
        <v>113578</v>
      </c>
      <c r="M59" s="36">
        <v>20746410</v>
      </c>
      <c r="N59" s="38">
        <v>74332307</v>
      </c>
      <c r="O59" s="35">
        <v>490286640</v>
      </c>
      <c r="P59" s="70">
        <v>7.8799999999999995E-2</v>
      </c>
    </row>
    <row r="60" spans="1:16" ht="14.25" customHeight="1" x14ac:dyDescent="0.2">
      <c r="A60" s="52" t="s">
        <v>54</v>
      </c>
      <c r="B60" s="34">
        <v>189132240</v>
      </c>
      <c r="C60" s="35"/>
      <c r="D60" s="35"/>
      <c r="E60" s="35">
        <v>198760744</v>
      </c>
      <c r="F60" s="35"/>
      <c r="G60" s="36">
        <v>97106253</v>
      </c>
      <c r="H60" s="37">
        <v>484999237</v>
      </c>
      <c r="I60" s="34"/>
      <c r="J60" s="35">
        <v>3387411</v>
      </c>
      <c r="K60" s="35"/>
      <c r="L60" s="35">
        <v>27269043</v>
      </c>
      <c r="M60" s="36">
        <v>94926445</v>
      </c>
      <c r="N60" s="38">
        <v>125582899</v>
      </c>
      <c r="O60" s="35">
        <v>610582136</v>
      </c>
      <c r="P60" s="70">
        <v>7.7199999999999991E-2</v>
      </c>
    </row>
    <row r="61" spans="1:16" ht="14.25" customHeight="1" x14ac:dyDescent="0.2">
      <c r="A61" s="52" t="s">
        <v>55</v>
      </c>
      <c r="B61" s="34">
        <v>74676204</v>
      </c>
      <c r="C61" s="35"/>
      <c r="D61" s="35"/>
      <c r="E61" s="35">
        <v>80726555</v>
      </c>
      <c r="F61" s="35"/>
      <c r="G61" s="36">
        <v>363039</v>
      </c>
      <c r="H61" s="37">
        <v>155765798</v>
      </c>
      <c r="I61" s="34"/>
      <c r="J61" s="35"/>
      <c r="K61" s="35">
        <v>6217011</v>
      </c>
      <c r="L61" s="35"/>
      <c r="M61" s="36">
        <v>3306503</v>
      </c>
      <c r="N61" s="38">
        <v>9523514</v>
      </c>
      <c r="O61" s="35">
        <v>165289312</v>
      </c>
      <c r="P61" s="70">
        <v>8.4100000000000008E-2</v>
      </c>
    </row>
    <row r="62" spans="1:16" ht="14.25" customHeight="1" x14ac:dyDescent="0.2">
      <c r="A62" s="52" t="s">
        <v>56</v>
      </c>
      <c r="B62" s="34">
        <v>225931295</v>
      </c>
      <c r="C62" s="35">
        <v>8203552</v>
      </c>
      <c r="D62" s="35">
        <v>8125421</v>
      </c>
      <c r="E62" s="35">
        <v>500187164</v>
      </c>
      <c r="F62" s="35"/>
      <c r="G62" s="36">
        <v>93611534</v>
      </c>
      <c r="H62" s="37">
        <v>836058966</v>
      </c>
      <c r="I62" s="34"/>
      <c r="J62" s="35"/>
      <c r="K62" s="35"/>
      <c r="L62" s="35">
        <v>37583174</v>
      </c>
      <c r="M62" s="36">
        <v>101069332</v>
      </c>
      <c r="N62" s="38">
        <v>138652506</v>
      </c>
      <c r="O62" s="35">
        <v>974711472</v>
      </c>
      <c r="P62" s="70">
        <v>5.21E-2</v>
      </c>
    </row>
    <row r="63" spans="1:16" ht="14.25" customHeight="1" x14ac:dyDescent="0.2">
      <c r="A63" s="52" t="s">
        <v>57</v>
      </c>
      <c r="B63" s="34">
        <v>195002073</v>
      </c>
      <c r="C63" s="35"/>
      <c r="D63" s="35"/>
      <c r="E63" s="35">
        <v>251544852</v>
      </c>
      <c r="F63" s="35"/>
      <c r="G63" s="36">
        <v>8809083</v>
      </c>
      <c r="H63" s="37">
        <v>455356008</v>
      </c>
      <c r="I63" s="34"/>
      <c r="J63" s="35"/>
      <c r="K63" s="35"/>
      <c r="L63" s="35">
        <v>80929456</v>
      </c>
      <c r="M63" s="36">
        <v>89547389</v>
      </c>
      <c r="N63" s="38">
        <v>170476845</v>
      </c>
      <c r="O63" s="35">
        <v>625832853</v>
      </c>
      <c r="P63" s="70">
        <v>4.3799999999999999E-2</v>
      </c>
    </row>
    <row r="64" spans="1:16" ht="14.25" customHeight="1" x14ac:dyDescent="0.2">
      <c r="A64" s="52" t="s">
        <v>58</v>
      </c>
      <c r="B64" s="34">
        <v>92306181</v>
      </c>
      <c r="C64" s="35"/>
      <c r="D64" s="35"/>
      <c r="E64" s="35">
        <v>85786495</v>
      </c>
      <c r="F64" s="35"/>
      <c r="G64" s="36"/>
      <c r="H64" s="37">
        <v>178092676</v>
      </c>
      <c r="I64" s="34"/>
      <c r="J64" s="35"/>
      <c r="K64" s="35">
        <v>3881702</v>
      </c>
      <c r="L64" s="35"/>
      <c r="M64" s="36">
        <v>10954626</v>
      </c>
      <c r="N64" s="38">
        <v>14836328</v>
      </c>
      <c r="O64" s="35">
        <v>192929004</v>
      </c>
      <c r="P64" s="70">
        <v>4.3799999999999999E-2</v>
      </c>
    </row>
    <row r="65" spans="1:17" ht="14.25" customHeight="1" x14ac:dyDescent="0.2">
      <c r="A65" s="52" t="s">
        <v>59</v>
      </c>
      <c r="B65" s="34">
        <v>18951435</v>
      </c>
      <c r="C65" s="35"/>
      <c r="D65" s="35"/>
      <c r="E65" s="35">
        <v>13738419</v>
      </c>
      <c r="F65" s="35"/>
      <c r="G65" s="36">
        <v>765668</v>
      </c>
      <c r="H65" s="37">
        <v>33455522</v>
      </c>
      <c r="I65" s="34"/>
      <c r="J65" s="35"/>
      <c r="K65" s="35"/>
      <c r="L65" s="35"/>
      <c r="M65" s="36">
        <v>2413022</v>
      </c>
      <c r="N65" s="38">
        <v>2413022</v>
      </c>
      <c r="O65" s="35">
        <v>35868544</v>
      </c>
      <c r="P65" s="70">
        <v>6.0499999999999998E-2</v>
      </c>
    </row>
    <row r="66" spans="1:17" ht="14.25" customHeight="1" x14ac:dyDescent="0.2">
      <c r="A66" s="52" t="s">
        <v>60</v>
      </c>
      <c r="B66" s="34">
        <v>11799139</v>
      </c>
      <c r="C66" s="35"/>
      <c r="D66" s="35"/>
      <c r="E66" s="35">
        <v>10834591</v>
      </c>
      <c r="F66" s="35"/>
      <c r="G66" s="36">
        <v>594978</v>
      </c>
      <c r="H66" s="37">
        <v>23228708</v>
      </c>
      <c r="I66" s="34"/>
      <c r="J66" s="35">
        <v>1676823</v>
      </c>
      <c r="K66" s="35"/>
      <c r="L66" s="35"/>
      <c r="M66" s="36">
        <v>1813964</v>
      </c>
      <c r="N66" s="38">
        <v>3490787</v>
      </c>
      <c r="O66" s="35">
        <v>26719495</v>
      </c>
      <c r="P66" s="70">
        <v>5.57E-2</v>
      </c>
    </row>
    <row r="67" spans="1:17" ht="14.25" customHeight="1" x14ac:dyDescent="0.2">
      <c r="A67" s="52" t="s">
        <v>61</v>
      </c>
      <c r="B67" s="34">
        <v>2936999</v>
      </c>
      <c r="C67" s="35"/>
      <c r="D67" s="35"/>
      <c r="E67" s="35">
        <v>1975320</v>
      </c>
      <c r="F67" s="35"/>
      <c r="G67" s="36">
        <v>254880</v>
      </c>
      <c r="H67" s="37">
        <v>5167199</v>
      </c>
      <c r="I67" s="34"/>
      <c r="J67" s="35"/>
      <c r="K67" s="35"/>
      <c r="L67" s="35"/>
      <c r="M67" s="36">
        <v>122789</v>
      </c>
      <c r="N67" s="38">
        <v>122789</v>
      </c>
      <c r="O67" s="35">
        <v>5289988</v>
      </c>
      <c r="P67" s="70">
        <v>0.10630000000000001</v>
      </c>
    </row>
    <row r="68" spans="1:17" ht="14.25" customHeight="1" x14ac:dyDescent="0.2">
      <c r="A68" s="52" t="s">
        <v>62</v>
      </c>
      <c r="B68" s="34">
        <v>230019565</v>
      </c>
      <c r="C68" s="35"/>
      <c r="D68" s="35">
        <v>39214361</v>
      </c>
      <c r="E68" s="35">
        <v>275657472</v>
      </c>
      <c r="F68" s="35"/>
      <c r="G68" s="36">
        <v>10858437</v>
      </c>
      <c r="H68" s="37">
        <v>555749835</v>
      </c>
      <c r="I68" s="34"/>
      <c r="J68" s="35">
        <v>42034553</v>
      </c>
      <c r="K68" s="35">
        <v>47605619</v>
      </c>
      <c r="L68" s="35">
        <v>18313252</v>
      </c>
      <c r="M68" s="36">
        <v>185388542</v>
      </c>
      <c r="N68" s="38">
        <v>293341966</v>
      </c>
      <c r="O68" s="35">
        <v>849091801</v>
      </c>
      <c r="P68" s="70">
        <v>6.7699999999999996E-2</v>
      </c>
    </row>
    <row r="69" spans="1:17" ht="14.25" customHeight="1" x14ac:dyDescent="0.2">
      <c r="A69" s="52" t="s">
        <v>63</v>
      </c>
      <c r="B69" s="34">
        <v>12450392</v>
      </c>
      <c r="C69" s="35"/>
      <c r="D69" s="35"/>
      <c r="E69" s="35">
        <v>10186419</v>
      </c>
      <c r="F69" s="35"/>
      <c r="G69" s="36">
        <v>45118</v>
      </c>
      <c r="H69" s="37">
        <v>22681929</v>
      </c>
      <c r="I69" s="34"/>
      <c r="J69" s="35"/>
      <c r="K69" s="35"/>
      <c r="L69" s="35"/>
      <c r="M69" s="36">
        <v>178161</v>
      </c>
      <c r="N69" s="38">
        <v>178161</v>
      </c>
      <c r="O69" s="35">
        <v>22860090</v>
      </c>
      <c r="P69" s="70">
        <v>9.7299999999999998E-2</v>
      </c>
    </row>
    <row r="70" spans="1:17" ht="14.25" customHeight="1" x14ac:dyDescent="0.2">
      <c r="A70" s="52" t="s">
        <v>64</v>
      </c>
      <c r="B70" s="34">
        <v>92529956</v>
      </c>
      <c r="C70" s="35"/>
      <c r="D70" s="35"/>
      <c r="E70" s="35">
        <v>129774703</v>
      </c>
      <c r="F70" s="35"/>
      <c r="G70" s="36">
        <v>749150</v>
      </c>
      <c r="H70" s="37">
        <v>223053809</v>
      </c>
      <c r="I70" s="34"/>
      <c r="J70" s="35">
        <v>687159</v>
      </c>
      <c r="K70" s="35">
        <v>28274022</v>
      </c>
      <c r="L70" s="35"/>
      <c r="M70" s="36">
        <v>4320259</v>
      </c>
      <c r="N70" s="38">
        <v>33281440</v>
      </c>
      <c r="O70" s="35">
        <v>256335249</v>
      </c>
      <c r="P70" s="70">
        <v>0.10779999999999999</v>
      </c>
    </row>
    <row r="71" spans="1:17" ht="14.25" customHeight="1" x14ac:dyDescent="0.2">
      <c r="A71" s="52" t="s">
        <v>65</v>
      </c>
      <c r="B71" s="34">
        <v>8478032</v>
      </c>
      <c r="C71" s="35"/>
      <c r="D71" s="35"/>
      <c r="E71" s="35">
        <v>6187767</v>
      </c>
      <c r="F71" s="35"/>
      <c r="G71" s="36">
        <v>29779</v>
      </c>
      <c r="H71" s="37">
        <v>14695578</v>
      </c>
      <c r="I71" s="34"/>
      <c r="J71" s="35"/>
      <c r="K71" s="35"/>
      <c r="L71" s="35"/>
      <c r="M71" s="36">
        <v>1222443</v>
      </c>
      <c r="N71" s="38">
        <v>1222443</v>
      </c>
      <c r="O71" s="35">
        <v>15918021</v>
      </c>
      <c r="P71" s="70">
        <v>6.0599999999999994E-2</v>
      </c>
    </row>
    <row r="72" spans="1:17" ht="14.25" customHeight="1" x14ac:dyDescent="0.2">
      <c r="A72" s="52"/>
      <c r="B72" s="39"/>
      <c r="C72" s="40"/>
      <c r="D72" s="40"/>
      <c r="E72" s="40"/>
      <c r="F72" s="40"/>
      <c r="G72" s="41"/>
      <c r="H72" s="37"/>
      <c r="I72" s="39"/>
      <c r="J72" s="40"/>
      <c r="K72" s="40"/>
      <c r="L72" s="40"/>
      <c r="M72" s="41"/>
      <c r="N72" s="38"/>
      <c r="O72" s="35"/>
      <c r="P72" s="68">
        <v>7.7699999999999991E-2</v>
      </c>
    </row>
    <row r="73" spans="1:17" s="17" customFormat="1" ht="14.25" customHeight="1" thickBot="1" x14ac:dyDescent="0.25">
      <c r="A73" s="53" t="s">
        <v>70</v>
      </c>
      <c r="B73" s="42">
        <f>SUM(B5:B71)</f>
        <v>11197473389</v>
      </c>
      <c r="C73" s="43">
        <f t="shared" ref="C73:M73" si="0">SUM(C5:C71)</f>
        <v>242667254</v>
      </c>
      <c r="D73" s="43">
        <f t="shared" si="0"/>
        <v>106892771</v>
      </c>
      <c r="E73" s="43">
        <f t="shared" si="0"/>
        <v>15150854094</v>
      </c>
      <c r="F73" s="43">
        <f t="shared" si="0"/>
        <v>137112429</v>
      </c>
      <c r="G73" s="44">
        <f t="shared" si="0"/>
        <v>1474865650</v>
      </c>
      <c r="H73" s="45">
        <f>SUM(B73:G73)</f>
        <v>28309865587</v>
      </c>
      <c r="I73" s="42">
        <f t="shared" si="0"/>
        <v>1249059300</v>
      </c>
      <c r="J73" s="43">
        <f t="shared" si="0"/>
        <v>1249666473</v>
      </c>
      <c r="K73" s="43">
        <f t="shared" si="0"/>
        <v>1055471303</v>
      </c>
      <c r="L73" s="43">
        <f t="shared" si="0"/>
        <v>1495141123</v>
      </c>
      <c r="M73" s="44">
        <f t="shared" si="0"/>
        <v>6287149286</v>
      </c>
      <c r="N73" s="46">
        <f>SUM(I73:M73)</f>
        <v>11336487485</v>
      </c>
      <c r="O73" s="47">
        <f>SUM(H73,N73)</f>
        <v>39646353072</v>
      </c>
      <c r="P73" s="69">
        <v>5.9400000000000001E-2</v>
      </c>
      <c r="Q73" s="10"/>
    </row>
    <row r="75" spans="1:17" ht="16.5" x14ac:dyDescent="0.2">
      <c r="A75" s="3" t="s">
        <v>114</v>
      </c>
    </row>
    <row r="77" spans="1:17" x14ac:dyDescent="0.2">
      <c r="A77" s="30" t="s">
        <v>118</v>
      </c>
    </row>
  </sheetData>
  <mergeCells count="2">
    <mergeCell ref="I3:M3"/>
    <mergeCell ref="B3:G3"/>
  </mergeCells>
  <phoneticPr fontId="0" type="noConversion"/>
  <conditionalFormatting sqref="A4:P10 A12:P73 A11:L11">
    <cfRule type="expression" dxfId="3" priority="3" stopIfTrue="1">
      <formula>MOD(ROW(),3)=1</formula>
    </cfRule>
  </conditionalFormatting>
  <conditionalFormatting sqref="M11:P11">
    <cfRule type="expression" dxfId="0" priority="1" stopIfTrue="1">
      <formula>MOD(ROW(),3)=1</formula>
    </cfRule>
  </conditionalFormatting>
  <pageMargins left="0.7" right="0.7" top="0.75" bottom="0.75" header="0.3" footer="0.3"/>
  <pageSetup scale="58" fitToHeight="2" orientation="landscape" r:id="rId1"/>
  <ignoredErrors>
    <ignoredError sqref="H7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78"/>
  <sheetViews>
    <sheetView workbookViewId="0">
      <pane ySplit="4" topLeftCell="A5" activePane="bottomLeft" state="frozen"/>
      <selection activeCell="A3" sqref="A3"/>
      <selection pane="bottomLeft"/>
    </sheetView>
  </sheetViews>
  <sheetFormatPr defaultRowHeight="14.25" x14ac:dyDescent="0.2"/>
  <cols>
    <col min="1" max="1" width="25.7109375" style="10" customWidth="1"/>
    <col min="2" max="2" width="18.42578125" style="10" bestFit="1" customWidth="1"/>
    <col min="3" max="3" width="13.85546875" style="10" bestFit="1" customWidth="1"/>
    <col min="4" max="4" width="14.28515625" style="10" bestFit="1" customWidth="1"/>
    <col min="5" max="6" width="18.42578125" style="10" bestFit="1" customWidth="1"/>
    <col min="7" max="7" width="15.42578125" style="10" bestFit="1" customWidth="1"/>
    <col min="8" max="8" width="18.42578125" style="10" bestFit="1" customWidth="1"/>
    <col min="9" max="10" width="14.28515625" style="10" bestFit="1" customWidth="1"/>
    <col min="11" max="11" width="15.42578125" style="10" bestFit="1" customWidth="1"/>
    <col min="12" max="12" width="14.28515625" style="10" bestFit="1" customWidth="1"/>
    <col min="13" max="13" width="13.140625" style="10" bestFit="1" customWidth="1"/>
    <col min="14" max="14" width="14.28515625" style="10" bestFit="1" customWidth="1"/>
    <col min="15" max="15" width="18.42578125" style="10" bestFit="1" customWidth="1"/>
    <col min="16" max="16384" width="9.140625" style="10"/>
  </cols>
  <sheetData>
    <row r="1" spans="1:15" ht="26.25" x14ac:dyDescent="0.2">
      <c r="A1" s="1" t="s">
        <v>107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ht="15" x14ac:dyDescent="0.2">
      <c r="A2" s="18" t="s">
        <v>117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ht="15.75" thickBot="1" x14ac:dyDescent="0.25">
      <c r="A3" s="20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s="11" customFormat="1" ht="51" x14ac:dyDescent="0.2">
      <c r="A4" s="12" t="s">
        <v>1</v>
      </c>
      <c r="B4" s="13" t="s">
        <v>85</v>
      </c>
      <c r="C4" s="13" t="s">
        <v>86</v>
      </c>
      <c r="D4" s="13" t="s">
        <v>87</v>
      </c>
      <c r="E4" s="13" t="s">
        <v>88</v>
      </c>
      <c r="F4" s="13" t="s">
        <v>89</v>
      </c>
      <c r="G4" s="13" t="s">
        <v>90</v>
      </c>
      <c r="H4" s="13" t="s">
        <v>91</v>
      </c>
      <c r="I4" s="13" t="s">
        <v>92</v>
      </c>
      <c r="J4" s="13" t="s">
        <v>93</v>
      </c>
      <c r="K4" s="13" t="s">
        <v>94</v>
      </c>
      <c r="L4" s="13" t="s">
        <v>95</v>
      </c>
      <c r="M4" s="13" t="s">
        <v>96</v>
      </c>
      <c r="N4" s="13" t="s">
        <v>97</v>
      </c>
      <c r="O4" s="14" t="s">
        <v>98</v>
      </c>
    </row>
    <row r="5" spans="1:15" x14ac:dyDescent="0.2">
      <c r="A5" s="21" t="s">
        <v>2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6"/>
      <c r="N5" s="22"/>
      <c r="O5" s="23"/>
    </row>
    <row r="6" spans="1:15" x14ac:dyDescent="0.2">
      <c r="A6" s="21" t="s">
        <v>3</v>
      </c>
      <c r="B6" s="22">
        <v>18138659.890000001</v>
      </c>
      <c r="C6" s="22">
        <v>7739.68</v>
      </c>
      <c r="D6" s="22">
        <v>34756.31</v>
      </c>
      <c r="E6" s="22">
        <v>18181155.879999999</v>
      </c>
      <c r="F6" s="22">
        <v>17478742.800000001</v>
      </c>
      <c r="G6" s="22">
        <v>608712.46</v>
      </c>
      <c r="H6" s="22">
        <v>18087455.260000002</v>
      </c>
      <c r="I6" s="22">
        <v>2078.4</v>
      </c>
      <c r="J6" s="22">
        <v>4321.29</v>
      </c>
      <c r="K6" s="22"/>
      <c r="L6" s="22">
        <v>52535.53</v>
      </c>
      <c r="M6" s="26">
        <v>34756.31</v>
      </c>
      <c r="N6" s="22"/>
      <c r="O6" s="23">
        <v>18181155.879999999</v>
      </c>
    </row>
    <row r="7" spans="1:15" x14ac:dyDescent="0.2">
      <c r="A7" s="21" t="s">
        <v>4</v>
      </c>
      <c r="B7" s="22">
        <v>242801789.47999999</v>
      </c>
      <c r="C7" s="22">
        <v>23283.1</v>
      </c>
      <c r="D7" s="22">
        <v>359610.25</v>
      </c>
      <c r="E7" s="22">
        <v>243184682.83000001</v>
      </c>
      <c r="F7" s="22">
        <v>234450385.47</v>
      </c>
      <c r="G7" s="22">
        <v>8252026.7300000004</v>
      </c>
      <c r="H7" s="22">
        <v>242702412.19999999</v>
      </c>
      <c r="I7" s="22"/>
      <c r="J7" s="22">
        <v>19992.57</v>
      </c>
      <c r="K7" s="22">
        <v>209877.53</v>
      </c>
      <c r="L7" s="22">
        <v>132672.44</v>
      </c>
      <c r="M7" s="26"/>
      <c r="N7" s="22">
        <v>119728.09</v>
      </c>
      <c r="O7" s="23">
        <v>243184682.83000001</v>
      </c>
    </row>
    <row r="8" spans="1:15" x14ac:dyDescent="0.2">
      <c r="A8" s="21" t="s">
        <v>5</v>
      </c>
      <c r="B8" s="22">
        <v>17787838.879999999</v>
      </c>
      <c r="C8" s="22">
        <v>438.37</v>
      </c>
      <c r="D8" s="22">
        <v>30959.87</v>
      </c>
      <c r="E8" s="22">
        <v>17819237.120000001</v>
      </c>
      <c r="F8" s="22">
        <v>17193311.670000002</v>
      </c>
      <c r="G8" s="22">
        <v>592976.34</v>
      </c>
      <c r="H8" s="22">
        <v>17786288.010000002</v>
      </c>
      <c r="I8" s="22">
        <v>15814.06</v>
      </c>
      <c r="J8" s="22">
        <v>4776.93</v>
      </c>
      <c r="K8" s="22">
        <v>11725.79</v>
      </c>
      <c r="L8" s="22">
        <v>632.33000000000004</v>
      </c>
      <c r="M8" s="26"/>
      <c r="N8" s="22"/>
      <c r="O8" s="23">
        <v>17819237.120000001</v>
      </c>
    </row>
    <row r="9" spans="1:15" x14ac:dyDescent="0.2">
      <c r="A9" s="21" t="s">
        <v>6</v>
      </c>
      <c r="B9" s="22">
        <v>832526522.16999996</v>
      </c>
      <c r="C9" s="22">
        <v>286.23</v>
      </c>
      <c r="D9" s="22">
        <v>1036227.1</v>
      </c>
      <c r="E9" s="22">
        <v>833563035.5</v>
      </c>
      <c r="F9" s="22">
        <v>802415951.78999996</v>
      </c>
      <c r="G9" s="22">
        <v>29586031.68</v>
      </c>
      <c r="H9" s="22">
        <v>832001983.47000003</v>
      </c>
      <c r="I9" s="22">
        <v>173963.33</v>
      </c>
      <c r="J9" s="22">
        <v>40094.400000000001</v>
      </c>
      <c r="K9" s="22">
        <v>1227788.8</v>
      </c>
      <c r="L9" s="22">
        <v>43094.39</v>
      </c>
      <c r="M9" s="26">
        <v>76111.11</v>
      </c>
      <c r="N9" s="22"/>
      <c r="O9" s="23">
        <v>833563035.5</v>
      </c>
    </row>
    <row r="10" spans="1:15" x14ac:dyDescent="0.2">
      <c r="A10" s="21" t="s">
        <v>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6"/>
      <c r="N10" s="22"/>
      <c r="O10" s="23"/>
    </row>
    <row r="11" spans="1:15" x14ac:dyDescent="0.2">
      <c r="A11" s="21" t="s">
        <v>8</v>
      </c>
      <c r="B11" s="22">
        <v>7126569.4900000002</v>
      </c>
      <c r="C11" s="22">
        <v>-14769.13</v>
      </c>
      <c r="D11" s="22">
        <v>14549.09</v>
      </c>
      <c r="E11" s="22">
        <v>7126349.4500000002</v>
      </c>
      <c r="F11" s="22">
        <v>6857036.8899999997</v>
      </c>
      <c r="G11" s="22">
        <v>229421.79</v>
      </c>
      <c r="H11" s="22">
        <v>7086458.6799999997</v>
      </c>
      <c r="I11" s="22"/>
      <c r="J11" s="22">
        <v>25318.34</v>
      </c>
      <c r="K11" s="22">
        <v>23.34</v>
      </c>
      <c r="L11" s="22"/>
      <c r="M11" s="26"/>
      <c r="N11" s="22">
        <v>14549.09</v>
      </c>
      <c r="O11" s="23">
        <v>7126349.4500000002</v>
      </c>
    </row>
    <row r="12" spans="1:15" x14ac:dyDescent="0.2">
      <c r="A12" s="21" t="s">
        <v>9</v>
      </c>
      <c r="B12" s="22">
        <v>445992485.67000002</v>
      </c>
      <c r="C12" s="22"/>
      <c r="D12" s="22">
        <v>511920.27</v>
      </c>
      <c r="E12" s="22">
        <v>446504405.94</v>
      </c>
      <c r="F12" s="22">
        <v>429348813.31999999</v>
      </c>
      <c r="G12" s="22">
        <v>15391710.710000001</v>
      </c>
      <c r="H12" s="22">
        <v>444740524.02999997</v>
      </c>
      <c r="I12" s="22">
        <v>93086.67</v>
      </c>
      <c r="J12" s="22">
        <v>176920.31</v>
      </c>
      <c r="K12" s="22">
        <v>1322730.54</v>
      </c>
      <c r="L12" s="22">
        <v>29200.41</v>
      </c>
      <c r="M12" s="26"/>
      <c r="N12" s="22">
        <v>141943.98000000001</v>
      </c>
      <c r="O12" s="23">
        <v>446504405.94</v>
      </c>
    </row>
    <row r="13" spans="1:15" x14ac:dyDescent="0.2">
      <c r="A13" s="21" t="s">
        <v>10</v>
      </c>
      <c r="B13" s="22">
        <v>180294855.22</v>
      </c>
      <c r="C13" s="22">
        <v>1141.5999999999999</v>
      </c>
      <c r="D13" s="22">
        <v>256420.8</v>
      </c>
      <c r="E13" s="22">
        <v>180552417.62</v>
      </c>
      <c r="F13" s="22">
        <v>173786566.47999999</v>
      </c>
      <c r="G13" s="22">
        <v>6320379.54</v>
      </c>
      <c r="H13" s="22">
        <v>180106946.02000001</v>
      </c>
      <c r="I13" s="22"/>
      <c r="J13" s="22">
        <v>72801.03</v>
      </c>
      <c r="K13" s="22">
        <v>273359.03999999998</v>
      </c>
      <c r="L13" s="22">
        <v>25507.51</v>
      </c>
      <c r="M13" s="26">
        <v>73804.02</v>
      </c>
      <c r="N13" s="22"/>
      <c r="O13" s="23">
        <v>180552417.62</v>
      </c>
    </row>
    <row r="14" spans="1:15" x14ac:dyDescent="0.2">
      <c r="A14" s="21" t="s">
        <v>11</v>
      </c>
      <c r="B14" s="22">
        <v>246118910.84999999</v>
      </c>
      <c r="C14" s="22">
        <v>36601.160000000003</v>
      </c>
      <c r="D14" s="22">
        <v>220266.94</v>
      </c>
      <c r="E14" s="22">
        <v>246375785.13</v>
      </c>
      <c r="F14" s="22">
        <v>236961267.75999999</v>
      </c>
      <c r="G14" s="22">
        <v>8874884.1999999993</v>
      </c>
      <c r="H14" s="22">
        <v>245836151.96000001</v>
      </c>
      <c r="I14" s="22">
        <v>82039.31</v>
      </c>
      <c r="J14" s="22">
        <v>41236.18</v>
      </c>
      <c r="K14" s="22">
        <v>386272.17</v>
      </c>
      <c r="L14" s="22">
        <v>30085.51</v>
      </c>
      <c r="M14" s="26"/>
      <c r="N14" s="22"/>
      <c r="O14" s="23">
        <v>246375785.13</v>
      </c>
    </row>
    <row r="15" spans="1:15" x14ac:dyDescent="0.2">
      <c r="A15" s="21" t="s">
        <v>12</v>
      </c>
      <c r="B15" s="22">
        <v>1191494740.9300001</v>
      </c>
      <c r="C15" s="22">
        <v>-23415.67</v>
      </c>
      <c r="D15" s="22">
        <v>608981.51</v>
      </c>
      <c r="E15" s="22">
        <v>1192080306.77</v>
      </c>
      <c r="F15" s="22">
        <v>1147850729.9200001</v>
      </c>
      <c r="G15" s="22">
        <v>42986756.950000003</v>
      </c>
      <c r="H15" s="22">
        <v>1190837486.8699999</v>
      </c>
      <c r="I15" s="22">
        <v>471903.31</v>
      </c>
      <c r="J15" s="22">
        <v>591.11</v>
      </c>
      <c r="K15" s="22">
        <v>709555.56</v>
      </c>
      <c r="L15" s="22">
        <v>26923.88</v>
      </c>
      <c r="M15" s="26"/>
      <c r="N15" s="22">
        <v>33846.04</v>
      </c>
      <c r="O15" s="23">
        <v>1192080306.77</v>
      </c>
    </row>
    <row r="16" spans="1:15" x14ac:dyDescent="0.2">
      <c r="A16" s="21" t="s">
        <v>13</v>
      </c>
      <c r="B16" s="22">
        <v>58323526</v>
      </c>
      <c r="C16" s="22">
        <v>-269306</v>
      </c>
      <c r="D16" s="22">
        <v>119400</v>
      </c>
      <c r="E16" s="22">
        <v>58173620</v>
      </c>
      <c r="F16" s="22">
        <v>56208515</v>
      </c>
      <c r="G16" s="22">
        <v>1902706</v>
      </c>
      <c r="H16" s="22">
        <v>58111221</v>
      </c>
      <c r="I16" s="22">
        <v>7862</v>
      </c>
      <c r="J16" s="22">
        <v>40974</v>
      </c>
      <c r="K16" s="22">
        <v>7071</v>
      </c>
      <c r="L16" s="22">
        <v>6491</v>
      </c>
      <c r="M16" s="26"/>
      <c r="N16" s="22"/>
      <c r="O16" s="23">
        <v>58173620</v>
      </c>
    </row>
    <row r="17" spans="1:15" x14ac:dyDescent="0.2">
      <c r="A17" s="21" t="s">
        <v>106</v>
      </c>
      <c r="B17" s="24"/>
      <c r="C17" s="25"/>
      <c r="D17" s="66"/>
      <c r="E17" s="22"/>
      <c r="F17" s="22"/>
      <c r="G17" s="22"/>
      <c r="H17" s="22"/>
      <c r="I17" s="22"/>
      <c r="J17" s="22"/>
      <c r="K17" s="22"/>
      <c r="L17" s="22"/>
      <c r="M17" s="26"/>
      <c r="N17" s="22"/>
      <c r="O17" s="23"/>
    </row>
    <row r="18" spans="1:15" x14ac:dyDescent="0.2">
      <c r="A18" s="21" t="s">
        <v>14</v>
      </c>
      <c r="B18" s="22">
        <v>42503963.439999998</v>
      </c>
      <c r="C18" s="22">
        <v>-79651.399999999994</v>
      </c>
      <c r="D18" s="22">
        <v>70723.740000000005</v>
      </c>
      <c r="E18" s="22">
        <v>42495035.780000001</v>
      </c>
      <c r="F18" s="22">
        <v>40852567.630000003</v>
      </c>
      <c r="G18" s="22">
        <v>1397153.83</v>
      </c>
      <c r="H18" s="22">
        <v>42249721.460000001</v>
      </c>
      <c r="I18" s="22">
        <v>150961.82</v>
      </c>
      <c r="J18" s="22">
        <v>22169.65</v>
      </c>
      <c r="K18" s="22">
        <v>1459.11</v>
      </c>
      <c r="L18" s="22"/>
      <c r="M18" s="26"/>
      <c r="N18" s="22">
        <v>70723.740000000005</v>
      </c>
      <c r="O18" s="23">
        <v>42495035.780000001</v>
      </c>
    </row>
    <row r="19" spans="1:15" x14ac:dyDescent="0.2">
      <c r="A19" s="21" t="s">
        <v>15</v>
      </c>
      <c r="B19" s="22">
        <v>13404962.449999999</v>
      </c>
      <c r="C19" s="22">
        <v>47.93</v>
      </c>
      <c r="D19" s="22">
        <v>35307.160000000003</v>
      </c>
      <c r="E19" s="22">
        <v>13440317.539999999</v>
      </c>
      <c r="F19" s="22">
        <v>12952394.869999999</v>
      </c>
      <c r="G19" s="22">
        <v>401755.59</v>
      </c>
      <c r="H19" s="22">
        <v>13354150.460000001</v>
      </c>
      <c r="I19" s="22">
        <v>12425.08</v>
      </c>
      <c r="J19" s="22">
        <v>36394.01</v>
      </c>
      <c r="K19" s="22">
        <v>34519.17</v>
      </c>
      <c r="L19" s="22">
        <v>2828.82</v>
      </c>
      <c r="M19" s="26"/>
      <c r="N19" s="22"/>
      <c r="O19" s="23">
        <v>13440317.539999999</v>
      </c>
    </row>
    <row r="20" spans="1:15" x14ac:dyDescent="0.2">
      <c r="A20" s="21" t="s">
        <v>16</v>
      </c>
      <c r="B20" s="22">
        <v>1342950803.6300001</v>
      </c>
      <c r="C20" s="22">
        <v>-5336032.5199999996</v>
      </c>
      <c r="D20" s="22">
        <v>1601454.48</v>
      </c>
      <c r="E20" s="22">
        <v>1339216225.5899999</v>
      </c>
      <c r="F20" s="22">
        <v>1285830254.25</v>
      </c>
      <c r="G20" s="22">
        <v>48528534.759999998</v>
      </c>
      <c r="H20" s="22">
        <v>1334358789.01</v>
      </c>
      <c r="I20" s="22">
        <v>2477603.4900000002</v>
      </c>
      <c r="J20" s="22">
        <v>117072.65</v>
      </c>
      <c r="K20" s="22">
        <v>1748854.9</v>
      </c>
      <c r="L20" s="22">
        <v>513905.54</v>
      </c>
      <c r="M20" s="26"/>
      <c r="N20" s="22"/>
      <c r="O20" s="23">
        <v>1339216225.5899999</v>
      </c>
    </row>
    <row r="21" spans="1:15" x14ac:dyDescent="0.2">
      <c r="A21" s="21" t="s">
        <v>17</v>
      </c>
      <c r="B21" s="22">
        <v>320357949.41000003</v>
      </c>
      <c r="C21" s="22">
        <v>619.1</v>
      </c>
      <c r="D21" s="22">
        <v>520708.57</v>
      </c>
      <c r="E21" s="22">
        <v>320879277.07999998</v>
      </c>
      <c r="F21" s="22">
        <v>309012869.76999998</v>
      </c>
      <c r="G21" s="22">
        <v>11050632.050000001</v>
      </c>
      <c r="H21" s="22">
        <v>320063501.81999999</v>
      </c>
      <c r="I21" s="22">
        <v>191593.17</v>
      </c>
      <c r="J21" s="22">
        <v>70816.77</v>
      </c>
      <c r="K21" s="22">
        <v>277352.96000000002</v>
      </c>
      <c r="L21" s="22">
        <v>75838.27</v>
      </c>
      <c r="M21" s="26"/>
      <c r="N21" s="22">
        <v>200174.09</v>
      </c>
      <c r="O21" s="23">
        <v>320879277.07999998</v>
      </c>
    </row>
    <row r="22" spans="1:15" x14ac:dyDescent="0.2">
      <c r="A22" s="21" t="s">
        <v>18</v>
      </c>
      <c r="B22" s="22">
        <v>188368756.43000001</v>
      </c>
      <c r="C22" s="22">
        <v>191189.39</v>
      </c>
      <c r="D22" s="22"/>
      <c r="E22" s="22">
        <v>188559945.81999999</v>
      </c>
      <c r="F22" s="22">
        <v>181575155.77000001</v>
      </c>
      <c r="G22" s="22">
        <v>6760058.4699999997</v>
      </c>
      <c r="H22" s="22">
        <v>188335214.24000001</v>
      </c>
      <c r="I22" s="22">
        <v>100661.55</v>
      </c>
      <c r="J22" s="22">
        <v>4043.77</v>
      </c>
      <c r="K22" s="22">
        <v>99198.83</v>
      </c>
      <c r="L22" s="22">
        <v>8390.4699999999993</v>
      </c>
      <c r="M22" s="26">
        <v>12323.5</v>
      </c>
      <c r="N22" s="22">
        <v>301.68</v>
      </c>
      <c r="O22" s="23">
        <v>188559945.81999999</v>
      </c>
    </row>
    <row r="23" spans="1:15" x14ac:dyDescent="0.2">
      <c r="A23" s="21" t="s">
        <v>19</v>
      </c>
      <c r="B23" s="22">
        <v>28763922.100000001</v>
      </c>
      <c r="C23" s="22">
        <v>-31153.08</v>
      </c>
      <c r="D23" s="22">
        <v>50707.91</v>
      </c>
      <c r="E23" s="22">
        <v>28783288.489999998</v>
      </c>
      <c r="F23" s="22">
        <v>27679734.239999998</v>
      </c>
      <c r="G23" s="22">
        <v>964801.1</v>
      </c>
      <c r="H23" s="22">
        <v>28644535.34</v>
      </c>
      <c r="I23" s="22">
        <v>7641.11</v>
      </c>
      <c r="J23" s="22">
        <v>48834.13</v>
      </c>
      <c r="K23" s="22">
        <v>1735.86</v>
      </c>
      <c r="L23" s="22">
        <v>29834.14</v>
      </c>
      <c r="M23" s="26">
        <v>50707.91</v>
      </c>
      <c r="N23" s="22"/>
      <c r="O23" s="23">
        <v>28783288.489999998</v>
      </c>
    </row>
    <row r="24" spans="1:15" x14ac:dyDescent="0.2">
      <c r="A24" s="21" t="s">
        <v>20</v>
      </c>
      <c r="B24" s="22">
        <v>25888160.43</v>
      </c>
      <c r="C24" s="22">
        <v>11327.51</v>
      </c>
      <c r="D24" s="22">
        <v>47976.84</v>
      </c>
      <c r="E24" s="22">
        <v>25947464.780000001</v>
      </c>
      <c r="F24" s="22">
        <v>24816305.34</v>
      </c>
      <c r="G24" s="22">
        <v>844408.08</v>
      </c>
      <c r="H24" s="22">
        <v>25660713.420000002</v>
      </c>
      <c r="I24" s="22">
        <v>139202.85999999999</v>
      </c>
      <c r="J24" s="22">
        <v>19206.97</v>
      </c>
      <c r="K24" s="22">
        <v>43941.64</v>
      </c>
      <c r="L24" s="22">
        <v>36423.050000000003</v>
      </c>
      <c r="M24" s="26"/>
      <c r="N24" s="22">
        <v>47976.84</v>
      </c>
      <c r="O24" s="23">
        <v>25947464.780000001</v>
      </c>
    </row>
    <row r="25" spans="1:15" x14ac:dyDescent="0.2">
      <c r="A25" s="21" t="s">
        <v>21</v>
      </c>
      <c r="B25" s="22">
        <v>16708520</v>
      </c>
      <c r="C25" s="22">
        <v>-84740</v>
      </c>
      <c r="D25" s="22">
        <v>27022</v>
      </c>
      <c r="E25" s="22">
        <v>16650801</v>
      </c>
      <c r="F25" s="22">
        <v>16076023</v>
      </c>
      <c r="G25" s="22">
        <v>560726</v>
      </c>
      <c r="H25" s="22">
        <v>16636749</v>
      </c>
      <c r="I25" s="22">
        <v>5830</v>
      </c>
      <c r="J25" s="22">
        <v>6372</v>
      </c>
      <c r="K25" s="22"/>
      <c r="L25" s="22">
        <v>1850</v>
      </c>
      <c r="M25" s="26"/>
      <c r="N25" s="22"/>
      <c r="O25" s="23">
        <v>16650801</v>
      </c>
    </row>
    <row r="26" spans="1:15" x14ac:dyDescent="0.2">
      <c r="A26" s="21" t="s">
        <v>22</v>
      </c>
      <c r="B26" s="22">
        <v>14670754.390000001</v>
      </c>
      <c r="C26" s="22">
        <v>-243.19</v>
      </c>
      <c r="D26" s="22">
        <v>23507.03</v>
      </c>
      <c r="E26" s="22">
        <v>14694018.23</v>
      </c>
      <c r="F26" s="22">
        <v>14132044.08</v>
      </c>
      <c r="G26" s="22">
        <v>492031.87</v>
      </c>
      <c r="H26" s="22">
        <v>14624075.949999999</v>
      </c>
      <c r="I26" s="22">
        <v>8461.4599999999991</v>
      </c>
      <c r="J26" s="22">
        <v>39514.44</v>
      </c>
      <c r="K26" s="22">
        <v>6130.07</v>
      </c>
      <c r="L26" s="22">
        <v>4589.42</v>
      </c>
      <c r="M26" s="26">
        <v>23507.03</v>
      </c>
      <c r="N26" s="22"/>
      <c r="O26" s="23">
        <v>14694018.23</v>
      </c>
    </row>
    <row r="27" spans="1:15" x14ac:dyDescent="0.2">
      <c r="A27" s="21" t="s">
        <v>23</v>
      </c>
      <c r="B27" s="22">
        <v>28107708.780000001</v>
      </c>
      <c r="C27" s="22">
        <v>-2536.83</v>
      </c>
      <c r="D27" s="22">
        <v>51668.31</v>
      </c>
      <c r="E27" s="22">
        <v>28156840.260000002</v>
      </c>
      <c r="F27" s="22">
        <v>27058471.219999999</v>
      </c>
      <c r="G27" s="22">
        <v>946483.99</v>
      </c>
      <c r="H27" s="22">
        <v>28004955.210000001</v>
      </c>
      <c r="I27" s="22">
        <v>3003.95</v>
      </c>
      <c r="J27" s="22">
        <v>9214.35</v>
      </c>
      <c r="K27" s="22">
        <v>12261.84</v>
      </c>
      <c r="L27" s="22">
        <v>77414.539999999994</v>
      </c>
      <c r="M27" s="26">
        <v>15668.31</v>
      </c>
      <c r="N27" s="22"/>
      <c r="O27" s="23">
        <v>28156840.260000002</v>
      </c>
    </row>
    <row r="28" spans="1:15" x14ac:dyDescent="0.2">
      <c r="A28" s="21" t="s">
        <v>24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6"/>
      <c r="N28" s="22"/>
      <c r="O28" s="23"/>
    </row>
    <row r="29" spans="1:15" x14ac:dyDescent="0.2">
      <c r="A29" s="21" t="s">
        <v>25</v>
      </c>
      <c r="B29" s="22">
        <v>32370349</v>
      </c>
      <c r="C29" s="22"/>
      <c r="D29" s="22">
        <v>55408</v>
      </c>
      <c r="E29" s="22">
        <v>32425758</v>
      </c>
      <c r="F29" s="22">
        <v>31199313</v>
      </c>
      <c r="G29" s="22">
        <v>1111437</v>
      </c>
      <c r="H29" s="22">
        <v>32310750</v>
      </c>
      <c r="I29" s="22">
        <v>22414</v>
      </c>
      <c r="J29" s="22">
        <v>10646</v>
      </c>
      <c r="K29" s="22">
        <v>25376</v>
      </c>
      <c r="L29" s="22">
        <v>1163</v>
      </c>
      <c r="M29" s="26">
        <v>55408</v>
      </c>
      <c r="N29" s="22"/>
      <c r="O29" s="23">
        <v>32425758</v>
      </c>
    </row>
    <row r="30" spans="1:15" x14ac:dyDescent="0.2">
      <c r="A30" s="21" t="s">
        <v>26</v>
      </c>
      <c r="B30" s="22">
        <v>60468973.420000002</v>
      </c>
      <c r="C30" s="22">
        <v>-49968.59</v>
      </c>
      <c r="D30" s="22">
        <v>25715.15</v>
      </c>
      <c r="E30" s="22">
        <v>60444719.979999997</v>
      </c>
      <c r="F30" s="22">
        <v>55402472.280000001</v>
      </c>
      <c r="G30" s="22">
        <v>1933177.71</v>
      </c>
      <c r="H30" s="22">
        <v>57335649.990000002</v>
      </c>
      <c r="I30" s="22"/>
      <c r="J30" s="22">
        <v>2291878.4700000002</v>
      </c>
      <c r="K30" s="22"/>
      <c r="L30" s="22"/>
      <c r="M30" s="26">
        <v>817191.52</v>
      </c>
      <c r="N30" s="22"/>
      <c r="O30" s="23">
        <v>60444719.979999997</v>
      </c>
    </row>
    <row r="31" spans="1:15" x14ac:dyDescent="0.2">
      <c r="A31" s="21" t="s">
        <v>27</v>
      </c>
      <c r="B31" s="22">
        <v>76265344</v>
      </c>
      <c r="C31" s="22">
        <v>9862.35</v>
      </c>
      <c r="D31" s="22">
        <v>22926</v>
      </c>
      <c r="E31" s="22">
        <v>76298136.579999998</v>
      </c>
      <c r="F31" s="22">
        <v>73574794.769999996</v>
      </c>
      <c r="G31" s="22">
        <v>2561036.5099999998</v>
      </c>
      <c r="H31" s="22">
        <v>76135831.280000001</v>
      </c>
      <c r="I31" s="22">
        <v>45363.32</v>
      </c>
      <c r="J31" s="22">
        <v>14480.33</v>
      </c>
      <c r="K31" s="22">
        <v>86032.320000000007</v>
      </c>
      <c r="L31" s="22">
        <v>16124.59</v>
      </c>
      <c r="M31" s="26"/>
      <c r="N31" s="22">
        <v>304.74</v>
      </c>
      <c r="O31" s="23">
        <v>76298136.579999998</v>
      </c>
    </row>
    <row r="32" spans="1:15" x14ac:dyDescent="0.2">
      <c r="A32" s="21" t="s">
        <v>28</v>
      </c>
      <c r="B32" s="22">
        <v>103879099.48</v>
      </c>
      <c r="C32" s="22">
        <v>36946.99</v>
      </c>
      <c r="D32" s="22">
        <v>88631.91</v>
      </c>
      <c r="E32" s="22">
        <v>104004678.38</v>
      </c>
      <c r="F32" s="22">
        <v>97297550.670000002</v>
      </c>
      <c r="G32" s="22">
        <v>3473325.92</v>
      </c>
      <c r="H32" s="22">
        <v>100770876.59</v>
      </c>
      <c r="I32" s="22"/>
      <c r="J32" s="22">
        <v>2693788.06</v>
      </c>
      <c r="K32" s="22"/>
      <c r="L32" s="22"/>
      <c r="M32" s="26"/>
      <c r="N32" s="22">
        <v>540013.73</v>
      </c>
      <c r="O32" s="23">
        <v>104004678.38</v>
      </c>
    </row>
    <row r="33" spans="1:15" x14ac:dyDescent="0.2">
      <c r="A33" s="21" t="s">
        <v>29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6"/>
      <c r="N33" s="22"/>
      <c r="O33" s="23"/>
    </row>
    <row r="34" spans="1:15" x14ac:dyDescent="0.2">
      <c r="A34" s="21" t="s">
        <v>30</v>
      </c>
      <c r="B34" s="22">
        <v>7624206.6299999999</v>
      </c>
      <c r="C34" s="22">
        <v>-7209.46</v>
      </c>
      <c r="D34" s="22">
        <v>22138.43</v>
      </c>
      <c r="E34" s="22">
        <v>7639135.5999999996</v>
      </c>
      <c r="F34" s="22">
        <v>7357822.7199999997</v>
      </c>
      <c r="G34" s="22">
        <v>229063.87</v>
      </c>
      <c r="H34" s="22">
        <v>7586886.5899999999</v>
      </c>
      <c r="I34" s="22">
        <v>17216.009999999998</v>
      </c>
      <c r="J34" s="22">
        <v>12662.85</v>
      </c>
      <c r="K34" s="22">
        <v>0.01</v>
      </c>
      <c r="L34" s="22">
        <v>231.73</v>
      </c>
      <c r="M34" s="26">
        <v>22138.43</v>
      </c>
      <c r="N34" s="22"/>
      <c r="O34" s="23">
        <v>7639135.5999999996</v>
      </c>
    </row>
    <row r="35" spans="1:15" x14ac:dyDescent="0.2">
      <c r="A35" s="21" t="s">
        <v>31</v>
      </c>
      <c r="B35" s="22">
        <v>320957989.75999999</v>
      </c>
      <c r="C35" s="22">
        <v>25143.57</v>
      </c>
      <c r="D35" s="22">
        <v>316386.77</v>
      </c>
      <c r="E35" s="22">
        <v>321299520.10000002</v>
      </c>
      <c r="F35" s="22">
        <v>309508624.36000001</v>
      </c>
      <c r="G35" s="22">
        <v>11440591.92</v>
      </c>
      <c r="H35" s="22">
        <v>320949216.27999997</v>
      </c>
      <c r="I35" s="22"/>
      <c r="J35" s="22">
        <v>6847.99</v>
      </c>
      <c r="K35" s="22">
        <v>309568.18</v>
      </c>
      <c r="L35" s="22"/>
      <c r="M35" s="26">
        <v>33887.65</v>
      </c>
      <c r="N35" s="22"/>
      <c r="O35" s="23">
        <v>321299520.10000002</v>
      </c>
    </row>
    <row r="36" spans="1:15" x14ac:dyDescent="0.2">
      <c r="A36" s="21" t="s">
        <v>32</v>
      </c>
      <c r="B36" s="22">
        <v>23235979.91</v>
      </c>
      <c r="C36" s="22">
        <v>-17240.689999999999</v>
      </c>
      <c r="D36" s="22">
        <v>43667.32</v>
      </c>
      <c r="E36" s="22">
        <v>23262406.539999999</v>
      </c>
      <c r="F36" s="22">
        <v>22279073.420000002</v>
      </c>
      <c r="G36" s="22">
        <v>726263.71</v>
      </c>
      <c r="H36" s="22">
        <v>23005337.129999999</v>
      </c>
      <c r="I36" s="22">
        <v>116631.88</v>
      </c>
      <c r="J36" s="22">
        <v>50318.47</v>
      </c>
      <c r="K36" s="22">
        <v>41439.120000000003</v>
      </c>
      <c r="L36" s="22">
        <v>5012.62</v>
      </c>
      <c r="M36" s="26"/>
      <c r="N36" s="22">
        <v>43667.32</v>
      </c>
      <c r="O36" s="23">
        <v>23262406.539999999</v>
      </c>
    </row>
    <row r="37" spans="1:15" x14ac:dyDescent="0.2">
      <c r="A37" s="21" t="s">
        <v>33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6"/>
      <c r="N37" s="22"/>
      <c r="O37" s="23"/>
    </row>
    <row r="38" spans="1:15" x14ac:dyDescent="0.2">
      <c r="A38" s="21" t="s">
        <v>34</v>
      </c>
      <c r="B38" s="24"/>
      <c r="C38" s="25"/>
      <c r="D38" s="66"/>
      <c r="E38" s="22"/>
      <c r="F38" s="22"/>
      <c r="G38" s="22"/>
      <c r="H38" s="22"/>
      <c r="I38" s="22"/>
      <c r="J38" s="22"/>
      <c r="K38" s="22"/>
      <c r="L38" s="22"/>
      <c r="M38" s="26"/>
      <c r="N38" s="22"/>
      <c r="O38" s="23"/>
    </row>
    <row r="39" spans="1:15" x14ac:dyDescent="0.2">
      <c r="A39" s="21" t="s">
        <v>35</v>
      </c>
      <c r="B39" s="22">
        <v>484851983.37</v>
      </c>
      <c r="C39" s="22">
        <v>36567.269999999997</v>
      </c>
      <c r="D39" s="22">
        <v>682423.68</v>
      </c>
      <c r="E39" s="22">
        <v>485570974.31999999</v>
      </c>
      <c r="F39" s="22">
        <v>467599970.62</v>
      </c>
      <c r="G39" s="22">
        <v>17090464.870000001</v>
      </c>
      <c r="H39" s="22">
        <v>484690435.49000001</v>
      </c>
      <c r="I39" s="22"/>
      <c r="J39" s="22">
        <v>32726.51</v>
      </c>
      <c r="K39" s="22">
        <v>536993.56000000006</v>
      </c>
      <c r="L39" s="22">
        <v>28078.42</v>
      </c>
      <c r="M39" s="26">
        <v>282740.34000000003</v>
      </c>
      <c r="N39" s="22"/>
      <c r="O39" s="23">
        <v>485570974.31999999</v>
      </c>
    </row>
    <row r="40" spans="1:15" x14ac:dyDescent="0.2">
      <c r="A40" s="21" t="s">
        <v>36</v>
      </c>
      <c r="B40" s="22">
        <v>1710969368.04</v>
      </c>
      <c r="C40" s="22">
        <v>-4825316.53</v>
      </c>
      <c r="D40" s="22">
        <v>890389.73</v>
      </c>
      <c r="E40" s="22">
        <v>1707034441.24</v>
      </c>
      <c r="F40" s="22">
        <v>1620146584</v>
      </c>
      <c r="G40" s="22">
        <v>60655883.990000002</v>
      </c>
      <c r="H40" s="22">
        <v>1680802467.99</v>
      </c>
      <c r="I40" s="22">
        <v>793984.78</v>
      </c>
      <c r="J40" s="22">
        <v>21377606.469999999</v>
      </c>
      <c r="K40" s="22">
        <v>3996635.93</v>
      </c>
      <c r="L40" s="22">
        <v>63736.66</v>
      </c>
      <c r="M40" s="26"/>
      <c r="N40" s="22"/>
      <c r="O40" s="23">
        <v>1707034431.8299999</v>
      </c>
    </row>
    <row r="41" spans="1:15" x14ac:dyDescent="0.2">
      <c r="A41" s="21" t="s">
        <v>37</v>
      </c>
      <c r="B41" s="22">
        <v>349836446.18000001</v>
      </c>
      <c r="C41" s="22">
        <v>66602.84</v>
      </c>
      <c r="D41" s="22"/>
      <c r="E41" s="22">
        <v>349903049.01999998</v>
      </c>
      <c r="F41" s="22">
        <v>336270831.30000001</v>
      </c>
      <c r="G41" s="22">
        <v>12569335.82</v>
      </c>
      <c r="H41" s="22">
        <v>348840167.12</v>
      </c>
      <c r="I41" s="22">
        <v>423531.86</v>
      </c>
      <c r="J41" s="22">
        <v>98197.84</v>
      </c>
      <c r="K41" s="22">
        <v>823038.74</v>
      </c>
      <c r="L41" s="22">
        <v>112188.49</v>
      </c>
      <c r="M41" s="26">
        <v>394075.03</v>
      </c>
      <c r="N41" s="22"/>
      <c r="O41" s="23">
        <v>349903049.01999998</v>
      </c>
    </row>
    <row r="42" spans="1:15" x14ac:dyDescent="0.2">
      <c r="A42" s="21" t="s">
        <v>38</v>
      </c>
      <c r="B42" s="22">
        <v>37072747.880000003</v>
      </c>
      <c r="C42" s="22">
        <v>17837.77</v>
      </c>
      <c r="D42" s="22"/>
      <c r="E42" s="22">
        <v>37090585.649999999</v>
      </c>
      <c r="F42" s="22">
        <v>35839857.520000003</v>
      </c>
      <c r="G42" s="22">
        <v>1165002.03</v>
      </c>
      <c r="H42" s="22">
        <v>37004859.549999997</v>
      </c>
      <c r="I42" s="22">
        <v>4749.1099999999997</v>
      </c>
      <c r="J42" s="22">
        <v>111541.64</v>
      </c>
      <c r="K42" s="22">
        <v>39882.89</v>
      </c>
      <c r="L42" s="22">
        <v>6031.12</v>
      </c>
      <c r="M42" s="26">
        <v>76478.66</v>
      </c>
      <c r="N42" s="22"/>
      <c r="O42" s="23">
        <v>37090585.649999999</v>
      </c>
    </row>
    <row r="43" spans="1:15" x14ac:dyDescent="0.2">
      <c r="A43" s="21" t="s">
        <v>39</v>
      </c>
      <c r="B43" s="22">
        <v>4511173.5599999996</v>
      </c>
      <c r="C43" s="22">
        <v>-53779.56</v>
      </c>
      <c r="D43" s="22">
        <v>8867.33</v>
      </c>
      <c r="E43" s="22">
        <v>4466261.33</v>
      </c>
      <c r="F43" s="22">
        <v>4274191.57</v>
      </c>
      <c r="G43" s="22">
        <v>147459.39000000001</v>
      </c>
      <c r="H43" s="22">
        <v>4421650.96</v>
      </c>
      <c r="I43" s="22">
        <v>35168.300000000003</v>
      </c>
      <c r="J43" s="22">
        <v>574.74</v>
      </c>
      <c r="K43" s="22"/>
      <c r="L43" s="22"/>
      <c r="M43" s="26"/>
      <c r="N43" s="22">
        <v>8867.33</v>
      </c>
      <c r="O43" s="23">
        <v>4466261.33</v>
      </c>
    </row>
    <row r="44" spans="1:15" x14ac:dyDescent="0.2">
      <c r="A44" s="21" t="s">
        <v>40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6"/>
      <c r="N44" s="22"/>
      <c r="O44" s="23"/>
    </row>
    <row r="45" spans="1:15" x14ac:dyDescent="0.2">
      <c r="A45" s="21" t="s">
        <v>41</v>
      </c>
      <c r="B45" s="22">
        <v>681471138.63999999</v>
      </c>
      <c r="C45" s="22">
        <v>-911019.56</v>
      </c>
      <c r="D45" s="22">
        <v>517272.87</v>
      </c>
      <c r="E45" s="22">
        <v>681077391.95000005</v>
      </c>
      <c r="F45" s="22">
        <v>655722766.95000005</v>
      </c>
      <c r="G45" s="22">
        <v>24653347.68</v>
      </c>
      <c r="H45" s="22">
        <v>680376114.63</v>
      </c>
      <c r="I45" s="22">
        <v>368622.37</v>
      </c>
      <c r="J45" s="22">
        <v>4039.44</v>
      </c>
      <c r="K45" s="22">
        <v>325169.53000000003</v>
      </c>
      <c r="L45" s="22"/>
      <c r="M45" s="26">
        <v>957.29</v>
      </c>
      <c r="N45" s="22">
        <v>4403.2700000000004</v>
      </c>
      <c r="O45" s="23">
        <v>681077391.95000005</v>
      </c>
    </row>
    <row r="46" spans="1:15" x14ac:dyDescent="0.2">
      <c r="A46" s="21" t="s">
        <v>42</v>
      </c>
      <c r="B46" s="22">
        <v>424114140.81999999</v>
      </c>
      <c r="C46" s="22">
        <v>29339.85</v>
      </c>
      <c r="D46" s="22"/>
      <c r="E46" s="22">
        <v>424143480.67000002</v>
      </c>
      <c r="F46" s="22">
        <v>407832599.05000001</v>
      </c>
      <c r="G46" s="22">
        <v>14455010.77</v>
      </c>
      <c r="H46" s="22">
        <v>422287609.81999999</v>
      </c>
      <c r="I46" s="22">
        <v>674441.98</v>
      </c>
      <c r="J46" s="22">
        <v>1189597.6299999999</v>
      </c>
      <c r="K46" s="22">
        <v>794217.11</v>
      </c>
      <c r="L46" s="22">
        <v>75969.87</v>
      </c>
      <c r="M46" s="26">
        <v>878355.74</v>
      </c>
      <c r="N46" s="22"/>
      <c r="O46" s="23">
        <v>424143480.67000002</v>
      </c>
    </row>
    <row r="47" spans="1:15" x14ac:dyDescent="0.2">
      <c r="A47" s="21" t="s">
        <v>43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6"/>
      <c r="N47" s="22"/>
      <c r="O47" s="23"/>
    </row>
    <row r="48" spans="1:15" x14ac:dyDescent="0.2">
      <c r="A48" s="21" t="s">
        <v>44</v>
      </c>
      <c r="B48" s="22">
        <v>311568320.44</v>
      </c>
      <c r="C48" s="22">
        <v>10472.42</v>
      </c>
      <c r="D48" s="22">
        <v>389282.59</v>
      </c>
      <c r="E48" s="22">
        <v>311968075.44999999</v>
      </c>
      <c r="F48" s="22">
        <v>299440264.73000002</v>
      </c>
      <c r="G48" s="22">
        <v>10467438.140000001</v>
      </c>
      <c r="H48" s="22">
        <v>309907702.87</v>
      </c>
      <c r="I48" s="22">
        <v>52904.12</v>
      </c>
      <c r="J48" s="22">
        <v>2662.18</v>
      </c>
      <c r="K48" s="22">
        <v>1871430.93</v>
      </c>
      <c r="L48" s="22">
        <v>18385.669999999998</v>
      </c>
      <c r="M48" s="26"/>
      <c r="N48" s="22">
        <v>114989.68</v>
      </c>
      <c r="O48" s="23">
        <v>311968075.44999999</v>
      </c>
    </row>
    <row r="49" spans="1:15" x14ac:dyDescent="0.2">
      <c r="A49" s="21" t="s">
        <v>45</v>
      </c>
      <c r="B49" s="22">
        <v>182266977.53</v>
      </c>
      <c r="C49" s="22">
        <v>22218.32</v>
      </c>
      <c r="D49" s="22">
        <v>165830.48000000001</v>
      </c>
      <c r="E49" s="22">
        <v>182455026.33000001</v>
      </c>
      <c r="F49" s="22">
        <v>175401580.69999999</v>
      </c>
      <c r="G49" s="22">
        <v>6533963.8499999996</v>
      </c>
      <c r="H49" s="22">
        <v>181935544.55000001</v>
      </c>
      <c r="I49" s="22"/>
      <c r="J49" s="22">
        <v>4317.3599999999997</v>
      </c>
      <c r="K49" s="22">
        <v>383865.51</v>
      </c>
      <c r="L49" s="22">
        <v>62140.32</v>
      </c>
      <c r="M49" s="26"/>
      <c r="N49" s="22">
        <v>69158.59</v>
      </c>
      <c r="O49" s="23">
        <v>182455026.33000001</v>
      </c>
    </row>
    <row r="50" spans="1:15" x14ac:dyDescent="0.2">
      <c r="A50" s="21" t="s">
        <v>46</v>
      </c>
      <c r="B50" s="22">
        <v>268251520.94999999</v>
      </c>
      <c r="C50" s="22">
        <v>103.68</v>
      </c>
      <c r="D50" s="22">
        <v>246253.58</v>
      </c>
      <c r="E50" s="22">
        <v>268497878.20999998</v>
      </c>
      <c r="F50" s="22">
        <v>258593661.66</v>
      </c>
      <c r="G50" s="22">
        <v>9606277.5600000005</v>
      </c>
      <c r="H50" s="22">
        <v>268199939.22</v>
      </c>
      <c r="I50" s="22">
        <v>86869.36</v>
      </c>
      <c r="J50" s="22">
        <v>4501.09</v>
      </c>
      <c r="K50" s="22">
        <v>130907.82</v>
      </c>
      <c r="L50" s="22">
        <v>75660.72</v>
      </c>
      <c r="M50" s="26"/>
      <c r="N50" s="22"/>
      <c r="O50" s="23">
        <v>268497878.20999998</v>
      </c>
    </row>
    <row r="51" spans="1:15" x14ac:dyDescent="0.2">
      <c r="A51" s="21" t="s">
        <v>47</v>
      </c>
      <c r="B51" s="22">
        <v>56862989.090000004</v>
      </c>
      <c r="C51" s="22">
        <v>-41603.89</v>
      </c>
      <c r="D51" s="22">
        <v>116874.47</v>
      </c>
      <c r="E51" s="22">
        <v>56938259.670000002</v>
      </c>
      <c r="F51" s="22">
        <v>54661948.149999999</v>
      </c>
      <c r="G51" s="22">
        <v>1903747.38</v>
      </c>
      <c r="H51" s="22">
        <v>56565695.530000001</v>
      </c>
      <c r="I51" s="22">
        <v>89006.28</v>
      </c>
      <c r="J51" s="22">
        <v>44570.14</v>
      </c>
      <c r="K51" s="22">
        <v>105551.32</v>
      </c>
      <c r="L51" s="22">
        <v>16561.93</v>
      </c>
      <c r="M51" s="26">
        <v>116874.47</v>
      </c>
      <c r="N51" s="22"/>
      <c r="O51" s="23">
        <v>56938259.670000002</v>
      </c>
    </row>
    <row r="52" spans="1:15" ht="16.5" x14ac:dyDescent="0.2">
      <c r="A52" s="21" t="s">
        <v>108</v>
      </c>
      <c r="B52" s="22">
        <v>2812147223</v>
      </c>
      <c r="C52" s="22">
        <v>6975920</v>
      </c>
      <c r="D52" s="22">
        <v>3358616</v>
      </c>
      <c r="E52" s="22">
        <v>2822481759</v>
      </c>
      <c r="F52" s="22">
        <v>2664100528</v>
      </c>
      <c r="G52" s="22">
        <v>101576695</v>
      </c>
      <c r="H52" s="22">
        <v>2765677223</v>
      </c>
      <c r="I52" s="22">
        <v>3248717</v>
      </c>
      <c r="J52" s="22">
        <v>93066</v>
      </c>
      <c r="K52" s="22">
        <v>8362993</v>
      </c>
      <c r="L52" s="22">
        <v>45099760</v>
      </c>
      <c r="M52" s="26"/>
      <c r="N52" s="22"/>
      <c r="O52" s="23">
        <v>2822481759</v>
      </c>
    </row>
    <row r="53" spans="1:15" ht="16.5" x14ac:dyDescent="0.2">
      <c r="A53" s="21" t="s">
        <v>109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6"/>
      <c r="N53" s="22"/>
      <c r="O53" s="23"/>
    </row>
    <row r="54" spans="1:15" x14ac:dyDescent="0.2">
      <c r="A54" s="21" t="s">
        <v>48</v>
      </c>
      <c r="B54" s="22">
        <v>4054129118.2199998</v>
      </c>
      <c r="C54" s="22">
        <v>-4960193.3600000003</v>
      </c>
      <c r="D54" s="22">
        <v>2955284.25</v>
      </c>
      <c r="E54" s="22">
        <v>4052124209.1100001</v>
      </c>
      <c r="F54" s="22">
        <v>3903570838.4299998</v>
      </c>
      <c r="G54" s="22">
        <v>145052702.28</v>
      </c>
      <c r="H54" s="22">
        <v>4048623540.71</v>
      </c>
      <c r="I54" s="22">
        <v>1519519.58</v>
      </c>
      <c r="J54" s="22">
        <v>1494876.57</v>
      </c>
      <c r="K54" s="22">
        <v>71217.52</v>
      </c>
      <c r="L54" s="22">
        <v>415054.73</v>
      </c>
      <c r="M54" s="26">
        <v>0</v>
      </c>
      <c r="N54" s="22">
        <v>0</v>
      </c>
      <c r="O54" s="23">
        <v>4052124209.1100001</v>
      </c>
    </row>
    <row r="55" spans="1:15" x14ac:dyDescent="0.2">
      <c r="A55" s="21" t="s">
        <v>49</v>
      </c>
      <c r="B55" s="22">
        <v>676693434.13999999</v>
      </c>
      <c r="C55" s="22"/>
      <c r="D55" s="22">
        <v>608679.72</v>
      </c>
      <c r="E55" s="22">
        <v>677302113.86000001</v>
      </c>
      <c r="F55" s="22">
        <v>653034459.26999998</v>
      </c>
      <c r="G55" s="22">
        <v>24269613.600000001</v>
      </c>
      <c r="H55" s="22">
        <v>677304072.87</v>
      </c>
      <c r="I55" s="22">
        <v>348750.59</v>
      </c>
      <c r="J55" s="22">
        <v>275900.25</v>
      </c>
      <c r="K55" s="22">
        <v>721449.18</v>
      </c>
      <c r="L55" s="22">
        <v>46078.73</v>
      </c>
      <c r="M55" s="26">
        <v>48760.6</v>
      </c>
      <c r="N55" s="22"/>
      <c r="O55" s="23">
        <v>677302113.86000001</v>
      </c>
    </row>
    <row r="56" spans="1:15" x14ac:dyDescent="0.2">
      <c r="A56" s="21" t="s">
        <v>50</v>
      </c>
      <c r="B56" s="22">
        <v>1855066776.6400001</v>
      </c>
      <c r="C56" s="22">
        <v>66728.37</v>
      </c>
      <c r="D56" s="22">
        <v>1753017.98</v>
      </c>
      <c r="E56" s="22">
        <v>1856886522.99</v>
      </c>
      <c r="F56" s="22">
        <v>1787126117.9300001</v>
      </c>
      <c r="G56" s="22">
        <v>66501952.780000001</v>
      </c>
      <c r="H56" s="22">
        <v>1853628070.71</v>
      </c>
      <c r="I56" s="22">
        <v>945090.13</v>
      </c>
      <c r="J56" s="22">
        <v>26774.89</v>
      </c>
      <c r="K56" s="22">
        <v>1864235.66</v>
      </c>
      <c r="L56" s="22">
        <v>332653.42</v>
      </c>
      <c r="M56" s="26"/>
      <c r="N56" s="22">
        <v>89698.18</v>
      </c>
      <c r="O56" s="23">
        <v>1856886522.99</v>
      </c>
    </row>
    <row r="57" spans="1:15" x14ac:dyDescent="0.2">
      <c r="A57" s="21" t="s">
        <v>51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6"/>
      <c r="N57" s="22"/>
      <c r="O57" s="23"/>
    </row>
    <row r="58" spans="1:15" x14ac:dyDescent="0.2">
      <c r="A58" s="21" t="s">
        <v>52</v>
      </c>
      <c r="B58" s="22">
        <v>83053413.200000003</v>
      </c>
      <c r="C58" s="22">
        <v>-63479.68</v>
      </c>
      <c r="D58" s="22">
        <v>178846.58</v>
      </c>
      <c r="E58" s="22">
        <v>83168780.099999994</v>
      </c>
      <c r="F58" s="22">
        <v>79848917.170000002</v>
      </c>
      <c r="G58" s="22">
        <v>2727212.7</v>
      </c>
      <c r="H58" s="22">
        <v>82576129.870000005</v>
      </c>
      <c r="I58" s="22">
        <v>43102.87</v>
      </c>
      <c r="J58" s="22">
        <v>439964.58</v>
      </c>
      <c r="K58" s="22"/>
      <c r="L58" s="22">
        <v>108199.21</v>
      </c>
      <c r="M58" s="26"/>
      <c r="N58" s="22">
        <v>1383.57</v>
      </c>
      <c r="O58" s="23">
        <v>83168780.099999994</v>
      </c>
    </row>
    <row r="59" spans="1:15" x14ac:dyDescent="0.2">
      <c r="A59" s="21" t="s">
        <v>53</v>
      </c>
      <c r="B59" s="22">
        <v>543757257</v>
      </c>
      <c r="C59" s="22">
        <v>-415214.04</v>
      </c>
      <c r="D59" s="22">
        <v>354026.85</v>
      </c>
      <c r="E59" s="22">
        <v>543696069.80999994</v>
      </c>
      <c r="F59" s="22">
        <v>523293070.61000001</v>
      </c>
      <c r="G59" s="22">
        <v>19794924.050000001</v>
      </c>
      <c r="H59" s="22">
        <v>543087994.65999997</v>
      </c>
      <c r="I59" s="22">
        <v>384100.39</v>
      </c>
      <c r="J59" s="22">
        <v>145199.10999999999</v>
      </c>
      <c r="K59" s="22">
        <v>263.31</v>
      </c>
      <c r="L59" s="22">
        <v>71503.710000000006</v>
      </c>
      <c r="M59" s="26">
        <v>6944.6</v>
      </c>
      <c r="N59" s="22">
        <v>64.03</v>
      </c>
      <c r="O59" s="23">
        <v>543696069.80999994</v>
      </c>
    </row>
    <row r="60" spans="1:15" x14ac:dyDescent="0.2">
      <c r="A60" s="21" t="s">
        <v>54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6"/>
      <c r="N60" s="22"/>
      <c r="O60" s="23"/>
    </row>
    <row r="61" spans="1:15" x14ac:dyDescent="0.2">
      <c r="A61" s="21" t="s">
        <v>55</v>
      </c>
      <c r="B61" s="22">
        <v>163434693.62</v>
      </c>
      <c r="C61" s="22">
        <v>236795.89</v>
      </c>
      <c r="D61" s="22">
        <v>243210.3</v>
      </c>
      <c r="E61" s="22">
        <v>163914699.81</v>
      </c>
      <c r="F61" s="22">
        <v>157220140.15000001</v>
      </c>
      <c r="G61" s="22">
        <v>5785768.2199999997</v>
      </c>
      <c r="H61" s="22">
        <v>163005908.37</v>
      </c>
      <c r="I61" s="22">
        <v>44962.46</v>
      </c>
      <c r="J61" s="22">
        <v>50168.78</v>
      </c>
      <c r="K61" s="22">
        <v>450159.85</v>
      </c>
      <c r="L61" s="22">
        <v>358123.63</v>
      </c>
      <c r="M61" s="26"/>
      <c r="N61" s="22">
        <v>5376.72</v>
      </c>
      <c r="O61" s="23">
        <v>163914699.81</v>
      </c>
    </row>
    <row r="62" spans="1:15" x14ac:dyDescent="0.2">
      <c r="A62" s="21" t="s">
        <v>56</v>
      </c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6"/>
      <c r="N62" s="22"/>
      <c r="O62" s="23"/>
    </row>
    <row r="63" spans="1:15" x14ac:dyDescent="0.2">
      <c r="A63" s="21" t="s">
        <v>57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6"/>
      <c r="N63" s="22"/>
      <c r="O63" s="23"/>
    </row>
    <row r="64" spans="1:15" x14ac:dyDescent="0.2">
      <c r="A64" s="21" t="s">
        <v>58</v>
      </c>
      <c r="B64" s="22">
        <v>185065341.52000001</v>
      </c>
      <c r="C64" s="22">
        <v>2266.56</v>
      </c>
      <c r="D64" s="22">
        <v>117569.97</v>
      </c>
      <c r="E64" s="22">
        <v>185185178.05000001</v>
      </c>
      <c r="F64" s="22">
        <v>178047897.25999999</v>
      </c>
      <c r="G64" s="22">
        <v>6885682.7400000002</v>
      </c>
      <c r="H64" s="22">
        <v>184933580</v>
      </c>
      <c r="I64" s="22">
        <v>14031.57</v>
      </c>
      <c r="J64" s="22">
        <v>29058.74</v>
      </c>
      <c r="K64" s="22">
        <v>199561.06</v>
      </c>
      <c r="L64" s="22">
        <v>3350.33</v>
      </c>
      <c r="M64" s="26">
        <v>5596.35</v>
      </c>
      <c r="N64" s="22"/>
      <c r="O64" s="23">
        <v>185185178.05000001</v>
      </c>
    </row>
    <row r="65" spans="1:15" x14ac:dyDescent="0.2">
      <c r="A65" s="21" t="s">
        <v>59</v>
      </c>
      <c r="B65" s="22">
        <v>38223007</v>
      </c>
      <c r="C65" s="22"/>
      <c r="D65" s="22">
        <v>88876</v>
      </c>
      <c r="E65" s="22">
        <v>38311883</v>
      </c>
      <c r="F65" s="22">
        <v>36854604</v>
      </c>
      <c r="G65" s="22">
        <v>1241872</v>
      </c>
      <c r="H65" s="22">
        <v>38096476</v>
      </c>
      <c r="I65" s="22">
        <v>5626</v>
      </c>
      <c r="J65" s="22">
        <v>33493</v>
      </c>
      <c r="K65" s="22">
        <v>158221</v>
      </c>
      <c r="L65" s="22">
        <v>18067</v>
      </c>
      <c r="M65" s="26"/>
      <c r="N65" s="22"/>
      <c r="O65" s="23">
        <v>38311883</v>
      </c>
    </row>
    <row r="66" spans="1:15" x14ac:dyDescent="0.2">
      <c r="A66" s="21" t="s">
        <v>60</v>
      </c>
      <c r="B66" s="22">
        <v>25324803</v>
      </c>
      <c r="C66" s="22">
        <v>9196</v>
      </c>
      <c r="D66" s="22">
        <v>31289</v>
      </c>
      <c r="E66" s="22">
        <v>25365288</v>
      </c>
      <c r="F66" s="22">
        <v>24049174</v>
      </c>
      <c r="G66" s="22">
        <v>865283</v>
      </c>
      <c r="H66" s="22">
        <v>24914911</v>
      </c>
      <c r="I66" s="22">
        <v>411753</v>
      </c>
      <c r="J66" s="22">
        <v>8515</v>
      </c>
      <c r="K66" s="22">
        <v>31749</v>
      </c>
      <c r="L66" s="22"/>
      <c r="M66" s="26"/>
      <c r="N66" s="22">
        <v>1640</v>
      </c>
      <c r="O66" s="23">
        <v>25365288</v>
      </c>
    </row>
    <row r="67" spans="1:15" x14ac:dyDescent="0.2">
      <c r="A67" s="21" t="s">
        <v>61</v>
      </c>
      <c r="B67" s="22">
        <v>5304060.68</v>
      </c>
      <c r="C67" s="22">
        <v>-2086.5300000000002</v>
      </c>
      <c r="D67" s="22">
        <v>13200.86</v>
      </c>
      <c r="E67" s="22">
        <v>5315175.01</v>
      </c>
      <c r="F67" s="22">
        <v>5125435.3</v>
      </c>
      <c r="G67" s="22">
        <v>165698.20000000001</v>
      </c>
      <c r="H67" s="22">
        <v>5291133.5</v>
      </c>
      <c r="I67" s="22"/>
      <c r="J67" s="22">
        <v>2306.5500000000002</v>
      </c>
      <c r="K67" s="22">
        <v>8534.1</v>
      </c>
      <c r="L67" s="22"/>
      <c r="M67" s="26">
        <v>13200.86</v>
      </c>
      <c r="N67" s="22"/>
      <c r="O67" s="23">
        <v>5315175.01</v>
      </c>
    </row>
    <row r="68" spans="1:15" x14ac:dyDescent="0.2">
      <c r="A68" s="21" t="s">
        <v>62</v>
      </c>
      <c r="B68" s="22">
        <v>796324244.20000005</v>
      </c>
      <c r="C68" s="22">
        <v>4224.41</v>
      </c>
      <c r="D68" s="22">
        <v>936530.98</v>
      </c>
      <c r="E68" s="22">
        <v>797264999.59000003</v>
      </c>
      <c r="F68" s="22">
        <v>767657029.09000003</v>
      </c>
      <c r="G68" s="22">
        <v>28085761.890000001</v>
      </c>
      <c r="H68" s="22">
        <v>795742790.98000002</v>
      </c>
      <c r="I68" s="22">
        <v>234111.11</v>
      </c>
      <c r="J68" s="22">
        <v>77192.100000000006</v>
      </c>
      <c r="K68" s="22">
        <v>1070920.19</v>
      </c>
      <c r="L68" s="22">
        <v>72995.55</v>
      </c>
      <c r="M68" s="26"/>
      <c r="N68" s="22">
        <v>66989.66</v>
      </c>
      <c r="O68" s="23">
        <v>797264999.59000003</v>
      </c>
    </row>
    <row r="69" spans="1:15" x14ac:dyDescent="0.2">
      <c r="A69" s="21" t="s">
        <v>63</v>
      </c>
      <c r="B69" s="22">
        <v>25117092.77</v>
      </c>
      <c r="C69" s="22">
        <v>-41137.919999999998</v>
      </c>
      <c r="D69" s="22">
        <v>44719.4</v>
      </c>
      <c r="E69" s="22">
        <v>25120674.25</v>
      </c>
      <c r="F69" s="22">
        <v>24181332.77</v>
      </c>
      <c r="G69" s="22">
        <v>849908.27</v>
      </c>
      <c r="H69" s="22">
        <v>25031241.039999999</v>
      </c>
      <c r="I69" s="22">
        <v>4191.8900000000003</v>
      </c>
      <c r="J69" s="22">
        <v>15376.88</v>
      </c>
      <c r="K69" s="22">
        <v>24141.4</v>
      </c>
      <c r="L69" s="22">
        <v>1003.64</v>
      </c>
      <c r="M69" s="26">
        <v>44719.4</v>
      </c>
      <c r="N69" s="22"/>
      <c r="O69" s="23">
        <v>25120674.25</v>
      </c>
    </row>
    <row r="70" spans="1:15" x14ac:dyDescent="0.2">
      <c r="A70" s="21" t="s">
        <v>64</v>
      </c>
      <c r="B70" s="22">
        <v>234804024.19999999</v>
      </c>
      <c r="C70" s="22">
        <v>6556.48</v>
      </c>
      <c r="D70" s="22">
        <v>262862.43</v>
      </c>
      <c r="E70" s="22">
        <v>235073443.11000001</v>
      </c>
      <c r="F70" s="22">
        <v>226456827.44</v>
      </c>
      <c r="G70" s="22">
        <v>8218239.2199999997</v>
      </c>
      <c r="H70" s="22">
        <v>234675066.66</v>
      </c>
      <c r="I70" s="22">
        <v>77298.039999999994</v>
      </c>
      <c r="J70" s="22">
        <v>122386.06</v>
      </c>
      <c r="K70" s="22">
        <v>153204.92000000001</v>
      </c>
      <c r="L70" s="22">
        <v>23080.15</v>
      </c>
      <c r="M70" s="26"/>
      <c r="N70" s="22">
        <v>22407.279999999999</v>
      </c>
      <c r="O70" s="23">
        <v>235073443.11000001</v>
      </c>
    </row>
    <row r="71" spans="1:15" x14ac:dyDescent="0.2">
      <c r="A71" s="21" t="s">
        <v>65</v>
      </c>
      <c r="B71" s="22">
        <v>15517155</v>
      </c>
      <c r="C71" s="22">
        <v>592</v>
      </c>
      <c r="D71" s="22">
        <v>35758</v>
      </c>
      <c r="E71" s="22">
        <v>15553505</v>
      </c>
      <c r="F71" s="22">
        <v>14885949</v>
      </c>
      <c r="G71" s="22">
        <v>487106</v>
      </c>
      <c r="H71" s="22">
        <v>15373055</v>
      </c>
      <c r="I71" s="22">
        <v>6570</v>
      </c>
      <c r="J71" s="22">
        <v>133404</v>
      </c>
      <c r="K71" s="22">
        <v>2494</v>
      </c>
      <c r="L71" s="22">
        <v>2224</v>
      </c>
      <c r="M71" s="26"/>
      <c r="N71" s="22">
        <v>35758</v>
      </c>
      <c r="O71" s="23">
        <v>15553505</v>
      </c>
    </row>
    <row r="72" spans="1:15" x14ac:dyDescent="0.2">
      <c r="A72" s="21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3"/>
    </row>
    <row r="73" spans="1:15" ht="15.75" thickBot="1" x14ac:dyDescent="0.3">
      <c r="A73" s="27" t="s">
        <v>84</v>
      </c>
      <c r="B73" s="28">
        <f>SUM(B5:B71)</f>
        <v>21912871792.530006</v>
      </c>
      <c r="C73" s="28">
        <f t="shared" ref="C73:O73" si="0">SUM(C5:C71)</f>
        <v>-9400048.7900000028</v>
      </c>
      <c r="D73" s="28">
        <f t="shared" si="0"/>
        <v>20196724.809999999</v>
      </c>
      <c r="E73" s="28">
        <f t="shared" si="0"/>
        <v>21923668290.52</v>
      </c>
      <c r="F73" s="28">
        <f t="shared" si="0"/>
        <v>21020393369.16</v>
      </c>
      <c r="G73" s="28">
        <f t="shared" si="0"/>
        <v>779923440.21000004</v>
      </c>
      <c r="H73" s="28">
        <f t="shared" si="0"/>
        <v>21800317263.369995</v>
      </c>
      <c r="I73" s="28">
        <f t="shared" si="0"/>
        <v>13962859.570000002</v>
      </c>
      <c r="J73" s="28">
        <f t="shared" si="0"/>
        <v>31699304.619999994</v>
      </c>
      <c r="K73" s="28">
        <f t="shared" si="0"/>
        <v>28963111.309999999</v>
      </c>
      <c r="L73" s="28">
        <f t="shared" si="0"/>
        <v>48131596.489999995</v>
      </c>
      <c r="M73" s="28">
        <f t="shared" si="0"/>
        <v>3084207.13</v>
      </c>
      <c r="N73" s="28">
        <f t="shared" si="0"/>
        <v>1633965.6500000001</v>
      </c>
      <c r="O73" s="29">
        <f t="shared" si="0"/>
        <v>21923668281.110001</v>
      </c>
    </row>
    <row r="75" spans="1:15" ht="16.5" x14ac:dyDescent="0.2">
      <c r="A75" s="10" t="s">
        <v>110</v>
      </c>
    </row>
    <row r="76" spans="1:15" ht="16.5" x14ac:dyDescent="0.2">
      <c r="A76" s="3" t="s">
        <v>111</v>
      </c>
    </row>
    <row r="78" spans="1:15" x14ac:dyDescent="0.2">
      <c r="A78" s="30" t="s">
        <v>118</v>
      </c>
    </row>
  </sheetData>
  <phoneticPr fontId="0" type="noConversion"/>
  <conditionalFormatting sqref="A4:O73">
    <cfRule type="expression" dxfId="2" priority="1" stopIfTrue="1">
      <formula>MOD(ROW(),3)=1</formula>
    </cfRule>
  </conditionalFormatting>
  <pageMargins left="0.25" right="0.25" top="0.75" bottom="0.75" header="0.3" footer="0.3"/>
  <pageSetup scale="88" fitToWidth="2" fitToHeight="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166BEE4B88A42947F6C3C78DF4222" ma:contentTypeVersion="3" ma:contentTypeDescription="Create a new document." ma:contentTypeScope="" ma:versionID="56528aa3969daa96996fae423c61dab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328a1cd662c37536c074f55b1464a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9E46169-9AE9-4421-AE57-F37FB19A1890}"/>
</file>

<file path=customXml/itemProps2.xml><?xml version="1.0" encoding="utf-8"?>
<ds:datastoreItem xmlns:ds="http://schemas.openxmlformats.org/officeDocument/2006/customXml" ds:itemID="{CDF09FA8-843B-4BF0-903D-105B52FF26B8}"/>
</file>

<file path=customXml/itemProps3.xml><?xml version="1.0" encoding="utf-8"?>
<ds:datastoreItem xmlns:ds="http://schemas.openxmlformats.org/officeDocument/2006/customXml" ds:itemID="{41586186-0546-4549-AE7B-57C950F6E2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 Index</vt:lpstr>
      <vt:lpstr>Millage Rates</vt:lpstr>
      <vt:lpstr>Taxes Levied</vt:lpstr>
      <vt:lpstr>Tax Roll Reconciliation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Florida Dept. of Revenue</dc:creator>
  <cp:lastModifiedBy>Allison Kever</cp:lastModifiedBy>
  <cp:lastPrinted>2013-01-18T16:21:21Z</cp:lastPrinted>
  <dcterms:created xsi:type="dcterms:W3CDTF">2011-01-19T20:48:20Z</dcterms:created>
  <dcterms:modified xsi:type="dcterms:W3CDTF">2021-12-14T20:22:30Z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0x010100211166BEE4B88A42947F6C3C78DF4222</vt:lpwstr>
  </property>
</Properties>
</file>