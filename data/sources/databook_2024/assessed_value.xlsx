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4 Data Book\Final\For review\"/>
    </mc:Choice>
  </mc:AlternateContent>
  <xr:revisionPtr revIDLastSave="0" documentId="13_ncr:1_{BF98C286-E721-4570-B547-9BABC4AE50C8}" xr6:coauthVersionLast="47" xr6:coauthVersionMax="47" xr10:uidLastSave="{00000000-0000-0000-0000-000000000000}"/>
  <bookViews>
    <workbookView xWindow="28680" yWindow="-120" windowWidth="29040" windowHeight="15840" tabRatio="708" xr2:uid="{00000000-000D-0000-FFFF-FFFF00000000}"/>
  </bookViews>
  <sheets>
    <sheet name="Report Index" sheetId="10" r:id="rId1"/>
    <sheet name="Assessed Value All Property" sheetId="9" r:id="rId2"/>
    <sheet name="All Property Assessed Value" sheetId="4" r:id="rId3"/>
    <sheet name="Real Property Assessed Value" sheetId="6" r:id="rId4"/>
    <sheet name="Personal Prop Assessed Value" sheetId="7" r:id="rId5"/>
    <sheet name="Centrally Prop Assessed Value " sheetId="8" r:id="rId6"/>
  </sheets>
  <definedNames>
    <definedName name="_xlnm.Print_Area" localSheetId="2">'All Property Assessed Value'!$A$1:$G$75</definedName>
    <definedName name="_xlnm.Print_Area" localSheetId="1">'Assessed Value All Property'!$A$1:$F$75</definedName>
    <definedName name="_xlnm.Print_Area" localSheetId="5">'Centrally Prop Assessed Value '!$A$1:$G$73</definedName>
    <definedName name="_xlnm.Print_Area" localSheetId="4">'Personal Prop Assessed Value'!$A$1:$G$73</definedName>
    <definedName name="_xlnm.Print_Area" localSheetId="3">'Real Property Assessed Value'!$A$1:$G$73</definedName>
    <definedName name="_xlnm.Print_Area" localSheetId="0">'Report Index'!$A$1:$H$20</definedName>
    <definedName name="_xlnm.Print_Titles" localSheetId="2">'All Property Assessed Value'!$1:$4</definedName>
    <definedName name="_xlnm.Print_Titles" localSheetId="1">'Assessed Value All Property'!$1:$4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3" i="7" l="1"/>
  <c r="D21" i="7"/>
  <c r="D21" i="6"/>
  <c r="C73" i="9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71" i="8"/>
  <c r="F70" i="8"/>
  <c r="F68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7" i="8"/>
  <c r="F46" i="8"/>
  <c r="F45" i="8"/>
  <c r="F44" i="8"/>
  <c r="F43" i="8"/>
  <c r="F42" i="8"/>
  <c r="F41" i="8"/>
  <c r="F40" i="8"/>
  <c r="F39" i="8"/>
  <c r="F37" i="8"/>
  <c r="F36" i="8"/>
  <c r="F35" i="8"/>
  <c r="F34" i="8"/>
  <c r="F33" i="8"/>
  <c r="F32" i="8"/>
  <c r="F31" i="8"/>
  <c r="F30" i="8"/>
  <c r="F29" i="8"/>
  <c r="F28" i="8"/>
  <c r="F27" i="8"/>
  <c r="F26" i="8"/>
  <c r="F24" i="8"/>
  <c r="F23" i="8"/>
  <c r="F22" i="8"/>
  <c r="F21" i="8"/>
  <c r="F20" i="8"/>
  <c r="F18" i="8"/>
  <c r="F17" i="8"/>
  <c r="F16" i="8"/>
  <c r="F15" i="8"/>
  <c r="F14" i="8"/>
  <c r="F13" i="8"/>
  <c r="F12" i="8"/>
  <c r="F10" i="8"/>
  <c r="F9" i="8"/>
  <c r="F8" i="8"/>
  <c r="F7" i="8"/>
  <c r="F6" i="8"/>
  <c r="F5" i="8"/>
  <c r="F67" i="4"/>
  <c r="F48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7" i="4"/>
  <c r="D6" i="4"/>
  <c r="D5" i="4"/>
  <c r="D8" i="8"/>
  <c r="D7" i="8"/>
  <c r="D6" i="8"/>
  <c r="D71" i="8"/>
  <c r="D70" i="8"/>
  <c r="D68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7" i="8"/>
  <c r="D46" i="8"/>
  <c r="D45" i="8"/>
  <c r="D44" i="8"/>
  <c r="D43" i="8"/>
  <c r="D42" i="8"/>
  <c r="D41" i="8"/>
  <c r="D40" i="8"/>
  <c r="D39" i="8"/>
  <c r="D37" i="8"/>
  <c r="D36" i="8"/>
  <c r="D35" i="8"/>
  <c r="D34" i="8"/>
  <c r="D33" i="8"/>
  <c r="D32" i="8"/>
  <c r="D31" i="8"/>
  <c r="D30" i="8"/>
  <c r="D29" i="8"/>
  <c r="D28" i="8"/>
  <c r="D27" i="8"/>
  <c r="D26" i="8"/>
  <c r="D24" i="8"/>
  <c r="D23" i="8"/>
  <c r="D22" i="8"/>
  <c r="D21" i="8"/>
  <c r="D20" i="8"/>
  <c r="D18" i="8"/>
  <c r="D17" i="8"/>
  <c r="D16" i="8"/>
  <c r="D15" i="8"/>
  <c r="D14" i="8"/>
  <c r="D13" i="8"/>
  <c r="D12" i="8"/>
  <c r="D10" i="8"/>
  <c r="D9" i="8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8" i="6"/>
  <c r="D7" i="6"/>
  <c r="D6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0" i="6"/>
  <c r="D19" i="6"/>
  <c r="D18" i="6"/>
  <c r="D17" i="6"/>
  <c r="D16" i="6"/>
  <c r="D15" i="6"/>
  <c r="D14" i="6"/>
  <c r="D13" i="6"/>
  <c r="D12" i="6"/>
  <c r="D11" i="6"/>
  <c r="D10" i="6"/>
  <c r="D9" i="6"/>
  <c r="D5" i="6"/>
  <c r="E73" i="6"/>
  <c r="F73" i="6" s="1"/>
  <c r="G73" i="7"/>
  <c r="G73" i="8"/>
  <c r="D73" i="9"/>
  <c r="E73" i="9"/>
  <c r="E73" i="8"/>
  <c r="F19" i="4"/>
  <c r="F22" i="4"/>
  <c r="F46" i="4"/>
  <c r="F21" i="4"/>
  <c r="F45" i="4"/>
  <c r="F69" i="4"/>
  <c r="G73" i="4"/>
  <c r="E73" i="4"/>
  <c r="F20" i="4"/>
  <c r="F44" i="4"/>
  <c r="F49" i="4"/>
  <c r="F25" i="4"/>
  <c r="F47" i="4"/>
  <c r="F71" i="4"/>
  <c r="F50" i="4"/>
  <c r="F24" i="4"/>
  <c r="F23" i="4"/>
  <c r="F26" i="4"/>
  <c r="F51" i="4"/>
  <c r="F27" i="4"/>
  <c r="F52" i="4"/>
  <c r="F28" i="4"/>
  <c r="F53" i="4"/>
  <c r="F29" i="4"/>
  <c r="F54" i="4"/>
  <c r="F5" i="4"/>
  <c r="F30" i="4"/>
  <c r="F55" i="4"/>
  <c r="F6" i="4"/>
  <c r="F31" i="4"/>
  <c r="F56" i="4"/>
  <c r="F7" i="4"/>
  <c r="F32" i="4"/>
  <c r="F57" i="4"/>
  <c r="F8" i="4"/>
  <c r="F33" i="4"/>
  <c r="F58" i="4"/>
  <c r="F9" i="4"/>
  <c r="F34" i="4"/>
  <c r="F59" i="4"/>
  <c r="F10" i="4"/>
  <c r="F35" i="4"/>
  <c r="F60" i="4"/>
  <c r="F11" i="4"/>
  <c r="F36" i="4"/>
  <c r="F61" i="4"/>
  <c r="F12" i="4"/>
  <c r="F37" i="4"/>
  <c r="F62" i="4"/>
  <c r="F13" i="4"/>
  <c r="F38" i="4"/>
  <c r="F63" i="4"/>
  <c r="F14" i="4"/>
  <c r="F39" i="4"/>
  <c r="F64" i="4"/>
  <c r="F15" i="4"/>
  <c r="F40" i="4"/>
  <c r="F65" i="4"/>
  <c r="F16" i="4"/>
  <c r="F41" i="4"/>
  <c r="F66" i="4"/>
  <c r="F17" i="4"/>
  <c r="F42" i="4"/>
  <c r="F68" i="4"/>
  <c r="F18" i="4"/>
  <c r="F43" i="4"/>
  <c r="F70" i="4"/>
  <c r="D8" i="4"/>
  <c r="F73" i="9"/>
  <c r="F73" i="8" l="1"/>
  <c r="C73" i="4"/>
  <c r="D73" i="4" s="1"/>
  <c r="C73" i="8"/>
  <c r="D73" i="8" s="1"/>
  <c r="F73" i="7"/>
  <c r="F73" i="4"/>
  <c r="C73" i="6"/>
  <c r="D73" i="6" s="1"/>
  <c r="C73" i="7"/>
  <c r="D73" i="7" s="1"/>
  <c r="D5" i="8"/>
</calcChain>
</file>

<file path=xl/sharedStrings.xml><?xml version="1.0" encoding="utf-8"?>
<sst xmlns="http://schemas.openxmlformats.org/spreadsheetml/2006/main" count="747" uniqueCount="94">
  <si>
    <t>County</t>
  </si>
  <si>
    <t>Status</t>
  </si>
  <si>
    <t>Saint Johns</t>
  </si>
  <si>
    <t>Saint Lucie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</si>
  <si>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</si>
  <si>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</si>
  <si>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</si>
  <si>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</si>
  <si>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</si>
  <si>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</si>
  <si>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</si>
  <si>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</si>
  <si>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</si>
  <si>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</si>
  <si>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</si>
  <si>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</si>
  <si>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</si>
  <si>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</si>
  <si>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</si>
  <si>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</si>
  <si>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</si>
  <si>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</si>
  <si>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</si>
  <si>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</si>
  <si>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</si>
  <si>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</si>
  <si>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</si>
  <si>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</si>
  <si>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</si>
  <si>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</si>
  <si>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</si>
  <si>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</si>
  <si>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</si>
  <si>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</si>
  <si>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</si>
  <si>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</si>
  <si>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</si>
  <si>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</si>
  <si>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</si>
  <si>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</si>
  <si>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</si>
  <si>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</si>
  <si>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</si>
  <si>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</si>
  <si>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</si>
  <si>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</si>
  <si>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</si>
  <si>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</si>
  <si>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</si>
  <si>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</si>
  <si>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</si>
  <si>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</si>
  <si>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</si>
  <si>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</si>
  <si>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</si>
  <si>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</si>
  <si>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</si>
  <si>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</si>
  <si>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</si>
  <si>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</si>
  <si>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</si>
  <si>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</si>
  <si>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</si>
  <si>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</si>
  <si>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</si>
  <si>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</si>
  <si>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</si>
  <si>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</si>
  <si>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Statewide</t>
  </si>
  <si>
    <t>Assessed Value All Property Types</t>
  </si>
  <si>
    <t>All Property Types Assessed Value and Growth Rate</t>
  </si>
  <si>
    <t>Real Property Assessed Value and Growth Rate</t>
  </si>
  <si>
    <t>Personal Property Assessed Value and Growth Rate</t>
  </si>
  <si>
    <t>Centrally Assessed Property Assessed Value and Growth Rate</t>
  </si>
  <si>
    <t>Statewide Assessed Value Summary Information by County</t>
  </si>
  <si>
    <t>Assessed Value is the value of the property with regard to a possible Agricultural classification and any deferred amount accumulated because of Save Our Homes, Amendment 1.</t>
  </si>
  <si>
    <t xml:space="preserve">Contact Information: </t>
  </si>
  <si>
    <t xml:space="preserve">Property Tax Oversight, Research &amp; Analysis  </t>
  </si>
  <si>
    <t>Miami-Dade</t>
  </si>
  <si>
    <t xml:space="preserve">n/a </t>
  </si>
  <si>
    <t>PTOResearchAnalysis@floridarevenue.com</t>
  </si>
  <si>
    <t>2022 Value</t>
  </si>
  <si>
    <t>R-NVAB</t>
  </si>
  <si>
    <t>R-Final</t>
  </si>
  <si>
    <t>2023 Value</t>
  </si>
  <si>
    <t>Percent increase 2022-2023</t>
  </si>
  <si>
    <t>2024 Value</t>
  </si>
  <si>
    <t>Data Extract: November 2024</t>
  </si>
  <si>
    <t xml:space="preserve"> 2024 Real Property
 Assessed Value</t>
  </si>
  <si>
    <t>2024 Personal Property Assessed Value</t>
  </si>
  <si>
    <t xml:space="preserve"> 2024 Central Assessment Assessed Value</t>
  </si>
  <si>
    <t>2024 Total
 Assessed Value</t>
  </si>
  <si>
    <t>Percent increase 2023-2024</t>
  </si>
  <si>
    <t>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</si>
</sst>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6" fillId="0" borderId="0" xfId="0" applyFont="1"/>
    <xf numFmtId="0" fontId="7" fillId="0" borderId="0" xfId="0" applyFont="1"/>
    <xf numFmtId="3" fontId="7" fillId="0" borderId="0" xfId="0" applyNumberFormat="1" applyFont="1" applyBorder="1" applyAlignment="1">
      <alignment horizontal="left" vertical="center" wrapText="1"/>
    </xf>
    <xf numFmtId="0" fontId="8" fillId="0" borderId="0" xfId="3" applyFont="1" applyAlignment="1" applyProtection="1"/>
    <xf numFmtId="0" fontId="9" fillId="0" borderId="0" xfId="0" applyFont="1"/>
    <xf numFmtId="0" fontId="10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/>
    <xf numFmtId="10" fontId="7" fillId="0" borderId="2" xfId="5" applyNumberFormat="1" applyFont="1" applyBorder="1" applyAlignment="1">
      <alignment horizontal="right"/>
    </xf>
    <xf numFmtId="3" fontId="7" fillId="0" borderId="3" xfId="0" applyNumberFormat="1" applyFont="1" applyBorder="1"/>
    <xf numFmtId="0" fontId="7" fillId="0" borderId="4" xfId="0" applyFont="1" applyBorder="1"/>
    <xf numFmtId="0" fontId="7" fillId="0" borderId="5" xfId="0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 applyAlignment="1">
      <alignment horizontal="center"/>
    </xf>
    <xf numFmtId="3" fontId="6" fillId="2" borderId="7" xfId="0" applyNumberFormat="1" applyFont="1" applyFill="1" applyBorder="1"/>
    <xf numFmtId="10" fontId="6" fillId="2" borderId="7" xfId="5" applyNumberFormat="1" applyFont="1" applyFill="1" applyBorder="1" applyAlignment="1">
      <alignment horizontal="right"/>
    </xf>
    <xf numFmtId="3" fontId="6" fillId="2" borderId="8" xfId="0" applyNumberFormat="1" applyFont="1" applyFill="1" applyBorder="1"/>
    <xf numFmtId="0" fontId="7" fillId="0" borderId="0" xfId="0" applyFont="1" applyFill="1" applyBorder="1"/>
    <xf numFmtId="3" fontId="7" fillId="0" borderId="0" xfId="0" applyNumberFormat="1" applyFont="1"/>
    <xf numFmtId="3" fontId="7" fillId="0" borderId="2" xfId="1" applyNumberFormat="1" applyFont="1" applyBorder="1" applyAlignment="1"/>
    <xf numFmtId="3" fontId="7" fillId="0" borderId="2" xfId="1" applyNumberFormat="1" applyFont="1" applyBorder="1"/>
    <xf numFmtId="3" fontId="7" fillId="0" borderId="3" xfId="1" applyNumberFormat="1" applyFont="1" applyBorder="1"/>
    <xf numFmtId="3" fontId="7" fillId="0" borderId="5" xfId="1" applyNumberFormat="1" applyFont="1" applyBorder="1" applyAlignment="1"/>
    <xf numFmtId="3" fontId="7" fillId="0" borderId="5" xfId="1" applyNumberFormat="1" applyFont="1" applyBorder="1"/>
    <xf numFmtId="3" fontId="7" fillId="0" borderId="9" xfId="1" applyNumberFormat="1" applyFont="1" applyBorder="1"/>
    <xf numFmtId="3" fontId="6" fillId="2" borderId="7" xfId="1" applyNumberFormat="1" applyFont="1" applyFill="1" applyBorder="1"/>
    <xf numFmtId="3" fontId="6" fillId="2" borderId="8" xfId="1" applyNumberFormat="1" applyFont="1" applyFill="1" applyBorder="1"/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3" fontId="7" fillId="0" borderId="15" xfId="0" applyNumberFormat="1" applyFont="1" applyBorder="1" applyAlignment="1">
      <alignment horizontal="left" vertical="center" wrapText="1"/>
    </xf>
    <xf numFmtId="3" fontId="7" fillId="0" borderId="16" xfId="0" applyNumberFormat="1" applyFont="1" applyBorder="1" applyAlignment="1">
      <alignment horizontal="left" vertical="center" wrapText="1"/>
    </xf>
    <xf numFmtId="3" fontId="7" fillId="0" borderId="17" xfId="0" applyNumberFormat="1" applyFont="1" applyBorder="1" applyAlignment="1">
      <alignment horizontal="left" vertical="center" wrapText="1"/>
    </xf>
    <xf numFmtId="3" fontId="7" fillId="0" borderId="18" xfId="0" applyNumberFormat="1" applyFont="1" applyBorder="1" applyAlignment="1">
      <alignment horizontal="left" vertical="center" wrapText="1"/>
    </xf>
    <xf numFmtId="3" fontId="7" fillId="0" borderId="0" xfId="0" applyNumberFormat="1" applyFont="1" applyBorder="1" applyAlignment="1">
      <alignment horizontal="left" vertical="center" wrapText="1"/>
    </xf>
    <xf numFmtId="3" fontId="7" fillId="0" borderId="19" xfId="0" applyNumberFormat="1" applyFont="1" applyBorder="1" applyAlignment="1">
      <alignment horizontal="left" vertical="center" wrapText="1"/>
    </xf>
    <xf numFmtId="3" fontId="7" fillId="0" borderId="20" xfId="0" applyNumberFormat="1" applyFont="1" applyBorder="1" applyAlignment="1">
      <alignment horizontal="left" vertical="center" wrapText="1"/>
    </xf>
    <xf numFmtId="3" fontId="7" fillId="0" borderId="21" xfId="0" applyNumberFormat="1" applyFont="1" applyBorder="1" applyAlignment="1">
      <alignment horizontal="left" vertical="center" wrapText="1"/>
    </xf>
    <xf numFmtId="3" fontId="7" fillId="0" borderId="22" xfId="0" applyNumberFormat="1" applyFont="1" applyBorder="1" applyAlignment="1">
      <alignment horizontal="left" vertical="center" wrapText="1"/>
    </xf>
    <xf numFmtId="0" fontId="8" fillId="0" borderId="0" xfId="3" applyFont="1" applyAlignment="1" applyProtection="1">
      <alignment horizontal="left"/>
    </xf>
  </cellXfs>
  <cellStyles count="6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  <cellStyle name="Percent" xfId="5" builtinId="5"/>
  </cellStyles>
  <dxfs count="12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workbookViewId="0"/>
  </sheetViews>
  <sheetFormatPr defaultRowHeight="14.25" x14ac:dyDescent="0.2"/>
  <cols>
    <col min="1" max="7" width="9.140625" style="2"/>
    <col min="8" max="8" width="9.140625" style="2" customWidth="1"/>
    <col min="9" max="16384" width="9.140625" style="2"/>
  </cols>
  <sheetData>
    <row r="2" spans="1:8" ht="15" x14ac:dyDescent="0.25">
      <c r="A2" s="1" t="s">
        <v>74</v>
      </c>
    </row>
    <row r="3" spans="1:8" ht="15" thickBot="1" x14ac:dyDescent="0.25"/>
    <row r="4" spans="1:8" x14ac:dyDescent="0.2">
      <c r="B4" s="40" t="s">
        <v>75</v>
      </c>
      <c r="C4" s="41"/>
      <c r="D4" s="41"/>
      <c r="E4" s="41"/>
      <c r="F4" s="41"/>
      <c r="G4" s="41"/>
      <c r="H4" s="42"/>
    </row>
    <row r="5" spans="1:8" x14ac:dyDescent="0.2">
      <c r="B5" s="43"/>
      <c r="C5" s="44"/>
      <c r="D5" s="44"/>
      <c r="E5" s="44"/>
      <c r="F5" s="44"/>
      <c r="G5" s="44"/>
      <c r="H5" s="45"/>
    </row>
    <row r="6" spans="1:8" x14ac:dyDescent="0.2">
      <c r="B6" s="43"/>
      <c r="C6" s="44"/>
      <c r="D6" s="44"/>
      <c r="E6" s="44"/>
      <c r="F6" s="44"/>
      <c r="G6" s="44"/>
      <c r="H6" s="45"/>
    </row>
    <row r="7" spans="1:8" x14ac:dyDescent="0.2">
      <c r="B7" s="43"/>
      <c r="C7" s="44"/>
      <c r="D7" s="44"/>
      <c r="E7" s="44"/>
      <c r="F7" s="44"/>
      <c r="G7" s="44"/>
      <c r="H7" s="45"/>
    </row>
    <row r="8" spans="1:8" x14ac:dyDescent="0.2">
      <c r="B8" s="43"/>
      <c r="C8" s="44"/>
      <c r="D8" s="44"/>
      <c r="E8" s="44"/>
      <c r="F8" s="44"/>
      <c r="G8" s="44"/>
      <c r="H8" s="45"/>
    </row>
    <row r="9" spans="1:8" ht="15" thickBot="1" x14ac:dyDescent="0.25">
      <c r="B9" s="46"/>
      <c r="C9" s="47"/>
      <c r="D9" s="47"/>
      <c r="E9" s="47"/>
      <c r="F9" s="47"/>
      <c r="G9" s="47"/>
      <c r="H9" s="48"/>
    </row>
    <row r="10" spans="1:8" x14ac:dyDescent="0.2">
      <c r="B10" s="3"/>
      <c r="C10" s="3"/>
      <c r="D10" s="3"/>
      <c r="E10" s="3"/>
      <c r="F10" s="3"/>
      <c r="G10" s="3"/>
      <c r="H10" s="3"/>
    </row>
    <row r="11" spans="1:8" x14ac:dyDescent="0.2">
      <c r="B11" s="49" t="s">
        <v>69</v>
      </c>
      <c r="C11" s="49"/>
      <c r="D11" s="49"/>
      <c r="E11" s="49"/>
      <c r="F11" s="49"/>
      <c r="G11" s="49"/>
      <c r="H11" s="49"/>
    </row>
    <row r="13" spans="1:8" x14ac:dyDescent="0.2">
      <c r="B13" s="49" t="s">
        <v>70</v>
      </c>
      <c r="C13" s="49"/>
      <c r="D13" s="49"/>
      <c r="E13" s="49"/>
      <c r="F13" s="49"/>
      <c r="G13" s="49"/>
      <c r="H13" s="49"/>
    </row>
    <row r="15" spans="1:8" x14ac:dyDescent="0.2">
      <c r="B15" s="49" t="s">
        <v>71</v>
      </c>
      <c r="C15" s="49"/>
      <c r="D15" s="49"/>
      <c r="E15" s="49"/>
      <c r="F15" s="49"/>
      <c r="G15" s="49"/>
      <c r="H15" s="49"/>
    </row>
    <row r="17" spans="1:9" x14ac:dyDescent="0.2">
      <c r="B17" s="49" t="s">
        <v>72</v>
      </c>
      <c r="C17" s="49"/>
      <c r="D17" s="49"/>
      <c r="E17" s="49"/>
      <c r="F17" s="49"/>
      <c r="G17" s="49"/>
      <c r="H17" s="49"/>
    </row>
    <row r="19" spans="1:9" x14ac:dyDescent="0.2">
      <c r="B19" s="49" t="s">
        <v>73</v>
      </c>
      <c r="C19" s="49"/>
      <c r="D19" s="49"/>
      <c r="E19" s="49"/>
      <c r="F19" s="49"/>
      <c r="G19" s="49"/>
      <c r="H19" s="49"/>
      <c r="I19" s="4"/>
    </row>
    <row r="25" spans="1:9" x14ac:dyDescent="0.2">
      <c r="A25" s="5" t="s">
        <v>76</v>
      </c>
      <c r="D25" s="5" t="s">
        <v>77</v>
      </c>
    </row>
    <row r="26" spans="1:9" x14ac:dyDescent="0.2">
      <c r="D26" s="4" t="s">
        <v>80</v>
      </c>
    </row>
  </sheetData>
  <mergeCells count="6">
    <mergeCell ref="B4:H9"/>
    <mergeCell ref="B11:H11"/>
    <mergeCell ref="B19:H19"/>
    <mergeCell ref="B13:H13"/>
    <mergeCell ref="B15:H15"/>
    <mergeCell ref="B17:H17"/>
  </mergeCells>
  <phoneticPr fontId="3" type="noConversion"/>
  <hyperlinks>
    <hyperlink ref="B11" location="'Assessed Value All Property'!A1" display="Assessed Value All Property Types 2010" xr:uid="{00000000-0004-0000-0000-000000000000}"/>
    <hyperlink ref="B13" location="'All Property Assessed Value'!A1" display="All Property Types Assessed Value and Growth Rate 2008 - 2010" xr:uid="{00000000-0004-0000-0000-000001000000}"/>
    <hyperlink ref="B15" location="'Real Property Assessed Value'!A1" display="Real Property Assessed Value and Growth Rate 2008 - 2010" xr:uid="{00000000-0004-0000-0000-000002000000}"/>
    <hyperlink ref="B17" location="'Personal Prop Assessed Value'!A1" display="Personal Property Assessed Value and Growth Rate 2008 - 2010" xr:uid="{00000000-0004-0000-0000-000003000000}"/>
    <hyperlink ref="B19" location="'Centrally Prop Assessed Value '!A1" display="Centrally Assessed Property Assessed Value and Growth Rate 2008 - 2010" xr:uid="{00000000-0004-0000-0000-000004000000}"/>
    <hyperlink ref="D26" r:id="rId1" xr:uid="{00000000-0004-0000-0000-000005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9" style="2" bestFit="1" customWidth="1"/>
    <col min="4" max="4" width="22.42578125" style="2" bestFit="1" customWidth="1"/>
    <col min="5" max="5" width="24.28515625" style="2" bestFit="1" customWidth="1"/>
    <col min="6" max="6" width="18.42578125" style="2" bestFit="1" customWidth="1"/>
    <col min="7" max="7" width="9.140625" style="2"/>
    <col min="8" max="8" width="14.140625" style="2" bestFit="1" customWidth="1"/>
    <col min="9" max="16384" width="9.140625" style="2"/>
  </cols>
  <sheetData>
    <row r="1" spans="1:6" ht="23.25" x14ac:dyDescent="0.35">
      <c r="A1" s="6" t="s">
        <v>69</v>
      </c>
      <c r="B1" s="7"/>
      <c r="C1" s="8"/>
      <c r="D1" s="8"/>
      <c r="E1" s="8"/>
      <c r="F1" s="8"/>
    </row>
    <row r="2" spans="1:6" ht="15" x14ac:dyDescent="0.25">
      <c r="A2" s="9">
        <v>2024</v>
      </c>
      <c r="B2" s="9"/>
      <c r="C2" s="9"/>
      <c r="D2" s="9"/>
      <c r="E2" s="9"/>
      <c r="F2" s="9"/>
    </row>
    <row r="3" spans="1:6" ht="15" thickBot="1" x14ac:dyDescent="0.25"/>
    <row r="4" spans="1:6" s="37" customFormat="1" ht="25.5" x14ac:dyDescent="0.2">
      <c r="A4" s="34" t="s">
        <v>0</v>
      </c>
      <c r="B4" s="35" t="s">
        <v>1</v>
      </c>
      <c r="C4" s="35" t="s">
        <v>88</v>
      </c>
      <c r="D4" s="35" t="s">
        <v>89</v>
      </c>
      <c r="E4" s="35" t="s">
        <v>90</v>
      </c>
      <c r="F4" s="36" t="s">
        <v>91</v>
      </c>
    </row>
    <row r="5" spans="1:6" x14ac:dyDescent="0.2">
      <c r="A5" s="11" t="s">
        <v>4</v>
      </c>
      <c r="B5" s="12" t="s">
        <v>82</v>
      </c>
      <c r="C5" s="26">
        <v>31106859152</v>
      </c>
      <c r="D5" s="26">
        <v>4322810387</v>
      </c>
      <c r="E5" s="27">
        <v>34217281</v>
      </c>
      <c r="F5" s="28">
        <v>35463886820</v>
      </c>
    </row>
    <row r="6" spans="1:6" x14ac:dyDescent="0.2">
      <c r="A6" s="11" t="s">
        <v>5</v>
      </c>
      <c r="B6" s="12" t="s">
        <v>83</v>
      </c>
      <c r="C6" s="26">
        <v>2029665540</v>
      </c>
      <c r="D6" s="26">
        <v>263073540</v>
      </c>
      <c r="E6" s="27">
        <v>15403199</v>
      </c>
      <c r="F6" s="28">
        <v>2308142279</v>
      </c>
    </row>
    <row r="7" spans="1:6" x14ac:dyDescent="0.2">
      <c r="A7" s="11" t="s">
        <v>6</v>
      </c>
      <c r="B7" s="12" t="s">
        <v>82</v>
      </c>
      <c r="C7" s="26">
        <v>33071092326</v>
      </c>
      <c r="D7" s="26">
        <v>2677640373</v>
      </c>
      <c r="E7" s="27">
        <v>34804014</v>
      </c>
      <c r="F7" s="28">
        <v>35783536713</v>
      </c>
    </row>
    <row r="8" spans="1:6" x14ac:dyDescent="0.2">
      <c r="A8" s="11" t="s">
        <v>7</v>
      </c>
      <c r="B8" s="12" t="s">
        <v>82</v>
      </c>
      <c r="C8" s="26">
        <v>1593196433</v>
      </c>
      <c r="D8" s="26">
        <v>341681207</v>
      </c>
      <c r="E8" s="27">
        <v>19119156</v>
      </c>
      <c r="F8" s="28">
        <v>1953996796</v>
      </c>
    </row>
    <row r="9" spans="1:6" x14ac:dyDescent="0.2">
      <c r="A9" s="11" t="s">
        <v>8</v>
      </c>
      <c r="B9" s="12" t="s">
        <v>82</v>
      </c>
      <c r="C9" s="26">
        <v>81530129770</v>
      </c>
      <c r="D9" s="26">
        <v>12198527654</v>
      </c>
      <c r="E9" s="27">
        <v>146608523</v>
      </c>
      <c r="F9" s="28">
        <v>93875265947</v>
      </c>
    </row>
    <row r="10" spans="1:6" x14ac:dyDescent="0.2">
      <c r="A10" s="11" t="s">
        <v>9</v>
      </c>
      <c r="B10" s="12" t="s">
        <v>82</v>
      </c>
      <c r="C10" s="26">
        <v>335713217050</v>
      </c>
      <c r="D10" s="26">
        <v>12177979792</v>
      </c>
      <c r="E10" s="27">
        <v>112111277</v>
      </c>
      <c r="F10" s="28">
        <v>348003308119</v>
      </c>
    </row>
    <row r="11" spans="1:6" x14ac:dyDescent="0.2">
      <c r="A11" s="11" t="s">
        <v>10</v>
      </c>
      <c r="B11" s="12" t="s">
        <v>83</v>
      </c>
      <c r="C11" s="26">
        <v>648222119</v>
      </c>
      <c r="D11" s="26">
        <v>395799655</v>
      </c>
      <c r="E11" s="27"/>
      <c r="F11" s="28">
        <v>1044021774</v>
      </c>
    </row>
    <row r="12" spans="1:6" x14ac:dyDescent="0.2">
      <c r="A12" s="11" t="s">
        <v>11</v>
      </c>
      <c r="B12" s="12" t="s">
        <v>82</v>
      </c>
      <c r="C12" s="26">
        <v>36380576538</v>
      </c>
      <c r="D12" s="26">
        <v>1909406404</v>
      </c>
      <c r="E12" s="27">
        <v>3214895</v>
      </c>
      <c r="F12" s="28">
        <v>38293197837</v>
      </c>
    </row>
    <row r="13" spans="1:6" x14ac:dyDescent="0.2">
      <c r="A13" s="11" t="s">
        <v>12</v>
      </c>
      <c r="B13" s="12" t="s">
        <v>82</v>
      </c>
      <c r="C13" s="26">
        <v>17237297437</v>
      </c>
      <c r="D13" s="26">
        <v>2111573903</v>
      </c>
      <c r="E13" s="27">
        <v>1610489</v>
      </c>
      <c r="F13" s="28">
        <v>19350481829</v>
      </c>
    </row>
    <row r="14" spans="1:6" x14ac:dyDescent="0.2">
      <c r="A14" s="11" t="s">
        <v>13</v>
      </c>
      <c r="B14" s="12" t="s">
        <v>82</v>
      </c>
      <c r="C14" s="26">
        <v>22539371344</v>
      </c>
      <c r="D14" s="26">
        <v>2184434359</v>
      </c>
      <c r="E14" s="27">
        <v>17375080</v>
      </c>
      <c r="F14" s="28">
        <v>24741180783</v>
      </c>
    </row>
    <row r="15" spans="1:6" x14ac:dyDescent="0.2">
      <c r="A15" s="11" t="s">
        <v>14</v>
      </c>
      <c r="B15" s="12" t="s">
        <v>82</v>
      </c>
      <c r="C15" s="26">
        <v>162449522653</v>
      </c>
      <c r="D15" s="26">
        <v>3397108683</v>
      </c>
      <c r="E15" s="27">
        <v>206925</v>
      </c>
      <c r="F15" s="28">
        <v>165846838261</v>
      </c>
    </row>
    <row r="16" spans="1:6" x14ac:dyDescent="0.2">
      <c r="A16" s="11" t="s">
        <v>15</v>
      </c>
      <c r="B16" s="12" t="s">
        <v>82</v>
      </c>
      <c r="C16" s="26">
        <v>5082347143</v>
      </c>
      <c r="D16" s="26">
        <v>968420909</v>
      </c>
      <c r="E16" s="27">
        <v>15527506</v>
      </c>
      <c r="F16" s="28">
        <v>6066295558</v>
      </c>
    </row>
    <row r="17" spans="1:6" x14ac:dyDescent="0.2">
      <c r="A17" s="11" t="s">
        <v>78</v>
      </c>
      <c r="B17" s="12" t="s">
        <v>82</v>
      </c>
      <c r="C17" s="26">
        <v>515617228098</v>
      </c>
      <c r="D17" s="26">
        <v>22815915449</v>
      </c>
      <c r="E17" s="27">
        <v>214047318</v>
      </c>
      <c r="F17" s="28">
        <v>538647190865</v>
      </c>
    </row>
    <row r="18" spans="1:6" x14ac:dyDescent="0.2">
      <c r="A18" s="11" t="s">
        <v>16</v>
      </c>
      <c r="B18" s="12" t="s">
        <v>82</v>
      </c>
      <c r="C18" s="26">
        <v>2682011045</v>
      </c>
      <c r="D18" s="26">
        <v>792897219</v>
      </c>
      <c r="E18" s="27">
        <v>4774087</v>
      </c>
      <c r="F18" s="28">
        <v>3479682351</v>
      </c>
    </row>
    <row r="19" spans="1:6" x14ac:dyDescent="0.2">
      <c r="A19" s="11" t="s">
        <v>17</v>
      </c>
      <c r="B19" s="12" t="s">
        <v>83</v>
      </c>
      <c r="C19" s="26">
        <v>1051153550</v>
      </c>
      <c r="D19" s="26">
        <v>122978395</v>
      </c>
      <c r="E19" s="27"/>
      <c r="F19" s="28">
        <v>1174131945</v>
      </c>
    </row>
    <row r="20" spans="1:6" x14ac:dyDescent="0.2">
      <c r="A20" s="11" t="s">
        <v>18</v>
      </c>
      <c r="B20" s="12" t="s">
        <v>82</v>
      </c>
      <c r="C20" s="26">
        <v>125314228449</v>
      </c>
      <c r="D20" s="26">
        <v>16866450486</v>
      </c>
      <c r="E20" s="27">
        <v>219292548</v>
      </c>
      <c r="F20" s="28">
        <v>142399971483</v>
      </c>
    </row>
    <row r="21" spans="1:6" x14ac:dyDescent="0.2">
      <c r="A21" s="11" t="s">
        <v>19</v>
      </c>
      <c r="B21" s="12" t="s">
        <v>82</v>
      </c>
      <c r="C21" s="26">
        <v>37086014607</v>
      </c>
      <c r="D21" s="26">
        <v>4482628519</v>
      </c>
      <c r="E21" s="27">
        <v>32696370</v>
      </c>
      <c r="F21" s="28">
        <v>41601339496</v>
      </c>
    </row>
    <row r="22" spans="1:6" x14ac:dyDescent="0.2">
      <c r="A22" s="11" t="s">
        <v>20</v>
      </c>
      <c r="B22" s="12" t="s">
        <v>82</v>
      </c>
      <c r="C22" s="26">
        <v>19270593453</v>
      </c>
      <c r="D22" s="26">
        <v>1034205675</v>
      </c>
      <c r="E22" s="27">
        <v>24611217</v>
      </c>
      <c r="F22" s="28">
        <v>20329410345</v>
      </c>
    </row>
    <row r="23" spans="1:6" x14ac:dyDescent="0.2">
      <c r="A23" s="11" t="s">
        <v>21</v>
      </c>
      <c r="B23" s="12" t="s">
        <v>83</v>
      </c>
      <c r="C23" s="26">
        <v>4574051607</v>
      </c>
      <c r="D23" s="26">
        <v>100939073</v>
      </c>
      <c r="E23" s="27">
        <v>689947</v>
      </c>
      <c r="F23" s="28">
        <v>4675680627</v>
      </c>
    </row>
    <row r="24" spans="1:6" x14ac:dyDescent="0.2">
      <c r="A24" s="11" t="s">
        <v>22</v>
      </c>
      <c r="B24" s="12" t="s">
        <v>83</v>
      </c>
      <c r="C24" s="26">
        <v>2478427227</v>
      </c>
      <c r="D24" s="26">
        <v>826844985</v>
      </c>
      <c r="E24" s="27">
        <v>8448951</v>
      </c>
      <c r="F24" s="28">
        <v>3313721163</v>
      </c>
    </row>
    <row r="25" spans="1:6" x14ac:dyDescent="0.2">
      <c r="A25" s="11" t="s">
        <v>23</v>
      </c>
      <c r="B25" s="12" t="s">
        <v>83</v>
      </c>
      <c r="C25" s="26">
        <v>1316198661</v>
      </c>
      <c r="D25" s="26">
        <v>410860027</v>
      </c>
      <c r="E25" s="27"/>
      <c r="F25" s="28">
        <v>1727058688</v>
      </c>
    </row>
    <row r="26" spans="1:6" x14ac:dyDescent="0.2">
      <c r="A26" s="11" t="s">
        <v>24</v>
      </c>
      <c r="B26" s="12" t="s">
        <v>83</v>
      </c>
      <c r="C26" s="26">
        <v>1968033963</v>
      </c>
      <c r="D26" s="26">
        <v>209583482</v>
      </c>
      <c r="E26" s="27">
        <v>15601137</v>
      </c>
      <c r="F26" s="28">
        <v>2193218582</v>
      </c>
    </row>
    <row r="27" spans="1:6" x14ac:dyDescent="0.2">
      <c r="A27" s="11" t="s">
        <v>25</v>
      </c>
      <c r="B27" s="12" t="s">
        <v>83</v>
      </c>
      <c r="C27" s="26">
        <v>4269948671</v>
      </c>
      <c r="D27" s="26">
        <v>156056550</v>
      </c>
      <c r="E27" s="27">
        <v>593333</v>
      </c>
      <c r="F27" s="28">
        <v>4426598554</v>
      </c>
    </row>
    <row r="28" spans="1:6" x14ac:dyDescent="0.2">
      <c r="A28" s="11" t="s">
        <v>26</v>
      </c>
      <c r="B28" s="12" t="s">
        <v>82</v>
      </c>
      <c r="C28" s="26">
        <v>883929811</v>
      </c>
      <c r="D28" s="26">
        <v>657297685</v>
      </c>
      <c r="E28" s="27">
        <v>27846812</v>
      </c>
      <c r="F28" s="28">
        <v>1569074308</v>
      </c>
    </row>
    <row r="29" spans="1:6" x14ac:dyDescent="0.2">
      <c r="A29" s="11" t="s">
        <v>27</v>
      </c>
      <c r="B29" s="12" t="s">
        <v>82</v>
      </c>
      <c r="C29" s="26">
        <v>2069705235</v>
      </c>
      <c r="D29" s="26">
        <v>1145387569</v>
      </c>
      <c r="E29" s="27">
        <v>9480548</v>
      </c>
      <c r="F29" s="28">
        <v>3224573352</v>
      </c>
    </row>
    <row r="30" spans="1:6" x14ac:dyDescent="0.2">
      <c r="A30" s="11" t="s">
        <v>28</v>
      </c>
      <c r="B30" s="12" t="s">
        <v>82</v>
      </c>
      <c r="C30" s="26">
        <v>4783401528</v>
      </c>
      <c r="D30" s="26">
        <v>1632373094</v>
      </c>
      <c r="E30" s="27">
        <v>5355013</v>
      </c>
      <c r="F30" s="28">
        <v>6421129635</v>
      </c>
    </row>
    <row r="31" spans="1:6" x14ac:dyDescent="0.2">
      <c r="A31" s="11" t="s">
        <v>29</v>
      </c>
      <c r="B31" s="12" t="s">
        <v>82</v>
      </c>
      <c r="C31" s="26">
        <v>20199742963</v>
      </c>
      <c r="D31" s="26">
        <v>2093228264</v>
      </c>
      <c r="E31" s="27">
        <v>12111470</v>
      </c>
      <c r="F31" s="28">
        <v>22305082697</v>
      </c>
    </row>
    <row r="32" spans="1:6" x14ac:dyDescent="0.2">
      <c r="A32" s="11" t="s">
        <v>30</v>
      </c>
      <c r="B32" s="12" t="s">
        <v>82</v>
      </c>
      <c r="C32" s="26">
        <v>9768419300</v>
      </c>
      <c r="D32" s="26">
        <v>860444928</v>
      </c>
      <c r="E32" s="27">
        <v>35821139</v>
      </c>
      <c r="F32" s="28">
        <v>10664685367</v>
      </c>
    </row>
    <row r="33" spans="1:6" x14ac:dyDescent="0.2">
      <c r="A33" s="11" t="s">
        <v>31</v>
      </c>
      <c r="B33" s="12" t="s">
        <v>82</v>
      </c>
      <c r="C33" s="26">
        <v>195812018695</v>
      </c>
      <c r="D33" s="26">
        <v>14500974270</v>
      </c>
      <c r="E33" s="27">
        <v>130872997</v>
      </c>
      <c r="F33" s="28">
        <v>210443865962</v>
      </c>
    </row>
    <row r="34" spans="1:6" x14ac:dyDescent="0.2">
      <c r="A34" s="11" t="s">
        <v>32</v>
      </c>
      <c r="B34" s="12" t="s">
        <v>83</v>
      </c>
      <c r="C34" s="26">
        <v>883048440</v>
      </c>
      <c r="D34" s="26">
        <v>139010338</v>
      </c>
      <c r="E34" s="27">
        <v>3967150</v>
      </c>
      <c r="F34" s="28">
        <v>1026025928</v>
      </c>
    </row>
    <row r="35" spans="1:6" x14ac:dyDescent="0.2">
      <c r="A35" s="11" t="s">
        <v>33</v>
      </c>
      <c r="B35" s="12" t="s">
        <v>82</v>
      </c>
      <c r="C35" s="26">
        <v>32636194624</v>
      </c>
      <c r="D35" s="26">
        <v>1306881016</v>
      </c>
      <c r="E35" s="27">
        <v>50990963</v>
      </c>
      <c r="F35" s="28">
        <v>33994066603</v>
      </c>
    </row>
    <row r="36" spans="1:6" x14ac:dyDescent="0.2">
      <c r="A36" s="11" t="s">
        <v>34</v>
      </c>
      <c r="B36" s="12" t="s">
        <v>83</v>
      </c>
      <c r="C36" s="26">
        <v>2805311678</v>
      </c>
      <c r="D36" s="26">
        <v>551428937</v>
      </c>
      <c r="E36" s="27">
        <v>28422608</v>
      </c>
      <c r="F36" s="28">
        <v>3385163223</v>
      </c>
    </row>
    <row r="37" spans="1:6" x14ac:dyDescent="0.2">
      <c r="A37" s="11" t="s">
        <v>35</v>
      </c>
      <c r="B37" s="12" t="s">
        <v>82</v>
      </c>
      <c r="C37" s="26">
        <v>1221724247</v>
      </c>
      <c r="D37" s="26">
        <v>280635985</v>
      </c>
      <c r="E37" s="27">
        <v>3146073</v>
      </c>
      <c r="F37" s="28">
        <v>1505506305</v>
      </c>
    </row>
    <row r="38" spans="1:6" x14ac:dyDescent="0.2">
      <c r="A38" s="11" t="s">
        <v>36</v>
      </c>
      <c r="B38" s="12" t="s">
        <v>83</v>
      </c>
      <c r="C38" s="26">
        <v>487359536</v>
      </c>
      <c r="D38" s="26">
        <v>75691731</v>
      </c>
      <c r="E38" s="27"/>
      <c r="F38" s="28">
        <v>563051267</v>
      </c>
    </row>
    <row r="39" spans="1:6" x14ac:dyDescent="0.2">
      <c r="A39" s="11" t="s">
        <v>37</v>
      </c>
      <c r="B39" s="12" t="s">
        <v>82</v>
      </c>
      <c r="C39" s="26">
        <v>47061019623</v>
      </c>
      <c r="D39" s="26">
        <v>2602023069</v>
      </c>
      <c r="E39" s="27">
        <v>5410561</v>
      </c>
      <c r="F39" s="28">
        <v>49668453253</v>
      </c>
    </row>
    <row r="40" spans="1:6" x14ac:dyDescent="0.2">
      <c r="A40" s="11" t="s">
        <v>38</v>
      </c>
      <c r="B40" s="12" t="s">
        <v>82</v>
      </c>
      <c r="C40" s="26">
        <v>152444658629</v>
      </c>
      <c r="D40" s="26">
        <v>7109610602</v>
      </c>
      <c r="E40" s="27">
        <v>5532912</v>
      </c>
      <c r="F40" s="28">
        <v>159559802143</v>
      </c>
    </row>
    <row r="41" spans="1:6" x14ac:dyDescent="0.2">
      <c r="A41" s="11" t="s">
        <v>39</v>
      </c>
      <c r="B41" s="12" t="s">
        <v>82</v>
      </c>
      <c r="C41" s="26">
        <v>34597590873</v>
      </c>
      <c r="D41" s="26">
        <v>2613489203</v>
      </c>
      <c r="E41" s="27">
        <v>5940218</v>
      </c>
      <c r="F41" s="28">
        <v>37217020294</v>
      </c>
    </row>
    <row r="42" spans="1:6" x14ac:dyDescent="0.2">
      <c r="A42" s="11" t="s">
        <v>40</v>
      </c>
      <c r="B42" s="12" t="s">
        <v>83</v>
      </c>
      <c r="C42" s="26">
        <v>3740316137</v>
      </c>
      <c r="D42" s="26">
        <v>494125614</v>
      </c>
      <c r="E42" s="27">
        <v>3503224</v>
      </c>
      <c r="F42" s="28">
        <v>4237944975</v>
      </c>
    </row>
    <row r="43" spans="1:6" x14ac:dyDescent="0.2">
      <c r="A43" s="11" t="s">
        <v>41</v>
      </c>
      <c r="B43" s="12" t="s">
        <v>83</v>
      </c>
      <c r="C43" s="26">
        <v>645069424</v>
      </c>
      <c r="D43" s="26">
        <v>161186508</v>
      </c>
      <c r="E43" s="27">
        <v>882753</v>
      </c>
      <c r="F43" s="28">
        <v>807138685</v>
      </c>
    </row>
    <row r="44" spans="1:6" x14ac:dyDescent="0.2">
      <c r="A44" s="11" t="s">
        <v>42</v>
      </c>
      <c r="B44" s="12" t="s">
        <v>82</v>
      </c>
      <c r="C44" s="26">
        <v>1204755988</v>
      </c>
      <c r="D44" s="26">
        <v>372063327</v>
      </c>
      <c r="E44" s="27">
        <v>8622136</v>
      </c>
      <c r="F44" s="28">
        <v>1585441451</v>
      </c>
    </row>
    <row r="45" spans="1:6" x14ac:dyDescent="0.2">
      <c r="A45" s="11" t="s">
        <v>43</v>
      </c>
      <c r="B45" s="12" t="s">
        <v>82</v>
      </c>
      <c r="C45" s="26">
        <v>75022990235</v>
      </c>
      <c r="D45" s="26">
        <v>4694947903</v>
      </c>
      <c r="E45" s="27">
        <v>8591883</v>
      </c>
      <c r="F45" s="28">
        <v>79726530021</v>
      </c>
    </row>
    <row r="46" spans="1:6" x14ac:dyDescent="0.2">
      <c r="A46" s="11" t="s">
        <v>44</v>
      </c>
      <c r="B46" s="12" t="s">
        <v>82</v>
      </c>
      <c r="C46" s="26">
        <v>40626261567</v>
      </c>
      <c r="D46" s="26">
        <v>2783347832</v>
      </c>
      <c r="E46" s="27">
        <v>28911235</v>
      </c>
      <c r="F46" s="28">
        <v>43438520634</v>
      </c>
    </row>
    <row r="47" spans="1:6" x14ac:dyDescent="0.2">
      <c r="A47" s="11" t="s">
        <v>45</v>
      </c>
      <c r="B47" s="12" t="s">
        <v>82</v>
      </c>
      <c r="C47" s="26">
        <v>35657502496</v>
      </c>
      <c r="D47" s="26">
        <v>3752657229</v>
      </c>
      <c r="E47" s="27">
        <v>104068102</v>
      </c>
      <c r="F47" s="28">
        <v>39514227827</v>
      </c>
    </row>
    <row r="48" spans="1:6" x14ac:dyDescent="0.2">
      <c r="A48" s="11" t="s">
        <v>46</v>
      </c>
      <c r="B48" s="12" t="s">
        <v>82</v>
      </c>
      <c r="C48" s="26">
        <v>51586171361</v>
      </c>
      <c r="D48" s="26">
        <v>1099785695</v>
      </c>
      <c r="E48" s="27"/>
      <c r="F48" s="28">
        <v>52685957056</v>
      </c>
    </row>
    <row r="49" spans="1:6" x14ac:dyDescent="0.2">
      <c r="A49" s="11" t="s">
        <v>47</v>
      </c>
      <c r="B49" s="12" t="s">
        <v>82</v>
      </c>
      <c r="C49" s="26">
        <v>18240045836</v>
      </c>
      <c r="D49" s="26">
        <v>1642672691</v>
      </c>
      <c r="E49" s="27">
        <v>51418129</v>
      </c>
      <c r="F49" s="28">
        <v>19934136656</v>
      </c>
    </row>
    <row r="50" spans="1:6" x14ac:dyDescent="0.2">
      <c r="A50" s="11" t="s">
        <v>48</v>
      </c>
      <c r="B50" s="12" t="s">
        <v>82</v>
      </c>
      <c r="C50" s="26">
        <v>34216970532</v>
      </c>
      <c r="D50" s="26">
        <v>1248796438</v>
      </c>
      <c r="E50" s="27">
        <v>4415413</v>
      </c>
      <c r="F50" s="28">
        <v>35470182383</v>
      </c>
    </row>
    <row r="51" spans="1:6" x14ac:dyDescent="0.2">
      <c r="A51" s="11" t="s">
        <v>49</v>
      </c>
      <c r="B51" s="12" t="s">
        <v>82</v>
      </c>
      <c r="C51" s="26">
        <v>3879311211</v>
      </c>
      <c r="D51" s="26">
        <v>2007332839</v>
      </c>
      <c r="E51" s="27">
        <v>12335449</v>
      </c>
      <c r="F51" s="28">
        <v>5898979499</v>
      </c>
    </row>
    <row r="52" spans="1:6" x14ac:dyDescent="0.2">
      <c r="A52" s="11" t="s">
        <v>50</v>
      </c>
      <c r="B52" s="12" t="s">
        <v>82</v>
      </c>
      <c r="C52" s="26">
        <v>251216749961</v>
      </c>
      <c r="D52" s="26">
        <v>19324268580</v>
      </c>
      <c r="E52" s="27">
        <v>126239185</v>
      </c>
      <c r="F52" s="28">
        <v>270667257726</v>
      </c>
    </row>
    <row r="53" spans="1:6" x14ac:dyDescent="0.2">
      <c r="A53" s="11" t="s">
        <v>51</v>
      </c>
      <c r="B53" s="12" t="s">
        <v>82</v>
      </c>
      <c r="C53" s="26">
        <v>59275511246</v>
      </c>
      <c r="D53" s="26">
        <v>3629680397</v>
      </c>
      <c r="E53" s="27">
        <v>6913311</v>
      </c>
      <c r="F53" s="28">
        <v>62912104954</v>
      </c>
    </row>
    <row r="54" spans="1:6" x14ac:dyDescent="0.2">
      <c r="A54" s="11" t="s">
        <v>52</v>
      </c>
      <c r="B54" s="12" t="s">
        <v>82</v>
      </c>
      <c r="C54" s="26">
        <v>345774768843</v>
      </c>
      <c r="D54" s="26">
        <v>15106251272</v>
      </c>
      <c r="E54" s="27">
        <v>249016352</v>
      </c>
      <c r="F54" s="28">
        <v>361130036467</v>
      </c>
    </row>
    <row r="55" spans="1:6" x14ac:dyDescent="0.2">
      <c r="A55" s="11" t="s">
        <v>53</v>
      </c>
      <c r="B55" s="12" t="s">
        <v>82</v>
      </c>
      <c r="C55" s="26">
        <v>63593850860</v>
      </c>
      <c r="D55" s="26">
        <v>3843958246</v>
      </c>
      <c r="E55" s="27">
        <v>23235239</v>
      </c>
      <c r="F55" s="28">
        <v>67461044345</v>
      </c>
    </row>
    <row r="56" spans="1:6" x14ac:dyDescent="0.2">
      <c r="A56" s="11" t="s">
        <v>54</v>
      </c>
      <c r="B56" s="12" t="s">
        <v>82</v>
      </c>
      <c r="C56" s="26">
        <v>156457919585</v>
      </c>
      <c r="D56" s="26">
        <v>7378912022</v>
      </c>
      <c r="E56" s="27">
        <v>13545958</v>
      </c>
      <c r="F56" s="28">
        <v>163850377565</v>
      </c>
    </row>
    <row r="57" spans="1:6" x14ac:dyDescent="0.2">
      <c r="A57" s="11" t="s">
        <v>55</v>
      </c>
      <c r="B57" s="12" t="s">
        <v>82</v>
      </c>
      <c r="C57" s="26">
        <v>72483361521</v>
      </c>
      <c r="D57" s="26">
        <v>9599495409</v>
      </c>
      <c r="E57" s="27">
        <v>129385533</v>
      </c>
      <c r="F57" s="28">
        <v>82212242463</v>
      </c>
    </row>
    <row r="58" spans="1:6" x14ac:dyDescent="0.2">
      <c r="A58" s="11" t="s">
        <v>56</v>
      </c>
      <c r="B58" s="12" t="s">
        <v>82</v>
      </c>
      <c r="C58" s="26">
        <v>6752759135</v>
      </c>
      <c r="D58" s="26">
        <v>2858988958</v>
      </c>
      <c r="E58" s="27">
        <v>18642984</v>
      </c>
      <c r="F58" s="28">
        <v>9630391077</v>
      </c>
    </row>
    <row r="59" spans="1:6" x14ac:dyDescent="0.2">
      <c r="A59" s="11" t="s">
        <v>2</v>
      </c>
      <c r="B59" s="12" t="s">
        <v>82</v>
      </c>
      <c r="C59" s="26">
        <v>60601352403</v>
      </c>
      <c r="D59" s="26">
        <v>2261007897</v>
      </c>
      <c r="E59" s="27">
        <v>37560861</v>
      </c>
      <c r="F59" s="28">
        <v>62899921161</v>
      </c>
    </row>
    <row r="60" spans="1:6" x14ac:dyDescent="0.2">
      <c r="A60" s="11" t="s">
        <v>3</v>
      </c>
      <c r="B60" s="12" t="s">
        <v>82</v>
      </c>
      <c r="C60" s="26">
        <v>43660616670</v>
      </c>
      <c r="D60" s="26">
        <v>5896020165</v>
      </c>
      <c r="E60" s="27">
        <v>81634792</v>
      </c>
      <c r="F60" s="28">
        <v>49638271627</v>
      </c>
    </row>
    <row r="61" spans="1:6" x14ac:dyDescent="0.2">
      <c r="A61" s="11" t="s">
        <v>57</v>
      </c>
      <c r="B61" s="12" t="s">
        <v>82</v>
      </c>
      <c r="C61" s="26">
        <v>22211518070</v>
      </c>
      <c r="D61" s="26">
        <v>1113663068</v>
      </c>
      <c r="E61" s="27">
        <v>4141332</v>
      </c>
      <c r="F61" s="28">
        <v>23329322470</v>
      </c>
    </row>
    <row r="62" spans="1:6" x14ac:dyDescent="0.2">
      <c r="A62" s="11" t="s">
        <v>58</v>
      </c>
      <c r="B62" s="12" t="s">
        <v>82</v>
      </c>
      <c r="C62" s="26">
        <v>115267670608</v>
      </c>
      <c r="D62" s="26">
        <v>3851531499</v>
      </c>
      <c r="E62" s="27">
        <v>956717</v>
      </c>
      <c r="F62" s="28">
        <v>119120158824</v>
      </c>
    </row>
    <row r="63" spans="1:6" x14ac:dyDescent="0.2">
      <c r="A63" s="11" t="s">
        <v>59</v>
      </c>
      <c r="B63" s="12" t="s">
        <v>82</v>
      </c>
      <c r="C63" s="26">
        <v>59870399607</v>
      </c>
      <c r="D63" s="26">
        <v>3447244641</v>
      </c>
      <c r="E63" s="27">
        <v>12372188</v>
      </c>
      <c r="F63" s="28">
        <v>63330016436</v>
      </c>
    </row>
    <row r="64" spans="1:6" x14ac:dyDescent="0.2">
      <c r="A64" s="11" t="s">
        <v>60</v>
      </c>
      <c r="B64" s="12" t="s">
        <v>82</v>
      </c>
      <c r="C64" s="26">
        <v>24709648870</v>
      </c>
      <c r="D64" s="26">
        <v>1555118216</v>
      </c>
      <c r="E64" s="27">
        <v>17474765</v>
      </c>
      <c r="F64" s="28">
        <v>26282241851</v>
      </c>
    </row>
    <row r="65" spans="1:6" x14ac:dyDescent="0.2">
      <c r="A65" s="11" t="s">
        <v>61</v>
      </c>
      <c r="B65" s="12" t="s">
        <v>83</v>
      </c>
      <c r="C65" s="26">
        <v>2625311176</v>
      </c>
      <c r="D65" s="26">
        <v>988336537</v>
      </c>
      <c r="E65" s="27">
        <v>4203336</v>
      </c>
      <c r="F65" s="28">
        <v>3617851049</v>
      </c>
    </row>
    <row r="66" spans="1:6" x14ac:dyDescent="0.2">
      <c r="A66" s="11" t="s">
        <v>62</v>
      </c>
      <c r="B66" s="12" t="s">
        <v>82</v>
      </c>
      <c r="C66" s="26">
        <v>1683568986</v>
      </c>
      <c r="D66" s="26">
        <v>815120362</v>
      </c>
      <c r="E66" s="27">
        <v>2459460</v>
      </c>
      <c r="F66" s="28">
        <v>2501148808</v>
      </c>
    </row>
    <row r="67" spans="1:6" x14ac:dyDescent="0.2">
      <c r="A67" s="11" t="s">
        <v>63</v>
      </c>
      <c r="B67" s="12" t="s">
        <v>83</v>
      </c>
      <c r="C67" s="26">
        <v>538888607</v>
      </c>
      <c r="D67" s="26">
        <v>116791977</v>
      </c>
      <c r="E67" s="27"/>
      <c r="F67" s="28">
        <v>655680584</v>
      </c>
    </row>
    <row r="68" spans="1:6" x14ac:dyDescent="0.2">
      <c r="A68" s="11" t="s">
        <v>64</v>
      </c>
      <c r="B68" s="12" t="s">
        <v>82</v>
      </c>
      <c r="C68" s="26">
        <v>72366008021</v>
      </c>
      <c r="D68" s="26">
        <v>5073158569</v>
      </c>
      <c r="E68" s="27">
        <v>69688025</v>
      </c>
      <c r="F68" s="28">
        <v>77508854615</v>
      </c>
    </row>
    <row r="69" spans="1:6" x14ac:dyDescent="0.2">
      <c r="A69" s="11" t="s">
        <v>65</v>
      </c>
      <c r="B69" s="12" t="s">
        <v>83</v>
      </c>
      <c r="C69" s="26">
        <v>3145740029</v>
      </c>
      <c r="D69" s="26">
        <v>252283707</v>
      </c>
      <c r="E69" s="27"/>
      <c r="F69" s="28">
        <v>3398023736</v>
      </c>
    </row>
    <row r="70" spans="1:6" x14ac:dyDescent="0.2">
      <c r="A70" s="11" t="s">
        <v>66</v>
      </c>
      <c r="B70" s="12" t="s">
        <v>82</v>
      </c>
      <c r="C70" s="26">
        <v>44741031667</v>
      </c>
      <c r="D70" s="26">
        <v>946390320</v>
      </c>
      <c r="E70" s="27">
        <v>3576072</v>
      </c>
      <c r="F70" s="28">
        <v>45690998059</v>
      </c>
    </row>
    <row r="71" spans="1:6" x14ac:dyDescent="0.2">
      <c r="A71" s="11" t="s">
        <v>67</v>
      </c>
      <c r="B71" s="12" t="s">
        <v>83</v>
      </c>
      <c r="C71" s="26">
        <v>1563681884</v>
      </c>
      <c r="D71" s="26">
        <v>312466936</v>
      </c>
      <c r="E71" s="27">
        <v>2107254</v>
      </c>
      <c r="F71" s="28">
        <v>1878256074</v>
      </c>
    </row>
    <row r="72" spans="1:6" x14ac:dyDescent="0.2">
      <c r="A72" s="16"/>
      <c r="B72" s="17"/>
      <c r="C72" s="29"/>
      <c r="D72" s="29"/>
      <c r="E72" s="30"/>
      <c r="F72" s="31"/>
    </row>
    <row r="73" spans="1:6" ht="15.75" thickBot="1" x14ac:dyDescent="0.3">
      <c r="A73" s="19" t="s">
        <v>68</v>
      </c>
      <c r="B73" s="20"/>
      <c r="C73" s="32">
        <f>SUM(C5:C71)</f>
        <v>3624023264554</v>
      </c>
      <c r="D73" s="32">
        <f>SUM(D5:D71)</f>
        <v>232963898271</v>
      </c>
      <c r="E73" s="32">
        <f>SUM(E5:E71)</f>
        <v>2271753405</v>
      </c>
      <c r="F73" s="33">
        <f>SUM(F5:F71)</f>
        <v>3859258916230</v>
      </c>
    </row>
    <row r="75" spans="1:6" x14ac:dyDescent="0.2">
      <c r="A75" s="24" t="s">
        <v>87</v>
      </c>
    </row>
  </sheetData>
  <phoneticPr fontId="3" type="noConversion"/>
  <conditionalFormatting sqref="A75">
    <cfRule type="expression" dxfId="11" priority="1" stopIfTrue="1">
      <formula>MOD(ROW(),5)=1</formula>
    </cfRule>
  </conditionalFormatting>
  <conditionalFormatting sqref="A4:F73">
    <cfRule type="expression" dxfId="10" priority="2" stopIfTrue="1">
      <formula>MOD(ROW(),3)=1</formula>
    </cfRule>
  </conditionalFormatting>
  <pageMargins left="0.75" right="0.75" top="1" bottom="1" header="0.5" footer="0.5"/>
  <pageSetup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zoomScaleNormal="100" zoomScaleSheetLayoutView="100"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70</v>
      </c>
      <c r="B1" s="7"/>
      <c r="C1" s="8"/>
      <c r="D1" s="7"/>
      <c r="E1" s="8"/>
      <c r="F1" s="7"/>
      <c r="G1" s="8"/>
    </row>
    <row r="2" spans="1:7" ht="15" x14ac:dyDescent="0.25">
      <c r="A2" s="9" t="s">
        <v>93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86</v>
      </c>
      <c r="D4" s="38" t="s">
        <v>92</v>
      </c>
      <c r="E4" s="38" t="s">
        <v>84</v>
      </c>
      <c r="F4" s="38" t="s">
        <v>85</v>
      </c>
      <c r="G4" s="39" t="s">
        <v>81</v>
      </c>
    </row>
    <row r="5" spans="1:7" x14ac:dyDescent="0.2">
      <c r="A5" s="11" t="s">
        <v>4</v>
      </c>
      <c r="B5" s="12" t="s">
        <v>82</v>
      </c>
      <c r="C5" s="13">
        <v>35463886820</v>
      </c>
      <c r="D5" s="14">
        <f>((C5-E5)/E5)</f>
        <v>6.453396340081051E-2</v>
      </c>
      <c r="E5" s="13">
        <v>33314002220</v>
      </c>
      <c r="F5" s="14">
        <f>((E5-G5)/G5)</f>
        <v>8.4623311724335223E-2</v>
      </c>
      <c r="G5" s="15">
        <v>30714813023</v>
      </c>
    </row>
    <row r="6" spans="1:7" x14ac:dyDescent="0.2">
      <c r="A6" s="11" t="s">
        <v>5</v>
      </c>
      <c r="B6" s="12" t="s">
        <v>83</v>
      </c>
      <c r="C6" s="13">
        <v>2308142279</v>
      </c>
      <c r="D6" s="14">
        <f t="shared" ref="D6:D69" si="0">((C6-E6)/E6)</f>
        <v>7.4379967016613202E-2</v>
      </c>
      <c r="E6" s="13">
        <v>2148348210</v>
      </c>
      <c r="F6" s="14">
        <f t="shared" ref="F6:F69" si="1">((E6-G6)/G6)</f>
        <v>8.9320991381204612E-2</v>
      </c>
      <c r="G6" s="15">
        <v>1972190224</v>
      </c>
    </row>
    <row r="7" spans="1:7" x14ac:dyDescent="0.2">
      <c r="A7" s="11" t="s">
        <v>6</v>
      </c>
      <c r="B7" s="12" t="s">
        <v>82</v>
      </c>
      <c r="C7" s="13">
        <v>35783536713</v>
      </c>
      <c r="D7" s="14">
        <f t="shared" si="0"/>
        <v>0.11083055290784803</v>
      </c>
      <c r="E7" s="13">
        <v>32213316981</v>
      </c>
      <c r="F7" s="14">
        <f t="shared" si="1"/>
        <v>0.15410612327127127</v>
      </c>
      <c r="G7" s="15">
        <v>27911919304</v>
      </c>
    </row>
    <row r="8" spans="1:7" x14ac:dyDescent="0.2">
      <c r="A8" s="11" t="s">
        <v>7</v>
      </c>
      <c r="B8" s="12" t="s">
        <v>82</v>
      </c>
      <c r="C8" s="13">
        <v>1953996796</v>
      </c>
      <c r="D8" s="14">
        <f t="shared" si="0"/>
        <v>8.7722963449671856E-2</v>
      </c>
      <c r="E8" s="13">
        <v>1796410356</v>
      </c>
      <c r="F8" s="14">
        <f t="shared" si="1"/>
        <v>5.7496391349688418E-2</v>
      </c>
      <c r="G8" s="15">
        <v>1698738994</v>
      </c>
    </row>
    <row r="9" spans="1:7" x14ac:dyDescent="0.2">
      <c r="A9" s="11" t="s">
        <v>8</v>
      </c>
      <c r="B9" s="12" t="s">
        <v>82</v>
      </c>
      <c r="C9" s="13">
        <v>93875265947</v>
      </c>
      <c r="D9" s="14">
        <f t="shared" si="0"/>
        <v>9.2990488236745827E-2</v>
      </c>
      <c r="E9" s="13">
        <v>85888456448</v>
      </c>
      <c r="F9" s="14">
        <f t="shared" si="1"/>
        <v>0.10898097526942033</v>
      </c>
      <c r="G9" s="15">
        <v>77448088257</v>
      </c>
    </row>
    <row r="10" spans="1:7" x14ac:dyDescent="0.2">
      <c r="A10" s="11" t="s">
        <v>9</v>
      </c>
      <c r="B10" s="12" t="s">
        <v>82</v>
      </c>
      <c r="C10" s="13">
        <v>348003308119</v>
      </c>
      <c r="D10" s="14">
        <f t="shared" si="0"/>
        <v>8.5066034579079172E-2</v>
      </c>
      <c r="E10" s="13">
        <v>320720856638</v>
      </c>
      <c r="F10" s="14">
        <f t="shared" si="1"/>
        <v>9.8233358103650276E-2</v>
      </c>
      <c r="G10" s="15">
        <v>292033431940</v>
      </c>
    </row>
    <row r="11" spans="1:7" x14ac:dyDescent="0.2">
      <c r="A11" s="11" t="s">
        <v>10</v>
      </c>
      <c r="B11" s="12" t="s">
        <v>83</v>
      </c>
      <c r="C11" s="13">
        <v>1044021774</v>
      </c>
      <c r="D11" s="14">
        <f t="shared" si="0"/>
        <v>6.9006473571590163E-2</v>
      </c>
      <c r="E11" s="13">
        <v>976628112</v>
      </c>
      <c r="F11" s="14">
        <f t="shared" si="1"/>
        <v>0.42982250795914667</v>
      </c>
      <c r="G11" s="15">
        <v>683041501</v>
      </c>
    </row>
    <row r="12" spans="1:7" x14ac:dyDescent="0.2">
      <c r="A12" s="11" t="s">
        <v>11</v>
      </c>
      <c r="B12" s="12" t="s">
        <v>82</v>
      </c>
      <c r="C12" s="13">
        <v>38293197837</v>
      </c>
      <c r="D12" s="14">
        <f t="shared" si="0"/>
        <v>0.16946068060451966</v>
      </c>
      <c r="E12" s="13">
        <v>32744322637</v>
      </c>
      <c r="F12" s="14">
        <f t="shared" si="1"/>
        <v>0.11951052318300168</v>
      </c>
      <c r="G12" s="15">
        <v>29248785035</v>
      </c>
    </row>
    <row r="13" spans="1:7" x14ac:dyDescent="0.2">
      <c r="A13" s="11" t="s">
        <v>12</v>
      </c>
      <c r="B13" s="12" t="s">
        <v>82</v>
      </c>
      <c r="C13" s="13">
        <v>19350481829</v>
      </c>
      <c r="D13" s="14">
        <f t="shared" si="0"/>
        <v>8.9007361536622184E-2</v>
      </c>
      <c r="E13" s="13">
        <v>17768917376</v>
      </c>
      <c r="F13" s="14">
        <f t="shared" si="1"/>
        <v>0.10912973920459446</v>
      </c>
      <c r="G13" s="15">
        <v>16020594118</v>
      </c>
    </row>
    <row r="14" spans="1:7" x14ac:dyDescent="0.2">
      <c r="A14" s="11" t="s">
        <v>13</v>
      </c>
      <c r="B14" s="12" t="s">
        <v>82</v>
      </c>
      <c r="C14" s="13">
        <v>24741180783</v>
      </c>
      <c r="D14" s="14">
        <f t="shared" si="0"/>
        <v>9.3227120656486889E-2</v>
      </c>
      <c r="E14" s="13">
        <v>22631327302</v>
      </c>
      <c r="F14" s="14">
        <f t="shared" si="1"/>
        <v>0.13829327391322696</v>
      </c>
      <c r="G14" s="15">
        <v>19881807106</v>
      </c>
    </row>
    <row r="15" spans="1:7" x14ac:dyDescent="0.2">
      <c r="A15" s="11" t="s">
        <v>14</v>
      </c>
      <c r="B15" s="12" t="s">
        <v>82</v>
      </c>
      <c r="C15" s="13">
        <v>165846838261</v>
      </c>
      <c r="D15" s="14">
        <f t="shared" si="0"/>
        <v>9.6784309787386377E-2</v>
      </c>
      <c r="E15" s="13">
        <v>151211898986</v>
      </c>
      <c r="F15" s="14">
        <f t="shared" si="1"/>
        <v>0.12384168222304429</v>
      </c>
      <c r="G15" s="15">
        <v>134549110767</v>
      </c>
    </row>
    <row r="16" spans="1:7" x14ac:dyDescent="0.2">
      <c r="A16" s="11" t="s">
        <v>15</v>
      </c>
      <c r="B16" s="12" t="s">
        <v>82</v>
      </c>
      <c r="C16" s="13">
        <v>6066295558</v>
      </c>
      <c r="D16" s="14">
        <f t="shared" si="0"/>
        <v>7.4696428043005594E-2</v>
      </c>
      <c r="E16" s="13">
        <v>5644659645</v>
      </c>
      <c r="F16" s="14">
        <f t="shared" si="1"/>
        <v>9.6395683001619326E-2</v>
      </c>
      <c r="G16" s="15">
        <v>5148378211</v>
      </c>
    </row>
    <row r="17" spans="1:7" x14ac:dyDescent="0.2">
      <c r="A17" s="11" t="s">
        <v>78</v>
      </c>
      <c r="B17" s="12" t="s">
        <v>82</v>
      </c>
      <c r="C17" s="13">
        <v>538647190865</v>
      </c>
      <c r="D17" s="14">
        <f t="shared" si="0"/>
        <v>0.10858550642551319</v>
      </c>
      <c r="E17" s="13">
        <v>485886914219</v>
      </c>
      <c r="F17" s="14">
        <f t="shared" si="1"/>
        <v>0.11798375832677226</v>
      </c>
      <c r="G17" s="15">
        <v>434609993750</v>
      </c>
    </row>
    <row r="18" spans="1:7" x14ac:dyDescent="0.2">
      <c r="A18" s="11" t="s">
        <v>16</v>
      </c>
      <c r="B18" s="12" t="s">
        <v>82</v>
      </c>
      <c r="C18" s="13">
        <v>3479682351</v>
      </c>
      <c r="D18" s="14">
        <f t="shared" si="0"/>
        <v>6.8068060286619672E-2</v>
      </c>
      <c r="E18" s="13">
        <v>3257921925</v>
      </c>
      <c r="F18" s="14">
        <f t="shared" si="1"/>
        <v>8.2673315117176363E-2</v>
      </c>
      <c r="G18" s="15">
        <v>3009145861</v>
      </c>
    </row>
    <row r="19" spans="1:7" x14ac:dyDescent="0.2">
      <c r="A19" s="11" t="s">
        <v>17</v>
      </c>
      <c r="B19" s="12" t="s">
        <v>83</v>
      </c>
      <c r="C19" s="13">
        <v>1174131945</v>
      </c>
      <c r="D19" s="14">
        <f t="shared" si="0"/>
        <v>7.3505401476480603E-2</v>
      </c>
      <c r="E19" s="13">
        <v>1093736411</v>
      </c>
      <c r="F19" s="14">
        <f t="shared" si="1"/>
        <v>9.1988485778595433E-2</v>
      </c>
      <c r="G19" s="15">
        <v>1001600681</v>
      </c>
    </row>
    <row r="20" spans="1:7" x14ac:dyDescent="0.2">
      <c r="A20" s="11" t="s">
        <v>18</v>
      </c>
      <c r="B20" s="12" t="s">
        <v>82</v>
      </c>
      <c r="C20" s="13">
        <v>142399971483</v>
      </c>
      <c r="D20" s="14">
        <f t="shared" si="0"/>
        <v>6.9062990252012124E-2</v>
      </c>
      <c r="E20" s="13">
        <v>133200730716</v>
      </c>
      <c r="F20" s="14">
        <f t="shared" si="1"/>
        <v>0.11022925009774395</v>
      </c>
      <c r="G20" s="15">
        <v>119975879490</v>
      </c>
    </row>
    <row r="21" spans="1:7" x14ac:dyDescent="0.2">
      <c r="A21" s="11" t="s">
        <v>19</v>
      </c>
      <c r="B21" s="12" t="s">
        <v>82</v>
      </c>
      <c r="C21" s="13">
        <v>41601339496</v>
      </c>
      <c r="D21" s="14">
        <f t="shared" si="0"/>
        <v>8.1690090851620462E-2</v>
      </c>
      <c r="E21" s="13">
        <v>38459573447</v>
      </c>
      <c r="F21" s="14">
        <f t="shared" si="1"/>
        <v>0.11620047738674991</v>
      </c>
      <c r="G21" s="15">
        <v>34455793763</v>
      </c>
    </row>
    <row r="22" spans="1:7" x14ac:dyDescent="0.2">
      <c r="A22" s="11" t="s">
        <v>20</v>
      </c>
      <c r="B22" s="12" t="s">
        <v>82</v>
      </c>
      <c r="C22" s="13">
        <v>20329410345</v>
      </c>
      <c r="D22" s="14">
        <f t="shared" si="0"/>
        <v>0.12461440149907843</v>
      </c>
      <c r="E22" s="13">
        <v>18076782867</v>
      </c>
      <c r="F22" s="14">
        <f t="shared" si="1"/>
        <v>0.11911910409340387</v>
      </c>
      <c r="G22" s="15">
        <v>16152689022</v>
      </c>
    </row>
    <row r="23" spans="1:7" x14ac:dyDescent="0.2">
      <c r="A23" s="11" t="s">
        <v>21</v>
      </c>
      <c r="B23" s="12" t="s">
        <v>83</v>
      </c>
      <c r="C23" s="13">
        <v>4675680627</v>
      </c>
      <c r="D23" s="14">
        <f t="shared" si="0"/>
        <v>0.23041741194590792</v>
      </c>
      <c r="E23" s="13">
        <v>3800076772</v>
      </c>
      <c r="F23" s="14">
        <f t="shared" si="1"/>
        <v>0.11901941715892111</v>
      </c>
      <c r="G23" s="15">
        <v>3395898868</v>
      </c>
    </row>
    <row r="24" spans="1:7" x14ac:dyDescent="0.2">
      <c r="A24" s="11" t="s">
        <v>22</v>
      </c>
      <c r="B24" s="12" t="s">
        <v>83</v>
      </c>
      <c r="C24" s="13">
        <v>3313721163</v>
      </c>
      <c r="D24" s="14">
        <f t="shared" si="0"/>
        <v>7.6711496458327227E-2</v>
      </c>
      <c r="E24" s="13">
        <v>3077631449</v>
      </c>
      <c r="F24" s="14">
        <f t="shared" si="1"/>
        <v>0.11653676555394883</v>
      </c>
      <c r="G24" s="15">
        <v>2756408516</v>
      </c>
    </row>
    <row r="25" spans="1:7" x14ac:dyDescent="0.2">
      <c r="A25" s="11" t="s">
        <v>23</v>
      </c>
      <c r="B25" s="12" t="s">
        <v>83</v>
      </c>
      <c r="C25" s="13">
        <v>1727058688</v>
      </c>
      <c r="D25" s="14">
        <f t="shared" si="0"/>
        <v>0.11914639644539975</v>
      </c>
      <c r="E25" s="13">
        <v>1543192824</v>
      </c>
      <c r="F25" s="14">
        <f t="shared" si="1"/>
        <v>9.5845733113527939E-2</v>
      </c>
      <c r="G25" s="15">
        <v>1408220863</v>
      </c>
    </row>
    <row r="26" spans="1:7" x14ac:dyDescent="0.2">
      <c r="A26" s="11" t="s">
        <v>24</v>
      </c>
      <c r="B26" s="12" t="s">
        <v>83</v>
      </c>
      <c r="C26" s="13">
        <v>2193218582</v>
      </c>
      <c r="D26" s="14">
        <f t="shared" si="0"/>
        <v>8.6920756002327654E-2</v>
      </c>
      <c r="E26" s="13">
        <v>2017827491</v>
      </c>
      <c r="F26" s="14">
        <f t="shared" si="1"/>
        <v>7.4472995774641657E-2</v>
      </c>
      <c r="G26" s="15">
        <v>1877969478</v>
      </c>
    </row>
    <row r="27" spans="1:7" x14ac:dyDescent="0.2">
      <c r="A27" s="11" t="s">
        <v>25</v>
      </c>
      <c r="B27" s="12" t="s">
        <v>83</v>
      </c>
      <c r="C27" s="13">
        <v>4426598554</v>
      </c>
      <c r="D27" s="14">
        <f t="shared" si="0"/>
        <v>0.1396805708246352</v>
      </c>
      <c r="E27" s="13">
        <v>3884069508</v>
      </c>
      <c r="F27" s="14">
        <f t="shared" si="1"/>
        <v>0.1848209067505675</v>
      </c>
      <c r="G27" s="15">
        <v>3278191232</v>
      </c>
    </row>
    <row r="28" spans="1:7" x14ac:dyDescent="0.2">
      <c r="A28" s="11" t="s">
        <v>26</v>
      </c>
      <c r="B28" s="12" t="s">
        <v>82</v>
      </c>
      <c r="C28" s="13">
        <v>1569074308</v>
      </c>
      <c r="D28" s="14">
        <f t="shared" si="0"/>
        <v>4.546645344949482E-2</v>
      </c>
      <c r="E28" s="13">
        <v>1500836591</v>
      </c>
      <c r="F28" s="14">
        <f t="shared" si="1"/>
        <v>6.377238424684388E-2</v>
      </c>
      <c r="G28" s="15">
        <v>1410862524</v>
      </c>
    </row>
    <row r="29" spans="1:7" x14ac:dyDescent="0.2">
      <c r="A29" s="11" t="s">
        <v>27</v>
      </c>
      <c r="B29" s="12" t="s">
        <v>82</v>
      </c>
      <c r="C29" s="13">
        <v>3224573352</v>
      </c>
      <c r="D29" s="14">
        <f t="shared" si="0"/>
        <v>0.1090942514099178</v>
      </c>
      <c r="E29" s="13">
        <v>2907393441</v>
      </c>
      <c r="F29" s="14">
        <f t="shared" si="1"/>
        <v>0.12891400725762489</v>
      </c>
      <c r="G29" s="15">
        <v>2575389642</v>
      </c>
    </row>
    <row r="30" spans="1:7" x14ac:dyDescent="0.2">
      <c r="A30" s="11" t="s">
        <v>28</v>
      </c>
      <c r="B30" s="12" t="s">
        <v>82</v>
      </c>
      <c r="C30" s="13">
        <v>6421129635</v>
      </c>
      <c r="D30" s="14">
        <f t="shared" si="0"/>
        <v>0.12090224436673644</v>
      </c>
      <c r="E30" s="13">
        <v>5728536692</v>
      </c>
      <c r="F30" s="14">
        <f t="shared" si="1"/>
        <v>0.13344621550363797</v>
      </c>
      <c r="G30" s="15">
        <v>5054087802</v>
      </c>
    </row>
    <row r="31" spans="1:7" x14ac:dyDescent="0.2">
      <c r="A31" s="11" t="s">
        <v>29</v>
      </c>
      <c r="B31" s="12" t="s">
        <v>82</v>
      </c>
      <c r="C31" s="13">
        <v>22305082697</v>
      </c>
      <c r="D31" s="14">
        <f t="shared" si="0"/>
        <v>0.10228654416914593</v>
      </c>
      <c r="E31" s="13">
        <v>20235285294</v>
      </c>
      <c r="F31" s="14">
        <f t="shared" si="1"/>
        <v>0.13366238033936848</v>
      </c>
      <c r="G31" s="15">
        <v>17849481155</v>
      </c>
    </row>
    <row r="32" spans="1:7" x14ac:dyDescent="0.2">
      <c r="A32" s="11" t="s">
        <v>30</v>
      </c>
      <c r="B32" s="12" t="s">
        <v>82</v>
      </c>
      <c r="C32" s="13">
        <v>10664685367</v>
      </c>
      <c r="D32" s="14">
        <f t="shared" si="0"/>
        <v>8.881171448731158E-2</v>
      </c>
      <c r="E32" s="13">
        <v>9794793007</v>
      </c>
      <c r="F32" s="14">
        <f t="shared" si="1"/>
        <v>0.11576400194055497</v>
      </c>
      <c r="G32" s="15">
        <v>8778552624</v>
      </c>
    </row>
    <row r="33" spans="1:7" x14ac:dyDescent="0.2">
      <c r="A33" s="11" t="s">
        <v>31</v>
      </c>
      <c r="B33" s="12" t="s">
        <v>82</v>
      </c>
      <c r="C33" s="13">
        <v>210443865962</v>
      </c>
      <c r="D33" s="14">
        <f t="shared" si="0"/>
        <v>7.4012618839770436E-2</v>
      </c>
      <c r="E33" s="13">
        <v>195941707081</v>
      </c>
      <c r="F33" s="14">
        <f t="shared" si="1"/>
        <v>0.11310698346128446</v>
      </c>
      <c r="G33" s="15">
        <v>176031333908</v>
      </c>
    </row>
    <row r="34" spans="1:7" x14ac:dyDescent="0.2">
      <c r="A34" s="11" t="s">
        <v>32</v>
      </c>
      <c r="B34" s="12" t="s">
        <v>83</v>
      </c>
      <c r="C34" s="13">
        <v>1026025928</v>
      </c>
      <c r="D34" s="14">
        <f t="shared" si="0"/>
        <v>8.4365815146350095E-2</v>
      </c>
      <c r="E34" s="13">
        <v>946199072</v>
      </c>
      <c r="F34" s="14">
        <f t="shared" si="1"/>
        <v>6.9635175559935036E-2</v>
      </c>
      <c r="G34" s="15">
        <v>884599809</v>
      </c>
    </row>
    <row r="35" spans="1:7" x14ac:dyDescent="0.2">
      <c r="A35" s="11" t="s">
        <v>33</v>
      </c>
      <c r="B35" s="12" t="s">
        <v>82</v>
      </c>
      <c r="C35" s="13">
        <v>33994066603</v>
      </c>
      <c r="D35" s="14">
        <f t="shared" si="0"/>
        <v>9.1715191540451477E-2</v>
      </c>
      <c r="E35" s="13">
        <v>31138218893</v>
      </c>
      <c r="F35" s="14">
        <f t="shared" si="1"/>
        <v>0.12435974777150989</v>
      </c>
      <c r="G35" s="15">
        <v>27694177913</v>
      </c>
    </row>
    <row r="36" spans="1:7" x14ac:dyDescent="0.2">
      <c r="A36" s="11" t="s">
        <v>34</v>
      </c>
      <c r="B36" s="12" t="s">
        <v>83</v>
      </c>
      <c r="C36" s="13">
        <v>3385163223</v>
      </c>
      <c r="D36" s="14">
        <f t="shared" si="0"/>
        <v>7.6576038838827992E-2</v>
      </c>
      <c r="E36" s="13">
        <v>3144379125</v>
      </c>
      <c r="F36" s="14">
        <f t="shared" si="1"/>
        <v>7.8114812326622721E-2</v>
      </c>
      <c r="G36" s="15">
        <v>2916553125</v>
      </c>
    </row>
    <row r="37" spans="1:7" x14ac:dyDescent="0.2">
      <c r="A37" s="11" t="s">
        <v>35</v>
      </c>
      <c r="B37" s="12" t="s">
        <v>82</v>
      </c>
      <c r="C37" s="13">
        <v>1505506305</v>
      </c>
      <c r="D37" s="14">
        <f t="shared" si="0"/>
        <v>5.1188750934642008E-2</v>
      </c>
      <c r="E37" s="13">
        <v>1432194079</v>
      </c>
      <c r="F37" s="14">
        <f t="shared" si="1"/>
        <v>0.22611322097857198</v>
      </c>
      <c r="G37" s="15">
        <v>1168076532</v>
      </c>
    </row>
    <row r="38" spans="1:7" x14ac:dyDescent="0.2">
      <c r="A38" s="11" t="s">
        <v>36</v>
      </c>
      <c r="B38" s="12" t="s">
        <v>83</v>
      </c>
      <c r="C38" s="13">
        <v>563051267</v>
      </c>
      <c r="D38" s="14">
        <f t="shared" si="0"/>
        <v>6.7619402224584277E-2</v>
      </c>
      <c r="E38" s="13">
        <v>527389504</v>
      </c>
      <c r="F38" s="14">
        <f t="shared" si="1"/>
        <v>4.2873373677398068E-2</v>
      </c>
      <c r="G38" s="15">
        <v>505708092</v>
      </c>
    </row>
    <row r="39" spans="1:7" x14ac:dyDescent="0.2">
      <c r="A39" s="11" t="s">
        <v>37</v>
      </c>
      <c r="B39" s="12" t="s">
        <v>82</v>
      </c>
      <c r="C39" s="13">
        <v>49668453253</v>
      </c>
      <c r="D39" s="14">
        <f t="shared" si="0"/>
        <v>0.13853585722767497</v>
      </c>
      <c r="E39" s="13">
        <v>43624847595</v>
      </c>
      <c r="F39" s="14">
        <f t="shared" si="1"/>
        <v>0.12812511316071828</v>
      </c>
      <c r="G39" s="15">
        <v>38670221136</v>
      </c>
    </row>
    <row r="40" spans="1:7" x14ac:dyDescent="0.2">
      <c r="A40" s="11" t="s">
        <v>38</v>
      </c>
      <c r="B40" s="12" t="s">
        <v>82</v>
      </c>
      <c r="C40" s="13">
        <v>159559802143</v>
      </c>
      <c r="D40" s="14">
        <f t="shared" si="0"/>
        <v>0.13363185630903471</v>
      </c>
      <c r="E40" s="13">
        <v>140750986535</v>
      </c>
      <c r="F40" s="14">
        <f t="shared" si="1"/>
        <v>6.7521679389276848E-2</v>
      </c>
      <c r="G40" s="15">
        <v>131848363600</v>
      </c>
    </row>
    <row r="41" spans="1:7" x14ac:dyDescent="0.2">
      <c r="A41" s="11" t="s">
        <v>39</v>
      </c>
      <c r="B41" s="12" t="s">
        <v>82</v>
      </c>
      <c r="C41" s="13">
        <v>37217020294</v>
      </c>
      <c r="D41" s="14">
        <f t="shared" si="0"/>
        <v>8.6868857923691589E-2</v>
      </c>
      <c r="E41" s="13">
        <v>34242420346</v>
      </c>
      <c r="F41" s="14">
        <f t="shared" si="1"/>
        <v>7.1818861703846715E-2</v>
      </c>
      <c r="G41" s="15">
        <v>31947954612</v>
      </c>
    </row>
    <row r="42" spans="1:7" x14ac:dyDescent="0.2">
      <c r="A42" s="11" t="s">
        <v>40</v>
      </c>
      <c r="B42" s="12" t="s">
        <v>83</v>
      </c>
      <c r="C42" s="13">
        <v>4237944975</v>
      </c>
      <c r="D42" s="14">
        <f t="shared" si="0"/>
        <v>0.10063520684831161</v>
      </c>
      <c r="E42" s="13">
        <v>3850453764</v>
      </c>
      <c r="F42" s="14">
        <f t="shared" si="1"/>
        <v>0.10950459614304139</v>
      </c>
      <c r="G42" s="15">
        <v>3470426150</v>
      </c>
    </row>
    <row r="43" spans="1:7" x14ac:dyDescent="0.2">
      <c r="A43" s="11" t="s">
        <v>41</v>
      </c>
      <c r="B43" s="12" t="s">
        <v>83</v>
      </c>
      <c r="C43" s="13">
        <v>807138685</v>
      </c>
      <c r="D43" s="14">
        <f t="shared" si="0"/>
        <v>2.2644303985415701E-2</v>
      </c>
      <c r="E43" s="13">
        <v>789266299</v>
      </c>
      <c r="F43" s="14">
        <f t="shared" si="1"/>
        <v>2.1457116606583733E-2</v>
      </c>
      <c r="G43" s="15">
        <v>772686671</v>
      </c>
    </row>
    <row r="44" spans="1:7" x14ac:dyDescent="0.2">
      <c r="A44" s="11" t="s">
        <v>42</v>
      </c>
      <c r="B44" s="12" t="s">
        <v>82</v>
      </c>
      <c r="C44" s="13">
        <v>1585441451</v>
      </c>
      <c r="D44" s="14">
        <f t="shared" si="0"/>
        <v>8.6095616189406837E-2</v>
      </c>
      <c r="E44" s="13">
        <v>1459762315</v>
      </c>
      <c r="F44" s="14">
        <f t="shared" si="1"/>
        <v>0.18715124778261882</v>
      </c>
      <c r="G44" s="15">
        <v>1229634655</v>
      </c>
    </row>
    <row r="45" spans="1:7" x14ac:dyDescent="0.2">
      <c r="A45" s="11" t="s">
        <v>43</v>
      </c>
      <c r="B45" s="12" t="s">
        <v>82</v>
      </c>
      <c r="C45" s="13">
        <v>79726530021</v>
      </c>
      <c r="D45" s="14">
        <f t="shared" si="0"/>
        <v>0.12392407121800895</v>
      </c>
      <c r="E45" s="13">
        <v>70935868412</v>
      </c>
      <c r="F45" s="14">
        <f t="shared" si="1"/>
        <v>0.16179156693646382</v>
      </c>
      <c r="G45" s="15">
        <v>61057310477</v>
      </c>
    </row>
    <row r="46" spans="1:7" x14ac:dyDescent="0.2">
      <c r="A46" s="11" t="s">
        <v>44</v>
      </c>
      <c r="B46" s="12" t="s">
        <v>82</v>
      </c>
      <c r="C46" s="13">
        <v>43438520634</v>
      </c>
      <c r="D46" s="14">
        <f t="shared" si="0"/>
        <v>0.12183793217581095</v>
      </c>
      <c r="E46" s="13">
        <v>38720852084</v>
      </c>
      <c r="F46" s="14">
        <f t="shared" si="1"/>
        <v>0.14462653679413018</v>
      </c>
      <c r="G46" s="15">
        <v>33828371822</v>
      </c>
    </row>
    <row r="47" spans="1:7" x14ac:dyDescent="0.2">
      <c r="A47" s="11" t="s">
        <v>45</v>
      </c>
      <c r="B47" s="12" t="s">
        <v>82</v>
      </c>
      <c r="C47" s="13">
        <v>39514227827</v>
      </c>
      <c r="D47" s="14">
        <f t="shared" si="0"/>
        <v>9.3285898912289153E-2</v>
      </c>
      <c r="E47" s="13">
        <v>36142630090</v>
      </c>
      <c r="F47" s="14">
        <f t="shared" si="1"/>
        <v>0.11493807187821536</v>
      </c>
      <c r="G47" s="15">
        <v>32416715333</v>
      </c>
    </row>
    <row r="48" spans="1:7" x14ac:dyDescent="0.2">
      <c r="A48" s="11" t="s">
        <v>46</v>
      </c>
      <c r="B48" s="12" t="s">
        <v>82</v>
      </c>
      <c r="C48" s="13">
        <v>52685957056</v>
      </c>
      <c r="D48" s="14">
        <f t="shared" si="0"/>
        <v>9.3984533249344554E-2</v>
      </c>
      <c r="E48" s="13">
        <v>48159690978</v>
      </c>
      <c r="F48" s="14">
        <f t="shared" si="1"/>
        <v>0.12045208091305309</v>
      </c>
      <c r="G48" s="15">
        <v>42982374524</v>
      </c>
    </row>
    <row r="49" spans="1:7" x14ac:dyDescent="0.2">
      <c r="A49" s="11" t="s">
        <v>47</v>
      </c>
      <c r="B49" s="12" t="s">
        <v>82</v>
      </c>
      <c r="C49" s="13">
        <v>19934136656</v>
      </c>
      <c r="D49" s="14">
        <f t="shared" si="0"/>
        <v>0.11393142981976723</v>
      </c>
      <c r="E49" s="13">
        <v>17895299587</v>
      </c>
      <c r="F49" s="14">
        <f t="shared" si="1"/>
        <v>0.14566864807752672</v>
      </c>
      <c r="G49" s="15">
        <v>15619960987</v>
      </c>
    </row>
    <row r="50" spans="1:7" x14ac:dyDescent="0.2">
      <c r="A50" s="11" t="s">
        <v>48</v>
      </c>
      <c r="B50" s="12" t="s">
        <v>82</v>
      </c>
      <c r="C50" s="13">
        <v>35470182383</v>
      </c>
      <c r="D50" s="14">
        <f t="shared" si="0"/>
        <v>7.6096977441780317E-2</v>
      </c>
      <c r="E50" s="13">
        <v>32961882736</v>
      </c>
      <c r="F50" s="14">
        <f t="shared" si="1"/>
        <v>0.11130564777145091</v>
      </c>
      <c r="G50" s="15">
        <v>29660501413</v>
      </c>
    </row>
    <row r="51" spans="1:7" x14ac:dyDescent="0.2">
      <c r="A51" s="11" t="s">
        <v>49</v>
      </c>
      <c r="B51" s="12" t="s">
        <v>82</v>
      </c>
      <c r="C51" s="13">
        <v>5898979499</v>
      </c>
      <c r="D51" s="14">
        <f t="shared" si="0"/>
        <v>9.8192554009675428E-2</v>
      </c>
      <c r="E51" s="13">
        <v>5371534780</v>
      </c>
      <c r="F51" s="14">
        <f t="shared" si="1"/>
        <v>9.0349760281646513E-2</v>
      </c>
      <c r="G51" s="15">
        <v>4926432761</v>
      </c>
    </row>
    <row r="52" spans="1:7" x14ac:dyDescent="0.2">
      <c r="A52" s="11" t="s">
        <v>50</v>
      </c>
      <c r="B52" s="12" t="s">
        <v>82</v>
      </c>
      <c r="C52" s="13">
        <v>270667257726</v>
      </c>
      <c r="D52" s="14">
        <f t="shared" si="0"/>
        <v>7.3699207618691254E-2</v>
      </c>
      <c r="E52" s="13">
        <v>252088532622</v>
      </c>
      <c r="F52" s="14">
        <f t="shared" si="1"/>
        <v>0.11833750531235417</v>
      </c>
      <c r="G52" s="15">
        <v>225413644293</v>
      </c>
    </row>
    <row r="53" spans="1:7" x14ac:dyDescent="0.2">
      <c r="A53" s="11" t="s">
        <v>51</v>
      </c>
      <c r="B53" s="12" t="s">
        <v>82</v>
      </c>
      <c r="C53" s="13">
        <v>62912104954</v>
      </c>
      <c r="D53" s="14">
        <f t="shared" si="0"/>
        <v>0.12165168907781521</v>
      </c>
      <c r="E53" s="13">
        <v>56088806861</v>
      </c>
      <c r="F53" s="14">
        <f t="shared" si="1"/>
        <v>0.14134200128286961</v>
      </c>
      <c r="G53" s="15">
        <v>49142857091</v>
      </c>
    </row>
    <row r="54" spans="1:7" x14ac:dyDescent="0.2">
      <c r="A54" s="11" t="s">
        <v>52</v>
      </c>
      <c r="B54" s="12" t="s">
        <v>82</v>
      </c>
      <c r="C54" s="13">
        <v>361130036467</v>
      </c>
      <c r="D54" s="14">
        <f t="shared" si="0"/>
        <v>9.1387743618770681E-2</v>
      </c>
      <c r="E54" s="13">
        <v>330890683516</v>
      </c>
      <c r="F54" s="14">
        <f t="shared" si="1"/>
        <v>0.12565182293587709</v>
      </c>
      <c r="G54" s="15">
        <v>293954735180</v>
      </c>
    </row>
    <row r="55" spans="1:7" x14ac:dyDescent="0.2">
      <c r="A55" s="11" t="s">
        <v>53</v>
      </c>
      <c r="B55" s="12" t="s">
        <v>82</v>
      </c>
      <c r="C55" s="13">
        <v>67461044345</v>
      </c>
      <c r="D55" s="14">
        <f t="shared" si="0"/>
        <v>0.1287950887694522</v>
      </c>
      <c r="E55" s="13">
        <v>59763764935</v>
      </c>
      <c r="F55" s="14">
        <f t="shared" si="1"/>
        <v>0.14388406920219743</v>
      </c>
      <c r="G55" s="15">
        <v>52246347811</v>
      </c>
    </row>
    <row r="56" spans="1:7" x14ac:dyDescent="0.2">
      <c r="A56" s="11" t="s">
        <v>54</v>
      </c>
      <c r="B56" s="12" t="s">
        <v>82</v>
      </c>
      <c r="C56" s="13">
        <v>163850377565</v>
      </c>
      <c r="D56" s="14">
        <f t="shared" si="0"/>
        <v>8.430043804415141E-2</v>
      </c>
      <c r="E56" s="13">
        <v>151111603220</v>
      </c>
      <c r="F56" s="14">
        <f t="shared" si="1"/>
        <v>0.10596199888553813</v>
      </c>
      <c r="G56" s="15">
        <v>136633630606</v>
      </c>
    </row>
    <row r="57" spans="1:7" x14ac:dyDescent="0.2">
      <c r="A57" s="11" t="s">
        <v>55</v>
      </c>
      <c r="B57" s="12" t="s">
        <v>82</v>
      </c>
      <c r="C57" s="13">
        <v>82212242463</v>
      </c>
      <c r="D57" s="14">
        <f t="shared" si="0"/>
        <v>0.10378704538418912</v>
      </c>
      <c r="E57" s="13">
        <v>74481978029</v>
      </c>
      <c r="F57" s="14">
        <f t="shared" si="1"/>
        <v>0.13933637609126806</v>
      </c>
      <c r="G57" s="15">
        <v>65373123857</v>
      </c>
    </row>
    <row r="58" spans="1:7" x14ac:dyDescent="0.2">
      <c r="A58" s="11" t="s">
        <v>56</v>
      </c>
      <c r="B58" s="12" t="s">
        <v>82</v>
      </c>
      <c r="C58" s="13">
        <v>9630391077</v>
      </c>
      <c r="D58" s="14">
        <f t="shared" si="0"/>
        <v>0.12903978761035884</v>
      </c>
      <c r="E58" s="13">
        <v>8529718069</v>
      </c>
      <c r="F58" s="14">
        <f t="shared" si="1"/>
        <v>0.16063307111303707</v>
      </c>
      <c r="G58" s="15">
        <v>7349194402</v>
      </c>
    </row>
    <row r="59" spans="1:7" x14ac:dyDescent="0.2">
      <c r="A59" s="11" t="s">
        <v>2</v>
      </c>
      <c r="B59" s="12" t="s">
        <v>82</v>
      </c>
      <c r="C59" s="13">
        <v>62899921161</v>
      </c>
      <c r="D59" s="14">
        <f t="shared" si="0"/>
        <v>0.12409734964625664</v>
      </c>
      <c r="E59" s="13">
        <v>55955937607</v>
      </c>
      <c r="F59" s="14">
        <f t="shared" si="1"/>
        <v>0.15773181935286479</v>
      </c>
      <c r="G59" s="15">
        <v>48332382916</v>
      </c>
    </row>
    <row r="60" spans="1:7" x14ac:dyDescent="0.2">
      <c r="A60" s="11" t="s">
        <v>3</v>
      </c>
      <c r="B60" s="12" t="s">
        <v>82</v>
      </c>
      <c r="C60" s="13">
        <v>49638271627</v>
      </c>
      <c r="D60" s="14">
        <f t="shared" si="0"/>
        <v>0.1221491421580051</v>
      </c>
      <c r="E60" s="13">
        <v>44235003853</v>
      </c>
      <c r="F60" s="14">
        <f t="shared" si="1"/>
        <v>0.15234969578275082</v>
      </c>
      <c r="G60" s="15">
        <v>38386788329</v>
      </c>
    </row>
    <row r="61" spans="1:7" x14ac:dyDescent="0.2">
      <c r="A61" s="11" t="s">
        <v>57</v>
      </c>
      <c r="B61" s="12" t="s">
        <v>82</v>
      </c>
      <c r="C61" s="13">
        <v>23329322470</v>
      </c>
      <c r="D61" s="14">
        <f t="shared" si="0"/>
        <v>9.3796524939354545E-2</v>
      </c>
      <c r="E61" s="13">
        <v>21328758995</v>
      </c>
      <c r="F61" s="14">
        <f t="shared" si="1"/>
        <v>0.12213120187893266</v>
      </c>
      <c r="G61" s="15">
        <v>19007366482</v>
      </c>
    </row>
    <row r="62" spans="1:7" x14ac:dyDescent="0.2">
      <c r="A62" s="11" t="s">
        <v>58</v>
      </c>
      <c r="B62" s="12" t="s">
        <v>82</v>
      </c>
      <c r="C62" s="13">
        <v>119120158824</v>
      </c>
      <c r="D62" s="14">
        <f t="shared" si="0"/>
        <v>9.6421395480321082E-2</v>
      </c>
      <c r="E62" s="13">
        <v>108644504125</v>
      </c>
      <c r="F62" s="14">
        <f t="shared" si="1"/>
        <v>0.12938794873609016</v>
      </c>
      <c r="G62" s="15">
        <v>96197683220</v>
      </c>
    </row>
    <row r="63" spans="1:7" x14ac:dyDescent="0.2">
      <c r="A63" s="11" t="s">
        <v>59</v>
      </c>
      <c r="B63" s="12" t="s">
        <v>82</v>
      </c>
      <c r="C63" s="13">
        <v>63330016436</v>
      </c>
      <c r="D63" s="14">
        <f t="shared" si="0"/>
        <v>7.8519805179854921E-2</v>
      </c>
      <c r="E63" s="13">
        <v>58719382001</v>
      </c>
      <c r="F63" s="14">
        <f t="shared" si="1"/>
        <v>9.6218452124550949E-2</v>
      </c>
      <c r="G63" s="15">
        <v>53565401939</v>
      </c>
    </row>
    <row r="64" spans="1:7" x14ac:dyDescent="0.2">
      <c r="A64" s="11" t="s">
        <v>60</v>
      </c>
      <c r="B64" s="12" t="s">
        <v>82</v>
      </c>
      <c r="C64" s="13">
        <v>26282241851</v>
      </c>
      <c r="D64" s="14">
        <f t="shared" si="0"/>
        <v>8.0684069922030879E-2</v>
      </c>
      <c r="E64" s="13">
        <v>24320004877</v>
      </c>
      <c r="F64" s="14">
        <f t="shared" si="1"/>
        <v>0.13516028336458843</v>
      </c>
      <c r="G64" s="15">
        <v>21424291559</v>
      </c>
    </row>
    <row r="65" spans="1:7" x14ac:dyDescent="0.2">
      <c r="A65" s="11" t="s">
        <v>61</v>
      </c>
      <c r="B65" s="12" t="s">
        <v>83</v>
      </c>
      <c r="C65" s="13">
        <v>3617851049</v>
      </c>
      <c r="D65" s="14">
        <f t="shared" si="0"/>
        <v>8.1802011585715387E-2</v>
      </c>
      <c r="E65" s="13">
        <v>3344282050</v>
      </c>
      <c r="F65" s="14">
        <f t="shared" si="1"/>
        <v>0.12148412157534882</v>
      </c>
      <c r="G65" s="15">
        <v>2982014623</v>
      </c>
    </row>
    <row r="66" spans="1:7" x14ac:dyDescent="0.2">
      <c r="A66" s="11" t="s">
        <v>62</v>
      </c>
      <c r="B66" s="12" t="s">
        <v>82</v>
      </c>
      <c r="C66" s="13">
        <v>2501148808</v>
      </c>
      <c r="D66" s="14">
        <f t="shared" si="0"/>
        <v>7.5510564500029104E-3</v>
      </c>
      <c r="E66" s="13">
        <v>2482404035</v>
      </c>
      <c r="F66" s="14">
        <f t="shared" si="1"/>
        <v>0.11268935607112728</v>
      </c>
      <c r="G66" s="15">
        <v>2230994681</v>
      </c>
    </row>
    <row r="67" spans="1:7" x14ac:dyDescent="0.2">
      <c r="A67" s="11" t="s">
        <v>63</v>
      </c>
      <c r="B67" s="12" t="s">
        <v>83</v>
      </c>
      <c r="C67" s="13">
        <v>655680584</v>
      </c>
      <c r="D67" s="14">
        <f t="shared" si="0"/>
        <v>5.8478545153143033E-2</v>
      </c>
      <c r="E67" s="13">
        <v>619455715</v>
      </c>
      <c r="F67" s="14">
        <f t="shared" si="1"/>
        <v>8.9545147494654892E-2</v>
      </c>
      <c r="G67" s="15">
        <v>568545247</v>
      </c>
    </row>
    <row r="68" spans="1:7" x14ac:dyDescent="0.2">
      <c r="A68" s="11" t="s">
        <v>64</v>
      </c>
      <c r="B68" s="12" t="s">
        <v>82</v>
      </c>
      <c r="C68" s="13">
        <v>77508854615</v>
      </c>
      <c r="D68" s="14">
        <f t="shared" si="0"/>
        <v>9.7463150849606689E-2</v>
      </c>
      <c r="E68" s="13">
        <v>70625473443</v>
      </c>
      <c r="F68" s="14">
        <f t="shared" si="1"/>
        <v>0.11584576745143427</v>
      </c>
      <c r="G68" s="15">
        <v>63293221611</v>
      </c>
    </row>
    <row r="69" spans="1:7" x14ac:dyDescent="0.2">
      <c r="A69" s="11" t="s">
        <v>65</v>
      </c>
      <c r="B69" s="12" t="s">
        <v>83</v>
      </c>
      <c r="C69" s="13">
        <v>3398023736</v>
      </c>
      <c r="D69" s="14">
        <f t="shared" si="0"/>
        <v>9.6890157742703986E-2</v>
      </c>
      <c r="E69" s="13">
        <v>3097870568</v>
      </c>
      <c r="F69" s="14">
        <f t="shared" si="1"/>
        <v>0.1364722327434571</v>
      </c>
      <c r="G69" s="15">
        <v>2725865603</v>
      </c>
    </row>
    <row r="70" spans="1:7" x14ac:dyDescent="0.2">
      <c r="A70" s="11" t="s">
        <v>66</v>
      </c>
      <c r="B70" s="12" t="s">
        <v>82</v>
      </c>
      <c r="C70" s="13">
        <v>45690998059</v>
      </c>
      <c r="D70" s="14">
        <f>((C70-E70)/E70)</f>
        <v>0.12853146039011909</v>
      </c>
      <c r="E70" s="13">
        <v>40487128328</v>
      </c>
      <c r="F70" s="14">
        <f>((E70-G70)/G70)</f>
        <v>0.18221543879708954</v>
      </c>
      <c r="G70" s="15">
        <v>34246827608</v>
      </c>
    </row>
    <row r="71" spans="1:7" x14ac:dyDescent="0.2">
      <c r="A71" s="11" t="s">
        <v>67</v>
      </c>
      <c r="B71" s="12" t="s">
        <v>83</v>
      </c>
      <c r="C71" s="13">
        <v>1878256074</v>
      </c>
      <c r="D71" s="14">
        <f>((C71-E71)/E71)</f>
        <v>8.8935385218190999E-2</v>
      </c>
      <c r="E71" s="13">
        <v>1724855395</v>
      </c>
      <c r="F71" s="14">
        <f>((E71-G71)/G71)</f>
        <v>9.3310227323811043E-2</v>
      </c>
      <c r="G71" s="15">
        <v>1577644983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SUM(C5:C72)</f>
        <v>3859258916230</v>
      </c>
      <c r="D73" s="22">
        <f>((C73-E73)/E73)</f>
        <v>9.6972433921659038E-2</v>
      </c>
      <c r="E73" s="21">
        <f>SUM(E5:E72)</f>
        <v>3518100179084</v>
      </c>
      <c r="F73" s="22">
        <f>((E73-G73)/G73)</f>
        <v>0.11785616235378606</v>
      </c>
      <c r="G73" s="23">
        <f>SUM(G5:G71)</f>
        <v>3147185029312</v>
      </c>
    </row>
    <row r="75" spans="1:7" x14ac:dyDescent="0.2">
      <c r="A75" s="24" t="s">
        <v>87</v>
      </c>
    </row>
    <row r="76" spans="1:7" x14ac:dyDescent="0.2">
      <c r="G76" s="25"/>
    </row>
  </sheetData>
  <phoneticPr fontId="3" type="noConversion"/>
  <conditionalFormatting sqref="A75">
    <cfRule type="expression" dxfId="9" priority="7" stopIfTrue="1">
      <formula>MOD(ROW(),5)=1</formula>
    </cfRule>
  </conditionalFormatting>
  <conditionalFormatting sqref="A4:G73">
    <cfRule type="expression" dxfId="8" priority="1" stopIfTrue="1">
      <formula>MOD(ROW(),3)=1</formula>
    </cfRule>
  </conditionalFormatting>
  <pageMargins left="0.7" right="0.7" top="0.5" bottom="0.5" header="0.05" footer="0.05"/>
  <pageSetup scale="90" fitToHeight="2" orientation="landscape" r:id="rId1"/>
  <rowBreaks count="1" manualBreakCount="1">
    <brk id="37" max="6" man="1"/>
  </rowBreaks>
  <ignoredErrors>
    <ignoredError sqref="E73 G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5"/>
  <sheetViews>
    <sheetView zoomScaleNormal="100" zoomScaleSheetLayoutView="100"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71</v>
      </c>
      <c r="B1" s="7"/>
      <c r="C1" s="8"/>
      <c r="D1" s="7"/>
      <c r="E1" s="8"/>
      <c r="F1" s="7"/>
      <c r="G1" s="8"/>
    </row>
    <row r="2" spans="1:7" ht="15" x14ac:dyDescent="0.25">
      <c r="A2" s="9" t="s">
        <v>93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86</v>
      </c>
      <c r="D4" s="38" t="s">
        <v>92</v>
      </c>
      <c r="E4" s="38" t="s">
        <v>84</v>
      </c>
      <c r="F4" s="38" t="s">
        <v>85</v>
      </c>
      <c r="G4" s="39" t="s">
        <v>81</v>
      </c>
    </row>
    <row r="5" spans="1:7" x14ac:dyDescent="0.2">
      <c r="A5" s="11" t="s">
        <v>4</v>
      </c>
      <c r="B5" s="12" t="s">
        <v>82</v>
      </c>
      <c r="C5" s="13">
        <v>31106859152</v>
      </c>
      <c r="D5" s="14">
        <f>((C5-E5)/E5)</f>
        <v>7.4244523203943272E-2</v>
      </c>
      <c r="E5" s="13">
        <v>28956963224</v>
      </c>
      <c r="F5" s="14">
        <f>((E5-G5)/G5)</f>
        <v>8.5939309650842802E-2</v>
      </c>
      <c r="G5" s="15">
        <v>26665360547</v>
      </c>
    </row>
    <row r="6" spans="1:7" x14ac:dyDescent="0.2">
      <c r="A6" s="11" t="s">
        <v>5</v>
      </c>
      <c r="B6" s="12" t="s">
        <v>83</v>
      </c>
      <c r="C6" s="13">
        <v>2029665540</v>
      </c>
      <c r="D6" s="14">
        <f t="shared" ref="D6:D69" si="0">((C6-E6)/E6)</f>
        <v>8.0193476010791756E-2</v>
      </c>
      <c r="E6" s="13">
        <v>1878983335</v>
      </c>
      <c r="F6" s="14">
        <f t="shared" ref="F6:F69" si="1">((E6-G6)/G6)</f>
        <v>8.9505608057779865E-2</v>
      </c>
      <c r="G6" s="15">
        <v>1724620159</v>
      </c>
    </row>
    <row r="7" spans="1:7" x14ac:dyDescent="0.2">
      <c r="A7" s="11" t="s">
        <v>6</v>
      </c>
      <c r="B7" s="12" t="s">
        <v>82</v>
      </c>
      <c r="C7" s="13">
        <v>33071092326</v>
      </c>
      <c r="D7" s="14">
        <f t="shared" si="0"/>
        <v>0.11327782348582534</v>
      </c>
      <c r="E7" s="13">
        <v>29706055064</v>
      </c>
      <c r="F7" s="14">
        <f t="shared" si="1"/>
        <v>0.15476044786631171</v>
      </c>
      <c r="G7" s="15">
        <v>25724863645</v>
      </c>
    </row>
    <row r="8" spans="1:7" x14ac:dyDescent="0.2">
      <c r="A8" s="11" t="s">
        <v>7</v>
      </c>
      <c r="B8" s="12" t="s">
        <v>82</v>
      </c>
      <c r="C8" s="13">
        <v>1593196433</v>
      </c>
      <c r="D8" s="14">
        <f t="shared" si="0"/>
        <v>9.4938034739291993E-2</v>
      </c>
      <c r="E8" s="13">
        <v>1455056252</v>
      </c>
      <c r="F8" s="14">
        <f t="shared" si="1"/>
        <v>8.5695752021359747E-2</v>
      </c>
      <c r="G8" s="15">
        <v>1340206268</v>
      </c>
    </row>
    <row r="9" spans="1:7" x14ac:dyDescent="0.2">
      <c r="A9" s="11" t="s">
        <v>8</v>
      </c>
      <c r="B9" s="12" t="s">
        <v>82</v>
      </c>
      <c r="C9" s="13">
        <v>81530129770</v>
      </c>
      <c r="D9" s="14">
        <f t="shared" si="0"/>
        <v>9.7773269298043586E-2</v>
      </c>
      <c r="E9" s="13">
        <v>74268641850</v>
      </c>
      <c r="F9" s="14">
        <f t="shared" si="1"/>
        <v>0.11215113935917315</v>
      </c>
      <c r="G9" s="15">
        <v>66779270570</v>
      </c>
    </row>
    <row r="10" spans="1:7" x14ac:dyDescent="0.2">
      <c r="A10" s="11" t="s">
        <v>9</v>
      </c>
      <c r="B10" s="12" t="s">
        <v>82</v>
      </c>
      <c r="C10" s="13">
        <v>335713217050</v>
      </c>
      <c r="D10" s="14">
        <f t="shared" si="0"/>
        <v>8.72620139744021E-2</v>
      </c>
      <c r="E10" s="13">
        <v>308769379170</v>
      </c>
      <c r="F10" s="14">
        <f t="shared" si="1"/>
        <v>9.6756593297110838E-2</v>
      </c>
      <c r="G10" s="15">
        <v>281529539970</v>
      </c>
    </row>
    <row r="11" spans="1:7" x14ac:dyDescent="0.2">
      <c r="A11" s="11" t="s">
        <v>10</v>
      </c>
      <c r="B11" s="12" t="s">
        <v>83</v>
      </c>
      <c r="C11" s="13">
        <v>648222119</v>
      </c>
      <c r="D11" s="14">
        <f t="shared" si="0"/>
        <v>7.4533222831811241E-2</v>
      </c>
      <c r="E11" s="13">
        <v>603259262</v>
      </c>
      <c r="F11" s="14">
        <f t="shared" si="1"/>
        <v>0.10130613047756681</v>
      </c>
      <c r="G11" s="15">
        <v>547767097</v>
      </c>
    </row>
    <row r="12" spans="1:7" x14ac:dyDescent="0.2">
      <c r="A12" s="11" t="s">
        <v>11</v>
      </c>
      <c r="B12" s="12" t="s">
        <v>82</v>
      </c>
      <c r="C12" s="13">
        <v>36380576538</v>
      </c>
      <c r="D12" s="14">
        <f t="shared" si="0"/>
        <v>0.17555270806426132</v>
      </c>
      <c r="E12" s="13">
        <v>30947635345</v>
      </c>
      <c r="F12" s="14">
        <f t="shared" si="1"/>
        <v>0.11799203189735494</v>
      </c>
      <c r="G12" s="15">
        <v>27681445361</v>
      </c>
    </row>
    <row r="13" spans="1:7" x14ac:dyDescent="0.2">
      <c r="A13" s="11" t="s">
        <v>12</v>
      </c>
      <c r="B13" s="12" t="s">
        <v>82</v>
      </c>
      <c r="C13" s="13">
        <v>17237297437</v>
      </c>
      <c r="D13" s="14">
        <f t="shared" si="0"/>
        <v>9.6701965544404189E-2</v>
      </c>
      <c r="E13" s="13">
        <v>15717394496</v>
      </c>
      <c r="F13" s="14">
        <f t="shared" si="1"/>
        <v>0.11832540972659768</v>
      </c>
      <c r="G13" s="15">
        <v>14054401661</v>
      </c>
    </row>
    <row r="14" spans="1:7" x14ac:dyDescent="0.2">
      <c r="A14" s="11" t="s">
        <v>13</v>
      </c>
      <c r="B14" s="12" t="s">
        <v>82</v>
      </c>
      <c r="C14" s="13">
        <v>22539371344</v>
      </c>
      <c r="D14" s="14">
        <f t="shared" si="0"/>
        <v>9.1918483910541332E-2</v>
      </c>
      <c r="E14" s="13">
        <v>20641990841</v>
      </c>
      <c r="F14" s="14">
        <f t="shared" si="1"/>
        <v>0.13135311750400655</v>
      </c>
      <c r="G14" s="15">
        <v>18245400593</v>
      </c>
    </row>
    <row r="15" spans="1:7" x14ac:dyDescent="0.2">
      <c r="A15" s="11" t="s">
        <v>14</v>
      </c>
      <c r="B15" s="12" t="s">
        <v>82</v>
      </c>
      <c r="C15" s="13">
        <v>162449522653</v>
      </c>
      <c r="D15" s="14">
        <f t="shared" si="0"/>
        <v>9.8228716293755611E-2</v>
      </c>
      <c r="E15" s="13">
        <v>147919572893</v>
      </c>
      <c r="F15" s="14">
        <f t="shared" si="1"/>
        <v>0.12489260602759826</v>
      </c>
      <c r="G15" s="15">
        <v>131496617633</v>
      </c>
    </row>
    <row r="16" spans="1:7" x14ac:dyDescent="0.2">
      <c r="A16" s="11" t="s">
        <v>15</v>
      </c>
      <c r="B16" s="12" t="s">
        <v>82</v>
      </c>
      <c r="C16" s="13">
        <v>5082347143</v>
      </c>
      <c r="D16" s="14">
        <f t="shared" si="0"/>
        <v>8.7109358339183721E-2</v>
      </c>
      <c r="E16" s="13">
        <v>4675102007</v>
      </c>
      <c r="F16" s="14">
        <f t="shared" si="1"/>
        <v>8.5984604510822238E-2</v>
      </c>
      <c r="G16" s="15">
        <v>4304943171</v>
      </c>
    </row>
    <row r="17" spans="1:7" x14ac:dyDescent="0.2">
      <c r="A17" s="11" t="s">
        <v>78</v>
      </c>
      <c r="B17" s="12" t="s">
        <v>82</v>
      </c>
      <c r="C17" s="13">
        <v>515617228098</v>
      </c>
      <c r="D17" s="14">
        <f t="shared" si="0"/>
        <v>0.11215105535079657</v>
      </c>
      <c r="E17" s="13">
        <v>463621578757</v>
      </c>
      <c r="F17" s="14">
        <f t="shared" si="1"/>
        <v>0.11814223016318692</v>
      </c>
      <c r="G17" s="15">
        <v>414635603817</v>
      </c>
    </row>
    <row r="18" spans="1:7" x14ac:dyDescent="0.2">
      <c r="A18" s="11" t="s">
        <v>16</v>
      </c>
      <c r="B18" s="12" t="s">
        <v>82</v>
      </c>
      <c r="C18" s="13">
        <v>2682011045</v>
      </c>
      <c r="D18" s="14">
        <f t="shared" si="0"/>
        <v>0.11404505446235839</v>
      </c>
      <c r="E18" s="13">
        <v>2407452943</v>
      </c>
      <c r="F18" s="14">
        <f t="shared" si="1"/>
        <v>7.1085460409861259E-2</v>
      </c>
      <c r="G18" s="15">
        <v>2247675869</v>
      </c>
    </row>
    <row r="19" spans="1:7" x14ac:dyDescent="0.2">
      <c r="A19" s="11" t="s">
        <v>17</v>
      </c>
      <c r="B19" s="12" t="s">
        <v>83</v>
      </c>
      <c r="C19" s="13">
        <v>1051153550</v>
      </c>
      <c r="D19" s="14">
        <f t="shared" si="0"/>
        <v>6.7158146519452691E-2</v>
      </c>
      <c r="E19" s="13">
        <v>985002601</v>
      </c>
      <c r="F19" s="14">
        <f t="shared" si="1"/>
        <v>9.0579072286625234E-2</v>
      </c>
      <c r="G19" s="15">
        <v>903192282</v>
      </c>
    </row>
    <row r="20" spans="1:7" x14ac:dyDescent="0.2">
      <c r="A20" s="11" t="s">
        <v>18</v>
      </c>
      <c r="B20" s="12" t="s">
        <v>82</v>
      </c>
      <c r="C20" s="13">
        <v>125314228449</v>
      </c>
      <c r="D20" s="14">
        <f t="shared" si="0"/>
        <v>7.5250384510441942E-2</v>
      </c>
      <c r="E20" s="13">
        <v>116544230306</v>
      </c>
      <c r="F20" s="14">
        <f t="shared" si="1"/>
        <v>0.11311742218960266</v>
      </c>
      <c r="G20" s="15">
        <v>104700751226</v>
      </c>
    </row>
    <row r="21" spans="1:7" x14ac:dyDescent="0.2">
      <c r="A21" s="11" t="s">
        <v>19</v>
      </c>
      <c r="B21" s="12" t="s">
        <v>82</v>
      </c>
      <c r="C21" s="13">
        <v>37086014607</v>
      </c>
      <c r="D21" s="14">
        <f t="shared" si="0"/>
        <v>8.2782377642730234E-2</v>
      </c>
      <c r="E21" s="13">
        <v>34250663266</v>
      </c>
      <c r="F21" s="14">
        <f t="shared" si="1"/>
        <v>0.10477755658963825</v>
      </c>
      <c r="G21" s="15">
        <v>31002316314</v>
      </c>
    </row>
    <row r="22" spans="1:7" x14ac:dyDescent="0.2">
      <c r="A22" s="11" t="s">
        <v>20</v>
      </c>
      <c r="B22" s="12" t="s">
        <v>82</v>
      </c>
      <c r="C22" s="13">
        <v>19270593453</v>
      </c>
      <c r="D22" s="14">
        <f t="shared" si="0"/>
        <v>0.12576522687725242</v>
      </c>
      <c r="E22" s="13">
        <v>17117772865</v>
      </c>
      <c r="F22" s="14">
        <f t="shared" si="1"/>
        <v>0.12648907760923267</v>
      </c>
      <c r="G22" s="15">
        <v>15195684721</v>
      </c>
    </row>
    <row r="23" spans="1:7" x14ac:dyDescent="0.2">
      <c r="A23" s="11" t="s">
        <v>21</v>
      </c>
      <c r="B23" s="12" t="s">
        <v>83</v>
      </c>
      <c r="C23" s="13">
        <v>4574051607</v>
      </c>
      <c r="D23" s="14">
        <f t="shared" si="0"/>
        <v>0.23443259665202662</v>
      </c>
      <c r="E23" s="13">
        <v>3705387900</v>
      </c>
      <c r="F23" s="14">
        <f t="shared" si="1"/>
        <v>0.12383152114297132</v>
      </c>
      <c r="G23" s="15">
        <v>3297102662</v>
      </c>
    </row>
    <row r="24" spans="1:7" x14ac:dyDescent="0.2">
      <c r="A24" s="11" t="s">
        <v>22</v>
      </c>
      <c r="B24" s="12" t="s">
        <v>83</v>
      </c>
      <c r="C24" s="13">
        <v>2478427227</v>
      </c>
      <c r="D24" s="14">
        <f t="shared" si="0"/>
        <v>8.9958970641971114E-2</v>
      </c>
      <c r="E24" s="13">
        <v>2273872039</v>
      </c>
      <c r="F24" s="14">
        <f t="shared" si="1"/>
        <v>0.10586322845237679</v>
      </c>
      <c r="G24" s="15">
        <v>2056196445</v>
      </c>
    </row>
    <row r="25" spans="1:7" x14ac:dyDescent="0.2">
      <c r="A25" s="11" t="s">
        <v>23</v>
      </c>
      <c r="B25" s="12" t="s">
        <v>83</v>
      </c>
      <c r="C25" s="13">
        <v>1316198661</v>
      </c>
      <c r="D25" s="14">
        <f t="shared" si="0"/>
        <v>0.10365015891148791</v>
      </c>
      <c r="E25" s="13">
        <v>1192586845</v>
      </c>
      <c r="F25" s="14">
        <f t="shared" si="1"/>
        <v>0.11142384295373201</v>
      </c>
      <c r="G25" s="15">
        <v>1073026148</v>
      </c>
    </row>
    <row r="26" spans="1:7" x14ac:dyDescent="0.2">
      <c r="A26" s="11" t="s">
        <v>24</v>
      </c>
      <c r="B26" s="12" t="s">
        <v>83</v>
      </c>
      <c r="C26" s="13">
        <v>1968033963</v>
      </c>
      <c r="D26" s="14">
        <f t="shared" si="0"/>
        <v>8.7684853576192254E-2</v>
      </c>
      <c r="E26" s="13">
        <v>1809378844</v>
      </c>
      <c r="F26" s="14">
        <f t="shared" si="1"/>
        <v>7.12955786409354E-2</v>
      </c>
      <c r="G26" s="15">
        <v>1688963233</v>
      </c>
    </row>
    <row r="27" spans="1:7" x14ac:dyDescent="0.2">
      <c r="A27" s="11" t="s">
        <v>25</v>
      </c>
      <c r="B27" s="12" t="s">
        <v>83</v>
      </c>
      <c r="C27" s="13">
        <v>4269948671</v>
      </c>
      <c r="D27" s="14">
        <f t="shared" si="0"/>
        <v>0.1417681111506531</v>
      </c>
      <c r="E27" s="13">
        <v>3739768723</v>
      </c>
      <c r="F27" s="14">
        <f t="shared" si="1"/>
        <v>0.18570936568538962</v>
      </c>
      <c r="G27" s="15">
        <v>3154034902</v>
      </c>
    </row>
    <row r="28" spans="1:7" x14ac:dyDescent="0.2">
      <c r="A28" s="11" t="s">
        <v>26</v>
      </c>
      <c r="B28" s="12" t="s">
        <v>82</v>
      </c>
      <c r="C28" s="13">
        <v>883929811</v>
      </c>
      <c r="D28" s="14">
        <f t="shared" si="0"/>
        <v>8.2969438857598415E-2</v>
      </c>
      <c r="E28" s="13">
        <v>816209377</v>
      </c>
      <c r="F28" s="14">
        <f t="shared" si="1"/>
        <v>8.9219124773832495E-2</v>
      </c>
      <c r="G28" s="15">
        <v>749352778</v>
      </c>
    </row>
    <row r="29" spans="1:7" x14ac:dyDescent="0.2">
      <c r="A29" s="11" t="s">
        <v>27</v>
      </c>
      <c r="B29" s="12" t="s">
        <v>82</v>
      </c>
      <c r="C29" s="13">
        <v>2069705235</v>
      </c>
      <c r="D29" s="14">
        <f t="shared" si="0"/>
        <v>0.13533371273324993</v>
      </c>
      <c r="E29" s="13">
        <v>1822992845</v>
      </c>
      <c r="F29" s="14">
        <f t="shared" si="1"/>
        <v>0.10916263758664373</v>
      </c>
      <c r="G29" s="15">
        <v>1643575778</v>
      </c>
    </row>
    <row r="30" spans="1:7" x14ac:dyDescent="0.2">
      <c r="A30" s="11" t="s">
        <v>28</v>
      </c>
      <c r="B30" s="12" t="s">
        <v>82</v>
      </c>
      <c r="C30" s="13">
        <v>4783401528</v>
      </c>
      <c r="D30" s="14">
        <f t="shared" si="0"/>
        <v>0.10442659611943204</v>
      </c>
      <c r="E30" s="13">
        <v>4331117654</v>
      </c>
      <c r="F30" s="14">
        <f t="shared" si="1"/>
        <v>0.12746442910106337</v>
      </c>
      <c r="G30" s="15">
        <v>3841467227</v>
      </c>
    </row>
    <row r="31" spans="1:7" x14ac:dyDescent="0.2">
      <c r="A31" s="11" t="s">
        <v>29</v>
      </c>
      <c r="B31" s="12" t="s">
        <v>82</v>
      </c>
      <c r="C31" s="13">
        <v>20199742963</v>
      </c>
      <c r="D31" s="14">
        <f t="shared" si="0"/>
        <v>0.10991328140593064</v>
      </c>
      <c r="E31" s="13">
        <v>18199388458</v>
      </c>
      <c r="F31" s="14">
        <f t="shared" si="1"/>
        <v>0.13874350860460549</v>
      </c>
      <c r="G31" s="15">
        <v>15981990958</v>
      </c>
    </row>
    <row r="32" spans="1:7" x14ac:dyDescent="0.2">
      <c r="A32" s="11" t="s">
        <v>30</v>
      </c>
      <c r="B32" s="12" t="s">
        <v>82</v>
      </c>
      <c r="C32" s="13">
        <v>9768419300</v>
      </c>
      <c r="D32" s="14">
        <f t="shared" si="0"/>
        <v>9.4357782864913697E-2</v>
      </c>
      <c r="E32" s="13">
        <v>8926166061</v>
      </c>
      <c r="F32" s="14">
        <f t="shared" si="1"/>
        <v>0.11694927677599704</v>
      </c>
      <c r="G32" s="15">
        <v>7991559014</v>
      </c>
    </row>
    <row r="33" spans="1:7" x14ac:dyDescent="0.2">
      <c r="A33" s="11" t="s">
        <v>31</v>
      </c>
      <c r="B33" s="12" t="s">
        <v>82</v>
      </c>
      <c r="C33" s="13">
        <v>195812018695</v>
      </c>
      <c r="D33" s="14">
        <f t="shared" si="0"/>
        <v>7.8189270888093118E-2</v>
      </c>
      <c r="E33" s="13">
        <v>181611915442</v>
      </c>
      <c r="F33" s="14">
        <f t="shared" si="1"/>
        <v>0.11150343747154391</v>
      </c>
      <c r="G33" s="15">
        <v>163393030844</v>
      </c>
    </row>
    <row r="34" spans="1:7" x14ac:dyDescent="0.2">
      <c r="A34" s="11" t="s">
        <v>32</v>
      </c>
      <c r="B34" s="12" t="s">
        <v>83</v>
      </c>
      <c r="C34" s="13">
        <v>883048440</v>
      </c>
      <c r="D34" s="14">
        <f t="shared" si="0"/>
        <v>7.3893358964971179E-2</v>
      </c>
      <c r="E34" s="13">
        <v>822286899</v>
      </c>
      <c r="F34" s="14">
        <f t="shared" si="1"/>
        <v>6.5560218113427576E-2</v>
      </c>
      <c r="G34" s="15">
        <v>771694443</v>
      </c>
    </row>
    <row r="35" spans="1:7" x14ac:dyDescent="0.2">
      <c r="A35" s="11" t="s">
        <v>33</v>
      </c>
      <c r="B35" s="12" t="s">
        <v>82</v>
      </c>
      <c r="C35" s="13">
        <v>32636194624</v>
      </c>
      <c r="D35" s="14">
        <f t="shared" si="0"/>
        <v>9.4433897628165384E-2</v>
      </c>
      <c r="E35" s="13">
        <v>29820160628</v>
      </c>
      <c r="F35" s="14">
        <f t="shared" si="1"/>
        <v>0.11606351498910228</v>
      </c>
      <c r="G35" s="15">
        <v>26719053376</v>
      </c>
    </row>
    <row r="36" spans="1:7" x14ac:dyDescent="0.2">
      <c r="A36" s="11" t="s">
        <v>34</v>
      </c>
      <c r="B36" s="12" t="s">
        <v>83</v>
      </c>
      <c r="C36" s="13">
        <v>2805311678</v>
      </c>
      <c r="D36" s="14">
        <f t="shared" si="0"/>
        <v>8.6562845296628624E-2</v>
      </c>
      <c r="E36" s="13">
        <v>2581821834</v>
      </c>
      <c r="F36" s="14">
        <f t="shared" si="1"/>
        <v>7.5272866278354708E-2</v>
      </c>
      <c r="G36" s="15">
        <v>2401085264</v>
      </c>
    </row>
    <row r="37" spans="1:7" x14ac:dyDescent="0.2">
      <c r="A37" s="11" t="s">
        <v>35</v>
      </c>
      <c r="B37" s="12" t="s">
        <v>82</v>
      </c>
      <c r="C37" s="13">
        <v>1221724247</v>
      </c>
      <c r="D37" s="14">
        <f t="shared" si="0"/>
        <v>6.0638598459672004E-2</v>
      </c>
      <c r="E37" s="13">
        <v>1151876095</v>
      </c>
      <c r="F37" s="14">
        <f t="shared" si="1"/>
        <v>0.18044510344688566</v>
      </c>
      <c r="G37" s="15">
        <v>975798105</v>
      </c>
    </row>
    <row r="38" spans="1:7" x14ac:dyDescent="0.2">
      <c r="A38" s="11" t="s">
        <v>36</v>
      </c>
      <c r="B38" s="12" t="s">
        <v>83</v>
      </c>
      <c r="C38" s="13">
        <v>487359536</v>
      </c>
      <c r="D38" s="14">
        <f t="shared" si="0"/>
        <v>6.7109808434229284E-2</v>
      </c>
      <c r="E38" s="13">
        <v>456709827</v>
      </c>
      <c r="F38" s="14">
        <f t="shared" si="1"/>
        <v>6.9694680972510623E-2</v>
      </c>
      <c r="G38" s="15">
        <v>426953443</v>
      </c>
    </row>
    <row r="39" spans="1:7" x14ac:dyDescent="0.2">
      <c r="A39" s="11" t="s">
        <v>37</v>
      </c>
      <c r="B39" s="12" t="s">
        <v>82</v>
      </c>
      <c r="C39" s="13">
        <v>47061019623</v>
      </c>
      <c r="D39" s="14">
        <f t="shared" si="0"/>
        <v>0.1439277509478393</v>
      </c>
      <c r="E39" s="13">
        <v>41139853093</v>
      </c>
      <c r="F39" s="14">
        <f t="shared" si="1"/>
        <v>0.13375697801337022</v>
      </c>
      <c r="G39" s="15">
        <v>36286306405</v>
      </c>
    </row>
    <row r="40" spans="1:7" x14ac:dyDescent="0.2">
      <c r="A40" s="11" t="s">
        <v>38</v>
      </c>
      <c r="B40" s="12" t="s">
        <v>82</v>
      </c>
      <c r="C40" s="13">
        <v>152444658629</v>
      </c>
      <c r="D40" s="14">
        <f t="shared" si="0"/>
        <v>0.13803441734012514</v>
      </c>
      <c r="E40" s="13">
        <v>133954348222</v>
      </c>
      <c r="F40" s="14">
        <f t="shared" si="1"/>
        <v>6.5813872039670818E-2</v>
      </c>
      <c r="G40" s="15">
        <v>125682684131</v>
      </c>
    </row>
    <row r="41" spans="1:7" x14ac:dyDescent="0.2">
      <c r="A41" s="11" t="s">
        <v>39</v>
      </c>
      <c r="B41" s="12" t="s">
        <v>82</v>
      </c>
      <c r="C41" s="13">
        <v>34597590873</v>
      </c>
      <c r="D41" s="14">
        <f t="shared" si="0"/>
        <v>8.4662105706684018E-2</v>
      </c>
      <c r="E41" s="13">
        <v>31897114033</v>
      </c>
      <c r="F41" s="14">
        <f t="shared" si="1"/>
        <v>7.4228238659701129E-2</v>
      </c>
      <c r="G41" s="15">
        <v>29693051146</v>
      </c>
    </row>
    <row r="42" spans="1:7" x14ac:dyDescent="0.2">
      <c r="A42" s="11" t="s">
        <v>40</v>
      </c>
      <c r="B42" s="12" t="s">
        <v>83</v>
      </c>
      <c r="C42" s="13">
        <v>3740316137</v>
      </c>
      <c r="D42" s="14">
        <f t="shared" si="0"/>
        <v>8.9095796306771682E-2</v>
      </c>
      <c r="E42" s="13">
        <v>3434331626</v>
      </c>
      <c r="F42" s="14">
        <f t="shared" si="1"/>
        <v>0.12024333007202861</v>
      </c>
      <c r="G42" s="15">
        <v>3065701472</v>
      </c>
    </row>
    <row r="43" spans="1:7" x14ac:dyDescent="0.2">
      <c r="A43" s="11" t="s">
        <v>41</v>
      </c>
      <c r="B43" s="12" t="s">
        <v>83</v>
      </c>
      <c r="C43" s="13">
        <v>645069424</v>
      </c>
      <c r="D43" s="14">
        <f t="shared" si="0"/>
        <v>2.3415780957560171E-2</v>
      </c>
      <c r="E43" s="13">
        <v>630310218</v>
      </c>
      <c r="F43" s="14">
        <f t="shared" si="1"/>
        <v>1.1921593296238417E-2</v>
      </c>
      <c r="G43" s="15">
        <v>622884443</v>
      </c>
    </row>
    <row r="44" spans="1:7" x14ac:dyDescent="0.2">
      <c r="A44" s="11" t="s">
        <v>42</v>
      </c>
      <c r="B44" s="12" t="s">
        <v>82</v>
      </c>
      <c r="C44" s="13">
        <v>1204755988</v>
      </c>
      <c r="D44" s="14">
        <f t="shared" si="0"/>
        <v>8.8413681952299247E-2</v>
      </c>
      <c r="E44" s="13">
        <v>1106891624</v>
      </c>
      <c r="F44" s="14">
        <f t="shared" si="1"/>
        <v>0.13321733122837859</v>
      </c>
      <c r="G44" s="15">
        <v>976769057</v>
      </c>
    </row>
    <row r="45" spans="1:7" x14ac:dyDescent="0.2">
      <c r="A45" s="11" t="s">
        <v>43</v>
      </c>
      <c r="B45" s="12" t="s">
        <v>82</v>
      </c>
      <c r="C45" s="13">
        <v>75022990235</v>
      </c>
      <c r="D45" s="14">
        <f t="shared" si="0"/>
        <v>0.13048918195537496</v>
      </c>
      <c r="E45" s="13">
        <v>66363297794</v>
      </c>
      <c r="F45" s="14">
        <f t="shared" si="1"/>
        <v>0.16254017040661964</v>
      </c>
      <c r="G45" s="15">
        <v>57084735206</v>
      </c>
    </row>
    <row r="46" spans="1:7" x14ac:dyDescent="0.2">
      <c r="A46" s="11" t="s">
        <v>44</v>
      </c>
      <c r="B46" s="12" t="s">
        <v>82</v>
      </c>
      <c r="C46" s="13">
        <v>40626261567</v>
      </c>
      <c r="D46" s="14">
        <f t="shared" si="0"/>
        <v>0.12571456503926587</v>
      </c>
      <c r="E46" s="13">
        <v>36089309696</v>
      </c>
      <c r="F46" s="14">
        <f t="shared" si="1"/>
        <v>0.14451772387612591</v>
      </c>
      <c r="G46" s="15">
        <v>31532329245</v>
      </c>
    </row>
    <row r="47" spans="1:7" x14ac:dyDescent="0.2">
      <c r="A47" s="11" t="s">
        <v>45</v>
      </c>
      <c r="B47" s="12" t="s">
        <v>82</v>
      </c>
      <c r="C47" s="13">
        <v>35657502496</v>
      </c>
      <c r="D47" s="14">
        <f t="shared" si="0"/>
        <v>9.9873886098570133E-2</v>
      </c>
      <c r="E47" s="13">
        <v>32419628238</v>
      </c>
      <c r="F47" s="14">
        <f t="shared" si="1"/>
        <v>0.11382417942317449</v>
      </c>
      <c r="G47" s="15">
        <v>29106594054</v>
      </c>
    </row>
    <row r="48" spans="1:7" x14ac:dyDescent="0.2">
      <c r="A48" s="11" t="s">
        <v>46</v>
      </c>
      <c r="B48" s="12" t="s">
        <v>82</v>
      </c>
      <c r="C48" s="13">
        <v>51586171361</v>
      </c>
      <c r="D48" s="14">
        <f t="shared" si="0"/>
        <v>9.5637983475741664E-2</v>
      </c>
      <c r="E48" s="13">
        <v>47083226521</v>
      </c>
      <c r="F48" s="14">
        <f t="shared" si="1"/>
        <v>0.1202073716244043</v>
      </c>
      <c r="G48" s="15">
        <v>42030812967</v>
      </c>
    </row>
    <row r="49" spans="1:7" x14ac:dyDescent="0.2">
      <c r="A49" s="11" t="s">
        <v>47</v>
      </c>
      <c r="B49" s="12" t="s">
        <v>82</v>
      </c>
      <c r="C49" s="13">
        <v>18240045836</v>
      </c>
      <c r="D49" s="14">
        <f t="shared" si="0"/>
        <v>0.12055931121723776</v>
      </c>
      <c r="E49" s="13">
        <v>16277626408</v>
      </c>
      <c r="F49" s="14">
        <f t="shared" si="1"/>
        <v>0.14943830308739853</v>
      </c>
      <c r="G49" s="15">
        <v>14161374616</v>
      </c>
    </row>
    <row r="50" spans="1:7" x14ac:dyDescent="0.2">
      <c r="A50" s="11" t="s">
        <v>48</v>
      </c>
      <c r="B50" s="12" t="s">
        <v>82</v>
      </c>
      <c r="C50" s="13">
        <v>34216970532</v>
      </c>
      <c r="D50" s="14">
        <f t="shared" si="0"/>
        <v>7.7665212899042338E-2</v>
      </c>
      <c r="E50" s="13">
        <v>31751020746</v>
      </c>
      <c r="F50" s="14">
        <f t="shared" si="1"/>
        <v>0.11113087695539715</v>
      </c>
      <c r="G50" s="15">
        <v>28575410336</v>
      </c>
    </row>
    <row r="51" spans="1:7" x14ac:dyDescent="0.2">
      <c r="A51" s="11" t="s">
        <v>49</v>
      </c>
      <c r="B51" s="12" t="s">
        <v>82</v>
      </c>
      <c r="C51" s="13">
        <v>3879311211</v>
      </c>
      <c r="D51" s="14">
        <f t="shared" si="0"/>
        <v>0.11449181586362377</v>
      </c>
      <c r="E51" s="13">
        <v>3480789321</v>
      </c>
      <c r="F51" s="14">
        <f t="shared" si="1"/>
        <v>0.12875273210284202</v>
      </c>
      <c r="G51" s="15">
        <v>3083748302</v>
      </c>
    </row>
    <row r="52" spans="1:7" x14ac:dyDescent="0.2">
      <c r="A52" s="11" t="s">
        <v>50</v>
      </c>
      <c r="B52" s="12" t="s">
        <v>82</v>
      </c>
      <c r="C52" s="13">
        <v>251216749961</v>
      </c>
      <c r="D52" s="14">
        <f t="shared" si="0"/>
        <v>7.7187368377834908E-2</v>
      </c>
      <c r="E52" s="13">
        <v>233215462171</v>
      </c>
      <c r="F52" s="14">
        <f t="shared" si="1"/>
        <v>0.11712673145048319</v>
      </c>
      <c r="G52" s="15">
        <v>208763657341</v>
      </c>
    </row>
    <row r="53" spans="1:7" x14ac:dyDescent="0.2">
      <c r="A53" s="11" t="s">
        <v>51</v>
      </c>
      <c r="B53" s="12" t="s">
        <v>82</v>
      </c>
      <c r="C53" s="13">
        <v>59275511246</v>
      </c>
      <c r="D53" s="14">
        <f t="shared" si="0"/>
        <v>0.12500568408845603</v>
      </c>
      <c r="E53" s="13">
        <v>52689077117</v>
      </c>
      <c r="F53" s="14">
        <f t="shared" si="1"/>
        <v>0.15575055742203872</v>
      </c>
      <c r="G53" s="15">
        <v>45588623582</v>
      </c>
    </row>
    <row r="54" spans="1:7" x14ac:dyDescent="0.2">
      <c r="A54" s="11" t="s">
        <v>52</v>
      </c>
      <c r="B54" s="12" t="s">
        <v>82</v>
      </c>
      <c r="C54" s="13">
        <v>345774768843</v>
      </c>
      <c r="D54" s="14">
        <f t="shared" si="0"/>
        <v>9.3485309964380758E-2</v>
      </c>
      <c r="E54" s="13">
        <v>316213455903</v>
      </c>
      <c r="F54" s="14">
        <f t="shared" si="1"/>
        <v>0.12575227494032001</v>
      </c>
      <c r="G54" s="15">
        <v>280890798928</v>
      </c>
    </row>
    <row r="55" spans="1:7" x14ac:dyDescent="0.2">
      <c r="A55" s="11" t="s">
        <v>53</v>
      </c>
      <c r="B55" s="12" t="s">
        <v>82</v>
      </c>
      <c r="C55" s="13">
        <v>63593850860</v>
      </c>
      <c r="D55" s="14">
        <f t="shared" si="0"/>
        <v>0.13274692978997457</v>
      </c>
      <c r="E55" s="13">
        <v>56141269676</v>
      </c>
      <c r="F55" s="14">
        <f t="shared" si="1"/>
        <v>0.14935773069865882</v>
      </c>
      <c r="G55" s="15">
        <v>48845775494</v>
      </c>
    </row>
    <row r="56" spans="1:7" x14ac:dyDescent="0.2">
      <c r="A56" s="11" t="s">
        <v>54</v>
      </c>
      <c r="B56" s="12" t="s">
        <v>82</v>
      </c>
      <c r="C56" s="13">
        <v>156457919585</v>
      </c>
      <c r="D56" s="14">
        <f t="shared" si="0"/>
        <v>8.6704384341621019E-2</v>
      </c>
      <c r="E56" s="13">
        <v>143974683308</v>
      </c>
      <c r="F56" s="14">
        <f t="shared" si="1"/>
        <v>0.10830878091169603</v>
      </c>
      <c r="G56" s="15">
        <v>129904847627</v>
      </c>
    </row>
    <row r="57" spans="1:7" x14ac:dyDescent="0.2">
      <c r="A57" s="11" t="s">
        <v>55</v>
      </c>
      <c r="B57" s="12" t="s">
        <v>82</v>
      </c>
      <c r="C57" s="13">
        <v>72483361521</v>
      </c>
      <c r="D57" s="14">
        <f t="shared" si="0"/>
        <v>0.11093545522695643</v>
      </c>
      <c r="E57" s="13">
        <v>65245340024</v>
      </c>
      <c r="F57" s="14">
        <f t="shared" si="1"/>
        <v>0.1533263464986454</v>
      </c>
      <c r="G57" s="15">
        <v>56571446774</v>
      </c>
    </row>
    <row r="58" spans="1:7" x14ac:dyDescent="0.2">
      <c r="A58" s="11" t="s">
        <v>56</v>
      </c>
      <c r="B58" s="12" t="s">
        <v>82</v>
      </c>
      <c r="C58" s="13">
        <v>6752759135</v>
      </c>
      <c r="D58" s="14">
        <f t="shared" si="0"/>
        <v>9.630022189351102E-2</v>
      </c>
      <c r="E58" s="13">
        <v>6159589317</v>
      </c>
      <c r="F58" s="14">
        <f t="shared" si="1"/>
        <v>0.11221246431849302</v>
      </c>
      <c r="G58" s="15">
        <v>5538140881</v>
      </c>
    </row>
    <row r="59" spans="1:7" x14ac:dyDescent="0.2">
      <c r="A59" s="11" t="s">
        <v>2</v>
      </c>
      <c r="B59" s="12" t="s">
        <v>82</v>
      </c>
      <c r="C59" s="13">
        <v>60601352403</v>
      </c>
      <c r="D59" s="14">
        <f t="shared" si="0"/>
        <v>0.12653518405400299</v>
      </c>
      <c r="E59" s="13">
        <v>53794460449</v>
      </c>
      <c r="F59" s="14">
        <f t="shared" si="1"/>
        <v>0.15688140849461762</v>
      </c>
      <c r="G59" s="15">
        <v>46499546154</v>
      </c>
    </row>
    <row r="60" spans="1:7" x14ac:dyDescent="0.2">
      <c r="A60" s="11" t="s">
        <v>3</v>
      </c>
      <c r="B60" s="12" t="s">
        <v>82</v>
      </c>
      <c r="C60" s="13">
        <v>43660616670</v>
      </c>
      <c r="D60" s="14">
        <f t="shared" si="0"/>
        <v>0.12843422736511745</v>
      </c>
      <c r="E60" s="13">
        <v>38691326097</v>
      </c>
      <c r="F60" s="14">
        <f t="shared" si="1"/>
        <v>0.16424547737099121</v>
      </c>
      <c r="G60" s="15">
        <v>33232962334</v>
      </c>
    </row>
    <row r="61" spans="1:7" x14ac:dyDescent="0.2">
      <c r="A61" s="11" t="s">
        <v>57</v>
      </c>
      <c r="B61" s="12" t="s">
        <v>82</v>
      </c>
      <c r="C61" s="13">
        <v>22211518070</v>
      </c>
      <c r="D61" s="14">
        <f t="shared" si="0"/>
        <v>9.381876012063646E-2</v>
      </c>
      <c r="E61" s="13">
        <v>20306397074</v>
      </c>
      <c r="F61" s="14">
        <f t="shared" si="1"/>
        <v>0.12616731852894336</v>
      </c>
      <c r="G61" s="15">
        <v>18031421033</v>
      </c>
    </row>
    <row r="62" spans="1:7" x14ac:dyDescent="0.2">
      <c r="A62" s="11" t="s">
        <v>58</v>
      </c>
      <c r="B62" s="12" t="s">
        <v>82</v>
      </c>
      <c r="C62" s="13">
        <v>115267670608</v>
      </c>
      <c r="D62" s="14">
        <f t="shared" si="0"/>
        <v>9.7786871926627064E-2</v>
      </c>
      <c r="E62" s="13">
        <v>105000044686</v>
      </c>
      <c r="F62" s="14">
        <f t="shared" si="1"/>
        <v>0.12893168444871353</v>
      </c>
      <c r="G62" s="15">
        <v>93008324713</v>
      </c>
    </row>
    <row r="63" spans="1:7" x14ac:dyDescent="0.2">
      <c r="A63" s="11" t="s">
        <v>59</v>
      </c>
      <c r="B63" s="12" t="s">
        <v>82</v>
      </c>
      <c r="C63" s="13">
        <v>59870399607</v>
      </c>
      <c r="D63" s="14">
        <f t="shared" si="0"/>
        <v>8.1893263152963344E-2</v>
      </c>
      <c r="E63" s="13">
        <v>55338545535</v>
      </c>
      <c r="F63" s="14">
        <f t="shared" si="1"/>
        <v>9.4678562568126748E-2</v>
      </c>
      <c r="G63" s="15">
        <v>50552324150</v>
      </c>
    </row>
    <row r="64" spans="1:7" x14ac:dyDescent="0.2">
      <c r="A64" s="11" t="s">
        <v>60</v>
      </c>
      <c r="B64" s="12" t="s">
        <v>82</v>
      </c>
      <c r="C64" s="13">
        <v>24709648870</v>
      </c>
      <c r="D64" s="14">
        <f t="shared" si="0"/>
        <v>7.8315675670210416E-2</v>
      </c>
      <c r="E64" s="13">
        <v>22915041882</v>
      </c>
      <c r="F64" s="14">
        <f t="shared" si="1"/>
        <v>0.13301257884137552</v>
      </c>
      <c r="G64" s="15">
        <v>20224878620</v>
      </c>
    </row>
    <row r="65" spans="1:7" x14ac:dyDescent="0.2">
      <c r="A65" s="11" t="s">
        <v>61</v>
      </c>
      <c r="B65" s="12" t="s">
        <v>83</v>
      </c>
      <c r="C65" s="13">
        <v>2625311176</v>
      </c>
      <c r="D65" s="14">
        <f t="shared" si="0"/>
        <v>8.0735513588589256E-2</v>
      </c>
      <c r="E65" s="13">
        <v>2429189328</v>
      </c>
      <c r="F65" s="14">
        <f t="shared" si="1"/>
        <v>9.6962235183682646E-2</v>
      </c>
      <c r="G65" s="15">
        <v>2214469423</v>
      </c>
    </row>
    <row r="66" spans="1:7" x14ac:dyDescent="0.2">
      <c r="A66" s="11" t="s">
        <v>62</v>
      </c>
      <c r="B66" s="12" t="s">
        <v>82</v>
      </c>
      <c r="C66" s="13">
        <v>1683568986</v>
      </c>
      <c r="D66" s="14">
        <f t="shared" si="0"/>
        <v>7.938751777435088E-2</v>
      </c>
      <c r="E66" s="13">
        <v>1559744724</v>
      </c>
      <c r="F66" s="14">
        <f t="shared" si="1"/>
        <v>0.10427216696330502</v>
      </c>
      <c r="G66" s="15">
        <v>1412464038</v>
      </c>
    </row>
    <row r="67" spans="1:7" x14ac:dyDescent="0.2">
      <c r="A67" s="11" t="s">
        <v>63</v>
      </c>
      <c r="B67" s="12" t="s">
        <v>83</v>
      </c>
      <c r="C67" s="13">
        <v>538888607</v>
      </c>
      <c r="D67" s="14">
        <f t="shared" si="0"/>
        <v>5.6873096958167842E-2</v>
      </c>
      <c r="E67" s="13">
        <v>509889606</v>
      </c>
      <c r="F67" s="14">
        <f t="shared" si="1"/>
        <v>6.0023055129465694E-2</v>
      </c>
      <c r="G67" s="15">
        <v>481017468</v>
      </c>
    </row>
    <row r="68" spans="1:7" x14ac:dyDescent="0.2">
      <c r="A68" s="11" t="s">
        <v>64</v>
      </c>
      <c r="B68" s="12" t="s">
        <v>82</v>
      </c>
      <c r="C68" s="13">
        <v>72366008021</v>
      </c>
      <c r="D68" s="14">
        <f t="shared" si="0"/>
        <v>0.10157947532776274</v>
      </c>
      <c r="E68" s="13">
        <v>65692952385</v>
      </c>
      <c r="F68" s="14">
        <f t="shared" si="1"/>
        <v>0.11963186861499193</v>
      </c>
      <c r="G68" s="15">
        <v>58673707159</v>
      </c>
    </row>
    <row r="69" spans="1:7" x14ac:dyDescent="0.2">
      <c r="A69" s="11" t="s">
        <v>65</v>
      </c>
      <c r="B69" s="12" t="s">
        <v>83</v>
      </c>
      <c r="C69" s="13">
        <v>3145740029</v>
      </c>
      <c r="D69" s="14">
        <f t="shared" si="0"/>
        <v>0.10330503150110254</v>
      </c>
      <c r="E69" s="13">
        <v>2851197030</v>
      </c>
      <c r="F69" s="14">
        <f t="shared" si="1"/>
        <v>0.13444936247818481</v>
      </c>
      <c r="G69" s="15">
        <v>2513287172</v>
      </c>
    </row>
    <row r="70" spans="1:7" x14ac:dyDescent="0.2">
      <c r="A70" s="11" t="s">
        <v>66</v>
      </c>
      <c r="B70" s="12" t="s">
        <v>82</v>
      </c>
      <c r="C70" s="13">
        <v>44741031667</v>
      </c>
      <c r="D70" s="14">
        <f>((C70-E70)/E70)</f>
        <v>0.12936757324983783</v>
      </c>
      <c r="E70" s="13">
        <v>39616005211</v>
      </c>
      <c r="F70" s="14">
        <f>((E70-G70)/G70)</f>
        <v>0.18290757896508372</v>
      </c>
      <c r="G70" s="15">
        <v>33490363842</v>
      </c>
    </row>
    <row r="71" spans="1:7" x14ac:dyDescent="0.2">
      <c r="A71" s="11" t="s">
        <v>67</v>
      </c>
      <c r="B71" s="12" t="s">
        <v>83</v>
      </c>
      <c r="C71" s="13">
        <v>1563681884</v>
      </c>
      <c r="D71" s="14">
        <f>((C71-E71)/E71)</f>
        <v>9.0138675828129899E-2</v>
      </c>
      <c r="E71" s="13">
        <v>1434388045</v>
      </c>
      <c r="F71" s="14">
        <f>((E71-G71)/G71)</f>
        <v>0.10531913483280957</v>
      </c>
      <c r="G71" s="15">
        <v>1297713936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SUM(C5:C72)</f>
        <v>3624023264554</v>
      </c>
      <c r="D73" s="22">
        <f>((C73-E73)/E73)</f>
        <v>0.10047846984233565</v>
      </c>
      <c r="E73" s="21">
        <f>SUM(E5:E72)</f>
        <v>3293134181056</v>
      </c>
      <c r="F73" s="22" t="e">
        <f>((E73-G73)/G73)</f>
        <v>#DIV/0!</v>
      </c>
      <c r="G73" s="23"/>
    </row>
    <row r="75" spans="1:7" x14ac:dyDescent="0.2">
      <c r="A75" s="24" t="s">
        <v>87</v>
      </c>
    </row>
  </sheetData>
  <phoneticPr fontId="3" type="noConversion"/>
  <conditionalFormatting sqref="A75">
    <cfRule type="expression" dxfId="7" priority="8" stopIfTrue="1">
      <formula>MOD(ROW(),5)=1</formula>
    </cfRule>
  </conditionalFormatting>
  <conditionalFormatting sqref="A5:G73">
    <cfRule type="expression" dxfId="6" priority="2" stopIfTrue="1">
      <formula>MOD(ROW(),3)=1</formula>
    </cfRule>
  </conditionalFormatting>
  <conditionalFormatting sqref="A4:G4">
    <cfRule type="expression" dxfId="5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5"/>
  <sheetViews>
    <sheetView zoomScaleNormal="100" zoomScaleSheetLayoutView="100"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72</v>
      </c>
      <c r="B1" s="7"/>
      <c r="C1" s="8"/>
      <c r="D1" s="7"/>
      <c r="E1" s="8"/>
      <c r="F1" s="7"/>
      <c r="G1" s="8"/>
    </row>
    <row r="2" spans="1:7" ht="15" x14ac:dyDescent="0.25">
      <c r="A2" s="9" t="s">
        <v>93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86</v>
      </c>
      <c r="D4" s="38" t="s">
        <v>92</v>
      </c>
      <c r="E4" s="38" t="s">
        <v>84</v>
      </c>
      <c r="F4" s="38" t="s">
        <v>85</v>
      </c>
      <c r="G4" s="39" t="s">
        <v>81</v>
      </c>
    </row>
    <row r="5" spans="1:7" x14ac:dyDescent="0.2">
      <c r="A5" s="11" t="s">
        <v>4</v>
      </c>
      <c r="B5" s="12" t="s">
        <v>82</v>
      </c>
      <c r="C5" s="13">
        <v>4322810387</v>
      </c>
      <c r="D5" s="14">
        <f>((C5-E5)/E5)</f>
        <v>-2.7461415337837251E-4</v>
      </c>
      <c r="E5" s="13">
        <v>4323997818</v>
      </c>
      <c r="F5" s="14">
        <f>((E5-G5)/G5)</f>
        <v>7.6941110695396581E-2</v>
      </c>
      <c r="G5" s="15">
        <v>4015073596</v>
      </c>
    </row>
    <row r="6" spans="1:7" x14ac:dyDescent="0.2">
      <c r="A6" s="11" t="s">
        <v>5</v>
      </c>
      <c r="B6" s="12" t="s">
        <v>83</v>
      </c>
      <c r="C6" s="13">
        <v>263073540</v>
      </c>
      <c r="D6" s="14">
        <f t="shared" ref="D6:D69" si="0">((C6-E6)/E6)</f>
        <v>3.6981833227002769E-2</v>
      </c>
      <c r="E6" s="13">
        <v>253691561</v>
      </c>
      <c r="F6" s="14">
        <f t="shared" ref="F6:F69" si="1">((E6-G6)/G6)</f>
        <v>9.1385148477198197E-2</v>
      </c>
      <c r="G6" s="15">
        <v>232449160</v>
      </c>
    </row>
    <row r="7" spans="1:7" x14ac:dyDescent="0.2">
      <c r="A7" s="11" t="s">
        <v>6</v>
      </c>
      <c r="B7" s="12" t="s">
        <v>82</v>
      </c>
      <c r="C7" s="13">
        <v>2677640373</v>
      </c>
      <c r="D7" s="14">
        <f t="shared" si="0"/>
        <v>8.3413448147747704E-2</v>
      </c>
      <c r="E7" s="13">
        <v>2471485265</v>
      </c>
      <c r="F7" s="14">
        <f t="shared" si="1"/>
        <v>0.14918481629883604</v>
      </c>
      <c r="G7" s="15">
        <v>2150642116</v>
      </c>
    </row>
    <row r="8" spans="1:7" x14ac:dyDescent="0.2">
      <c r="A8" s="11" t="s">
        <v>7</v>
      </c>
      <c r="B8" s="12" t="s">
        <v>82</v>
      </c>
      <c r="C8" s="13">
        <v>341681207</v>
      </c>
      <c r="D8" s="14">
        <f t="shared" si="0"/>
        <v>6.0199788743961161E-2</v>
      </c>
      <c r="E8" s="13">
        <v>322280018</v>
      </c>
      <c r="F8" s="14">
        <f t="shared" si="1"/>
        <v>-5.1172084308990624E-2</v>
      </c>
      <c r="G8" s="15">
        <v>339661189</v>
      </c>
    </row>
    <row r="9" spans="1:7" x14ac:dyDescent="0.2">
      <c r="A9" s="11" t="s">
        <v>8</v>
      </c>
      <c r="B9" s="12" t="s">
        <v>82</v>
      </c>
      <c r="C9" s="13">
        <v>12198527654</v>
      </c>
      <c r="D9" s="14">
        <f t="shared" si="0"/>
        <v>6.0515323523178337E-2</v>
      </c>
      <c r="E9" s="13">
        <v>11502452990</v>
      </c>
      <c r="F9" s="14">
        <f t="shared" si="1"/>
        <v>8.7418120949806971E-2</v>
      </c>
      <c r="G9" s="15">
        <v>10577764678</v>
      </c>
    </row>
    <row r="10" spans="1:7" x14ac:dyDescent="0.2">
      <c r="A10" s="11" t="s">
        <v>9</v>
      </c>
      <c r="B10" s="12" t="s">
        <v>82</v>
      </c>
      <c r="C10" s="13">
        <v>12177979792</v>
      </c>
      <c r="D10" s="14">
        <f t="shared" si="0"/>
        <v>2.7637995504642025E-2</v>
      </c>
      <c r="E10" s="13">
        <v>11850456917</v>
      </c>
      <c r="F10" s="14">
        <f t="shared" si="1"/>
        <v>0.13934625435065692</v>
      </c>
      <c r="G10" s="15">
        <v>10401102274</v>
      </c>
    </row>
    <row r="11" spans="1:7" x14ac:dyDescent="0.2">
      <c r="A11" s="11" t="s">
        <v>10</v>
      </c>
      <c r="B11" s="12" t="s">
        <v>83</v>
      </c>
      <c r="C11" s="13">
        <v>395799655</v>
      </c>
      <c r="D11" s="14">
        <f t="shared" si="0"/>
        <v>6.0076798051042553E-2</v>
      </c>
      <c r="E11" s="13">
        <v>373368850</v>
      </c>
      <c r="F11" s="14">
        <f t="shared" si="1"/>
        <v>1.7600849751295153</v>
      </c>
      <c r="G11" s="15">
        <v>135274404</v>
      </c>
    </row>
    <row r="12" spans="1:7" x14ac:dyDescent="0.2">
      <c r="A12" s="11" t="s">
        <v>11</v>
      </c>
      <c r="B12" s="12" t="s">
        <v>82</v>
      </c>
      <c r="C12" s="13">
        <v>1909406404</v>
      </c>
      <c r="D12" s="14">
        <f t="shared" si="0"/>
        <v>6.4374361828352225E-2</v>
      </c>
      <c r="E12" s="13">
        <v>1793923710</v>
      </c>
      <c r="F12" s="14">
        <f t="shared" si="1"/>
        <v>0.1468758265536845</v>
      </c>
      <c r="G12" s="15">
        <v>1564183034</v>
      </c>
    </row>
    <row r="13" spans="1:7" x14ac:dyDescent="0.2">
      <c r="A13" s="11" t="s">
        <v>12</v>
      </c>
      <c r="B13" s="12" t="s">
        <v>82</v>
      </c>
      <c r="C13" s="13">
        <v>2111573903</v>
      </c>
      <c r="D13" s="14">
        <f t="shared" si="0"/>
        <v>3.0029570604223167E-2</v>
      </c>
      <c r="E13" s="13">
        <v>2050012896</v>
      </c>
      <c r="F13" s="14">
        <f t="shared" si="1"/>
        <v>4.3681572036853224E-2</v>
      </c>
      <c r="G13" s="15">
        <v>1964212985</v>
      </c>
    </row>
    <row r="14" spans="1:7" x14ac:dyDescent="0.2">
      <c r="A14" s="11" t="s">
        <v>13</v>
      </c>
      <c r="B14" s="12" t="s">
        <v>82</v>
      </c>
      <c r="C14" s="13">
        <v>2184434359</v>
      </c>
      <c r="D14" s="14">
        <f t="shared" si="0"/>
        <v>0.10772736931858978</v>
      </c>
      <c r="E14" s="13">
        <v>1971996377</v>
      </c>
      <c r="F14" s="14">
        <f t="shared" si="1"/>
        <v>0.2178513220548578</v>
      </c>
      <c r="G14" s="15">
        <v>1619242301</v>
      </c>
    </row>
    <row r="15" spans="1:7" x14ac:dyDescent="0.2">
      <c r="A15" s="11" t="s">
        <v>14</v>
      </c>
      <c r="B15" s="12" t="s">
        <v>82</v>
      </c>
      <c r="C15" s="13">
        <v>3397108683</v>
      </c>
      <c r="D15" s="14">
        <f t="shared" si="0"/>
        <v>3.1881991058558698E-2</v>
      </c>
      <c r="E15" s="13">
        <v>3292148436</v>
      </c>
      <c r="F15" s="14">
        <f t="shared" si="1"/>
        <v>7.8582102027714734E-2</v>
      </c>
      <c r="G15" s="15">
        <v>3052292848</v>
      </c>
    </row>
    <row r="16" spans="1:7" x14ac:dyDescent="0.2">
      <c r="A16" s="11" t="s">
        <v>15</v>
      </c>
      <c r="B16" s="12" t="s">
        <v>82</v>
      </c>
      <c r="C16" s="13">
        <v>968420909</v>
      </c>
      <c r="D16" s="14">
        <f t="shared" si="0"/>
        <v>1.5421150318584809E-2</v>
      </c>
      <c r="E16" s="13">
        <v>953713549</v>
      </c>
      <c r="F16" s="14">
        <f t="shared" si="1"/>
        <v>0.15158893209485658</v>
      </c>
      <c r="G16" s="15">
        <v>828171861</v>
      </c>
    </row>
    <row r="17" spans="1:7" x14ac:dyDescent="0.2">
      <c r="A17" s="11" t="s">
        <v>78</v>
      </c>
      <c r="B17" s="12" t="s">
        <v>82</v>
      </c>
      <c r="C17" s="13">
        <v>22815915449</v>
      </c>
      <c r="D17" s="14">
        <f t="shared" si="0"/>
        <v>3.3149049201850009E-2</v>
      </c>
      <c r="E17" s="13">
        <v>22083856600</v>
      </c>
      <c r="F17" s="14">
        <f t="shared" si="1"/>
        <v>0.11415432111859043</v>
      </c>
      <c r="G17" s="15">
        <v>19821182920</v>
      </c>
    </row>
    <row r="18" spans="1:7" x14ac:dyDescent="0.2">
      <c r="A18" s="11" t="s">
        <v>16</v>
      </c>
      <c r="B18" s="12" t="s">
        <v>82</v>
      </c>
      <c r="C18" s="13">
        <v>792897219</v>
      </c>
      <c r="D18" s="14">
        <f t="shared" si="0"/>
        <v>-6.2798961486829924E-2</v>
      </c>
      <c r="E18" s="13">
        <v>846026825</v>
      </c>
      <c r="F18" s="14">
        <f t="shared" si="1"/>
        <v>0.11793289086688201</v>
      </c>
      <c r="G18" s="15">
        <v>756777828</v>
      </c>
    </row>
    <row r="19" spans="1:7" x14ac:dyDescent="0.2">
      <c r="A19" s="11" t="s">
        <v>17</v>
      </c>
      <c r="B19" s="12" t="s">
        <v>83</v>
      </c>
      <c r="C19" s="13">
        <v>122978395</v>
      </c>
      <c r="D19" s="14">
        <f t="shared" si="0"/>
        <v>0.13100419271613861</v>
      </c>
      <c r="E19" s="13">
        <v>108733810</v>
      </c>
      <c r="F19" s="14">
        <f t="shared" si="1"/>
        <v>0.10492408275029451</v>
      </c>
      <c r="G19" s="15">
        <v>98408399</v>
      </c>
    </row>
    <row r="20" spans="1:7" x14ac:dyDescent="0.2">
      <c r="A20" s="11" t="s">
        <v>18</v>
      </c>
      <c r="B20" s="12" t="s">
        <v>82</v>
      </c>
      <c r="C20" s="13">
        <v>16866450486</v>
      </c>
      <c r="D20" s="14">
        <f t="shared" si="0"/>
        <v>2.6684615815965176E-2</v>
      </c>
      <c r="E20" s="13">
        <v>16428073652</v>
      </c>
      <c r="F20" s="14">
        <f t="shared" si="1"/>
        <v>9.1593395869921657E-2</v>
      </c>
      <c r="G20" s="15">
        <v>15049627191</v>
      </c>
    </row>
    <row r="21" spans="1:7" x14ac:dyDescent="0.2">
      <c r="A21" s="11" t="s">
        <v>19</v>
      </c>
      <c r="B21" s="12" t="s">
        <v>82</v>
      </c>
      <c r="C21" s="13">
        <v>4482628519</v>
      </c>
      <c r="D21" s="14">
        <f t="shared" si="0"/>
        <v>7.3204029937995907E-2</v>
      </c>
      <c r="E21" s="13">
        <v>4176865157</v>
      </c>
      <c r="F21" s="14">
        <f t="shared" si="1"/>
        <v>0.2205702300256944</v>
      </c>
      <c r="G21" s="15">
        <v>3422060488</v>
      </c>
    </row>
    <row r="22" spans="1:7" x14ac:dyDescent="0.2">
      <c r="A22" s="11" t="s">
        <v>20</v>
      </c>
      <c r="B22" s="12" t="s">
        <v>82</v>
      </c>
      <c r="C22" s="13">
        <v>1034205675</v>
      </c>
      <c r="D22" s="14">
        <f t="shared" si="0"/>
        <v>0.11267578985445555</v>
      </c>
      <c r="E22" s="13">
        <v>929476209</v>
      </c>
      <c r="F22" s="14">
        <f t="shared" si="1"/>
        <v>4.9396926373923737E-5</v>
      </c>
      <c r="G22" s="15">
        <v>929430298</v>
      </c>
    </row>
    <row r="23" spans="1:7" x14ac:dyDescent="0.2">
      <c r="A23" s="11" t="s">
        <v>21</v>
      </c>
      <c r="B23" s="12" t="s">
        <v>83</v>
      </c>
      <c r="C23" s="13">
        <v>100939073</v>
      </c>
      <c r="D23" s="14">
        <f t="shared" si="0"/>
        <v>7.3018380801456201E-2</v>
      </c>
      <c r="E23" s="13">
        <v>94070218</v>
      </c>
      <c r="F23" s="14">
        <f t="shared" si="1"/>
        <v>-4.2271407274092156E-2</v>
      </c>
      <c r="G23" s="15">
        <v>98222209</v>
      </c>
    </row>
    <row r="24" spans="1:7" x14ac:dyDescent="0.2">
      <c r="A24" s="11" t="s">
        <v>22</v>
      </c>
      <c r="B24" s="12" t="s">
        <v>83</v>
      </c>
      <c r="C24" s="13">
        <v>826844985</v>
      </c>
      <c r="D24" s="14">
        <f t="shared" si="0"/>
        <v>3.9369088665586895E-2</v>
      </c>
      <c r="E24" s="13">
        <v>795525857</v>
      </c>
      <c r="F24" s="14">
        <f t="shared" si="1"/>
        <v>0.14942214286302652</v>
      </c>
      <c r="G24" s="15">
        <v>692109389</v>
      </c>
    </row>
    <row r="25" spans="1:7" x14ac:dyDescent="0.2">
      <c r="A25" s="11" t="s">
        <v>23</v>
      </c>
      <c r="B25" s="12" t="s">
        <v>83</v>
      </c>
      <c r="C25" s="13">
        <v>410860027</v>
      </c>
      <c r="D25" s="14">
        <f t="shared" si="0"/>
        <v>0.17185687526452595</v>
      </c>
      <c r="E25" s="13">
        <v>350605979</v>
      </c>
      <c r="F25" s="14">
        <f t="shared" si="1"/>
        <v>4.5977049488981354E-2</v>
      </c>
      <c r="G25" s="15">
        <v>335194715</v>
      </c>
    </row>
    <row r="26" spans="1:7" x14ac:dyDescent="0.2">
      <c r="A26" s="11" t="s">
        <v>24</v>
      </c>
      <c r="B26" s="12" t="s">
        <v>83</v>
      </c>
      <c r="C26" s="13">
        <v>209583482</v>
      </c>
      <c r="D26" s="14">
        <f t="shared" si="0"/>
        <v>0.10392996647275332</v>
      </c>
      <c r="E26" s="13">
        <v>189852154</v>
      </c>
      <c r="F26" s="14">
        <f t="shared" si="1"/>
        <v>0.11277055806507168</v>
      </c>
      <c r="G26" s="15">
        <v>170612129</v>
      </c>
    </row>
    <row r="27" spans="1:7" x14ac:dyDescent="0.2">
      <c r="A27" s="11" t="s">
        <v>25</v>
      </c>
      <c r="B27" s="12" t="s">
        <v>83</v>
      </c>
      <c r="C27" s="13">
        <v>156056550</v>
      </c>
      <c r="D27" s="14">
        <f t="shared" si="0"/>
        <v>8.5024092155582126E-2</v>
      </c>
      <c r="E27" s="13">
        <v>143827728</v>
      </c>
      <c r="F27" s="14">
        <f t="shared" si="1"/>
        <v>0.16247730696590876</v>
      </c>
      <c r="G27" s="15">
        <v>123725192</v>
      </c>
    </row>
    <row r="28" spans="1:7" x14ac:dyDescent="0.2">
      <c r="A28" s="11" t="s">
        <v>26</v>
      </c>
      <c r="B28" s="12" t="s">
        <v>82</v>
      </c>
      <c r="C28" s="13">
        <v>657297685</v>
      </c>
      <c r="D28" s="14">
        <f t="shared" si="0"/>
        <v>2.0693025033102631E-3</v>
      </c>
      <c r="E28" s="13">
        <v>655940346</v>
      </c>
      <c r="F28" s="14">
        <f t="shared" si="1"/>
        <v>3.4686989943920089E-2</v>
      </c>
      <c r="G28" s="15">
        <v>633950511</v>
      </c>
    </row>
    <row r="29" spans="1:7" x14ac:dyDescent="0.2">
      <c r="A29" s="11" t="s">
        <v>27</v>
      </c>
      <c r="B29" s="12" t="s">
        <v>82</v>
      </c>
      <c r="C29" s="13">
        <v>1145387569</v>
      </c>
      <c r="D29" s="14">
        <f t="shared" si="0"/>
        <v>6.5538750369849408E-2</v>
      </c>
      <c r="E29" s="13">
        <v>1074937508</v>
      </c>
      <c r="F29" s="14">
        <f t="shared" si="1"/>
        <v>0.16531115682831718</v>
      </c>
      <c r="G29" s="15">
        <v>922446766</v>
      </c>
    </row>
    <row r="30" spans="1:7" x14ac:dyDescent="0.2">
      <c r="A30" s="11" t="s">
        <v>28</v>
      </c>
      <c r="B30" s="12" t="s">
        <v>82</v>
      </c>
      <c r="C30" s="13">
        <v>1632373094</v>
      </c>
      <c r="D30" s="14">
        <f t="shared" si="0"/>
        <v>0.17342979422607588</v>
      </c>
      <c r="E30" s="13">
        <v>1391112704</v>
      </c>
      <c r="F30" s="14">
        <f t="shared" si="1"/>
        <v>0.15284711085134511</v>
      </c>
      <c r="G30" s="15">
        <v>1206675795</v>
      </c>
    </row>
    <row r="31" spans="1:7" x14ac:dyDescent="0.2">
      <c r="A31" s="11" t="s">
        <v>29</v>
      </c>
      <c r="B31" s="12" t="s">
        <v>82</v>
      </c>
      <c r="C31" s="13">
        <v>2093228264</v>
      </c>
      <c r="D31" s="14">
        <f t="shared" si="0"/>
        <v>3.430487281158396E-2</v>
      </c>
      <c r="E31" s="13">
        <v>2023801994</v>
      </c>
      <c r="F31" s="14">
        <f t="shared" si="1"/>
        <v>9.0701967878520237E-2</v>
      </c>
      <c r="G31" s="15">
        <v>1855504119</v>
      </c>
    </row>
    <row r="32" spans="1:7" x14ac:dyDescent="0.2">
      <c r="A32" s="11" t="s">
        <v>30</v>
      </c>
      <c r="B32" s="12" t="s">
        <v>82</v>
      </c>
      <c r="C32" s="13">
        <v>860444928</v>
      </c>
      <c r="D32" s="14">
        <f t="shared" si="0"/>
        <v>3.6841706380647356E-2</v>
      </c>
      <c r="E32" s="13">
        <v>829871062</v>
      </c>
      <c r="F32" s="14">
        <f t="shared" si="1"/>
        <v>0.10885989722580063</v>
      </c>
      <c r="G32" s="15">
        <v>748400284</v>
      </c>
    </row>
    <row r="33" spans="1:7" x14ac:dyDescent="0.2">
      <c r="A33" s="11" t="s">
        <v>31</v>
      </c>
      <c r="B33" s="12" t="s">
        <v>82</v>
      </c>
      <c r="C33" s="13">
        <v>14500974270</v>
      </c>
      <c r="D33" s="14">
        <f t="shared" si="0"/>
        <v>2.1289036277304555E-2</v>
      </c>
      <c r="E33" s="13">
        <v>14198697680</v>
      </c>
      <c r="F33" s="14">
        <f t="shared" si="1"/>
        <v>0.13549028630754034</v>
      </c>
      <c r="G33" s="15">
        <v>12504464240</v>
      </c>
    </row>
    <row r="34" spans="1:7" x14ac:dyDescent="0.2">
      <c r="A34" s="11" t="s">
        <v>32</v>
      </c>
      <c r="B34" s="12" t="s">
        <v>83</v>
      </c>
      <c r="C34" s="13">
        <v>139010338</v>
      </c>
      <c r="D34" s="14">
        <f t="shared" si="0"/>
        <v>0.1596093488227491</v>
      </c>
      <c r="E34" s="13">
        <v>119876869</v>
      </c>
      <c r="F34" s="14">
        <f t="shared" si="1"/>
        <v>9.7829613474483282E-2</v>
      </c>
      <c r="G34" s="15">
        <v>109194421</v>
      </c>
    </row>
    <row r="35" spans="1:7" x14ac:dyDescent="0.2">
      <c r="A35" s="11" t="s">
        <v>33</v>
      </c>
      <c r="B35" s="12" t="s">
        <v>82</v>
      </c>
      <c r="C35" s="13">
        <v>1306881016</v>
      </c>
      <c r="D35" s="14">
        <f t="shared" si="0"/>
        <v>1.3001147430952164E-2</v>
      </c>
      <c r="E35" s="13">
        <v>1290108130</v>
      </c>
      <c r="F35" s="14">
        <f t="shared" si="1"/>
        <v>0.36005121308513799</v>
      </c>
      <c r="G35" s="15">
        <v>948573199</v>
      </c>
    </row>
    <row r="36" spans="1:7" x14ac:dyDescent="0.2">
      <c r="A36" s="11" t="s">
        <v>34</v>
      </c>
      <c r="B36" s="12" t="s">
        <v>83</v>
      </c>
      <c r="C36" s="13">
        <v>551428937</v>
      </c>
      <c r="D36" s="14">
        <f t="shared" si="0"/>
        <v>3.3122368288620703E-2</v>
      </c>
      <c r="E36" s="13">
        <v>533749877</v>
      </c>
      <c r="F36" s="14">
        <f t="shared" si="1"/>
        <v>9.7255573945506102E-2</v>
      </c>
      <c r="G36" s="15">
        <v>486440798</v>
      </c>
    </row>
    <row r="37" spans="1:7" x14ac:dyDescent="0.2">
      <c r="A37" s="11" t="s">
        <v>35</v>
      </c>
      <c r="B37" s="12" t="s">
        <v>82</v>
      </c>
      <c r="C37" s="13">
        <v>280635985</v>
      </c>
      <c r="D37" s="14">
        <f t="shared" si="0"/>
        <v>1.2238259724871768E-2</v>
      </c>
      <c r="E37" s="13">
        <v>277243013</v>
      </c>
      <c r="F37" s="14">
        <f t="shared" si="1"/>
        <v>0.46499176696150901</v>
      </c>
      <c r="G37" s="15">
        <v>189245441</v>
      </c>
    </row>
    <row r="38" spans="1:7" x14ac:dyDescent="0.2">
      <c r="A38" s="11" t="s">
        <v>36</v>
      </c>
      <c r="B38" s="12" t="s">
        <v>83</v>
      </c>
      <c r="C38" s="13">
        <v>75691731</v>
      </c>
      <c r="D38" s="14">
        <f t="shared" si="0"/>
        <v>7.0912236907930415E-2</v>
      </c>
      <c r="E38" s="13">
        <v>70679677</v>
      </c>
      <c r="F38" s="14">
        <f t="shared" si="1"/>
        <v>-0.10253327394043747</v>
      </c>
      <c r="G38" s="15">
        <v>78754649</v>
      </c>
    </row>
    <row r="39" spans="1:7" x14ac:dyDescent="0.2">
      <c r="A39" s="11" t="s">
        <v>37</v>
      </c>
      <c r="B39" s="12" t="s">
        <v>82</v>
      </c>
      <c r="C39" s="13">
        <v>2602023069</v>
      </c>
      <c r="D39" s="14">
        <f t="shared" si="0"/>
        <v>5.0113751251967042E-2</v>
      </c>
      <c r="E39" s="13">
        <v>2477848772</v>
      </c>
      <c r="F39" s="14">
        <f t="shared" si="1"/>
        <v>4.5163739462474671E-2</v>
      </c>
      <c r="G39" s="15">
        <v>2370775677</v>
      </c>
    </row>
    <row r="40" spans="1:7" x14ac:dyDescent="0.2">
      <c r="A40" s="11" t="s">
        <v>38</v>
      </c>
      <c r="B40" s="12" t="s">
        <v>82</v>
      </c>
      <c r="C40" s="13">
        <v>7109610602</v>
      </c>
      <c r="D40" s="14">
        <f t="shared" si="0"/>
        <v>4.6789030109678831E-2</v>
      </c>
      <c r="E40" s="13">
        <v>6791827577</v>
      </c>
      <c r="F40" s="14">
        <f t="shared" si="1"/>
        <v>0.10251825464567332</v>
      </c>
      <c r="G40" s="15">
        <v>6160285826</v>
      </c>
    </row>
    <row r="41" spans="1:7" x14ac:dyDescent="0.2">
      <c r="A41" s="11" t="s">
        <v>39</v>
      </c>
      <c r="B41" s="12" t="s">
        <v>82</v>
      </c>
      <c r="C41" s="13">
        <v>2613489203</v>
      </c>
      <c r="D41" s="14">
        <f t="shared" si="0"/>
        <v>0.11712969241376665</v>
      </c>
      <c r="E41" s="13">
        <v>2339468032</v>
      </c>
      <c r="F41" s="14">
        <f t="shared" si="1"/>
        <v>4.0158160016729082E-2</v>
      </c>
      <c r="G41" s="15">
        <v>2249146449</v>
      </c>
    </row>
    <row r="42" spans="1:7" x14ac:dyDescent="0.2">
      <c r="A42" s="11" t="s">
        <v>40</v>
      </c>
      <c r="B42" s="12" t="s">
        <v>83</v>
      </c>
      <c r="C42" s="13">
        <v>494125614</v>
      </c>
      <c r="D42" s="14">
        <f t="shared" si="0"/>
        <v>0.19614051390896606</v>
      </c>
      <c r="E42" s="13">
        <v>413099973</v>
      </c>
      <c r="F42" s="14">
        <f t="shared" si="1"/>
        <v>3.0877652507515851E-2</v>
      </c>
      <c r="G42" s="15">
        <v>400726480</v>
      </c>
    </row>
    <row r="43" spans="1:7" x14ac:dyDescent="0.2">
      <c r="A43" s="11" t="s">
        <v>41</v>
      </c>
      <c r="B43" s="12" t="s">
        <v>83</v>
      </c>
      <c r="C43" s="13">
        <v>161186508</v>
      </c>
      <c r="D43" s="14">
        <f t="shared" si="0"/>
        <v>1.9170230262029544E-2</v>
      </c>
      <c r="E43" s="13">
        <v>158154647</v>
      </c>
      <c r="F43" s="14">
        <f t="shared" si="1"/>
        <v>6.1021686833894695E-2</v>
      </c>
      <c r="G43" s="15">
        <v>149058826</v>
      </c>
    </row>
    <row r="44" spans="1:7" x14ac:dyDescent="0.2">
      <c r="A44" s="11" t="s">
        <v>42</v>
      </c>
      <c r="B44" s="12" t="s">
        <v>82</v>
      </c>
      <c r="C44" s="13">
        <v>372063327</v>
      </c>
      <c r="D44" s="14">
        <f t="shared" si="0"/>
        <v>8.0375432768072297E-2</v>
      </c>
      <c r="E44" s="13">
        <v>344383365</v>
      </c>
      <c r="F44" s="14">
        <f t="shared" si="1"/>
        <v>0.40810591774056282</v>
      </c>
      <c r="G44" s="15">
        <v>244572060</v>
      </c>
    </row>
    <row r="45" spans="1:7" x14ac:dyDescent="0.2">
      <c r="A45" s="11" t="s">
        <v>43</v>
      </c>
      <c r="B45" s="12" t="s">
        <v>82</v>
      </c>
      <c r="C45" s="13">
        <v>4694947903</v>
      </c>
      <c r="D45" s="14">
        <f t="shared" si="0"/>
        <v>2.8747303202418237E-2</v>
      </c>
      <c r="E45" s="13">
        <v>4563752331</v>
      </c>
      <c r="F45" s="14">
        <f t="shared" si="1"/>
        <v>0.15140370309422033</v>
      </c>
      <c r="G45" s="15">
        <v>3963642221</v>
      </c>
    </row>
    <row r="46" spans="1:7" x14ac:dyDescent="0.2">
      <c r="A46" s="11" t="s">
        <v>44</v>
      </c>
      <c r="B46" s="12" t="s">
        <v>82</v>
      </c>
      <c r="C46" s="13">
        <v>2783347832</v>
      </c>
      <c r="D46" s="14">
        <f t="shared" si="0"/>
        <v>6.9107341355320942E-2</v>
      </c>
      <c r="E46" s="13">
        <v>2603431596</v>
      </c>
      <c r="F46" s="14">
        <f t="shared" si="1"/>
        <v>0.14913726022815851</v>
      </c>
      <c r="G46" s="15">
        <v>2265553199</v>
      </c>
    </row>
    <row r="47" spans="1:7" x14ac:dyDescent="0.2">
      <c r="A47" s="11" t="s">
        <v>45</v>
      </c>
      <c r="B47" s="12" t="s">
        <v>82</v>
      </c>
      <c r="C47" s="13">
        <v>3752657229</v>
      </c>
      <c r="D47" s="14">
        <f t="shared" si="0"/>
        <v>2.8852925155187874E-2</v>
      </c>
      <c r="E47" s="13">
        <v>3647418535</v>
      </c>
      <c r="F47" s="14">
        <f t="shared" si="1"/>
        <v>0.12657907289654172</v>
      </c>
      <c r="G47" s="15">
        <v>3237605440</v>
      </c>
    </row>
    <row r="48" spans="1:7" x14ac:dyDescent="0.2">
      <c r="A48" s="11" t="s">
        <v>46</v>
      </c>
      <c r="B48" s="12" t="s">
        <v>82</v>
      </c>
      <c r="C48" s="13">
        <v>1099785695</v>
      </c>
      <c r="D48" s="14">
        <f t="shared" si="0"/>
        <v>2.1664661427831983E-2</v>
      </c>
      <c r="E48" s="13">
        <v>1076464457</v>
      </c>
      <c r="F48" s="14">
        <f t="shared" si="1"/>
        <v>0.13126097737048451</v>
      </c>
      <c r="G48" s="15">
        <v>951561557</v>
      </c>
    </row>
    <row r="49" spans="1:7" x14ac:dyDescent="0.2">
      <c r="A49" s="11" t="s">
        <v>47</v>
      </c>
      <c r="B49" s="12" t="s">
        <v>82</v>
      </c>
      <c r="C49" s="13">
        <v>1642672691</v>
      </c>
      <c r="D49" s="14">
        <f t="shared" si="0"/>
        <v>4.7684534678041707E-2</v>
      </c>
      <c r="E49" s="13">
        <v>1567907740</v>
      </c>
      <c r="F49" s="14">
        <f t="shared" si="1"/>
        <v>0.11071263603540643</v>
      </c>
      <c r="G49" s="15">
        <v>1411623213</v>
      </c>
    </row>
    <row r="50" spans="1:7" x14ac:dyDescent="0.2">
      <c r="A50" s="11" t="s">
        <v>48</v>
      </c>
      <c r="B50" s="12" t="s">
        <v>82</v>
      </c>
      <c r="C50" s="13">
        <v>1248796438</v>
      </c>
      <c r="D50" s="14">
        <f t="shared" si="0"/>
        <v>3.5034272852458671E-2</v>
      </c>
      <c r="E50" s="13">
        <v>1206526654</v>
      </c>
      <c r="F50" s="14">
        <f t="shared" si="1"/>
        <v>0.1163152753284446</v>
      </c>
      <c r="G50" s="15">
        <v>1080811739</v>
      </c>
    </row>
    <row r="51" spans="1:7" x14ac:dyDescent="0.2">
      <c r="A51" s="11" t="s">
        <v>49</v>
      </c>
      <c r="B51" s="12" t="s">
        <v>82</v>
      </c>
      <c r="C51" s="13">
        <v>2007332839</v>
      </c>
      <c r="D51" s="14">
        <f t="shared" si="0"/>
        <v>6.8623701261009695E-2</v>
      </c>
      <c r="E51" s="13">
        <v>1878428147</v>
      </c>
      <c r="F51" s="14">
        <f t="shared" si="1"/>
        <v>2.6193188646767056E-2</v>
      </c>
      <c r="G51" s="15">
        <v>1830481987</v>
      </c>
    </row>
    <row r="52" spans="1:7" x14ac:dyDescent="0.2">
      <c r="A52" s="11" t="s">
        <v>50</v>
      </c>
      <c r="B52" s="12" t="s">
        <v>82</v>
      </c>
      <c r="C52" s="13">
        <v>19324268580</v>
      </c>
      <c r="D52" s="14">
        <f t="shared" si="0"/>
        <v>2.6264095745509922E-2</v>
      </c>
      <c r="E52" s="13">
        <v>18829722934</v>
      </c>
      <c r="F52" s="14">
        <f t="shared" si="1"/>
        <v>0.13445098761615593</v>
      </c>
      <c r="G52" s="15">
        <v>16598092945</v>
      </c>
    </row>
    <row r="53" spans="1:7" x14ac:dyDescent="0.2">
      <c r="A53" s="11" t="s">
        <v>51</v>
      </c>
      <c r="B53" s="12" t="s">
        <v>82</v>
      </c>
      <c r="C53" s="13">
        <v>3629680397</v>
      </c>
      <c r="D53" s="14">
        <f t="shared" si="0"/>
        <v>6.9810623922407625E-2</v>
      </c>
      <c r="E53" s="13">
        <v>3392825156</v>
      </c>
      <c r="F53" s="14">
        <f t="shared" si="1"/>
        <v>-4.35713894035962E-2</v>
      </c>
      <c r="G53" s="15">
        <v>3547389861</v>
      </c>
    </row>
    <row r="54" spans="1:7" x14ac:dyDescent="0.2">
      <c r="A54" s="11" t="s">
        <v>52</v>
      </c>
      <c r="B54" s="12" t="s">
        <v>82</v>
      </c>
      <c r="C54" s="13">
        <v>15106251272</v>
      </c>
      <c r="D54" s="14">
        <f t="shared" si="0"/>
        <v>4.2866710312165393E-2</v>
      </c>
      <c r="E54" s="13">
        <v>14485313533</v>
      </c>
      <c r="F54" s="14">
        <f t="shared" si="1"/>
        <v>0.12552749627902759</v>
      </c>
      <c r="G54" s="15">
        <v>12869799788</v>
      </c>
    </row>
    <row r="55" spans="1:7" x14ac:dyDescent="0.2">
      <c r="A55" s="11" t="s">
        <v>53</v>
      </c>
      <c r="B55" s="12" t="s">
        <v>82</v>
      </c>
      <c r="C55" s="13">
        <v>3843958246</v>
      </c>
      <c r="D55" s="14">
        <f t="shared" si="0"/>
        <v>6.7973401586806398E-2</v>
      </c>
      <c r="E55" s="13">
        <v>3599301481</v>
      </c>
      <c r="F55" s="14">
        <f t="shared" si="1"/>
        <v>6.5637134506542322E-2</v>
      </c>
      <c r="G55" s="15">
        <v>3377605157</v>
      </c>
    </row>
    <row r="56" spans="1:7" x14ac:dyDescent="0.2">
      <c r="A56" s="11" t="s">
        <v>54</v>
      </c>
      <c r="B56" s="12" t="s">
        <v>82</v>
      </c>
      <c r="C56" s="13">
        <v>7378912022</v>
      </c>
      <c r="D56" s="14">
        <f t="shared" si="0"/>
        <v>3.5870354259691428E-2</v>
      </c>
      <c r="E56" s="13">
        <v>7123393378</v>
      </c>
      <c r="F56" s="14">
        <f t="shared" si="1"/>
        <v>6.0757483098909576E-2</v>
      </c>
      <c r="G56" s="15">
        <v>6715383574</v>
      </c>
    </row>
    <row r="57" spans="1:7" x14ac:dyDescent="0.2">
      <c r="A57" s="11" t="s">
        <v>55</v>
      </c>
      <c r="B57" s="12" t="s">
        <v>82</v>
      </c>
      <c r="C57" s="13">
        <v>9599495409</v>
      </c>
      <c r="D57" s="14">
        <f t="shared" si="0"/>
        <v>5.3855372567468557E-2</v>
      </c>
      <c r="E57" s="13">
        <v>9108930560</v>
      </c>
      <c r="F57" s="14">
        <f t="shared" si="1"/>
        <v>5.0987473827470688E-2</v>
      </c>
      <c r="G57" s="15">
        <v>8667021051</v>
      </c>
    </row>
    <row r="58" spans="1:7" x14ac:dyDescent="0.2">
      <c r="A58" s="11" t="s">
        <v>56</v>
      </c>
      <c r="B58" s="12" t="s">
        <v>82</v>
      </c>
      <c r="C58" s="13">
        <v>2858988958</v>
      </c>
      <c r="D58" s="14">
        <f t="shared" si="0"/>
        <v>0.21580943259780691</v>
      </c>
      <c r="E58" s="13">
        <v>2351510756</v>
      </c>
      <c r="F58" s="14">
        <f t="shared" si="1"/>
        <v>0.31178237286901711</v>
      </c>
      <c r="G58" s="15">
        <v>1792607375</v>
      </c>
    </row>
    <row r="59" spans="1:7" x14ac:dyDescent="0.2">
      <c r="A59" s="11" t="s">
        <v>2</v>
      </c>
      <c r="B59" s="12" t="s">
        <v>82</v>
      </c>
      <c r="C59" s="13">
        <v>2261007897</v>
      </c>
      <c r="D59" s="14">
        <f t="shared" si="0"/>
        <v>6.8162760502084419E-2</v>
      </c>
      <c r="E59" s="13">
        <v>2116726009</v>
      </c>
      <c r="F59" s="14">
        <f t="shared" si="1"/>
        <v>0.18233754847344247</v>
      </c>
      <c r="G59" s="15">
        <v>1790289086</v>
      </c>
    </row>
    <row r="60" spans="1:7" x14ac:dyDescent="0.2">
      <c r="A60" s="11" t="s">
        <v>3</v>
      </c>
      <c r="B60" s="12" t="s">
        <v>82</v>
      </c>
      <c r="C60" s="13">
        <v>5896020165</v>
      </c>
      <c r="D60" s="14">
        <f t="shared" si="0"/>
        <v>7.5632784886179263E-2</v>
      </c>
      <c r="E60" s="13">
        <v>5481443340</v>
      </c>
      <c r="F60" s="14">
        <f t="shared" si="1"/>
        <v>7.5928203144176809E-2</v>
      </c>
      <c r="G60" s="15">
        <v>5094618139</v>
      </c>
    </row>
    <row r="61" spans="1:7" x14ac:dyDescent="0.2">
      <c r="A61" s="11" t="s">
        <v>57</v>
      </c>
      <c r="B61" s="12" t="s">
        <v>82</v>
      </c>
      <c r="C61" s="13">
        <v>1113663068</v>
      </c>
      <c r="D61" s="14">
        <f t="shared" si="0"/>
        <v>9.3636535742951651E-2</v>
      </c>
      <c r="E61" s="13">
        <v>1018311872</v>
      </c>
      <c r="F61" s="14">
        <f t="shared" si="1"/>
        <v>4.7699736456019819E-2</v>
      </c>
      <c r="G61" s="15">
        <v>971950108</v>
      </c>
    </row>
    <row r="62" spans="1:7" x14ac:dyDescent="0.2">
      <c r="A62" s="11" t="s">
        <v>58</v>
      </c>
      <c r="B62" s="12" t="s">
        <v>82</v>
      </c>
      <c r="C62" s="13">
        <v>3851531499</v>
      </c>
      <c r="D62" s="14">
        <f t="shared" si="0"/>
        <v>5.7056453297124561E-2</v>
      </c>
      <c r="E62" s="13">
        <v>3643638414</v>
      </c>
      <c r="F62" s="14">
        <f t="shared" si="1"/>
        <v>0.14277208194243937</v>
      </c>
      <c r="G62" s="15">
        <v>3188420921</v>
      </c>
    </row>
    <row r="63" spans="1:7" x14ac:dyDescent="0.2">
      <c r="A63" s="11" t="s">
        <v>59</v>
      </c>
      <c r="B63" s="12" t="s">
        <v>82</v>
      </c>
      <c r="C63" s="13">
        <v>3447244641</v>
      </c>
      <c r="D63" s="14">
        <f t="shared" si="0"/>
        <v>2.3388209847156737E-2</v>
      </c>
      <c r="E63" s="13">
        <v>3368462337</v>
      </c>
      <c r="F63" s="14">
        <f t="shared" si="1"/>
        <v>0.12253095273331378</v>
      </c>
      <c r="G63" s="15">
        <v>3000774570</v>
      </c>
    </row>
    <row r="64" spans="1:7" x14ac:dyDescent="0.2">
      <c r="A64" s="11" t="s">
        <v>60</v>
      </c>
      <c r="B64" s="12" t="s">
        <v>82</v>
      </c>
      <c r="C64" s="13">
        <v>1555118216</v>
      </c>
      <c r="D64" s="14">
        <f t="shared" si="0"/>
        <v>0.12056216222289207</v>
      </c>
      <c r="E64" s="13">
        <v>1387801827</v>
      </c>
      <c r="F64" s="14">
        <f t="shared" si="1"/>
        <v>0.17398139025049972</v>
      </c>
      <c r="G64" s="15">
        <v>1182132731</v>
      </c>
    </row>
    <row r="65" spans="1:7" x14ac:dyDescent="0.2">
      <c r="A65" s="11" t="s">
        <v>61</v>
      </c>
      <c r="B65" s="12" t="s">
        <v>83</v>
      </c>
      <c r="C65" s="13">
        <v>988336537</v>
      </c>
      <c r="D65" s="14">
        <f t="shared" si="0"/>
        <v>8.4905877350926792E-2</v>
      </c>
      <c r="E65" s="13">
        <v>910988278</v>
      </c>
      <c r="F65" s="14">
        <f t="shared" si="1"/>
        <v>0.19317762640831806</v>
      </c>
      <c r="G65" s="15">
        <v>763497620</v>
      </c>
    </row>
    <row r="66" spans="1:7" x14ac:dyDescent="0.2">
      <c r="A66" s="11" t="s">
        <v>62</v>
      </c>
      <c r="B66" s="12" t="s">
        <v>82</v>
      </c>
      <c r="C66" s="13">
        <v>815120362</v>
      </c>
      <c r="D66" s="14">
        <f t="shared" si="0"/>
        <v>-0.11418379178252015</v>
      </c>
      <c r="E66" s="13">
        <v>920191293</v>
      </c>
      <c r="F66" s="14">
        <f t="shared" si="1"/>
        <v>0.1274420325928026</v>
      </c>
      <c r="G66" s="15">
        <v>816176146</v>
      </c>
    </row>
    <row r="67" spans="1:7" x14ac:dyDescent="0.2">
      <c r="A67" s="11" t="s">
        <v>63</v>
      </c>
      <c r="B67" s="12" t="s">
        <v>83</v>
      </c>
      <c r="C67" s="13">
        <v>116791977</v>
      </c>
      <c r="D67" s="14">
        <f t="shared" si="0"/>
        <v>6.5949845859726575E-2</v>
      </c>
      <c r="E67" s="13">
        <v>109566109</v>
      </c>
      <c r="F67" s="14">
        <f t="shared" si="1"/>
        <v>0.25178669277098875</v>
      </c>
      <c r="G67" s="15">
        <v>87527779</v>
      </c>
    </row>
    <row r="68" spans="1:7" x14ac:dyDescent="0.2">
      <c r="A68" s="11" t="s">
        <v>64</v>
      </c>
      <c r="B68" s="12" t="s">
        <v>82</v>
      </c>
      <c r="C68" s="13">
        <v>5073158569</v>
      </c>
      <c r="D68" s="14">
        <f t="shared" si="0"/>
        <v>4.5004619663851685E-2</v>
      </c>
      <c r="E68" s="13">
        <v>4854675734</v>
      </c>
      <c r="F68" s="14">
        <f t="shared" si="1"/>
        <v>6.8101237741469117E-2</v>
      </c>
      <c r="G68" s="15">
        <v>4545145687</v>
      </c>
    </row>
    <row r="69" spans="1:7" x14ac:dyDescent="0.2">
      <c r="A69" s="11" t="s">
        <v>65</v>
      </c>
      <c r="B69" s="12" t="s">
        <v>83</v>
      </c>
      <c r="C69" s="13">
        <v>252283707</v>
      </c>
      <c r="D69" s="14">
        <f t="shared" si="0"/>
        <v>2.274329482394662E-2</v>
      </c>
      <c r="E69" s="13">
        <v>246673538</v>
      </c>
      <c r="F69" s="14">
        <f t="shared" si="1"/>
        <v>0.16038836508300316</v>
      </c>
      <c r="G69" s="15">
        <v>212578431</v>
      </c>
    </row>
    <row r="70" spans="1:7" x14ac:dyDescent="0.2">
      <c r="A70" s="11" t="s">
        <v>66</v>
      </c>
      <c r="B70" s="12" t="s">
        <v>82</v>
      </c>
      <c r="C70" s="13">
        <v>946390320</v>
      </c>
      <c r="D70" s="14">
        <f>((C70-E70)/E70)</f>
        <v>9.0789899539516328E-2</v>
      </c>
      <c r="E70" s="13">
        <v>867619255</v>
      </c>
      <c r="F70" s="14">
        <f>((E70-G70)/G70)</f>
        <v>0.15220653264985365</v>
      </c>
      <c r="G70" s="15">
        <v>753006714</v>
      </c>
    </row>
    <row r="71" spans="1:7" x14ac:dyDescent="0.2">
      <c r="A71" s="11" t="s">
        <v>67</v>
      </c>
      <c r="B71" s="12" t="s">
        <v>83</v>
      </c>
      <c r="C71" s="13">
        <v>312466936</v>
      </c>
      <c r="D71" s="14">
        <f>((C71-E71)/E71)</f>
        <v>8.3406623867495769E-2</v>
      </c>
      <c r="E71" s="13">
        <v>288411506</v>
      </c>
      <c r="F71" s="14">
        <f>((E71-G71)/G71)</f>
        <v>3.7809642884193563E-2</v>
      </c>
      <c r="G71" s="15">
        <v>277904053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SUM(C5:C71)</f>
        <v>232963898271</v>
      </c>
      <c r="D73" s="22">
        <f>((C73-E73)/E73)</f>
        <v>4.4931001768223088E-2</v>
      </c>
      <c r="E73" s="21">
        <f>SUM(E5:E71)</f>
        <v>222946680572</v>
      </c>
      <c r="F73" s="22">
        <f>((E73-G73)/G73)</f>
        <v>0.1112394557811875</v>
      </c>
      <c r="G73" s="23">
        <f>SUM(G5:G71)</f>
        <v>200628837837</v>
      </c>
    </row>
    <row r="75" spans="1:7" x14ac:dyDescent="0.2">
      <c r="A75" s="24" t="s">
        <v>87</v>
      </c>
    </row>
  </sheetData>
  <phoneticPr fontId="3" type="noConversion"/>
  <conditionalFormatting sqref="A75">
    <cfRule type="expression" dxfId="4" priority="9" stopIfTrue="1">
      <formula>MOD(ROW(),5)=1</formula>
    </cfRule>
  </conditionalFormatting>
  <conditionalFormatting sqref="A5:G73">
    <cfRule type="expression" dxfId="3" priority="2" stopIfTrue="1">
      <formula>MOD(ROW(),3)=1</formula>
    </cfRule>
  </conditionalFormatting>
  <conditionalFormatting sqref="A4:G4">
    <cfRule type="expression" dxfId="2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 G7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5"/>
  <sheetViews>
    <sheetView zoomScaleNormal="100" zoomScaleSheetLayoutView="100"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73</v>
      </c>
      <c r="B1" s="7"/>
      <c r="C1" s="8"/>
      <c r="D1" s="7"/>
      <c r="E1" s="8"/>
      <c r="F1" s="7"/>
      <c r="G1" s="8"/>
    </row>
    <row r="2" spans="1:7" ht="15" x14ac:dyDescent="0.25">
      <c r="A2" s="9" t="s">
        <v>93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86</v>
      </c>
      <c r="D4" s="38" t="s">
        <v>92</v>
      </c>
      <c r="E4" s="38" t="s">
        <v>84</v>
      </c>
      <c r="F4" s="38" t="s">
        <v>85</v>
      </c>
      <c r="G4" s="39" t="s">
        <v>81</v>
      </c>
    </row>
    <row r="5" spans="1:7" x14ac:dyDescent="0.2">
      <c r="A5" s="11" t="s">
        <v>4</v>
      </c>
      <c r="B5" s="12" t="s">
        <v>82</v>
      </c>
      <c r="C5" s="13">
        <v>34217281</v>
      </c>
      <c r="D5" s="14">
        <f>((C5-E5)/E5)</f>
        <v>3.5595068674609605E-2</v>
      </c>
      <c r="E5" s="13">
        <v>33041178</v>
      </c>
      <c r="F5" s="14">
        <f>((E5-G5)/G5)</f>
        <v>-3.8910575329970026E-2</v>
      </c>
      <c r="G5" s="15">
        <v>34378880</v>
      </c>
    </row>
    <row r="6" spans="1:7" x14ac:dyDescent="0.2">
      <c r="A6" s="11" t="s">
        <v>5</v>
      </c>
      <c r="B6" s="12" t="s">
        <v>83</v>
      </c>
      <c r="C6" s="13">
        <v>15403199</v>
      </c>
      <c r="D6" s="14">
        <f t="shared" ref="D6:D68" si="0">((C6-E6)/E6)</f>
        <v>-1.7234070599236383E-2</v>
      </c>
      <c r="E6" s="13">
        <v>15673314</v>
      </c>
      <c r="F6" s="14">
        <f t="shared" ref="F6:F68" si="1">((E6-G6)/G6)</f>
        <v>3.653280012009863E-2</v>
      </c>
      <c r="G6" s="15">
        <v>15120905</v>
      </c>
    </row>
    <row r="7" spans="1:7" x14ac:dyDescent="0.2">
      <c r="A7" s="11" t="s">
        <v>6</v>
      </c>
      <c r="B7" s="12" t="s">
        <v>82</v>
      </c>
      <c r="C7" s="13">
        <v>34804014</v>
      </c>
      <c r="D7" s="14">
        <f t="shared" si="0"/>
        <v>-2.7186389604035615E-2</v>
      </c>
      <c r="E7" s="13">
        <v>35776652</v>
      </c>
      <c r="F7" s="14">
        <f t="shared" si="1"/>
        <v>-1.7490497972141847E-2</v>
      </c>
      <c r="G7" s="15">
        <v>36413543</v>
      </c>
    </row>
    <row r="8" spans="1:7" x14ac:dyDescent="0.2">
      <c r="A8" s="11" t="s">
        <v>7</v>
      </c>
      <c r="B8" s="12" t="s">
        <v>82</v>
      </c>
      <c r="C8" s="13">
        <v>19119156</v>
      </c>
      <c r="D8" s="14">
        <f t="shared" si="0"/>
        <v>2.3628917265026486E-3</v>
      </c>
      <c r="E8" s="13">
        <v>19074086</v>
      </c>
      <c r="F8" s="14">
        <f t="shared" si="1"/>
        <v>1.0733042041037781E-2</v>
      </c>
      <c r="G8" s="15">
        <v>18871537</v>
      </c>
    </row>
    <row r="9" spans="1:7" x14ac:dyDescent="0.2">
      <c r="A9" s="11" t="s">
        <v>8</v>
      </c>
      <c r="B9" s="12" t="s">
        <v>82</v>
      </c>
      <c r="C9" s="13">
        <v>146608523</v>
      </c>
      <c r="D9" s="14">
        <f t="shared" si="0"/>
        <v>0.24920342775126259</v>
      </c>
      <c r="E9" s="13">
        <v>117361608</v>
      </c>
      <c r="F9" s="14">
        <f t="shared" si="1"/>
        <v>0.28893717285059739</v>
      </c>
      <c r="G9" s="15">
        <v>91053009</v>
      </c>
    </row>
    <row r="10" spans="1:7" x14ac:dyDescent="0.2">
      <c r="A10" s="11" t="s">
        <v>9</v>
      </c>
      <c r="B10" s="12" t="s">
        <v>82</v>
      </c>
      <c r="C10" s="13">
        <v>112111277</v>
      </c>
      <c r="D10" s="14">
        <f t="shared" si="0"/>
        <v>0.1097868294145416</v>
      </c>
      <c r="E10" s="13">
        <v>101020551</v>
      </c>
      <c r="F10" s="14">
        <f t="shared" si="1"/>
        <v>-1.7211306860952288E-2</v>
      </c>
      <c r="G10" s="15">
        <v>102789696</v>
      </c>
    </row>
    <row r="11" spans="1:7" x14ac:dyDescent="0.2">
      <c r="A11" s="11" t="s">
        <v>10</v>
      </c>
      <c r="B11" s="12" t="s">
        <v>83</v>
      </c>
      <c r="C11" s="13"/>
      <c r="D11" s="14" t="s">
        <v>79</v>
      </c>
      <c r="E11" s="13"/>
      <c r="F11" s="14" t="s">
        <v>79</v>
      </c>
      <c r="G11" s="15"/>
    </row>
    <row r="12" spans="1:7" x14ac:dyDescent="0.2">
      <c r="A12" s="11" t="s">
        <v>11</v>
      </c>
      <c r="B12" s="12" t="s">
        <v>82</v>
      </c>
      <c r="C12" s="13">
        <v>3214895</v>
      </c>
      <c r="D12" s="14">
        <f t="shared" si="0"/>
        <v>0.16330725847830824</v>
      </c>
      <c r="E12" s="13">
        <v>2763582</v>
      </c>
      <c r="F12" s="14">
        <f t="shared" si="1"/>
        <v>-0.12451784175579096</v>
      </c>
      <c r="G12" s="15">
        <v>3156640</v>
      </c>
    </row>
    <row r="13" spans="1:7" x14ac:dyDescent="0.2">
      <c r="A13" s="11" t="s">
        <v>12</v>
      </c>
      <c r="B13" s="12" t="s">
        <v>82</v>
      </c>
      <c r="C13" s="13">
        <v>1610489</v>
      </c>
      <c r="D13" s="14">
        <f t="shared" si="0"/>
        <v>6.6560307923792569E-2</v>
      </c>
      <c r="E13" s="13">
        <v>1509984</v>
      </c>
      <c r="F13" s="14">
        <f t="shared" si="1"/>
        <v>-0.2371783990882417</v>
      </c>
      <c r="G13" s="15">
        <v>1979472</v>
      </c>
    </row>
    <row r="14" spans="1:7" x14ac:dyDescent="0.2">
      <c r="A14" s="11" t="s">
        <v>13</v>
      </c>
      <c r="B14" s="12" t="s">
        <v>82</v>
      </c>
      <c r="C14" s="13">
        <v>17375080</v>
      </c>
      <c r="D14" s="14">
        <f t="shared" si="0"/>
        <v>2.0182139832771282E-3</v>
      </c>
      <c r="E14" s="13">
        <v>17340084</v>
      </c>
      <c r="F14" s="14">
        <f t="shared" si="1"/>
        <v>1.0246436014656543E-2</v>
      </c>
      <c r="G14" s="15">
        <v>17164212</v>
      </c>
    </row>
    <row r="15" spans="1:7" x14ac:dyDescent="0.2">
      <c r="A15" s="11" t="s">
        <v>14</v>
      </c>
      <c r="B15" s="12" t="s">
        <v>82</v>
      </c>
      <c r="C15" s="13">
        <v>206925</v>
      </c>
      <c r="D15" s="14">
        <f t="shared" si="0"/>
        <v>0.16474442324254041</v>
      </c>
      <c r="E15" s="13">
        <v>177657</v>
      </c>
      <c r="F15" s="14">
        <f t="shared" si="1"/>
        <v>-0.11298343368982355</v>
      </c>
      <c r="G15" s="15">
        <v>200286</v>
      </c>
    </row>
    <row r="16" spans="1:7" x14ac:dyDescent="0.2">
      <c r="A16" s="11" t="s">
        <v>15</v>
      </c>
      <c r="B16" s="12" t="s">
        <v>82</v>
      </c>
      <c r="C16" s="13">
        <v>15527506</v>
      </c>
      <c r="D16" s="14">
        <f t="shared" si="0"/>
        <v>-1.9981142494213459E-2</v>
      </c>
      <c r="E16" s="13">
        <v>15844089</v>
      </c>
      <c r="F16" s="14">
        <f t="shared" si="1"/>
        <v>3.8059568062459331E-2</v>
      </c>
      <c r="G16" s="15">
        <v>15263179</v>
      </c>
    </row>
    <row r="17" spans="1:7" x14ac:dyDescent="0.2">
      <c r="A17" s="11" t="s">
        <v>78</v>
      </c>
      <c r="B17" s="12" t="s">
        <v>82</v>
      </c>
      <c r="C17" s="13">
        <v>214047318</v>
      </c>
      <c r="D17" s="14">
        <f t="shared" si="0"/>
        <v>0.17946142950797211</v>
      </c>
      <c r="E17" s="13">
        <v>181478862</v>
      </c>
      <c r="F17" s="14">
        <f t="shared" si="1"/>
        <v>0.18453364794730381</v>
      </c>
      <c r="G17" s="15">
        <v>153207013</v>
      </c>
    </row>
    <row r="18" spans="1:7" x14ac:dyDescent="0.2">
      <c r="A18" s="11" t="s">
        <v>16</v>
      </c>
      <c r="B18" s="12" t="s">
        <v>82</v>
      </c>
      <c r="C18" s="13">
        <v>4774087</v>
      </c>
      <c r="D18" s="14">
        <f t="shared" si="0"/>
        <v>7.4722707909693417E-2</v>
      </c>
      <c r="E18" s="13">
        <v>4442157</v>
      </c>
      <c r="F18" s="14">
        <f t="shared" si="1"/>
        <v>-5.3281811974176523E-2</v>
      </c>
      <c r="G18" s="15">
        <v>4692164</v>
      </c>
    </row>
    <row r="19" spans="1:7" x14ac:dyDescent="0.2">
      <c r="A19" s="11" t="s">
        <v>17</v>
      </c>
      <c r="B19" s="12" t="s">
        <v>83</v>
      </c>
      <c r="C19" s="13"/>
      <c r="D19" s="14" t="s">
        <v>79</v>
      </c>
      <c r="E19" s="13"/>
      <c r="F19" s="14" t="s">
        <v>79</v>
      </c>
      <c r="G19" s="15"/>
    </row>
    <row r="20" spans="1:7" x14ac:dyDescent="0.2">
      <c r="A20" s="11" t="s">
        <v>18</v>
      </c>
      <c r="B20" s="12" t="s">
        <v>82</v>
      </c>
      <c r="C20" s="13">
        <v>219292548</v>
      </c>
      <c r="D20" s="14">
        <f t="shared" si="0"/>
        <v>-3.9987478174514035E-2</v>
      </c>
      <c r="E20" s="13">
        <v>228426758</v>
      </c>
      <c r="F20" s="14">
        <f t="shared" si="1"/>
        <v>1.297415112521438E-2</v>
      </c>
      <c r="G20" s="15">
        <v>225501073</v>
      </c>
    </row>
    <row r="21" spans="1:7" x14ac:dyDescent="0.2">
      <c r="A21" s="11" t="s">
        <v>19</v>
      </c>
      <c r="B21" s="12" t="s">
        <v>82</v>
      </c>
      <c r="C21" s="13">
        <v>32696370</v>
      </c>
      <c r="D21" s="14">
        <f t="shared" si="0"/>
        <v>2.0325963868836547E-2</v>
      </c>
      <c r="E21" s="13">
        <v>32045024</v>
      </c>
      <c r="F21" s="14">
        <f t="shared" si="1"/>
        <v>1.9991207933829119E-2</v>
      </c>
      <c r="G21" s="15">
        <v>31416961</v>
      </c>
    </row>
    <row r="22" spans="1:7" x14ac:dyDescent="0.2">
      <c r="A22" s="11" t="s">
        <v>20</v>
      </c>
      <c r="B22" s="12" t="s">
        <v>82</v>
      </c>
      <c r="C22" s="13">
        <v>24611217</v>
      </c>
      <c r="D22" s="14">
        <f t="shared" si="0"/>
        <v>-0.16667605139644609</v>
      </c>
      <c r="E22" s="13">
        <v>29533793</v>
      </c>
      <c r="F22" s="14">
        <f t="shared" si="1"/>
        <v>7.1073829940469652E-2</v>
      </c>
      <c r="G22" s="15">
        <v>27574003</v>
      </c>
    </row>
    <row r="23" spans="1:7" x14ac:dyDescent="0.2">
      <c r="A23" s="11" t="s">
        <v>21</v>
      </c>
      <c r="B23" s="12" t="s">
        <v>83</v>
      </c>
      <c r="C23" s="13">
        <v>689947</v>
      </c>
      <c r="D23" s="14">
        <f t="shared" si="0"/>
        <v>0.11523888958933426</v>
      </c>
      <c r="E23" s="13">
        <v>618654</v>
      </c>
      <c r="F23" s="14">
        <f t="shared" si="1"/>
        <v>7.7800058188457435E-2</v>
      </c>
      <c r="G23" s="15">
        <v>573997</v>
      </c>
    </row>
    <row r="24" spans="1:7" x14ac:dyDescent="0.2">
      <c r="A24" s="11" t="s">
        <v>22</v>
      </c>
      <c r="B24" s="12" t="s">
        <v>83</v>
      </c>
      <c r="C24" s="13">
        <v>8448951</v>
      </c>
      <c r="D24" s="14">
        <f t="shared" si="0"/>
        <v>2.6161002425077001E-2</v>
      </c>
      <c r="E24" s="13">
        <v>8233553</v>
      </c>
      <c r="F24" s="14">
        <f t="shared" si="1"/>
        <v>1.6151565617409148E-2</v>
      </c>
      <c r="G24" s="15">
        <v>8102682</v>
      </c>
    </row>
    <row r="25" spans="1:7" x14ac:dyDescent="0.2">
      <c r="A25" s="11" t="s">
        <v>23</v>
      </c>
      <c r="B25" s="12" t="s">
        <v>83</v>
      </c>
      <c r="C25" s="13"/>
      <c r="D25" s="14" t="s">
        <v>79</v>
      </c>
      <c r="E25" s="13"/>
      <c r="F25" s="14" t="s">
        <v>79</v>
      </c>
      <c r="G25" s="15"/>
    </row>
    <row r="26" spans="1:7" x14ac:dyDescent="0.2">
      <c r="A26" s="11" t="s">
        <v>24</v>
      </c>
      <c r="B26" s="12" t="s">
        <v>83</v>
      </c>
      <c r="C26" s="13">
        <v>15601137</v>
      </c>
      <c r="D26" s="14">
        <f t="shared" si="0"/>
        <v>-0.1610710148413467</v>
      </c>
      <c r="E26" s="13">
        <v>18596493</v>
      </c>
      <c r="F26" s="14">
        <f t="shared" si="1"/>
        <v>1.1002268334069438E-2</v>
      </c>
      <c r="G26" s="15">
        <v>18394116</v>
      </c>
    </row>
    <row r="27" spans="1:7" x14ac:dyDescent="0.2">
      <c r="A27" s="11" t="s">
        <v>25</v>
      </c>
      <c r="B27" s="12" t="s">
        <v>83</v>
      </c>
      <c r="C27" s="13">
        <v>593333</v>
      </c>
      <c r="D27" s="14">
        <f t="shared" si="0"/>
        <v>0.25425265877050757</v>
      </c>
      <c r="E27" s="13">
        <v>473057</v>
      </c>
      <c r="F27" s="14">
        <f t="shared" si="1"/>
        <v>9.7228729548311674E-2</v>
      </c>
      <c r="G27" s="15">
        <v>431138</v>
      </c>
    </row>
    <row r="28" spans="1:7" x14ac:dyDescent="0.2">
      <c r="A28" s="11" t="s">
        <v>26</v>
      </c>
      <c r="B28" s="12" t="s">
        <v>82</v>
      </c>
      <c r="C28" s="13">
        <v>27846812</v>
      </c>
      <c r="D28" s="14">
        <f t="shared" si="0"/>
        <v>-2.9283642954678776E-2</v>
      </c>
      <c r="E28" s="13">
        <v>28686868</v>
      </c>
      <c r="F28" s="14">
        <f t="shared" si="1"/>
        <v>4.0916701787985045E-2</v>
      </c>
      <c r="G28" s="15">
        <v>27559235</v>
      </c>
    </row>
    <row r="29" spans="1:7" x14ac:dyDescent="0.2">
      <c r="A29" s="11" t="s">
        <v>27</v>
      </c>
      <c r="B29" s="12" t="s">
        <v>82</v>
      </c>
      <c r="C29" s="13">
        <v>9480548</v>
      </c>
      <c r="D29" s="14">
        <f t="shared" si="0"/>
        <v>1.8450636832289841E-3</v>
      </c>
      <c r="E29" s="13">
        <v>9463088</v>
      </c>
      <c r="F29" s="14">
        <f t="shared" si="1"/>
        <v>1.0247570805814139E-2</v>
      </c>
      <c r="G29" s="15">
        <v>9367098</v>
      </c>
    </row>
    <row r="30" spans="1:7" x14ac:dyDescent="0.2">
      <c r="A30" s="11" t="s">
        <v>28</v>
      </c>
      <c r="B30" s="12" t="s">
        <v>82</v>
      </c>
      <c r="C30" s="13">
        <v>5355013</v>
      </c>
      <c r="D30" s="14">
        <f t="shared" si="0"/>
        <v>-0.15085166754567708</v>
      </c>
      <c r="E30" s="13">
        <v>6306334</v>
      </c>
      <c r="F30" s="14">
        <f t="shared" si="1"/>
        <v>6.0818735091963033E-2</v>
      </c>
      <c r="G30" s="15">
        <v>5944780</v>
      </c>
    </row>
    <row r="31" spans="1:7" x14ac:dyDescent="0.2">
      <c r="A31" s="11" t="s">
        <v>29</v>
      </c>
      <c r="B31" s="12" t="s">
        <v>82</v>
      </c>
      <c r="C31" s="13">
        <v>12111470</v>
      </c>
      <c r="D31" s="14">
        <f t="shared" si="0"/>
        <v>1.3748009275358869E-3</v>
      </c>
      <c r="E31" s="13">
        <v>12094842</v>
      </c>
      <c r="F31" s="14">
        <f t="shared" si="1"/>
        <v>9.0741942443558262E-3</v>
      </c>
      <c r="G31" s="15">
        <v>11986078</v>
      </c>
    </row>
    <row r="32" spans="1:7" x14ac:dyDescent="0.2">
      <c r="A32" s="11" t="s">
        <v>30</v>
      </c>
      <c r="B32" s="12" t="s">
        <v>82</v>
      </c>
      <c r="C32" s="13">
        <v>35821139</v>
      </c>
      <c r="D32" s="14">
        <f t="shared" si="0"/>
        <v>-7.5723856537500217E-2</v>
      </c>
      <c r="E32" s="13">
        <v>38755884</v>
      </c>
      <c r="F32" s="14">
        <f t="shared" si="1"/>
        <v>4.2120754246472566E-3</v>
      </c>
      <c r="G32" s="15">
        <v>38593326</v>
      </c>
    </row>
    <row r="33" spans="1:7" x14ac:dyDescent="0.2">
      <c r="A33" s="11" t="s">
        <v>31</v>
      </c>
      <c r="B33" s="12" t="s">
        <v>82</v>
      </c>
      <c r="C33" s="13">
        <v>130872997</v>
      </c>
      <c r="D33" s="14">
        <f t="shared" si="0"/>
        <v>-1.6855238920658426E-3</v>
      </c>
      <c r="E33" s="13">
        <v>131093959</v>
      </c>
      <c r="F33" s="14">
        <f t="shared" si="1"/>
        <v>-2.0508735193309827E-2</v>
      </c>
      <c r="G33" s="15">
        <v>133838824</v>
      </c>
    </row>
    <row r="34" spans="1:7" x14ac:dyDescent="0.2">
      <c r="A34" s="11" t="s">
        <v>32</v>
      </c>
      <c r="B34" s="12" t="s">
        <v>83</v>
      </c>
      <c r="C34" s="13">
        <v>3967150</v>
      </c>
      <c r="D34" s="14">
        <f t="shared" si="0"/>
        <v>-1.6889433856780059E-2</v>
      </c>
      <c r="E34" s="13">
        <v>4035304</v>
      </c>
      <c r="F34" s="14">
        <f t="shared" si="1"/>
        <v>8.7406038084638815E-2</v>
      </c>
      <c r="G34" s="15">
        <v>3710945</v>
      </c>
    </row>
    <row r="35" spans="1:7" x14ac:dyDescent="0.2">
      <c r="A35" s="11" t="s">
        <v>33</v>
      </c>
      <c r="B35" s="12" t="s">
        <v>82</v>
      </c>
      <c r="C35" s="13">
        <v>50990963</v>
      </c>
      <c r="D35" s="14">
        <f t="shared" si="0"/>
        <v>0.82435480186410548</v>
      </c>
      <c r="E35" s="13">
        <v>27950135</v>
      </c>
      <c r="F35" s="14">
        <f t="shared" si="1"/>
        <v>5.2682731092497111E-2</v>
      </c>
      <c r="G35" s="15">
        <v>26551338</v>
      </c>
    </row>
    <row r="36" spans="1:7" x14ac:dyDescent="0.2">
      <c r="A36" s="11" t="s">
        <v>34</v>
      </c>
      <c r="B36" s="12" t="s">
        <v>83</v>
      </c>
      <c r="C36" s="13">
        <v>28422608</v>
      </c>
      <c r="D36" s="14">
        <f t="shared" si="0"/>
        <v>-1.3357880717790219E-2</v>
      </c>
      <c r="E36" s="13">
        <v>28807414</v>
      </c>
      <c r="F36" s="14">
        <f t="shared" si="1"/>
        <v>-7.5670418326511365E-3</v>
      </c>
      <c r="G36" s="15">
        <v>29027063</v>
      </c>
    </row>
    <row r="37" spans="1:7" x14ac:dyDescent="0.2">
      <c r="A37" s="11" t="s">
        <v>35</v>
      </c>
      <c r="B37" s="12" t="s">
        <v>82</v>
      </c>
      <c r="C37" s="13">
        <v>3146073</v>
      </c>
      <c r="D37" s="14">
        <f t="shared" si="0"/>
        <v>2.3122819694884927E-2</v>
      </c>
      <c r="E37" s="13">
        <v>3074971</v>
      </c>
      <c r="F37" s="14">
        <f t="shared" si="1"/>
        <v>1.3842793867165889E-2</v>
      </c>
      <c r="G37" s="15">
        <v>3032986</v>
      </c>
    </row>
    <row r="38" spans="1:7" x14ac:dyDescent="0.2">
      <c r="A38" s="11" t="s">
        <v>36</v>
      </c>
      <c r="B38" s="12" t="s">
        <v>83</v>
      </c>
      <c r="C38" s="13"/>
      <c r="D38" s="14" t="s">
        <v>79</v>
      </c>
      <c r="E38" s="13"/>
      <c r="F38" s="14" t="s">
        <v>79</v>
      </c>
      <c r="G38" s="15"/>
    </row>
    <row r="39" spans="1:7" x14ac:dyDescent="0.2">
      <c r="A39" s="11" t="s">
        <v>37</v>
      </c>
      <c r="B39" s="12" t="s">
        <v>82</v>
      </c>
      <c r="C39" s="13">
        <v>5410561</v>
      </c>
      <c r="D39" s="14">
        <f t="shared" si="0"/>
        <v>-0.2428259953846563</v>
      </c>
      <c r="E39" s="13">
        <v>7145730</v>
      </c>
      <c r="F39" s="14">
        <f t="shared" si="1"/>
        <v>-0.45614577731395273</v>
      </c>
      <c r="G39" s="15">
        <v>13139054</v>
      </c>
    </row>
    <row r="40" spans="1:7" x14ac:dyDescent="0.2">
      <c r="A40" s="11" t="s">
        <v>38</v>
      </c>
      <c r="B40" s="12" t="s">
        <v>82</v>
      </c>
      <c r="C40" s="13">
        <v>5532912</v>
      </c>
      <c r="D40" s="14">
        <f t="shared" si="0"/>
        <v>0.15011757036761111</v>
      </c>
      <c r="E40" s="13">
        <v>4810736</v>
      </c>
      <c r="F40" s="14">
        <f t="shared" si="1"/>
        <v>-0.10807296663868929</v>
      </c>
      <c r="G40" s="15">
        <v>5393643</v>
      </c>
    </row>
    <row r="41" spans="1:7" x14ac:dyDescent="0.2">
      <c r="A41" s="11" t="s">
        <v>39</v>
      </c>
      <c r="B41" s="12" t="s">
        <v>82</v>
      </c>
      <c r="C41" s="13">
        <v>5940218</v>
      </c>
      <c r="D41" s="14">
        <f t="shared" si="0"/>
        <v>1.7460105123408756E-2</v>
      </c>
      <c r="E41" s="13">
        <v>5838281</v>
      </c>
      <c r="F41" s="14">
        <f t="shared" si="1"/>
        <v>1.411564357027259E-2</v>
      </c>
      <c r="G41" s="15">
        <v>5757017</v>
      </c>
    </row>
    <row r="42" spans="1:7" x14ac:dyDescent="0.2">
      <c r="A42" s="11" t="s">
        <v>40</v>
      </c>
      <c r="B42" s="12" t="s">
        <v>83</v>
      </c>
      <c r="C42" s="13">
        <v>3503224</v>
      </c>
      <c r="D42" s="14">
        <f t="shared" si="0"/>
        <v>0.15917694765176621</v>
      </c>
      <c r="E42" s="13">
        <v>3022165</v>
      </c>
      <c r="F42" s="14">
        <f t="shared" si="1"/>
        <v>-0.24411822526047985</v>
      </c>
      <c r="G42" s="15">
        <v>3998198</v>
      </c>
    </row>
    <row r="43" spans="1:7" x14ac:dyDescent="0.2">
      <c r="A43" s="11" t="s">
        <v>41</v>
      </c>
      <c r="B43" s="12" t="s">
        <v>83</v>
      </c>
      <c r="C43" s="13">
        <v>882753</v>
      </c>
      <c r="D43" s="14">
        <f t="shared" si="0"/>
        <v>0.10146687063438786</v>
      </c>
      <c r="E43" s="13">
        <v>801434</v>
      </c>
      <c r="F43" s="14">
        <f t="shared" si="1"/>
        <v>7.8062743979704113E-2</v>
      </c>
      <c r="G43" s="15">
        <v>743402</v>
      </c>
    </row>
    <row r="44" spans="1:7" x14ac:dyDescent="0.2">
      <c r="A44" s="11" t="s">
        <v>42</v>
      </c>
      <c r="B44" s="12" t="s">
        <v>82</v>
      </c>
      <c r="C44" s="13">
        <v>8622136</v>
      </c>
      <c r="D44" s="14">
        <f t="shared" si="0"/>
        <v>1.5883683506442429E-2</v>
      </c>
      <c r="E44" s="13">
        <v>8487326</v>
      </c>
      <c r="F44" s="14">
        <f t="shared" si="1"/>
        <v>2.3366143616873763E-2</v>
      </c>
      <c r="G44" s="15">
        <v>8293538</v>
      </c>
    </row>
    <row r="45" spans="1:7" x14ac:dyDescent="0.2">
      <c r="A45" s="11" t="s">
        <v>43</v>
      </c>
      <c r="B45" s="12" t="s">
        <v>82</v>
      </c>
      <c r="C45" s="13">
        <v>8591883</v>
      </c>
      <c r="D45" s="14">
        <f t="shared" si="0"/>
        <v>-2.567437417267095E-2</v>
      </c>
      <c r="E45" s="13">
        <v>8818287</v>
      </c>
      <c r="F45" s="14">
        <f t="shared" si="1"/>
        <v>-1.2847011938811492E-2</v>
      </c>
      <c r="G45" s="15">
        <v>8933050</v>
      </c>
    </row>
    <row r="46" spans="1:7" x14ac:dyDescent="0.2">
      <c r="A46" s="11" t="s">
        <v>44</v>
      </c>
      <c r="B46" s="12" t="s">
        <v>82</v>
      </c>
      <c r="C46" s="13">
        <v>28911235</v>
      </c>
      <c r="D46" s="14">
        <f t="shared" si="0"/>
        <v>2.8474580154127283E-2</v>
      </c>
      <c r="E46" s="13">
        <v>28110792</v>
      </c>
      <c r="F46" s="14">
        <f t="shared" si="1"/>
        <v>-7.8013595423297916E-2</v>
      </c>
      <c r="G46" s="15">
        <v>30489378</v>
      </c>
    </row>
    <row r="47" spans="1:7" x14ac:dyDescent="0.2">
      <c r="A47" s="11" t="s">
        <v>45</v>
      </c>
      <c r="B47" s="12" t="s">
        <v>82</v>
      </c>
      <c r="C47" s="13">
        <v>104068102</v>
      </c>
      <c r="D47" s="14">
        <f t="shared" si="0"/>
        <v>0.37686603513312333</v>
      </c>
      <c r="E47" s="13">
        <v>75583317</v>
      </c>
      <c r="F47" s="14">
        <f t="shared" si="1"/>
        <v>4.2300799967300934E-2</v>
      </c>
      <c r="G47" s="15">
        <v>72515839</v>
      </c>
    </row>
    <row r="48" spans="1:7" x14ac:dyDescent="0.2">
      <c r="A48" s="11" t="s">
        <v>46</v>
      </c>
      <c r="B48" s="12" t="s">
        <v>82</v>
      </c>
      <c r="C48" s="13"/>
      <c r="D48" s="14" t="s">
        <v>79</v>
      </c>
      <c r="E48" s="13"/>
      <c r="F48" s="14" t="s">
        <v>79</v>
      </c>
      <c r="G48" s="15"/>
    </row>
    <row r="49" spans="1:7" x14ac:dyDescent="0.2">
      <c r="A49" s="11" t="s">
        <v>47</v>
      </c>
      <c r="B49" s="12" t="s">
        <v>82</v>
      </c>
      <c r="C49" s="13">
        <v>51418129</v>
      </c>
      <c r="D49" s="14">
        <f t="shared" si="0"/>
        <v>3.3209593509262524E-2</v>
      </c>
      <c r="E49" s="13">
        <v>49765439</v>
      </c>
      <c r="F49" s="14">
        <f t="shared" si="1"/>
        <v>5.9669773484994346E-2</v>
      </c>
      <c r="G49" s="15">
        <v>46963158</v>
      </c>
    </row>
    <row r="50" spans="1:7" x14ac:dyDescent="0.2">
      <c r="A50" s="11" t="s">
        <v>48</v>
      </c>
      <c r="B50" s="12" t="s">
        <v>82</v>
      </c>
      <c r="C50" s="13">
        <v>4415413</v>
      </c>
      <c r="D50" s="14">
        <f t="shared" si="0"/>
        <v>1.847077135428488E-2</v>
      </c>
      <c r="E50" s="13">
        <v>4335336</v>
      </c>
      <c r="F50" s="14">
        <f t="shared" si="1"/>
        <v>1.3085668858127121E-2</v>
      </c>
      <c r="G50" s="15">
        <v>4279338</v>
      </c>
    </row>
    <row r="51" spans="1:7" x14ac:dyDescent="0.2">
      <c r="A51" s="11" t="s">
        <v>49</v>
      </c>
      <c r="B51" s="12" t="s">
        <v>82</v>
      </c>
      <c r="C51" s="13">
        <v>12335449</v>
      </c>
      <c r="D51" s="14">
        <f t="shared" si="0"/>
        <v>1.4724803593511311E-3</v>
      </c>
      <c r="E51" s="13">
        <v>12317312</v>
      </c>
      <c r="F51" s="14">
        <f t="shared" si="1"/>
        <v>9.4112078273975962E-3</v>
      </c>
      <c r="G51" s="15">
        <v>12202472</v>
      </c>
    </row>
    <row r="52" spans="1:7" x14ac:dyDescent="0.2">
      <c r="A52" s="11" t="s">
        <v>50</v>
      </c>
      <c r="B52" s="12" t="s">
        <v>82</v>
      </c>
      <c r="C52" s="13">
        <v>126239185</v>
      </c>
      <c r="D52" s="14">
        <f t="shared" si="0"/>
        <v>1.9122587344506954</v>
      </c>
      <c r="E52" s="13">
        <v>43347517</v>
      </c>
      <c r="F52" s="14">
        <f t="shared" si="1"/>
        <v>-0.16469127157592592</v>
      </c>
      <c r="G52" s="15">
        <v>51894007</v>
      </c>
    </row>
    <row r="53" spans="1:7" x14ac:dyDescent="0.2">
      <c r="A53" s="11" t="s">
        <v>51</v>
      </c>
      <c r="B53" s="12" t="s">
        <v>82</v>
      </c>
      <c r="C53" s="13">
        <v>6913311</v>
      </c>
      <c r="D53" s="14">
        <f t="shared" si="0"/>
        <v>1.2633628538009799E-3</v>
      </c>
      <c r="E53" s="13">
        <v>6904588</v>
      </c>
      <c r="F53" s="14">
        <f t="shared" si="1"/>
        <v>8.9046076010922837E-3</v>
      </c>
      <c r="G53" s="15">
        <v>6843648</v>
      </c>
    </row>
    <row r="54" spans="1:7" x14ac:dyDescent="0.2">
      <c r="A54" s="11" t="s">
        <v>52</v>
      </c>
      <c r="B54" s="12" t="s">
        <v>82</v>
      </c>
      <c r="C54" s="13">
        <v>249016352</v>
      </c>
      <c r="D54" s="14">
        <f t="shared" si="0"/>
        <v>0.29754081618190809</v>
      </c>
      <c r="E54" s="13">
        <v>191914080</v>
      </c>
      <c r="F54" s="14">
        <f t="shared" si="1"/>
        <v>-1.144753517299048E-2</v>
      </c>
      <c r="G54" s="15">
        <v>194136464</v>
      </c>
    </row>
    <row r="55" spans="1:7" x14ac:dyDescent="0.2">
      <c r="A55" s="11" t="s">
        <v>53</v>
      </c>
      <c r="B55" s="12" t="s">
        <v>82</v>
      </c>
      <c r="C55" s="13">
        <v>23235239</v>
      </c>
      <c r="D55" s="14">
        <f t="shared" si="0"/>
        <v>1.7875914825088003E-3</v>
      </c>
      <c r="E55" s="13">
        <v>23193778</v>
      </c>
      <c r="F55" s="14">
        <f t="shared" si="1"/>
        <v>9.8670449459140799E-3</v>
      </c>
      <c r="G55" s="15">
        <v>22967160</v>
      </c>
    </row>
    <row r="56" spans="1:7" x14ac:dyDescent="0.2">
      <c r="A56" s="11" t="s">
        <v>54</v>
      </c>
      <c r="B56" s="12" t="s">
        <v>82</v>
      </c>
      <c r="C56" s="13">
        <v>13545958</v>
      </c>
      <c r="D56" s="14">
        <f t="shared" si="0"/>
        <v>1.435992398348313E-3</v>
      </c>
      <c r="E56" s="13">
        <v>13526534</v>
      </c>
      <c r="F56" s="14">
        <f t="shared" si="1"/>
        <v>9.4876600863993583E-3</v>
      </c>
      <c r="G56" s="15">
        <v>13399405</v>
      </c>
    </row>
    <row r="57" spans="1:7" x14ac:dyDescent="0.2">
      <c r="A57" s="11" t="s">
        <v>55</v>
      </c>
      <c r="B57" s="12" t="s">
        <v>82</v>
      </c>
      <c r="C57" s="13">
        <v>129385533</v>
      </c>
      <c r="D57" s="14">
        <f t="shared" si="0"/>
        <v>1.3140095317074114E-2</v>
      </c>
      <c r="E57" s="13">
        <v>127707445</v>
      </c>
      <c r="F57" s="14">
        <f t="shared" si="1"/>
        <v>-5.1602493381061459E-2</v>
      </c>
      <c r="G57" s="15">
        <v>134656032</v>
      </c>
    </row>
    <row r="58" spans="1:7" x14ac:dyDescent="0.2">
      <c r="A58" s="11" t="s">
        <v>56</v>
      </c>
      <c r="B58" s="12" t="s">
        <v>82</v>
      </c>
      <c r="C58" s="13">
        <v>18642984</v>
      </c>
      <c r="D58" s="14">
        <f t="shared" si="0"/>
        <v>1.3421423014592978E-3</v>
      </c>
      <c r="E58" s="13">
        <v>18617996</v>
      </c>
      <c r="F58" s="14">
        <f t="shared" si="1"/>
        <v>9.3163092171123438E-3</v>
      </c>
      <c r="G58" s="15">
        <v>18446146</v>
      </c>
    </row>
    <row r="59" spans="1:7" x14ac:dyDescent="0.2">
      <c r="A59" s="11" t="s">
        <v>2</v>
      </c>
      <c r="B59" s="12" t="s">
        <v>82</v>
      </c>
      <c r="C59" s="13">
        <v>37560861</v>
      </c>
      <c r="D59" s="14">
        <f t="shared" si="0"/>
        <v>-0.16067270138695211</v>
      </c>
      <c r="E59" s="13">
        <v>44751149</v>
      </c>
      <c r="F59" s="14">
        <f t="shared" si="1"/>
        <v>5.1788327992344403E-2</v>
      </c>
      <c r="G59" s="15">
        <v>42547676</v>
      </c>
    </row>
    <row r="60" spans="1:7" x14ac:dyDescent="0.2">
      <c r="A60" s="11" t="s">
        <v>3</v>
      </c>
      <c r="B60" s="12" t="s">
        <v>82</v>
      </c>
      <c r="C60" s="13">
        <v>81634792</v>
      </c>
      <c r="D60" s="14">
        <f t="shared" si="0"/>
        <v>0.31173066683874723</v>
      </c>
      <c r="E60" s="13">
        <v>62234416</v>
      </c>
      <c r="F60" s="14">
        <f t="shared" si="1"/>
        <v>5.1117540888492907E-2</v>
      </c>
      <c r="G60" s="15">
        <v>59207856</v>
      </c>
    </row>
    <row r="61" spans="1:7" x14ac:dyDescent="0.2">
      <c r="A61" s="11" t="s">
        <v>57</v>
      </c>
      <c r="B61" s="12" t="s">
        <v>82</v>
      </c>
      <c r="C61" s="13">
        <v>4141332</v>
      </c>
      <c r="D61" s="14">
        <f t="shared" si="0"/>
        <v>2.2538739654754794E-2</v>
      </c>
      <c r="E61" s="13">
        <v>4050049</v>
      </c>
      <c r="F61" s="14">
        <f t="shared" si="1"/>
        <v>1.3692948862187233E-2</v>
      </c>
      <c r="G61" s="15">
        <v>3995341</v>
      </c>
    </row>
    <row r="62" spans="1:7" x14ac:dyDescent="0.2">
      <c r="A62" s="11" t="s">
        <v>58</v>
      </c>
      <c r="B62" s="12" t="s">
        <v>82</v>
      </c>
      <c r="C62" s="13">
        <v>956717</v>
      </c>
      <c r="D62" s="14">
        <f t="shared" si="0"/>
        <v>0.16527145945616759</v>
      </c>
      <c r="E62" s="13">
        <v>821025</v>
      </c>
      <c r="F62" s="14">
        <f t="shared" si="1"/>
        <v>-0.12432032901515168</v>
      </c>
      <c r="G62" s="15">
        <v>937586</v>
      </c>
    </row>
    <row r="63" spans="1:7" x14ac:dyDescent="0.2">
      <c r="A63" s="11" t="s">
        <v>59</v>
      </c>
      <c r="B63" s="12" t="s">
        <v>82</v>
      </c>
      <c r="C63" s="13">
        <v>12372188</v>
      </c>
      <c r="D63" s="14">
        <f t="shared" si="0"/>
        <v>-1.5685952522395718E-4</v>
      </c>
      <c r="E63" s="13">
        <v>12374129</v>
      </c>
      <c r="F63" s="14">
        <f t="shared" si="1"/>
        <v>5.7635322918335435E-3</v>
      </c>
      <c r="G63" s="15">
        <v>12303219</v>
      </c>
    </row>
    <row r="64" spans="1:7" x14ac:dyDescent="0.2">
      <c r="A64" s="11" t="s">
        <v>60</v>
      </c>
      <c r="B64" s="12" t="s">
        <v>82</v>
      </c>
      <c r="C64" s="13">
        <v>17474765</v>
      </c>
      <c r="D64" s="14">
        <f t="shared" si="0"/>
        <v>1.8273639649702165E-2</v>
      </c>
      <c r="E64" s="13">
        <v>17161168</v>
      </c>
      <c r="F64" s="14">
        <f t="shared" si="1"/>
        <v>-6.8888059680763105E-3</v>
      </c>
      <c r="G64" s="15">
        <v>17280208</v>
      </c>
    </row>
    <row r="65" spans="1:7" x14ac:dyDescent="0.2">
      <c r="A65" s="11" t="s">
        <v>61</v>
      </c>
      <c r="B65" s="12" t="s">
        <v>83</v>
      </c>
      <c r="C65" s="13">
        <v>4203336</v>
      </c>
      <c r="D65" s="14">
        <f t="shared" si="0"/>
        <v>2.4093884579738448E-2</v>
      </c>
      <c r="E65" s="13">
        <v>4104444</v>
      </c>
      <c r="F65" s="14">
        <f t="shared" si="1"/>
        <v>1.4048888471629961E-2</v>
      </c>
      <c r="G65" s="15">
        <v>4047580</v>
      </c>
    </row>
    <row r="66" spans="1:7" x14ac:dyDescent="0.2">
      <c r="A66" s="11" t="s">
        <v>62</v>
      </c>
      <c r="B66" s="12" t="s">
        <v>82</v>
      </c>
      <c r="C66" s="13">
        <v>2459460</v>
      </c>
      <c r="D66" s="14">
        <f t="shared" si="0"/>
        <v>-3.467559798996604E-3</v>
      </c>
      <c r="E66" s="13">
        <v>2468018</v>
      </c>
      <c r="F66" s="14">
        <f t="shared" si="1"/>
        <v>4.8214544337920162E-2</v>
      </c>
      <c r="G66" s="15">
        <v>2354497</v>
      </c>
    </row>
    <row r="67" spans="1:7" x14ac:dyDescent="0.2">
      <c r="A67" s="11" t="s">
        <v>63</v>
      </c>
      <c r="B67" s="12" t="s">
        <v>83</v>
      </c>
      <c r="C67" s="13"/>
      <c r="D67" s="14" t="s">
        <v>79</v>
      </c>
      <c r="E67" s="13"/>
      <c r="F67" s="14" t="s">
        <v>79</v>
      </c>
      <c r="G67" s="15"/>
    </row>
    <row r="68" spans="1:7" x14ac:dyDescent="0.2">
      <c r="A68" s="11" t="s">
        <v>64</v>
      </c>
      <c r="B68" s="12" t="s">
        <v>82</v>
      </c>
      <c r="C68" s="13">
        <v>69688025</v>
      </c>
      <c r="D68" s="14">
        <f t="shared" si="0"/>
        <v>-0.10478855480131344</v>
      </c>
      <c r="E68" s="13">
        <v>77845324</v>
      </c>
      <c r="F68" s="14">
        <f t="shared" si="1"/>
        <v>4.6747569359259902E-2</v>
      </c>
      <c r="G68" s="15">
        <v>74368765</v>
      </c>
    </row>
    <row r="69" spans="1:7" x14ac:dyDescent="0.2">
      <c r="A69" s="11" t="s">
        <v>65</v>
      </c>
      <c r="B69" s="12" t="s">
        <v>83</v>
      </c>
      <c r="C69" s="13"/>
      <c r="D69" s="14" t="s">
        <v>79</v>
      </c>
      <c r="E69" s="13"/>
      <c r="F69" s="14" t="s">
        <v>79</v>
      </c>
      <c r="G69" s="15"/>
    </row>
    <row r="70" spans="1:7" x14ac:dyDescent="0.2">
      <c r="A70" s="11" t="s">
        <v>66</v>
      </c>
      <c r="B70" s="12" t="s">
        <v>82</v>
      </c>
      <c r="C70" s="13">
        <v>3576072</v>
      </c>
      <c r="D70" s="14">
        <f>((C70-E70)/E70)</f>
        <v>2.0608688355877029E-2</v>
      </c>
      <c r="E70" s="13">
        <v>3503862</v>
      </c>
      <c r="F70" s="14">
        <f>((E70-G70)/G70)</f>
        <v>1.3540438500780433E-2</v>
      </c>
      <c r="G70" s="15">
        <v>3457052</v>
      </c>
    </row>
    <row r="71" spans="1:7" x14ac:dyDescent="0.2">
      <c r="A71" s="11" t="s">
        <v>67</v>
      </c>
      <c r="B71" s="12" t="s">
        <v>83</v>
      </c>
      <c r="C71" s="13">
        <v>2107254</v>
      </c>
      <c r="D71" s="14">
        <f>((C71-E71)/E71)</f>
        <v>2.500676121339946E-2</v>
      </c>
      <c r="E71" s="13">
        <v>2055844</v>
      </c>
      <c r="F71" s="14">
        <f>((E71-G71)/G71)</f>
        <v>1.4232898568027334E-2</v>
      </c>
      <c r="G71" s="15">
        <v>2026994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SUM(C5:C71)</f>
        <v>2271753405</v>
      </c>
      <c r="D73" s="22">
        <f>((C73-E73)/E73)</f>
        <v>0.12501053177643603</v>
      </c>
      <c r="E73" s="21">
        <f>SUM(E5:E71)</f>
        <v>2019317456</v>
      </c>
      <c r="F73" s="22">
        <f>((E73-G73)/G73)</f>
        <v>2.3229875983432183E-2</v>
      </c>
      <c r="G73" s="23">
        <f>SUM(G5:G71)</f>
        <v>1973473902</v>
      </c>
    </row>
    <row r="75" spans="1:7" x14ac:dyDescent="0.2">
      <c r="A75" s="24" t="s">
        <v>87</v>
      </c>
    </row>
  </sheetData>
  <phoneticPr fontId="3" type="noConversion"/>
  <conditionalFormatting sqref="A75">
    <cfRule type="expression" dxfId="1" priority="39" stopIfTrue="1">
      <formula>MOD(ROW(),5)=1</formula>
    </cfRule>
  </conditionalFormatting>
  <conditionalFormatting sqref="A4:G73">
    <cfRule type="expression" dxfId="0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 G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F19576F-E947-4963-B69A-1191402632EC}"/>
</file>

<file path=customXml/itemProps2.xml><?xml version="1.0" encoding="utf-8"?>
<ds:datastoreItem xmlns:ds="http://schemas.openxmlformats.org/officeDocument/2006/customXml" ds:itemID="{C9AF31A7-C2F4-47FC-90A3-7198DA07A8B9}"/>
</file>

<file path=customXml/itemProps3.xml><?xml version="1.0" encoding="utf-8"?>
<ds:datastoreItem xmlns:ds="http://schemas.openxmlformats.org/officeDocument/2006/customXml" ds:itemID="{059D38B7-0E82-4AEC-B486-2366A1AE41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Report Index</vt:lpstr>
      <vt:lpstr>Assessed Value All Property</vt:lpstr>
      <vt:lpstr>All Property Assessed Value</vt:lpstr>
      <vt:lpstr>Real Property Assessed Value</vt:lpstr>
      <vt:lpstr>Personal Prop Assessed Value</vt:lpstr>
      <vt:lpstr>Centrally Prop Assessed Value </vt:lpstr>
      <vt:lpstr>'All Property Assessed Value'!Print_Area</vt:lpstr>
      <vt:lpstr>'Assessed Value All Property'!Print_Area</vt:lpstr>
      <vt:lpstr>'Centrally Prop Assessed Value '!Print_Area</vt:lpstr>
      <vt:lpstr>'Personal Prop Assessed Value'!Print_Area</vt:lpstr>
      <vt:lpstr>'Real Property Assessed Value'!Print_Area</vt:lpstr>
      <vt:lpstr>'Report Index'!Print_Area</vt:lpstr>
      <vt:lpstr>'All Property Assessed Value'!Print_Titles</vt:lpstr>
      <vt:lpstr>'Assessed Value All Property'!Print_Titles</vt:lpstr>
    </vt:vector>
  </TitlesOfParts>
  <Company>Florida Dept.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Allison Kever</cp:lastModifiedBy>
  <cp:lastPrinted>2011-02-11T15:25:28Z</cp:lastPrinted>
  <dcterms:created xsi:type="dcterms:W3CDTF">2010-08-10T15:50:22Z</dcterms:created>
  <dcterms:modified xsi:type="dcterms:W3CDTF">2024-11-07T15:17:45Z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