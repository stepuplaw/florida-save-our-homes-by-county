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24226"/>
  <mc:AlternateContent xmlns:mc="http://schemas.openxmlformats.org/markup-compatibility/2006">
    <mc:Choice Requires="x15">
      <x15ac:absPath xmlns:x15ac="http://schemas.microsoft.com/office/spreadsheetml/2010/11/ac" url="J:\Research &amp; Analysis\Data Book Documentation\2024 Data Book\Final\For review\"/>
    </mc:Choice>
  </mc:AlternateContent>
  <xr:revisionPtr revIDLastSave="0" documentId="13_ncr:1_{808264ED-9279-439B-8BC3-A560966A2AEB}" xr6:coauthVersionLast="47" xr6:coauthVersionMax="47" xr10:uidLastSave="{00000000-0000-0000-0000-000000000000}"/>
  <bookViews>
    <workbookView xWindow="28680" yWindow="-120" windowWidth="29040" windowHeight="15840" tabRatio="728" xr2:uid="{00000000-000D-0000-FFFF-FFFF00000000}"/>
  </bookViews>
  <sheets>
    <sheet name="Report Index" sheetId="10" r:id="rId1"/>
    <sheet name="Just Value All Property Types" sheetId="9" r:id="rId2"/>
    <sheet name="All Property Just Value" sheetId="4" r:id="rId3"/>
    <sheet name="Real Property Just Value" sheetId="6" r:id="rId4"/>
    <sheet name="Personal Property Just Value" sheetId="7" r:id="rId5"/>
    <sheet name="Centrally Assessed Just Value " sheetId="8" r:id="rId6"/>
  </sheets>
  <definedNames>
    <definedName name="_xlnm._FilterDatabase" localSheetId="2" hidden="1">'All Property Just Value'!$A$4:$G$4</definedName>
    <definedName name="_xlnm._FilterDatabase" localSheetId="5" hidden="1">'Centrally Assessed Just Value '!$A$4:$G$73</definedName>
    <definedName name="_xlnm._FilterDatabase" localSheetId="1" hidden="1">'Just Value All Property Types'!$A$4:$F$4</definedName>
    <definedName name="_xlnm._FilterDatabase" localSheetId="4" hidden="1">'Personal Property Just Value'!$A$4:$G$4</definedName>
    <definedName name="_xlnm._FilterDatabase" localSheetId="3" hidden="1">'Real Property Just Value'!$A$4:$G$4</definedName>
    <definedName name="_xlnm.Print_Area" localSheetId="2">'All Property Just Value'!$A$1:$G$75</definedName>
    <definedName name="_xlnm.Print_Area" localSheetId="5">'Centrally Assessed Just Value '!$A$1:$G$75</definedName>
    <definedName name="_xlnm.Print_Area" localSheetId="1">'Just Value All Property Types'!$A$1:$F$75</definedName>
    <definedName name="_xlnm.Print_Area" localSheetId="4">'Personal Property Just Value'!$A$1:$G$75</definedName>
    <definedName name="_xlnm.Print_Area" localSheetId="3">'Real Property Just Value'!$A$1:$G$75</definedName>
    <definedName name="_xlnm.Print_Area" localSheetId="0">'Report Index'!$A$1:$I$20</definedName>
    <definedName name="_xlnm.Print_Titles" localSheetId="2">'All Property Just Value'!$1:$4</definedName>
    <definedName name="_xlnm.Print_Titles" localSheetId="5">'Centrally Assessed Just Value '!$1:$4</definedName>
    <definedName name="_xlnm.Print_Titles" localSheetId="1">'Just Value All Property Types'!$1:$4</definedName>
    <definedName name="_xlnm.Print_Titles" localSheetId="4">'Personal Property Just Value'!$1:$4</definedName>
    <definedName name="_xlnm.Print_Titles" localSheetId="3">'Real Property Just Value'!$1:$4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8" l="1"/>
  <c r="E73" i="8"/>
  <c r="C73" i="4" l="1"/>
  <c r="E73" i="4"/>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71" i="8"/>
  <c r="F70" i="8"/>
  <c r="F68" i="8"/>
  <c r="F66" i="8"/>
  <c r="F65" i="8"/>
  <c r="F64" i="8"/>
  <c r="F63" i="8"/>
  <c r="F62" i="8"/>
  <c r="F61" i="8"/>
  <c r="F60" i="8"/>
  <c r="F59" i="8"/>
  <c r="F58" i="8"/>
  <c r="F57" i="8"/>
  <c r="F56" i="8"/>
  <c r="F55" i="8"/>
  <c r="F54" i="8"/>
  <c r="F53" i="8"/>
  <c r="F52" i="8"/>
  <c r="F51" i="8"/>
  <c r="F50" i="8"/>
  <c r="F49" i="8"/>
  <c r="F47" i="8"/>
  <c r="F46" i="8"/>
  <c r="F45" i="8"/>
  <c r="F44" i="8"/>
  <c r="F43" i="8"/>
  <c r="F42" i="8"/>
  <c r="F41" i="8"/>
  <c r="F40" i="8"/>
  <c r="F39" i="8"/>
  <c r="F37" i="8"/>
  <c r="F36" i="8"/>
  <c r="F35" i="8"/>
  <c r="F34" i="8"/>
  <c r="F33" i="8"/>
  <c r="F32" i="8"/>
  <c r="F31" i="8"/>
  <c r="F30" i="8"/>
  <c r="F29" i="8"/>
  <c r="F28" i="8"/>
  <c r="F27" i="8"/>
  <c r="F26" i="8"/>
  <c r="F24" i="8"/>
  <c r="F23" i="8"/>
  <c r="F22" i="8"/>
  <c r="F21" i="8"/>
  <c r="F20" i="8"/>
  <c r="F18" i="8"/>
  <c r="F17" i="8"/>
  <c r="F16" i="8"/>
  <c r="F15" i="8"/>
  <c r="F14" i="8"/>
  <c r="F13" i="8"/>
  <c r="F12" i="8"/>
  <c r="F10" i="8"/>
  <c r="F9" i="8"/>
  <c r="F8" i="8"/>
  <c r="F7" i="8"/>
  <c r="F6" i="8"/>
  <c r="F5" i="8"/>
  <c r="F70" i="4"/>
  <c r="F69" i="4"/>
  <c r="F68" i="4"/>
  <c r="F67" i="4"/>
  <c r="F65" i="4"/>
  <c r="F55" i="4"/>
  <c r="F54" i="4"/>
  <c r="F52" i="4"/>
  <c r="F44" i="4"/>
  <c r="F42" i="4"/>
  <c r="F50" i="4"/>
  <c r="F48" i="4"/>
  <c r="F38" i="4"/>
  <c r="F24" i="4"/>
  <c r="F23" i="4"/>
  <c r="F19" i="4"/>
  <c r="F18" i="4"/>
  <c r="F16" i="4"/>
  <c r="F15"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G73" i="6"/>
  <c r="D18" i="8"/>
  <c r="D6" i="8"/>
  <c r="D7" i="8"/>
  <c r="D8" i="8"/>
  <c r="D9" i="8"/>
  <c r="D10" i="8"/>
  <c r="D12" i="8"/>
  <c r="D13" i="8"/>
  <c r="D14" i="8"/>
  <c r="D15" i="8"/>
  <c r="D16" i="8"/>
  <c r="D17" i="8"/>
  <c r="D20" i="8"/>
  <c r="D21" i="8"/>
  <c r="D22" i="8"/>
  <c r="D23" i="8"/>
  <c r="D24" i="8"/>
  <c r="D26" i="8"/>
  <c r="D27" i="8"/>
  <c r="D28" i="8"/>
  <c r="D29" i="8"/>
  <c r="D30" i="8"/>
  <c r="D31" i="8"/>
  <c r="D32" i="8"/>
  <c r="D33" i="8"/>
  <c r="D34" i="8"/>
  <c r="D35" i="8"/>
  <c r="D36" i="8"/>
  <c r="D37" i="8"/>
  <c r="D39" i="8"/>
  <c r="D40" i="8"/>
  <c r="D41" i="8"/>
  <c r="D42" i="8"/>
  <c r="D43" i="8"/>
  <c r="D44" i="8"/>
  <c r="D45" i="8"/>
  <c r="D46" i="8"/>
  <c r="D47" i="8"/>
  <c r="D49" i="8"/>
  <c r="D50" i="8"/>
  <c r="D51" i="8"/>
  <c r="D52" i="8"/>
  <c r="D53" i="8"/>
  <c r="D54" i="8"/>
  <c r="D55" i="8"/>
  <c r="D56" i="8"/>
  <c r="D57" i="8"/>
  <c r="D58" i="8"/>
  <c r="D59" i="8"/>
  <c r="D60" i="8"/>
  <c r="D61" i="8"/>
  <c r="D62" i="8"/>
  <c r="D63" i="8"/>
  <c r="D64" i="8"/>
  <c r="D65" i="8"/>
  <c r="D66" i="8"/>
  <c r="D68" i="8"/>
  <c r="D70" i="8"/>
  <c r="D71" i="8"/>
  <c r="D5" i="8"/>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5" i="7"/>
  <c r="D6" i="6"/>
  <c r="D7" i="6"/>
  <c r="D8" i="6"/>
  <c r="D9" i="6"/>
  <c r="D10" i="6"/>
  <c r="D11"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G73" i="8"/>
  <c r="F73" i="8" s="1"/>
  <c r="G73" i="7"/>
  <c r="E73" i="7"/>
  <c r="E73" i="6"/>
  <c r="D73" i="9"/>
  <c r="E73" i="9"/>
  <c r="C73" i="9"/>
  <c r="F45" i="4"/>
  <c r="F25" i="4"/>
  <c r="F26" i="4"/>
  <c r="F29" i="4"/>
  <c r="F34" i="4"/>
  <c r="F35" i="4"/>
  <c r="F30" i="4"/>
  <c r="F36" i="4"/>
  <c r="F56" i="4"/>
  <c r="F71" i="4"/>
  <c r="F53" i="4"/>
  <c r="F31" i="4"/>
  <c r="F32" i="4"/>
  <c r="G73" i="4"/>
  <c r="F39" i="4"/>
  <c r="F14" i="4"/>
  <c r="F43" i="4"/>
  <c r="F51" i="4"/>
  <c r="F11" i="4"/>
  <c r="F12" i="4"/>
  <c r="F62" i="4"/>
  <c r="F40" i="4"/>
  <c r="F7" i="4"/>
  <c r="F10" i="4"/>
  <c r="F49" i="4"/>
  <c r="F33" i="4"/>
  <c r="F57" i="4"/>
  <c r="F63" i="4"/>
  <c r="F6" i="4"/>
  <c r="F66" i="4"/>
  <c r="F28" i="4"/>
  <c r="F58" i="4"/>
  <c r="F61" i="4"/>
  <c r="F27" i="4"/>
  <c r="F13" i="4"/>
  <c r="F41" i="4"/>
  <c r="F59" i="4"/>
  <c r="F22" i="4"/>
  <c r="F60" i="4"/>
  <c r="F37" i="4"/>
  <c r="F21" i="4"/>
  <c r="F8" i="4"/>
  <c r="F20" i="4"/>
  <c r="F17" i="4"/>
  <c r="F46" i="4"/>
  <c r="F9" i="4"/>
  <c r="F47" i="4"/>
  <c r="F64" i="4"/>
  <c r="F5" i="4"/>
  <c r="D12" i="6"/>
  <c r="D6" i="4"/>
  <c r="F73" i="9"/>
  <c r="C73" i="6"/>
  <c r="D5" i="6"/>
  <c r="C73" i="7"/>
  <c r="D5" i="4"/>
  <c r="D73" i="6" l="1"/>
  <c r="D73" i="4"/>
  <c r="F73" i="4"/>
  <c r="F73" i="6"/>
  <c r="D73" i="8"/>
  <c r="D73" i="7"/>
  <c r="F73" i="7"/>
</calcChain>
</file>

<file path=xl/sharedStrings.xml><?xml version="1.0" encoding="utf-8"?>
<sst xmlns="http://schemas.openxmlformats.org/spreadsheetml/2006/main" count="747" uniqueCount="94">
  <si>
    <t>County</t>
  </si>
  <si>
    <t>Status</t>
  </si>
  <si>
    <t>Saint Johns</t>
  </si>
  <si>
    <t>Saint Lucie</t>
  </si>
  <si>
    <t>Alachua</t>
  </si>
  <si>
    <t>Baker</t>
  </si>
  <si>
    <t>Bay</t>
  </si>
  <si>
    <t>Bradford</t>
  </si>
  <si>
    <t>Brevard</t>
  </si>
  <si>
    <t>Broward</t>
  </si>
  <si>
    <t>Calhoun</t>
  </si>
  <si>
    <t>Charlotte</t>
  </si>
  <si>
    <t>Citrus</t>
  </si>
  <si>
    <t>Clay</t>
  </si>
  <si>
    <t>Collier</t>
  </si>
  <si>
    <t>Columbia</t>
  </si>
  <si>
    <t>DeSoto</t>
  </si>
  <si>
    <t>Dixie</t>
  </si>
  <si>
    <t>Duval</t>
  </si>
  <si>
    <t>Escambia</t>
  </si>
  <si>
    <t>Flagler</t>
  </si>
  <si>
    <t>Franklin</t>
  </si>
  <si>
    <t>Gadsden</t>
  </si>
  <si>
    <t>Gilchrist</t>
  </si>
  <si>
    <t>Glades</t>
  </si>
  <si>
    <t>Gulf</t>
  </si>
  <si>
    <t>Hamilton</t>
  </si>
  <si>
    <t>Hardee</t>
  </si>
  <si>
    <t>Hendry</t>
  </si>
  <si>
    <t>Hernando</t>
  </si>
  <si>
    <t>Highlands</t>
  </si>
  <si>
    <t>Hillsborough</t>
  </si>
  <si>
    <t>Holmes</t>
  </si>
  <si>
    <t>Indian River</t>
  </si>
  <si>
    <t>Jackson</t>
  </si>
  <si>
    <t>Jefferson</t>
  </si>
  <si>
    <t>Lafayette</t>
  </si>
  <si>
    <t>Lake</t>
  </si>
  <si>
    <t>Lee</t>
  </si>
  <si>
    <t>Leon</t>
  </si>
  <si>
    <t>Levy</t>
  </si>
  <si>
    <t>Liberty</t>
  </si>
  <si>
    <t>Madison</t>
  </si>
  <si>
    <t>Manatee</t>
  </si>
  <si>
    <t>Marion</t>
  </si>
  <si>
    <t>Martin</t>
  </si>
  <si>
    <t>Monroe</t>
  </si>
  <si>
    <t>Nassau</t>
  </si>
  <si>
    <t>Okaloosa</t>
  </si>
  <si>
    <t>Okeechobee</t>
  </si>
  <si>
    <t>Orange</t>
  </si>
  <si>
    <t>Osceola</t>
  </si>
  <si>
    <t>Palm Beach</t>
  </si>
  <si>
    <t>Pasco</t>
  </si>
  <si>
    <t>Pinellas</t>
  </si>
  <si>
    <t>Polk</t>
  </si>
  <si>
    <t>Putnam</t>
  </si>
  <si>
    <t>Santa Rosa</t>
  </si>
  <si>
    <t>Sarasota</t>
  </si>
  <si>
    <t>Seminole</t>
  </si>
  <si>
    <t>Sumter</t>
  </si>
  <si>
    <t>Suwannee</t>
  </si>
  <si>
    <t>Taylor</t>
  </si>
  <si>
    <t>Union</t>
  </si>
  <si>
    <t>Volusia</t>
  </si>
  <si>
    <t>Wakulla</t>
  </si>
  <si>
    <t>Walton</t>
  </si>
  <si>
    <t>Washington</t>
  </si>
  <si>
    <t>Statewide</t>
  </si>
  <si>
    <t>Real Property Just Value and Growth Rate</t>
  </si>
  <si>
    <t>Personal Property Just Value and Growth Rate</t>
  </si>
  <si>
    <t>Centrally Assessed Property Just Value and Growth Rate</t>
  </si>
  <si>
    <t>Just Value All Property Types</t>
  </si>
  <si>
    <t>All Property Types Just Value and Growth Rate</t>
  </si>
  <si>
    <t>Statewide Just Value Summary Information by County</t>
  </si>
  <si>
    <t>Just Value is the value of the property without regard to a possible agricultural classification or Save Our Homes Deferred Amount.  Just Value is the reflection of the value of land if it were not classified as agricultural and had no SOH deferred amount.</t>
  </si>
  <si>
    <t xml:space="preserve">Contact Information: </t>
  </si>
  <si>
    <t xml:space="preserve">Property Tax Oversight, Research &amp; Analysis  </t>
  </si>
  <si>
    <t>Miami-Dade</t>
  </si>
  <si>
    <t xml:space="preserve">n/a </t>
  </si>
  <si>
    <t>PTOResearchAnalysis@floridarevenue.com</t>
  </si>
  <si>
    <t>2022 Value</t>
  </si>
  <si>
    <t>R-NVAB</t>
  </si>
  <si>
    <t>R-Final</t>
  </si>
  <si>
    <t>2023 Value</t>
  </si>
  <si>
    <t>Percent increase 2022-2023</t>
  </si>
  <si>
    <t>2024 Value</t>
  </si>
  <si>
    <t>Data Extract: November 2024</t>
  </si>
  <si>
    <t xml:space="preserve"> 2024 Real Property
 Just Value</t>
  </si>
  <si>
    <t>2024 Personal Property Just Value</t>
  </si>
  <si>
    <t xml:space="preserve"> 2024 Central Assessment Just Value</t>
  </si>
  <si>
    <t>2024 Total
 Just Value</t>
  </si>
  <si>
    <t>Percent increase 2023-2024</t>
  </si>
  <si>
    <t>2022-2024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</si>
</sst>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0"/>
      <name val="Arial"/>
    </font>
    <font>
      <sz val="10"/>
      <name val="Arial"/>
      <family val="2"/>
    </font>
    <font>
      <sz val="10"/>
      <name val="Arial"/>
      <family val="2"/>
    </font>
    <font>
      <sz val="8"/>
      <name val="Arial"/>
      <family val="2"/>
    </font>
    <font>
      <u/>
      <sz val="10"/>
      <color indexed="12"/>
      <name val="Arial"/>
      <family val="2"/>
    </font>
    <font>
      <sz val="10"/>
      <name val="Arial"/>
      <family val="2"/>
    </font>
    <font>
      <b/>
      <sz val="11"/>
      <name val="Arial"/>
      <family val="2"/>
    </font>
    <font>
      <sz val="11"/>
      <name val="Arial"/>
      <family val="2"/>
    </font>
    <font>
      <u/>
      <sz val="11"/>
      <color indexed="12"/>
      <name val="Arial"/>
      <family val="2"/>
    </font>
    <font>
      <i/>
      <sz val="11"/>
      <name val="Arial"/>
      <family val="2"/>
    </font>
    <font>
      <b/>
      <sz val="18"/>
      <name val="Arial"/>
      <family val="2"/>
    </font>
    <font>
      <b/>
      <sz val="10"/>
      <name val="Arial"/>
      <family val="2"/>
    </font>
  </fonts>
  <fills count="3">
    <fill>
      <patternFill patternType="none"/>
    </fill>
    <fill>
      <patternFill patternType="gray125"/>
    </fill>
    <fill>
      <patternFill patternType="solid">
        <fgColor indexed="22"/>
        <bgColor indexed="64"/>
      </patternFill>
    </fill>
  </fills>
  <borders count="22">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43" fontId="1" fillId="0" borderId="0" applyFon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alignment vertical="top"/>
      <protection locked="0"/>
    </xf>
    <xf numFmtId="0" fontId="5" fillId="0" borderId="0" applyNumberFormat="0" applyFill="0" applyBorder="0" applyAlignment="0" applyProtection="0"/>
    <xf numFmtId="9" fontId="1" fillId="0" borderId="0" applyFont="0" applyFill="0" applyBorder="0" applyAlignment="0" applyProtection="0"/>
    <xf numFmtId="0" fontId="1" fillId="0" borderId="0"/>
  </cellStyleXfs>
  <cellXfs count="49">
    <xf numFmtId="0" fontId="0" fillId="0" borderId="0" xfId="0"/>
    <xf numFmtId="0" fontId="6" fillId="0" borderId="0" xfId="0" applyFont="1"/>
    <xf numFmtId="0" fontId="7" fillId="0" borderId="0" xfId="0" applyFont="1"/>
    <xf numFmtId="3" fontId="7" fillId="0" borderId="0" xfId="0" applyNumberFormat="1" applyFont="1" applyAlignment="1">
      <alignment wrapText="1"/>
    </xf>
    <xf numFmtId="0" fontId="7" fillId="0" borderId="0" xfId="0" applyFont="1" applyAlignment="1">
      <alignment horizontal="left"/>
    </xf>
    <xf numFmtId="0" fontId="9" fillId="0" borderId="0" xfId="0" applyFont="1"/>
    <xf numFmtId="0" fontId="8" fillId="0" borderId="0" xfId="3" applyFont="1" applyAlignment="1" applyProtection="1"/>
    <xf numFmtId="0" fontId="10" fillId="0" borderId="0" xfId="0" applyFont="1" applyAlignment="1"/>
    <xf numFmtId="0" fontId="6" fillId="0" borderId="0" xfId="0" applyFont="1" applyAlignment="1">
      <alignment horizontal="center"/>
    </xf>
    <xf numFmtId="0" fontId="6" fillId="0" borderId="0" xfId="0" applyFont="1" applyAlignment="1"/>
    <xf numFmtId="0" fontId="6" fillId="0" borderId="0" xfId="0" applyFont="1" applyAlignment="1">
      <alignment horizontal="left"/>
    </xf>
    <xf numFmtId="0" fontId="7" fillId="0" borderId="0" xfId="0" applyFont="1" applyAlignment="1">
      <alignment horizontal="center"/>
    </xf>
    <xf numFmtId="0" fontId="7" fillId="0" borderId="1" xfId="0" applyFont="1" applyBorder="1"/>
    <xf numFmtId="0" fontId="7" fillId="0" borderId="2" xfId="0" applyFont="1" applyBorder="1" applyAlignment="1">
      <alignment horizontal="center"/>
    </xf>
    <xf numFmtId="3" fontId="7" fillId="0" borderId="2" xfId="0" applyNumberFormat="1" applyFont="1" applyBorder="1"/>
    <xf numFmtId="10" fontId="7" fillId="0" borderId="2" xfId="5" applyNumberFormat="1" applyFont="1" applyBorder="1" applyAlignment="1">
      <alignment horizontal="right"/>
    </xf>
    <xf numFmtId="3" fontId="7" fillId="0" borderId="3" xfId="0" applyNumberFormat="1" applyFont="1" applyBorder="1"/>
    <xf numFmtId="3" fontId="7" fillId="0" borderId="0" xfId="0" applyNumberFormat="1" applyFont="1"/>
    <xf numFmtId="0" fontId="7" fillId="0" borderId="4" xfId="0" applyFont="1" applyBorder="1"/>
    <xf numFmtId="0" fontId="7" fillId="0" borderId="5" xfId="0" applyFont="1" applyBorder="1" applyAlignment="1">
      <alignment horizontal="center"/>
    </xf>
    <xf numFmtId="2" fontId="7" fillId="0" borderId="5" xfId="0" applyNumberFormat="1" applyFont="1" applyBorder="1" applyAlignment="1">
      <alignment horizontal="center"/>
    </xf>
    <xf numFmtId="0" fontId="6" fillId="2" borderId="6" xfId="0" applyFont="1" applyFill="1" applyBorder="1"/>
    <xf numFmtId="0" fontId="6" fillId="2" borderId="7" xfId="0" applyFont="1" applyFill="1" applyBorder="1" applyAlignment="1">
      <alignment horizontal="center"/>
    </xf>
    <xf numFmtId="3" fontId="6" fillId="2" borderId="7" xfId="0" applyNumberFormat="1" applyFont="1" applyFill="1" applyBorder="1"/>
    <xf numFmtId="10" fontId="6" fillId="2" borderId="7" xfId="5" applyNumberFormat="1" applyFont="1" applyFill="1" applyBorder="1" applyAlignment="1">
      <alignment horizontal="right"/>
    </xf>
    <xf numFmtId="3" fontId="6" fillId="2" borderId="8" xfId="0" applyNumberFormat="1" applyFont="1" applyFill="1" applyBorder="1"/>
    <xf numFmtId="0" fontId="7" fillId="0" borderId="0" xfId="0" applyFont="1" applyFill="1" applyBorder="1"/>
    <xf numFmtId="3" fontId="7" fillId="0" borderId="2" xfId="0" applyNumberFormat="1" applyFont="1" applyBorder="1" applyAlignment="1">
      <alignment horizontal="right"/>
    </xf>
    <xf numFmtId="3" fontId="7" fillId="0" borderId="2" xfId="4" applyNumberFormat="1" applyFont="1" applyBorder="1"/>
    <xf numFmtId="3" fontId="7" fillId="0" borderId="3" xfId="1" applyNumberFormat="1" applyFont="1" applyBorder="1"/>
    <xf numFmtId="3" fontId="7" fillId="0" borderId="2" xfId="0" applyNumberFormat="1" applyFont="1" applyFill="1" applyBorder="1" applyAlignment="1">
      <alignment horizontal="right"/>
    </xf>
    <xf numFmtId="3" fontId="7" fillId="0" borderId="2" xfId="1" applyNumberFormat="1" applyFont="1" applyBorder="1" applyAlignment="1"/>
    <xf numFmtId="3" fontId="7" fillId="0" borderId="2" xfId="1" applyNumberFormat="1" applyFont="1" applyBorder="1"/>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2" fillId="0" borderId="0" xfId="0" applyFont="1" applyAlignment="1">
      <alignment horizontal="center" vertical="center"/>
    </xf>
    <xf numFmtId="0" fontId="11" fillId="2" borderId="12"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8" fillId="0" borderId="0" xfId="3" applyFont="1" applyAlignment="1" applyProtection="1">
      <alignment horizontal="left"/>
    </xf>
    <xf numFmtId="3" fontId="7" fillId="0" borderId="14" xfId="0" applyNumberFormat="1" applyFont="1" applyBorder="1" applyAlignment="1">
      <alignment horizontal="left" vertical="center" wrapText="1"/>
    </xf>
    <xf numFmtId="3" fontId="7" fillId="0" borderId="15" xfId="0" applyNumberFormat="1" applyFont="1" applyBorder="1" applyAlignment="1">
      <alignment horizontal="left" vertical="center" wrapText="1"/>
    </xf>
    <xf numFmtId="3" fontId="7" fillId="0" borderId="16" xfId="0" applyNumberFormat="1" applyFont="1" applyBorder="1" applyAlignment="1">
      <alignment horizontal="left" vertical="center" wrapText="1"/>
    </xf>
    <xf numFmtId="3" fontId="7" fillId="0" borderId="17" xfId="0" applyNumberFormat="1" applyFont="1" applyBorder="1" applyAlignment="1">
      <alignment horizontal="left" vertical="center" wrapText="1"/>
    </xf>
    <xf numFmtId="3" fontId="7" fillId="0" borderId="0" xfId="0" applyNumberFormat="1" applyFont="1" applyBorder="1" applyAlignment="1">
      <alignment horizontal="left" vertical="center" wrapText="1"/>
    </xf>
    <xf numFmtId="3" fontId="7" fillId="0" borderId="18" xfId="0" applyNumberFormat="1" applyFont="1" applyBorder="1" applyAlignment="1">
      <alignment horizontal="left" vertical="center" wrapText="1"/>
    </xf>
    <xf numFmtId="3" fontId="7" fillId="0" borderId="19" xfId="0" applyNumberFormat="1" applyFont="1" applyBorder="1" applyAlignment="1">
      <alignment horizontal="left" vertical="center" wrapText="1"/>
    </xf>
    <xf numFmtId="3" fontId="7" fillId="0" borderId="20" xfId="0" applyNumberFormat="1" applyFont="1" applyBorder="1" applyAlignment="1">
      <alignment horizontal="left" vertical="center" wrapText="1"/>
    </xf>
    <xf numFmtId="3" fontId="7" fillId="0" borderId="21" xfId="0" applyNumberFormat="1" applyFont="1" applyBorder="1" applyAlignment="1">
      <alignment horizontal="left" vertical="center" wrapText="1"/>
    </xf>
  </cellXfs>
  <cellStyles count="7">
    <cellStyle name="Comma" xfId="1" builtinId="3"/>
    <cellStyle name="Comma 2" xfId="2" xr:uid="{00000000-0005-0000-0000-000001000000}"/>
    <cellStyle name="Hyperlink" xfId="3" builtinId="8"/>
    <cellStyle name="Normal" xfId="0" builtinId="0"/>
    <cellStyle name="Normal 2" xfId="4" xr:uid="{00000000-0005-0000-0000-000004000000}"/>
    <cellStyle name="Normal 3" xfId="6" xr:uid="{E1D0AD4D-D76E-4D49-AF8E-07ADB0AF94C8}"/>
    <cellStyle name="Percent" xfId="5" builtinId="5"/>
  </cellStyles>
  <dxfs count="14">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TOResearchAnalysis@floridarevenu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6"/>
  <sheetViews>
    <sheetView tabSelected="1" workbookViewId="0"/>
  </sheetViews>
  <sheetFormatPr defaultRowHeight="14.25" x14ac:dyDescent="0.2"/>
  <cols>
    <col min="1" max="16384" width="9.140625" style="2"/>
  </cols>
  <sheetData>
    <row r="2" spans="1:11" ht="15" x14ac:dyDescent="0.25">
      <c r="A2" s="1" t="s">
        <v>74</v>
      </c>
    </row>
    <row r="3" spans="1:11" ht="15" thickBot="1" x14ac:dyDescent="0.25"/>
    <row r="4" spans="1:11" x14ac:dyDescent="0.2">
      <c r="B4" s="40" t="s">
        <v>75</v>
      </c>
      <c r="C4" s="41"/>
      <c r="D4" s="41"/>
      <c r="E4" s="41"/>
      <c r="F4" s="41"/>
      <c r="G4" s="41"/>
      <c r="H4" s="42"/>
      <c r="I4" s="3"/>
      <c r="J4" s="3"/>
      <c r="K4" s="3"/>
    </row>
    <row r="5" spans="1:11" x14ac:dyDescent="0.2">
      <c r="B5" s="43"/>
      <c r="C5" s="44"/>
      <c r="D5" s="44"/>
      <c r="E5" s="44"/>
      <c r="F5" s="44"/>
      <c r="G5" s="44"/>
      <c r="H5" s="45"/>
      <c r="I5" s="3"/>
      <c r="J5" s="3"/>
      <c r="K5" s="3"/>
    </row>
    <row r="6" spans="1:11" x14ac:dyDescent="0.2">
      <c r="B6" s="43"/>
      <c r="C6" s="44"/>
      <c r="D6" s="44"/>
      <c r="E6" s="44"/>
      <c r="F6" s="44"/>
      <c r="G6" s="44"/>
      <c r="H6" s="45"/>
      <c r="I6" s="3"/>
      <c r="J6" s="3"/>
      <c r="K6" s="3"/>
    </row>
    <row r="7" spans="1:11" x14ac:dyDescent="0.2">
      <c r="B7" s="43"/>
      <c r="C7" s="44"/>
      <c r="D7" s="44"/>
      <c r="E7" s="44"/>
      <c r="F7" s="44"/>
      <c r="G7" s="44"/>
      <c r="H7" s="45"/>
      <c r="I7" s="3"/>
      <c r="J7" s="3"/>
      <c r="K7" s="3"/>
    </row>
    <row r="8" spans="1:11" x14ac:dyDescent="0.2">
      <c r="B8" s="43"/>
      <c r="C8" s="44"/>
      <c r="D8" s="44"/>
      <c r="E8" s="44"/>
      <c r="F8" s="44"/>
      <c r="G8" s="44"/>
      <c r="H8" s="45"/>
      <c r="I8" s="3"/>
      <c r="J8" s="3"/>
      <c r="K8" s="3"/>
    </row>
    <row r="9" spans="1:11" ht="15" thickBot="1" x14ac:dyDescent="0.25">
      <c r="B9" s="46"/>
      <c r="C9" s="47"/>
      <c r="D9" s="47"/>
      <c r="E9" s="47"/>
      <c r="F9" s="47"/>
      <c r="G9" s="47"/>
      <c r="H9" s="48"/>
      <c r="I9" s="3"/>
      <c r="J9" s="3"/>
      <c r="K9" s="3"/>
    </row>
    <row r="10" spans="1:11" x14ac:dyDescent="0.2">
      <c r="B10" s="3"/>
      <c r="C10" s="3"/>
      <c r="D10" s="3"/>
      <c r="E10" s="3"/>
      <c r="F10" s="3"/>
      <c r="G10" s="3"/>
      <c r="H10" s="3"/>
      <c r="I10" s="3"/>
      <c r="J10" s="3"/>
      <c r="K10" s="3"/>
    </row>
    <row r="11" spans="1:11" x14ac:dyDescent="0.2">
      <c r="B11" s="39" t="s">
        <v>72</v>
      </c>
      <c r="C11" s="39"/>
      <c r="D11" s="39"/>
      <c r="E11" s="39"/>
      <c r="F11" s="39"/>
      <c r="G11" s="39"/>
      <c r="H11" s="39"/>
      <c r="I11" s="3"/>
      <c r="J11" s="3"/>
      <c r="K11" s="3"/>
    </row>
    <row r="12" spans="1:11" x14ac:dyDescent="0.2">
      <c r="B12" s="4"/>
      <c r="C12" s="3"/>
      <c r="D12" s="3"/>
      <c r="E12" s="3"/>
      <c r="F12" s="3"/>
      <c r="G12" s="3"/>
      <c r="H12" s="3"/>
      <c r="I12" s="3"/>
      <c r="J12" s="3"/>
      <c r="K12" s="3"/>
    </row>
    <row r="13" spans="1:11" x14ac:dyDescent="0.2">
      <c r="B13" s="39" t="s">
        <v>73</v>
      </c>
      <c r="C13" s="39"/>
      <c r="D13" s="39"/>
      <c r="E13" s="39"/>
      <c r="F13" s="39"/>
      <c r="G13" s="39"/>
      <c r="H13" s="39"/>
    </row>
    <row r="15" spans="1:11" x14ac:dyDescent="0.2">
      <c r="B15" s="39" t="s">
        <v>69</v>
      </c>
      <c r="C15" s="39"/>
      <c r="D15" s="39"/>
      <c r="E15" s="39"/>
      <c r="F15" s="39"/>
      <c r="G15" s="39"/>
      <c r="H15" s="39"/>
    </row>
    <row r="17" spans="1:8" x14ac:dyDescent="0.2">
      <c r="B17" s="39" t="s">
        <v>70</v>
      </c>
      <c r="C17" s="39"/>
      <c r="D17" s="39"/>
      <c r="E17" s="39"/>
      <c r="F17" s="39"/>
      <c r="G17" s="39"/>
      <c r="H17" s="39"/>
    </row>
    <row r="19" spans="1:8" x14ac:dyDescent="0.2">
      <c r="B19" s="39" t="s">
        <v>71</v>
      </c>
      <c r="C19" s="39"/>
      <c r="D19" s="39"/>
      <c r="E19" s="39"/>
      <c r="F19" s="39"/>
      <c r="G19" s="39"/>
      <c r="H19" s="39"/>
    </row>
    <row r="25" spans="1:8" x14ac:dyDescent="0.2">
      <c r="A25" s="5" t="s">
        <v>76</v>
      </c>
      <c r="D25" s="5" t="s">
        <v>77</v>
      </c>
    </row>
    <row r="26" spans="1:8" x14ac:dyDescent="0.2">
      <c r="D26" s="6" t="s">
        <v>80</v>
      </c>
    </row>
  </sheetData>
  <mergeCells count="6">
    <mergeCell ref="B17:H17"/>
    <mergeCell ref="B19:H19"/>
    <mergeCell ref="B4:H9"/>
    <mergeCell ref="B11:H11"/>
    <mergeCell ref="B13:H13"/>
    <mergeCell ref="B15:H15"/>
  </mergeCells>
  <phoneticPr fontId="3" type="noConversion"/>
  <hyperlinks>
    <hyperlink ref="B11" location="'Just Value All Property Types'!A1" display="Just Value All Property Types 2010" xr:uid="{00000000-0004-0000-0000-000000000000}"/>
    <hyperlink ref="B13" location="'All Property Just Value'!A1" display="All Property Types Just Value and Growth Rate 2008 - 2010" xr:uid="{00000000-0004-0000-0000-000001000000}"/>
    <hyperlink ref="B15" location="'Real Property Just Value'!A1" display="Real Property Just Value and Growth Rate 2008 - 2010" xr:uid="{00000000-0004-0000-0000-000002000000}"/>
    <hyperlink ref="B17" location="'Personal Property Just Value'!A1" display="Personal Property Just Value and Growth Rate 2008 - 2010" xr:uid="{00000000-0004-0000-0000-000003000000}"/>
    <hyperlink ref="B19" location="'Centrally Assessed Just Value '!A1" display="Centrally Assessed Property Just Value and Growth Rate 2008 - 2010" xr:uid="{00000000-0004-0000-0000-000004000000}"/>
    <hyperlink ref="D26" r:id="rId1" xr:uid="{00000000-0004-0000-0000-000005000000}"/>
  </hyperlinks>
  <pageMargins left="0.75" right="0.75" top="1" bottom="1" header="0.5" footer="0.5"/>
  <pageSetup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5"/>
  <sheetViews>
    <sheetView zoomScaleNormal="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9.28515625" style="2" bestFit="1" customWidth="1"/>
    <col min="4" max="4" width="19.140625" style="2" bestFit="1" customWidth="1"/>
    <col min="5" max="5" width="22" style="2" bestFit="1" customWidth="1"/>
    <col min="6" max="6" width="18.42578125" style="2" bestFit="1" customWidth="1"/>
    <col min="7" max="16384" width="9.140625" style="2"/>
  </cols>
  <sheetData>
    <row r="1" spans="1:11" ht="23.25" x14ac:dyDescent="0.35">
      <c r="A1" s="7" t="s">
        <v>72</v>
      </c>
      <c r="B1" s="8"/>
      <c r="C1" s="9"/>
      <c r="D1" s="9"/>
      <c r="E1" s="9"/>
      <c r="F1" s="9"/>
    </row>
    <row r="2" spans="1:11" ht="15" x14ac:dyDescent="0.25">
      <c r="A2" s="10">
        <v>2024</v>
      </c>
      <c r="B2" s="10"/>
      <c r="C2" s="10"/>
      <c r="D2" s="10"/>
      <c r="E2" s="10"/>
      <c r="F2" s="10"/>
    </row>
    <row r="3" spans="1:11" ht="15" thickBot="1" x14ac:dyDescent="0.25"/>
    <row r="4" spans="1:11" s="36" customFormat="1" ht="25.5" x14ac:dyDescent="0.2">
      <c r="A4" s="33" t="s">
        <v>0</v>
      </c>
      <c r="B4" s="34" t="s">
        <v>1</v>
      </c>
      <c r="C4" s="34" t="s">
        <v>88</v>
      </c>
      <c r="D4" s="34" t="s">
        <v>89</v>
      </c>
      <c r="E4" s="34" t="s">
        <v>90</v>
      </c>
      <c r="F4" s="35" t="s">
        <v>91</v>
      </c>
    </row>
    <row r="5" spans="1:11" x14ac:dyDescent="0.2">
      <c r="A5" s="12" t="s">
        <v>4</v>
      </c>
      <c r="B5" s="13" t="s">
        <v>82</v>
      </c>
      <c r="C5" s="27">
        <v>40367067073</v>
      </c>
      <c r="D5" s="28">
        <v>4345851739</v>
      </c>
      <c r="E5" s="27">
        <v>34392445</v>
      </c>
      <c r="F5" s="29">
        <v>44747311257</v>
      </c>
    </row>
    <row r="6" spans="1:11" x14ac:dyDescent="0.2">
      <c r="A6" s="12" t="s">
        <v>5</v>
      </c>
      <c r="B6" s="13" t="s">
        <v>83</v>
      </c>
      <c r="C6" s="27">
        <v>3007732366</v>
      </c>
      <c r="D6" s="28">
        <v>263584522</v>
      </c>
      <c r="E6" s="27">
        <v>15517162</v>
      </c>
      <c r="F6" s="29">
        <v>3286834050</v>
      </c>
      <c r="I6" s="17"/>
      <c r="K6" s="17"/>
    </row>
    <row r="7" spans="1:11" x14ac:dyDescent="0.2">
      <c r="A7" s="12" t="s">
        <v>6</v>
      </c>
      <c r="B7" s="13" t="s">
        <v>82</v>
      </c>
      <c r="C7" s="27">
        <v>40898319155</v>
      </c>
      <c r="D7" s="28">
        <v>2822227514</v>
      </c>
      <c r="E7" s="27">
        <v>34804014</v>
      </c>
      <c r="F7" s="29">
        <v>43755350683</v>
      </c>
      <c r="I7" s="17"/>
      <c r="K7" s="17"/>
    </row>
    <row r="8" spans="1:11" x14ac:dyDescent="0.2">
      <c r="A8" s="12" t="s">
        <v>7</v>
      </c>
      <c r="B8" s="13" t="s">
        <v>82</v>
      </c>
      <c r="C8" s="27">
        <v>2428232528</v>
      </c>
      <c r="D8" s="28">
        <v>343505646</v>
      </c>
      <c r="E8" s="27">
        <v>19119156</v>
      </c>
      <c r="F8" s="29">
        <v>2790857330</v>
      </c>
      <c r="I8" s="17"/>
      <c r="K8" s="17"/>
    </row>
    <row r="9" spans="1:11" x14ac:dyDescent="0.2">
      <c r="A9" s="12" t="s">
        <v>8</v>
      </c>
      <c r="B9" s="13" t="s">
        <v>82</v>
      </c>
      <c r="C9" s="27">
        <v>112744432760</v>
      </c>
      <c r="D9" s="28">
        <v>12201475724</v>
      </c>
      <c r="E9" s="27">
        <v>146608523</v>
      </c>
      <c r="F9" s="29">
        <v>125092517007</v>
      </c>
      <c r="I9" s="17"/>
      <c r="K9" s="17"/>
    </row>
    <row r="10" spans="1:11" x14ac:dyDescent="0.2">
      <c r="A10" s="12" t="s">
        <v>9</v>
      </c>
      <c r="B10" s="13" t="s">
        <v>82</v>
      </c>
      <c r="C10" s="27">
        <v>458035155020</v>
      </c>
      <c r="D10" s="28">
        <v>12279633737</v>
      </c>
      <c r="E10" s="27">
        <v>112111277</v>
      </c>
      <c r="F10" s="29">
        <v>470426900034</v>
      </c>
      <c r="I10" s="17"/>
      <c r="K10" s="17"/>
    </row>
    <row r="11" spans="1:11" x14ac:dyDescent="0.2">
      <c r="A11" s="12" t="s">
        <v>10</v>
      </c>
      <c r="B11" s="13" t="s">
        <v>83</v>
      </c>
      <c r="C11" s="27">
        <v>1074393795</v>
      </c>
      <c r="D11" s="28">
        <v>395799655</v>
      </c>
      <c r="E11" s="27"/>
      <c r="F11" s="29">
        <v>1470193450</v>
      </c>
      <c r="I11" s="17"/>
      <c r="K11" s="17"/>
    </row>
    <row r="12" spans="1:11" x14ac:dyDescent="0.2">
      <c r="A12" s="12" t="s">
        <v>11</v>
      </c>
      <c r="B12" s="13" t="s">
        <v>82</v>
      </c>
      <c r="C12" s="27">
        <v>51113483408</v>
      </c>
      <c r="D12" s="28">
        <v>1909406404</v>
      </c>
      <c r="E12" s="27">
        <v>3214895</v>
      </c>
      <c r="F12" s="29">
        <v>53026104707</v>
      </c>
      <c r="I12" s="17"/>
      <c r="K12" s="17"/>
    </row>
    <row r="13" spans="1:11" x14ac:dyDescent="0.2">
      <c r="A13" s="12" t="s">
        <v>12</v>
      </c>
      <c r="B13" s="13" t="s">
        <v>82</v>
      </c>
      <c r="C13" s="27">
        <v>24157823501</v>
      </c>
      <c r="D13" s="28">
        <v>4034998231</v>
      </c>
      <c r="E13" s="27">
        <v>1686480</v>
      </c>
      <c r="F13" s="29">
        <v>28194508212</v>
      </c>
      <c r="I13" s="17"/>
      <c r="K13" s="17"/>
    </row>
    <row r="14" spans="1:11" x14ac:dyDescent="0.2">
      <c r="A14" s="12" t="s">
        <v>13</v>
      </c>
      <c r="B14" s="13" t="s">
        <v>82</v>
      </c>
      <c r="C14" s="27">
        <v>30801753130</v>
      </c>
      <c r="D14" s="28">
        <v>2190700920</v>
      </c>
      <c r="E14" s="27">
        <v>17375080</v>
      </c>
      <c r="F14" s="29">
        <v>33009829130</v>
      </c>
      <c r="I14" s="17"/>
      <c r="K14" s="17"/>
    </row>
    <row r="15" spans="1:11" x14ac:dyDescent="0.2">
      <c r="A15" s="12" t="s">
        <v>14</v>
      </c>
      <c r="B15" s="13" t="s">
        <v>82</v>
      </c>
      <c r="C15" s="27">
        <v>219264448968</v>
      </c>
      <c r="D15" s="28">
        <v>3397445196</v>
      </c>
      <c r="E15" s="27">
        <v>206925</v>
      </c>
      <c r="F15" s="29">
        <v>222662101089</v>
      </c>
      <c r="I15" s="17"/>
      <c r="K15" s="17"/>
    </row>
    <row r="16" spans="1:11" x14ac:dyDescent="0.2">
      <c r="A16" s="12" t="s">
        <v>15</v>
      </c>
      <c r="B16" s="13" t="s">
        <v>82</v>
      </c>
      <c r="C16" s="27">
        <v>7108864228</v>
      </c>
      <c r="D16" s="28">
        <v>968655471</v>
      </c>
      <c r="E16" s="27">
        <v>15621927</v>
      </c>
      <c r="F16" s="29">
        <v>8093141626</v>
      </c>
      <c r="I16" s="17"/>
      <c r="K16" s="17"/>
    </row>
    <row r="17" spans="1:11" x14ac:dyDescent="0.2">
      <c r="A17" s="12" t="s">
        <v>78</v>
      </c>
      <c r="B17" s="13" t="s">
        <v>82</v>
      </c>
      <c r="C17" s="27">
        <v>745419129920</v>
      </c>
      <c r="D17" s="28">
        <v>23108619496</v>
      </c>
      <c r="E17" s="27">
        <v>214047318</v>
      </c>
      <c r="F17" s="29">
        <v>768741796734</v>
      </c>
      <c r="I17" s="17"/>
      <c r="K17" s="17"/>
    </row>
    <row r="18" spans="1:11" x14ac:dyDescent="0.2">
      <c r="A18" s="12" t="s">
        <v>16</v>
      </c>
      <c r="B18" s="13" t="s">
        <v>82</v>
      </c>
      <c r="C18" s="27">
        <v>5427216427</v>
      </c>
      <c r="D18" s="28">
        <v>792897219</v>
      </c>
      <c r="E18" s="27">
        <v>4774087</v>
      </c>
      <c r="F18" s="29">
        <v>6224887733</v>
      </c>
      <c r="I18" s="17"/>
      <c r="K18" s="17"/>
    </row>
    <row r="19" spans="1:11" x14ac:dyDescent="0.2">
      <c r="A19" s="12" t="s">
        <v>17</v>
      </c>
      <c r="B19" s="13" t="s">
        <v>83</v>
      </c>
      <c r="C19" s="27">
        <v>1803319340</v>
      </c>
      <c r="D19" s="28">
        <v>122978395</v>
      </c>
      <c r="E19" s="27"/>
      <c r="F19" s="29">
        <v>1926297735</v>
      </c>
      <c r="I19" s="17"/>
      <c r="K19" s="17"/>
    </row>
    <row r="20" spans="1:11" x14ac:dyDescent="0.2">
      <c r="A20" s="12" t="s">
        <v>18</v>
      </c>
      <c r="B20" s="13" t="s">
        <v>82</v>
      </c>
      <c r="C20" s="27">
        <v>157460806088</v>
      </c>
      <c r="D20" s="28">
        <v>16947250544</v>
      </c>
      <c r="E20" s="27">
        <v>219336517</v>
      </c>
      <c r="F20" s="29">
        <v>174627393149</v>
      </c>
      <c r="I20" s="17"/>
      <c r="K20" s="17"/>
    </row>
    <row r="21" spans="1:11" x14ac:dyDescent="0.2">
      <c r="A21" s="12" t="s">
        <v>19</v>
      </c>
      <c r="B21" s="13" t="s">
        <v>82</v>
      </c>
      <c r="C21" s="27">
        <v>46264479889</v>
      </c>
      <c r="D21" s="28">
        <v>5022819875</v>
      </c>
      <c r="E21" s="27">
        <v>33836945</v>
      </c>
      <c r="F21" s="29">
        <v>51321136709</v>
      </c>
      <c r="I21" s="17"/>
      <c r="K21" s="17"/>
    </row>
    <row r="22" spans="1:11" x14ac:dyDescent="0.2">
      <c r="A22" s="12" t="s">
        <v>20</v>
      </c>
      <c r="B22" s="13" t="s">
        <v>82</v>
      </c>
      <c r="C22" s="27">
        <v>25639111797</v>
      </c>
      <c r="D22" s="28">
        <v>1034213437</v>
      </c>
      <c r="E22" s="27">
        <v>24611217</v>
      </c>
      <c r="F22" s="29">
        <v>26697936451</v>
      </c>
      <c r="I22" s="17"/>
      <c r="K22" s="17"/>
    </row>
    <row r="23" spans="1:11" x14ac:dyDescent="0.2">
      <c r="A23" s="12" t="s">
        <v>21</v>
      </c>
      <c r="B23" s="13" t="s">
        <v>83</v>
      </c>
      <c r="C23" s="27">
        <v>5998117886</v>
      </c>
      <c r="D23" s="28">
        <v>100939073</v>
      </c>
      <c r="E23" s="27">
        <v>716952</v>
      </c>
      <c r="F23" s="29">
        <v>6099773911</v>
      </c>
      <c r="I23" s="17"/>
      <c r="K23" s="17"/>
    </row>
    <row r="24" spans="1:11" x14ac:dyDescent="0.2">
      <c r="A24" s="12" t="s">
        <v>22</v>
      </c>
      <c r="B24" s="13" t="s">
        <v>83</v>
      </c>
      <c r="C24" s="27">
        <v>4331969150</v>
      </c>
      <c r="D24" s="28">
        <v>826845939</v>
      </c>
      <c r="E24" s="27">
        <v>8686402</v>
      </c>
      <c r="F24" s="29">
        <v>5167501491</v>
      </c>
      <c r="I24" s="17"/>
      <c r="K24" s="17"/>
    </row>
    <row r="25" spans="1:11" x14ac:dyDescent="0.2">
      <c r="A25" s="12" t="s">
        <v>23</v>
      </c>
      <c r="B25" s="13" t="s">
        <v>83</v>
      </c>
      <c r="C25" s="27">
        <v>2619661568</v>
      </c>
      <c r="D25" s="28">
        <v>412094857</v>
      </c>
      <c r="E25" s="27"/>
      <c r="F25" s="29">
        <v>3031756425</v>
      </c>
      <c r="I25" s="17"/>
      <c r="K25" s="17"/>
    </row>
    <row r="26" spans="1:11" x14ac:dyDescent="0.2">
      <c r="A26" s="12" t="s">
        <v>24</v>
      </c>
      <c r="B26" s="13" t="s">
        <v>83</v>
      </c>
      <c r="C26" s="27">
        <v>6110521321</v>
      </c>
      <c r="D26" s="28">
        <v>209990287</v>
      </c>
      <c r="E26" s="27">
        <v>15601137</v>
      </c>
      <c r="F26" s="29">
        <v>6336112745</v>
      </c>
      <c r="I26" s="17"/>
      <c r="K26" s="17"/>
    </row>
    <row r="27" spans="1:11" x14ac:dyDescent="0.2">
      <c r="A27" s="12" t="s">
        <v>25</v>
      </c>
      <c r="B27" s="13" t="s">
        <v>83</v>
      </c>
      <c r="C27" s="27">
        <v>6555010216</v>
      </c>
      <c r="D27" s="28">
        <v>156056550</v>
      </c>
      <c r="E27" s="27">
        <v>684330</v>
      </c>
      <c r="F27" s="29">
        <v>6711751096</v>
      </c>
      <c r="I27" s="17"/>
      <c r="K27" s="17"/>
    </row>
    <row r="28" spans="1:11" x14ac:dyDescent="0.2">
      <c r="A28" s="12" t="s">
        <v>26</v>
      </c>
      <c r="B28" s="13" t="s">
        <v>82</v>
      </c>
      <c r="C28" s="27">
        <v>1943967695</v>
      </c>
      <c r="D28" s="28">
        <v>712050584</v>
      </c>
      <c r="E28" s="27">
        <v>27846812</v>
      </c>
      <c r="F28" s="29">
        <v>2683865091</v>
      </c>
      <c r="I28" s="17"/>
      <c r="K28" s="17"/>
    </row>
    <row r="29" spans="1:11" x14ac:dyDescent="0.2">
      <c r="A29" s="12" t="s">
        <v>27</v>
      </c>
      <c r="B29" s="13" t="s">
        <v>82</v>
      </c>
      <c r="C29" s="27">
        <v>4731752507</v>
      </c>
      <c r="D29" s="28">
        <v>1179363844</v>
      </c>
      <c r="E29" s="27">
        <v>9480548</v>
      </c>
      <c r="F29" s="29">
        <v>5920596899</v>
      </c>
      <c r="I29" s="17"/>
      <c r="K29" s="17"/>
    </row>
    <row r="30" spans="1:11" x14ac:dyDescent="0.2">
      <c r="A30" s="12" t="s">
        <v>28</v>
      </c>
      <c r="B30" s="13" t="s">
        <v>82</v>
      </c>
      <c r="C30" s="27">
        <v>8502388006</v>
      </c>
      <c r="D30" s="28">
        <v>1682811380</v>
      </c>
      <c r="E30" s="27">
        <v>5355013</v>
      </c>
      <c r="F30" s="29">
        <v>10190554399</v>
      </c>
      <c r="I30" s="17"/>
      <c r="K30" s="17"/>
    </row>
    <row r="31" spans="1:11" x14ac:dyDescent="0.2">
      <c r="A31" s="12" t="s">
        <v>29</v>
      </c>
      <c r="B31" s="13" t="s">
        <v>82</v>
      </c>
      <c r="C31" s="27">
        <v>30581396004</v>
      </c>
      <c r="D31" s="28">
        <v>2125051038</v>
      </c>
      <c r="E31" s="27">
        <v>12111470</v>
      </c>
      <c r="F31" s="29">
        <v>32718558512</v>
      </c>
      <c r="I31" s="17"/>
      <c r="K31" s="17"/>
    </row>
    <row r="32" spans="1:11" x14ac:dyDescent="0.2">
      <c r="A32" s="12" t="s">
        <v>30</v>
      </c>
      <c r="B32" s="13" t="s">
        <v>82</v>
      </c>
      <c r="C32" s="27">
        <v>15822004438</v>
      </c>
      <c r="D32" s="28">
        <v>860444928</v>
      </c>
      <c r="E32" s="27">
        <v>35821139</v>
      </c>
      <c r="F32" s="29">
        <v>16718270505</v>
      </c>
      <c r="I32" s="17"/>
      <c r="K32" s="17"/>
    </row>
    <row r="33" spans="1:11" x14ac:dyDescent="0.2">
      <c r="A33" s="12" t="s">
        <v>31</v>
      </c>
      <c r="B33" s="13" t="s">
        <v>82</v>
      </c>
      <c r="C33" s="27">
        <v>255892646090</v>
      </c>
      <c r="D33" s="28">
        <v>14500974270</v>
      </c>
      <c r="E33" s="27">
        <v>130872997</v>
      </c>
      <c r="F33" s="29">
        <v>270524493357</v>
      </c>
      <c r="I33" s="17"/>
      <c r="K33" s="17"/>
    </row>
    <row r="34" spans="1:11" x14ac:dyDescent="0.2">
      <c r="A34" s="12" t="s">
        <v>32</v>
      </c>
      <c r="B34" s="13" t="s">
        <v>83</v>
      </c>
      <c r="C34" s="27">
        <v>1484168105</v>
      </c>
      <c r="D34" s="28">
        <v>139010338</v>
      </c>
      <c r="E34" s="27">
        <v>3967150</v>
      </c>
      <c r="F34" s="29">
        <v>1627145593</v>
      </c>
      <c r="I34" s="17"/>
      <c r="K34" s="17"/>
    </row>
    <row r="35" spans="1:11" x14ac:dyDescent="0.2">
      <c r="A35" s="12" t="s">
        <v>33</v>
      </c>
      <c r="B35" s="13" t="s">
        <v>82</v>
      </c>
      <c r="C35" s="27">
        <v>47284755595</v>
      </c>
      <c r="D35" s="28">
        <v>1307557308</v>
      </c>
      <c r="E35" s="27">
        <v>50990963</v>
      </c>
      <c r="F35" s="29">
        <v>48643303866</v>
      </c>
      <c r="I35" s="17"/>
      <c r="K35" s="17"/>
    </row>
    <row r="36" spans="1:11" x14ac:dyDescent="0.2">
      <c r="A36" s="12" t="s">
        <v>34</v>
      </c>
      <c r="B36" s="13" t="s">
        <v>83</v>
      </c>
      <c r="C36" s="27">
        <v>4048803615</v>
      </c>
      <c r="D36" s="28">
        <v>577606733</v>
      </c>
      <c r="E36" s="27">
        <v>28598850</v>
      </c>
      <c r="F36" s="29">
        <v>4655009198</v>
      </c>
      <c r="I36" s="17"/>
      <c r="K36" s="17"/>
    </row>
    <row r="37" spans="1:11" x14ac:dyDescent="0.2">
      <c r="A37" s="12" t="s">
        <v>35</v>
      </c>
      <c r="B37" s="13" t="s">
        <v>82</v>
      </c>
      <c r="C37" s="27">
        <v>2408164458</v>
      </c>
      <c r="D37" s="28">
        <v>280635985</v>
      </c>
      <c r="E37" s="27">
        <v>3233375</v>
      </c>
      <c r="F37" s="29">
        <v>2692033818</v>
      </c>
      <c r="I37" s="17"/>
      <c r="K37" s="17"/>
    </row>
    <row r="38" spans="1:11" x14ac:dyDescent="0.2">
      <c r="A38" s="12" t="s">
        <v>36</v>
      </c>
      <c r="B38" s="13" t="s">
        <v>83</v>
      </c>
      <c r="C38" s="27">
        <v>978003844</v>
      </c>
      <c r="D38" s="28">
        <v>75691731</v>
      </c>
      <c r="E38" s="27"/>
      <c r="F38" s="29">
        <v>1053695575</v>
      </c>
      <c r="I38" s="17"/>
      <c r="K38" s="17"/>
    </row>
    <row r="39" spans="1:11" x14ac:dyDescent="0.2">
      <c r="A39" s="12" t="s">
        <v>37</v>
      </c>
      <c r="B39" s="13" t="s">
        <v>82</v>
      </c>
      <c r="C39" s="27">
        <v>62038000331</v>
      </c>
      <c r="D39" s="28">
        <v>2614142584</v>
      </c>
      <c r="E39" s="27">
        <v>5410561</v>
      </c>
      <c r="F39" s="29">
        <v>64657553476</v>
      </c>
      <c r="I39" s="17"/>
      <c r="K39" s="17"/>
    </row>
    <row r="40" spans="1:11" x14ac:dyDescent="0.2">
      <c r="A40" s="12" t="s">
        <v>38</v>
      </c>
      <c r="B40" s="13" t="s">
        <v>82</v>
      </c>
      <c r="C40" s="27">
        <v>212330626639</v>
      </c>
      <c r="D40" s="28">
        <v>7150791547</v>
      </c>
      <c r="E40" s="27">
        <v>5532912</v>
      </c>
      <c r="F40" s="29">
        <v>219486951098</v>
      </c>
      <c r="I40" s="17"/>
      <c r="K40" s="17"/>
    </row>
    <row r="41" spans="1:11" x14ac:dyDescent="0.2">
      <c r="A41" s="12" t="s">
        <v>39</v>
      </c>
      <c r="B41" s="13" t="s">
        <v>82</v>
      </c>
      <c r="C41" s="27">
        <v>40805626755</v>
      </c>
      <c r="D41" s="28">
        <v>2613669250</v>
      </c>
      <c r="E41" s="27">
        <v>6109604</v>
      </c>
      <c r="F41" s="29">
        <v>43425405609</v>
      </c>
      <c r="I41" s="17"/>
      <c r="K41" s="17"/>
    </row>
    <row r="42" spans="1:11" x14ac:dyDescent="0.2">
      <c r="A42" s="12" t="s">
        <v>40</v>
      </c>
      <c r="B42" s="13" t="s">
        <v>83</v>
      </c>
      <c r="C42" s="27">
        <v>7273625329</v>
      </c>
      <c r="D42" s="28">
        <v>506262464</v>
      </c>
      <c r="E42" s="27">
        <v>3671373</v>
      </c>
      <c r="F42" s="29">
        <v>7783559166</v>
      </c>
      <c r="I42" s="17"/>
      <c r="K42" s="17"/>
    </row>
    <row r="43" spans="1:11" x14ac:dyDescent="0.2">
      <c r="A43" s="12" t="s">
        <v>41</v>
      </c>
      <c r="B43" s="13" t="s">
        <v>83</v>
      </c>
      <c r="C43" s="27">
        <v>907907585</v>
      </c>
      <c r="D43" s="28">
        <v>161186508</v>
      </c>
      <c r="E43" s="27">
        <v>917687</v>
      </c>
      <c r="F43" s="29">
        <v>1070011780</v>
      </c>
      <c r="I43" s="17"/>
      <c r="K43" s="17"/>
    </row>
    <row r="44" spans="1:11" x14ac:dyDescent="0.2">
      <c r="A44" s="12" t="s">
        <v>42</v>
      </c>
      <c r="B44" s="13" t="s">
        <v>82</v>
      </c>
      <c r="C44" s="27">
        <v>2163653531</v>
      </c>
      <c r="D44" s="28">
        <v>372198327</v>
      </c>
      <c r="E44" s="27">
        <v>8780039</v>
      </c>
      <c r="F44" s="29">
        <v>2544631897</v>
      </c>
      <c r="I44" s="17"/>
      <c r="K44" s="17"/>
    </row>
    <row r="45" spans="1:11" x14ac:dyDescent="0.2">
      <c r="A45" s="12" t="s">
        <v>43</v>
      </c>
      <c r="B45" s="13" t="s">
        <v>82</v>
      </c>
      <c r="C45" s="27">
        <v>101998559512</v>
      </c>
      <c r="D45" s="28">
        <v>4922378253</v>
      </c>
      <c r="E45" s="27">
        <v>8591883</v>
      </c>
      <c r="F45" s="29">
        <v>106929529648</v>
      </c>
      <c r="I45" s="17"/>
      <c r="K45" s="17"/>
    </row>
    <row r="46" spans="1:11" x14ac:dyDescent="0.2">
      <c r="A46" s="12" t="s">
        <v>44</v>
      </c>
      <c r="B46" s="13" t="s">
        <v>82</v>
      </c>
      <c r="C46" s="27">
        <v>58980702791</v>
      </c>
      <c r="D46" s="28">
        <v>2801733095</v>
      </c>
      <c r="E46" s="27">
        <v>29269418</v>
      </c>
      <c r="F46" s="29">
        <v>61811705304</v>
      </c>
      <c r="I46" s="17"/>
      <c r="K46" s="17"/>
    </row>
    <row r="47" spans="1:11" x14ac:dyDescent="0.2">
      <c r="A47" s="12" t="s">
        <v>45</v>
      </c>
      <c r="B47" s="13" t="s">
        <v>82</v>
      </c>
      <c r="C47" s="27">
        <v>53044322388</v>
      </c>
      <c r="D47" s="28">
        <v>3791305163</v>
      </c>
      <c r="E47" s="27">
        <v>104068102</v>
      </c>
      <c r="F47" s="29">
        <v>56939695653</v>
      </c>
      <c r="I47" s="17"/>
      <c r="K47" s="17"/>
    </row>
    <row r="48" spans="1:11" x14ac:dyDescent="0.2">
      <c r="A48" s="12" t="s">
        <v>46</v>
      </c>
      <c r="B48" s="13" t="s">
        <v>82</v>
      </c>
      <c r="C48" s="27">
        <v>70908935447</v>
      </c>
      <c r="D48" s="28">
        <v>1099785695</v>
      </c>
      <c r="E48" s="27"/>
      <c r="F48" s="29">
        <v>72008721142</v>
      </c>
      <c r="I48" s="17"/>
      <c r="K48" s="17"/>
    </row>
    <row r="49" spans="1:11" x14ac:dyDescent="0.2">
      <c r="A49" s="12" t="s">
        <v>47</v>
      </c>
      <c r="B49" s="13" t="s">
        <v>82</v>
      </c>
      <c r="C49" s="27">
        <v>26148401285</v>
      </c>
      <c r="D49" s="28">
        <v>1879337761</v>
      </c>
      <c r="E49" s="27">
        <v>51621095</v>
      </c>
      <c r="F49" s="29">
        <v>28079360141</v>
      </c>
      <c r="I49" s="17"/>
      <c r="K49" s="17"/>
    </row>
    <row r="50" spans="1:11" x14ac:dyDescent="0.2">
      <c r="A50" s="12" t="s">
        <v>48</v>
      </c>
      <c r="B50" s="13" t="s">
        <v>82</v>
      </c>
      <c r="C50" s="27">
        <v>41865803287</v>
      </c>
      <c r="D50" s="28">
        <v>1251236331</v>
      </c>
      <c r="E50" s="27">
        <v>4540327</v>
      </c>
      <c r="F50" s="29">
        <v>43121579945</v>
      </c>
      <c r="I50" s="17"/>
      <c r="K50" s="17"/>
    </row>
    <row r="51" spans="1:11" x14ac:dyDescent="0.2">
      <c r="A51" s="12" t="s">
        <v>49</v>
      </c>
      <c r="B51" s="13" t="s">
        <v>82</v>
      </c>
      <c r="C51" s="27">
        <v>7907456647</v>
      </c>
      <c r="D51" s="28">
        <v>2007415290</v>
      </c>
      <c r="E51" s="27">
        <v>12335449</v>
      </c>
      <c r="F51" s="29">
        <v>9927207386</v>
      </c>
      <c r="I51" s="17"/>
      <c r="K51" s="17"/>
    </row>
    <row r="52" spans="1:11" x14ac:dyDescent="0.2">
      <c r="A52" s="12" t="s">
        <v>50</v>
      </c>
      <c r="B52" s="13" t="s">
        <v>82</v>
      </c>
      <c r="C52" s="27">
        <v>312252548967</v>
      </c>
      <c r="D52" s="28">
        <v>19355683980</v>
      </c>
      <c r="E52" s="27">
        <v>126239185</v>
      </c>
      <c r="F52" s="29">
        <v>331734472132</v>
      </c>
      <c r="I52" s="17"/>
      <c r="K52" s="17"/>
    </row>
    <row r="53" spans="1:11" x14ac:dyDescent="0.2">
      <c r="A53" s="12" t="s">
        <v>51</v>
      </c>
      <c r="B53" s="13" t="s">
        <v>82</v>
      </c>
      <c r="C53" s="27">
        <v>76496838519</v>
      </c>
      <c r="D53" s="28">
        <v>3629680397</v>
      </c>
      <c r="E53" s="27">
        <v>6913311</v>
      </c>
      <c r="F53" s="29">
        <v>80133432227</v>
      </c>
      <c r="I53" s="17"/>
      <c r="K53" s="17"/>
    </row>
    <row r="54" spans="1:11" x14ac:dyDescent="0.2">
      <c r="A54" s="12" t="s">
        <v>52</v>
      </c>
      <c r="B54" s="13" t="s">
        <v>82</v>
      </c>
      <c r="C54" s="27">
        <v>498721179218</v>
      </c>
      <c r="D54" s="28">
        <v>15146961932</v>
      </c>
      <c r="E54" s="27">
        <v>249016352</v>
      </c>
      <c r="F54" s="29">
        <v>514117157502</v>
      </c>
      <c r="I54" s="17"/>
      <c r="K54" s="17"/>
    </row>
    <row r="55" spans="1:11" x14ac:dyDescent="0.2">
      <c r="A55" s="12" t="s">
        <v>53</v>
      </c>
      <c r="B55" s="13" t="s">
        <v>82</v>
      </c>
      <c r="C55" s="27">
        <v>88494919522</v>
      </c>
      <c r="D55" s="28">
        <v>3860812293</v>
      </c>
      <c r="E55" s="27">
        <v>23235239</v>
      </c>
      <c r="F55" s="29">
        <v>92378967054</v>
      </c>
      <c r="I55" s="17"/>
      <c r="K55" s="17"/>
    </row>
    <row r="56" spans="1:11" x14ac:dyDescent="0.2">
      <c r="A56" s="12" t="s">
        <v>54</v>
      </c>
      <c r="B56" s="13" t="s">
        <v>82</v>
      </c>
      <c r="C56" s="27">
        <v>221153732607</v>
      </c>
      <c r="D56" s="28">
        <v>7415414139</v>
      </c>
      <c r="E56" s="27">
        <v>13545958</v>
      </c>
      <c r="F56" s="29">
        <v>228582692704</v>
      </c>
      <c r="I56" s="17"/>
      <c r="K56" s="17"/>
    </row>
    <row r="57" spans="1:11" x14ac:dyDescent="0.2">
      <c r="A57" s="12" t="s">
        <v>55</v>
      </c>
      <c r="B57" s="13" t="s">
        <v>82</v>
      </c>
      <c r="C57" s="27">
        <v>96091007103</v>
      </c>
      <c r="D57" s="28">
        <v>10286661123</v>
      </c>
      <c r="E57" s="27">
        <v>129393257</v>
      </c>
      <c r="F57" s="29">
        <v>106507061483</v>
      </c>
      <c r="I57" s="17"/>
      <c r="K57" s="17"/>
    </row>
    <row r="58" spans="1:11" x14ac:dyDescent="0.2">
      <c r="A58" s="12" t="s">
        <v>56</v>
      </c>
      <c r="B58" s="13" t="s">
        <v>82</v>
      </c>
      <c r="C58" s="27">
        <v>10092469714</v>
      </c>
      <c r="D58" s="28">
        <v>3543364128</v>
      </c>
      <c r="E58" s="27">
        <v>18642984</v>
      </c>
      <c r="F58" s="29">
        <v>13654476826</v>
      </c>
      <c r="I58" s="17"/>
      <c r="K58" s="17"/>
    </row>
    <row r="59" spans="1:11" x14ac:dyDescent="0.2">
      <c r="A59" s="12" t="s">
        <v>2</v>
      </c>
      <c r="B59" s="13" t="s">
        <v>82</v>
      </c>
      <c r="C59" s="27">
        <v>82849762295</v>
      </c>
      <c r="D59" s="28">
        <v>2261232775</v>
      </c>
      <c r="E59" s="27">
        <v>37560861</v>
      </c>
      <c r="F59" s="29">
        <v>85148555931</v>
      </c>
      <c r="I59" s="17"/>
      <c r="K59" s="17"/>
    </row>
    <row r="60" spans="1:11" x14ac:dyDescent="0.2">
      <c r="A60" s="12" t="s">
        <v>3</v>
      </c>
      <c r="B60" s="13" t="s">
        <v>82</v>
      </c>
      <c r="C60" s="27">
        <v>64240349218</v>
      </c>
      <c r="D60" s="28">
        <v>6445735248</v>
      </c>
      <c r="E60" s="27">
        <v>81634792</v>
      </c>
      <c r="F60" s="29">
        <v>70767719258</v>
      </c>
      <c r="I60" s="17"/>
      <c r="K60" s="17"/>
    </row>
    <row r="61" spans="1:11" x14ac:dyDescent="0.2">
      <c r="A61" s="12" t="s">
        <v>57</v>
      </c>
      <c r="B61" s="13" t="s">
        <v>82</v>
      </c>
      <c r="C61" s="27">
        <v>29236925363</v>
      </c>
      <c r="D61" s="28">
        <v>1114529586</v>
      </c>
      <c r="E61" s="27">
        <v>4255211</v>
      </c>
      <c r="F61" s="29">
        <v>30355710160</v>
      </c>
      <c r="I61" s="17"/>
      <c r="K61" s="17"/>
    </row>
    <row r="62" spans="1:11" x14ac:dyDescent="0.2">
      <c r="A62" s="12" t="s">
        <v>58</v>
      </c>
      <c r="B62" s="13" t="s">
        <v>82</v>
      </c>
      <c r="C62" s="27">
        <v>150486397900</v>
      </c>
      <c r="D62" s="28">
        <v>3852987857</v>
      </c>
      <c r="E62" s="27">
        <v>956717</v>
      </c>
      <c r="F62" s="29">
        <v>154340342474</v>
      </c>
      <c r="I62" s="17"/>
      <c r="K62" s="17"/>
    </row>
    <row r="63" spans="1:11" x14ac:dyDescent="0.2">
      <c r="A63" s="12" t="s">
        <v>59</v>
      </c>
      <c r="B63" s="13" t="s">
        <v>82</v>
      </c>
      <c r="C63" s="27">
        <v>80137148245</v>
      </c>
      <c r="D63" s="28">
        <v>3447244641</v>
      </c>
      <c r="E63" s="27">
        <v>12372188</v>
      </c>
      <c r="F63" s="29">
        <v>83596765074</v>
      </c>
      <c r="I63" s="17"/>
      <c r="K63" s="17"/>
    </row>
    <row r="64" spans="1:11" x14ac:dyDescent="0.2">
      <c r="A64" s="12" t="s">
        <v>60</v>
      </c>
      <c r="B64" s="13" t="s">
        <v>82</v>
      </c>
      <c r="C64" s="27">
        <v>31283595538</v>
      </c>
      <c r="D64" s="28">
        <v>1594821386</v>
      </c>
      <c r="E64" s="27">
        <v>17474765</v>
      </c>
      <c r="F64" s="29">
        <v>32895891689</v>
      </c>
      <c r="I64" s="17"/>
      <c r="K64" s="17"/>
    </row>
    <row r="65" spans="1:11" x14ac:dyDescent="0.2">
      <c r="A65" s="12" t="s">
        <v>61</v>
      </c>
      <c r="B65" s="13" t="s">
        <v>83</v>
      </c>
      <c r="C65" s="27">
        <v>3982996424</v>
      </c>
      <c r="D65" s="28">
        <v>1020358467</v>
      </c>
      <c r="E65" s="27">
        <v>4320899</v>
      </c>
      <c r="F65" s="29">
        <v>5007675790</v>
      </c>
      <c r="I65" s="17"/>
      <c r="K65" s="17"/>
    </row>
    <row r="66" spans="1:11" x14ac:dyDescent="0.2">
      <c r="A66" s="12" t="s">
        <v>62</v>
      </c>
      <c r="B66" s="13" t="s">
        <v>82</v>
      </c>
      <c r="C66" s="27">
        <v>2815334833</v>
      </c>
      <c r="D66" s="28">
        <v>957120850</v>
      </c>
      <c r="E66" s="27">
        <v>2459460</v>
      </c>
      <c r="F66" s="29">
        <v>3774915143</v>
      </c>
      <c r="I66" s="17"/>
      <c r="K66" s="17"/>
    </row>
    <row r="67" spans="1:11" x14ac:dyDescent="0.2">
      <c r="A67" s="12" t="s">
        <v>63</v>
      </c>
      <c r="B67" s="13" t="s">
        <v>83</v>
      </c>
      <c r="C67" s="27">
        <v>978451869</v>
      </c>
      <c r="D67" s="28">
        <v>117552046</v>
      </c>
      <c r="E67" s="27"/>
      <c r="F67" s="29">
        <v>1096003915</v>
      </c>
      <c r="I67" s="17"/>
      <c r="K67" s="17"/>
    </row>
    <row r="68" spans="1:11" x14ac:dyDescent="0.2">
      <c r="A68" s="12" t="s">
        <v>64</v>
      </c>
      <c r="B68" s="13" t="s">
        <v>82</v>
      </c>
      <c r="C68" s="27">
        <v>99346431942</v>
      </c>
      <c r="D68" s="28">
        <v>5138464349</v>
      </c>
      <c r="E68" s="27">
        <v>69688025</v>
      </c>
      <c r="F68" s="29">
        <v>104554584316</v>
      </c>
      <c r="I68" s="17"/>
      <c r="K68" s="17"/>
    </row>
    <row r="69" spans="1:11" x14ac:dyDescent="0.2">
      <c r="A69" s="12" t="s">
        <v>65</v>
      </c>
      <c r="B69" s="13" t="s">
        <v>83</v>
      </c>
      <c r="C69" s="27">
        <v>4312939859</v>
      </c>
      <c r="D69" s="28">
        <v>256638872</v>
      </c>
      <c r="E69" s="27"/>
      <c r="F69" s="29">
        <v>4569578731</v>
      </c>
      <c r="I69" s="17"/>
      <c r="K69" s="17"/>
    </row>
    <row r="70" spans="1:11" x14ac:dyDescent="0.2">
      <c r="A70" s="12" t="s">
        <v>66</v>
      </c>
      <c r="B70" s="13" t="s">
        <v>82</v>
      </c>
      <c r="C70" s="27">
        <v>57051180911</v>
      </c>
      <c r="D70" s="28">
        <v>1013578258</v>
      </c>
      <c r="E70" s="27">
        <v>3678311</v>
      </c>
      <c r="F70" s="29">
        <v>58068437480</v>
      </c>
      <c r="I70" s="17"/>
      <c r="K70" s="17"/>
    </row>
    <row r="71" spans="1:11" x14ac:dyDescent="0.2">
      <c r="A71" s="12" t="s">
        <v>67</v>
      </c>
      <c r="B71" s="13" t="s">
        <v>83</v>
      </c>
      <c r="C71" s="30">
        <v>2396266288</v>
      </c>
      <c r="D71" s="28">
        <v>312466936</v>
      </c>
      <c r="E71" s="30">
        <v>2166427</v>
      </c>
      <c r="F71" s="29">
        <v>2710899651</v>
      </c>
      <c r="I71" s="17"/>
      <c r="K71" s="17"/>
    </row>
    <row r="72" spans="1:11" x14ac:dyDescent="0.2">
      <c r="A72" s="12"/>
      <c r="B72" s="13"/>
      <c r="C72" s="31"/>
      <c r="D72" s="31"/>
      <c r="E72" s="32"/>
      <c r="F72" s="29"/>
      <c r="I72" s="17"/>
      <c r="K72" s="17"/>
    </row>
    <row r="73" spans="1:11" ht="15.75" thickBot="1" x14ac:dyDescent="0.3">
      <c r="A73" s="21" t="s">
        <v>68</v>
      </c>
      <c r="B73" s="22"/>
      <c r="C73" s="23">
        <f>SUM(C5:C71)</f>
        <v>4971103197753</v>
      </c>
      <c r="D73" s="23">
        <f>SUM(D5:D71)</f>
        <v>239271940101</v>
      </c>
      <c r="E73" s="23">
        <f>SUM(E5:E71)</f>
        <v>2275633498</v>
      </c>
      <c r="F73" s="25">
        <f>SUM(F5:F71)</f>
        <v>5212650771352</v>
      </c>
      <c r="I73" s="17"/>
      <c r="K73" s="17"/>
    </row>
    <row r="74" spans="1:11" x14ac:dyDescent="0.2">
      <c r="I74" s="17"/>
      <c r="K74" s="17"/>
    </row>
    <row r="75" spans="1:11" x14ac:dyDescent="0.2">
      <c r="A75" s="26" t="s">
        <v>87</v>
      </c>
      <c r="F75" s="17"/>
    </row>
  </sheetData>
  <phoneticPr fontId="3" type="noConversion"/>
  <conditionalFormatting sqref="A75">
    <cfRule type="expression" dxfId="13" priority="1" stopIfTrue="1">
      <formula>MOD(ROW(),5)=1</formula>
    </cfRule>
  </conditionalFormatting>
  <conditionalFormatting sqref="A4:F73">
    <cfRule type="expression" dxfId="12" priority="2" stopIfTrue="1">
      <formula>MOD(ROW(),3)=1</formula>
    </cfRule>
  </conditionalFormatting>
  <pageMargins left="0.75" right="0.75" top="1" bottom="1" header="0.5" footer="0.5"/>
  <pageSetup scale="8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6"/>
  <sheetViews>
    <sheetView zoomScaleNormal="100" zoomScaleSheetLayoutView="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8" ht="23.25" x14ac:dyDescent="0.35">
      <c r="A1" s="7" t="s">
        <v>73</v>
      </c>
      <c r="B1" s="8"/>
      <c r="C1" s="9"/>
      <c r="D1" s="8"/>
      <c r="E1" s="9"/>
      <c r="F1" s="8"/>
      <c r="G1" s="9"/>
    </row>
    <row r="2" spans="1:18" ht="15" x14ac:dyDescent="0.25">
      <c r="A2" s="10" t="s">
        <v>93</v>
      </c>
      <c r="B2" s="10"/>
      <c r="C2" s="10"/>
      <c r="D2" s="10"/>
      <c r="E2" s="10"/>
      <c r="F2" s="10"/>
      <c r="G2" s="10"/>
    </row>
    <row r="3" spans="1:18" ht="15" thickBot="1" x14ac:dyDescent="0.25"/>
    <row r="4" spans="1:18" s="36" customFormat="1" ht="25.5" x14ac:dyDescent="0.2">
      <c r="A4" s="33" t="s">
        <v>0</v>
      </c>
      <c r="B4" s="34" t="s">
        <v>1</v>
      </c>
      <c r="C4" s="37" t="s">
        <v>86</v>
      </c>
      <c r="D4" s="37" t="s">
        <v>92</v>
      </c>
      <c r="E4" s="37" t="s">
        <v>84</v>
      </c>
      <c r="F4" s="37" t="s">
        <v>85</v>
      </c>
      <c r="G4" s="38" t="s">
        <v>81</v>
      </c>
    </row>
    <row r="5" spans="1:18" x14ac:dyDescent="0.2">
      <c r="A5" s="12" t="s">
        <v>4</v>
      </c>
      <c r="B5" s="13" t="s">
        <v>82</v>
      </c>
      <c r="C5" s="14">
        <v>44747311257</v>
      </c>
      <c r="D5" s="15">
        <f>((C5-E5)/E5)</f>
        <v>8.2348841809405202E-2</v>
      </c>
      <c r="E5" s="14">
        <v>41342781115</v>
      </c>
      <c r="F5" s="15">
        <f>((E5-G5)/G5)</f>
        <v>9.3846116898533102E-2</v>
      </c>
      <c r="G5" s="16">
        <v>37795792732</v>
      </c>
    </row>
    <row r="6" spans="1:18" x14ac:dyDescent="0.2">
      <c r="A6" s="12" t="s">
        <v>5</v>
      </c>
      <c r="B6" s="13" t="s">
        <v>83</v>
      </c>
      <c r="C6" s="14">
        <v>3286834050</v>
      </c>
      <c r="D6" s="15">
        <f t="shared" ref="D6:F69" si="0">((C6-E6)/E6)</f>
        <v>7.6818197634868621E-2</v>
      </c>
      <c r="E6" s="14">
        <v>3052357452</v>
      </c>
      <c r="F6" s="15">
        <f t="shared" si="0"/>
        <v>8.3003822030319738E-2</v>
      </c>
      <c r="G6" s="16">
        <v>2818417987</v>
      </c>
    </row>
    <row r="7" spans="1:18" x14ac:dyDescent="0.2">
      <c r="A7" s="12" t="s">
        <v>6</v>
      </c>
      <c r="B7" s="13" t="s">
        <v>82</v>
      </c>
      <c r="C7" s="14">
        <v>43755350683</v>
      </c>
      <c r="D7" s="15">
        <f t="shared" si="0"/>
        <v>7.9822533761899225E-2</v>
      </c>
      <c r="E7" s="14">
        <v>40520872009</v>
      </c>
      <c r="F7" s="15">
        <f t="shared" si="0"/>
        <v>0.20244363908334628</v>
      </c>
      <c r="G7" s="16">
        <v>33698770314</v>
      </c>
      <c r="R7" s="17"/>
    </row>
    <row r="8" spans="1:18" x14ac:dyDescent="0.2">
      <c r="A8" s="12" t="s">
        <v>7</v>
      </c>
      <c r="B8" s="13" t="s">
        <v>82</v>
      </c>
      <c r="C8" s="14">
        <v>2790857330</v>
      </c>
      <c r="D8" s="15">
        <f t="shared" si="0"/>
        <v>9.9874276012521482E-2</v>
      </c>
      <c r="E8" s="14">
        <v>2537433042</v>
      </c>
      <c r="F8" s="15">
        <f t="shared" si="0"/>
        <v>0.11042898645195551</v>
      </c>
      <c r="G8" s="16">
        <v>2285092584</v>
      </c>
      <c r="R8" s="17"/>
    </row>
    <row r="9" spans="1:18" x14ac:dyDescent="0.2">
      <c r="A9" s="12" t="s">
        <v>8</v>
      </c>
      <c r="B9" s="13" t="s">
        <v>82</v>
      </c>
      <c r="C9" s="14">
        <v>125092517007</v>
      </c>
      <c r="D9" s="15">
        <f t="shared" si="0"/>
        <v>5.6660269688569222E-2</v>
      </c>
      <c r="E9" s="14">
        <v>118384802188</v>
      </c>
      <c r="F9" s="15">
        <f t="shared" si="0"/>
        <v>0.10628504489524626</v>
      </c>
      <c r="G9" s="16">
        <v>107011120447</v>
      </c>
      <c r="R9" s="17"/>
    </row>
    <row r="10" spans="1:18" x14ac:dyDescent="0.2">
      <c r="A10" s="12" t="s">
        <v>9</v>
      </c>
      <c r="B10" s="13" t="s">
        <v>82</v>
      </c>
      <c r="C10" s="14">
        <v>470426900034</v>
      </c>
      <c r="D10" s="15">
        <f t="shared" si="0"/>
        <v>8.8475701742672469E-2</v>
      </c>
      <c r="E10" s="14">
        <v>432188701393</v>
      </c>
      <c r="F10" s="15">
        <f t="shared" si="0"/>
        <v>0.16502338380454648</v>
      </c>
      <c r="G10" s="16">
        <v>370969980003</v>
      </c>
      <c r="R10" s="17"/>
    </row>
    <row r="11" spans="1:18" x14ac:dyDescent="0.2">
      <c r="A11" s="12" t="s">
        <v>10</v>
      </c>
      <c r="B11" s="13" t="s">
        <v>83</v>
      </c>
      <c r="C11" s="14">
        <v>1470193450</v>
      </c>
      <c r="D11" s="15">
        <f t="shared" si="0"/>
        <v>9.5875080835309795E-2</v>
      </c>
      <c r="E11" s="14">
        <v>1341570290</v>
      </c>
      <c r="F11" s="15">
        <f t="shared" si="0"/>
        <v>0.26447010181934594</v>
      </c>
      <c r="G11" s="16">
        <v>1060974307</v>
      </c>
      <c r="R11" s="17"/>
    </row>
    <row r="12" spans="1:18" x14ac:dyDescent="0.2">
      <c r="A12" s="12" t="s">
        <v>11</v>
      </c>
      <c r="B12" s="13" t="s">
        <v>82</v>
      </c>
      <c r="C12" s="14">
        <v>53026104707</v>
      </c>
      <c r="D12" s="15">
        <f t="shared" si="0"/>
        <v>8.8573699972446143E-2</v>
      </c>
      <c r="E12" s="14">
        <v>48711543103</v>
      </c>
      <c r="F12" s="15">
        <f t="shared" si="0"/>
        <v>0.1889851362983033</v>
      </c>
      <c r="G12" s="16">
        <v>40969009297</v>
      </c>
      <c r="R12" s="17"/>
    </row>
    <row r="13" spans="1:18" x14ac:dyDescent="0.2">
      <c r="A13" s="12" t="s">
        <v>12</v>
      </c>
      <c r="B13" s="13" t="s">
        <v>82</v>
      </c>
      <c r="C13" s="14">
        <v>28194508212</v>
      </c>
      <c r="D13" s="15">
        <f t="shared" si="0"/>
        <v>4.7848580582334599E-2</v>
      </c>
      <c r="E13" s="14">
        <v>26907044333</v>
      </c>
      <c r="F13" s="15">
        <f t="shared" si="0"/>
        <v>0.15632044479337864</v>
      </c>
      <c r="G13" s="16">
        <v>23269539559</v>
      </c>
      <c r="R13" s="17"/>
    </row>
    <row r="14" spans="1:18" x14ac:dyDescent="0.2">
      <c r="A14" s="12" t="s">
        <v>13</v>
      </c>
      <c r="B14" s="13" t="s">
        <v>82</v>
      </c>
      <c r="C14" s="14">
        <v>33009829130</v>
      </c>
      <c r="D14" s="15">
        <f t="shared" si="0"/>
        <v>6.4586852962307206E-2</v>
      </c>
      <c r="E14" s="14">
        <v>31007173382</v>
      </c>
      <c r="F14" s="15">
        <f t="shared" si="0"/>
        <v>0.19135448068267882</v>
      </c>
      <c r="G14" s="16">
        <v>26026823993</v>
      </c>
      <c r="R14" s="17"/>
    </row>
    <row r="15" spans="1:18" x14ac:dyDescent="0.2">
      <c r="A15" s="12" t="s">
        <v>14</v>
      </c>
      <c r="B15" s="13" t="s">
        <v>82</v>
      </c>
      <c r="C15" s="14">
        <v>222662101089</v>
      </c>
      <c r="D15" s="15">
        <f t="shared" si="0"/>
        <v>3.5595297429602585E-3</v>
      </c>
      <c r="E15" s="14">
        <v>221872339896</v>
      </c>
      <c r="F15" s="15">
        <f t="shared" si="0"/>
        <v>0.19731030757585319</v>
      </c>
      <c r="G15" s="16">
        <v>185308970024</v>
      </c>
      <c r="R15" s="17"/>
    </row>
    <row r="16" spans="1:18" x14ac:dyDescent="0.2">
      <c r="A16" s="12" t="s">
        <v>15</v>
      </c>
      <c r="B16" s="13" t="s">
        <v>82</v>
      </c>
      <c r="C16" s="14">
        <v>8093141626</v>
      </c>
      <c r="D16" s="15">
        <f t="shared" si="0"/>
        <v>8.4987881750751559E-2</v>
      </c>
      <c r="E16" s="14">
        <v>7459200017</v>
      </c>
      <c r="F16" s="15">
        <f t="shared" si="0"/>
        <v>0.13523482147010232</v>
      </c>
      <c r="G16" s="16">
        <v>6570622990</v>
      </c>
      <c r="R16" s="17"/>
    </row>
    <row r="17" spans="1:18" x14ac:dyDescent="0.2">
      <c r="A17" s="12" t="s">
        <v>78</v>
      </c>
      <c r="B17" s="13" t="s">
        <v>82</v>
      </c>
      <c r="C17" s="14">
        <v>768741796734</v>
      </c>
      <c r="D17" s="15">
        <f t="shared" si="0"/>
        <v>0.138185542954643</v>
      </c>
      <c r="E17" s="14">
        <v>675409911409</v>
      </c>
      <c r="F17" s="15">
        <f t="shared" si="0"/>
        <v>0.20545102422710787</v>
      </c>
      <c r="G17" s="16">
        <v>560296434973</v>
      </c>
      <c r="R17" s="17"/>
    </row>
    <row r="18" spans="1:18" x14ac:dyDescent="0.2">
      <c r="A18" s="12" t="s">
        <v>16</v>
      </c>
      <c r="B18" s="13" t="s">
        <v>82</v>
      </c>
      <c r="C18" s="14">
        <v>6224887733</v>
      </c>
      <c r="D18" s="15">
        <f t="shared" si="0"/>
        <v>4.8349748382108398E-2</v>
      </c>
      <c r="E18" s="14">
        <v>5937796754</v>
      </c>
      <c r="F18" s="15">
        <f t="shared" si="0"/>
        <v>3.1343331087164479E-2</v>
      </c>
      <c r="G18" s="16">
        <v>5757342463</v>
      </c>
      <c r="R18" s="17"/>
    </row>
    <row r="19" spans="1:18" x14ac:dyDescent="0.2">
      <c r="A19" s="12" t="s">
        <v>17</v>
      </c>
      <c r="B19" s="13" t="s">
        <v>83</v>
      </c>
      <c r="C19" s="14">
        <v>1926297735</v>
      </c>
      <c r="D19" s="15">
        <f t="shared" si="0"/>
        <v>6.1612663331068004E-2</v>
      </c>
      <c r="E19" s="14">
        <v>1814501467</v>
      </c>
      <c r="F19" s="15">
        <f t="shared" si="0"/>
        <v>7.5822386204128289E-2</v>
      </c>
      <c r="G19" s="16">
        <v>1686618061</v>
      </c>
      <c r="R19" s="17"/>
    </row>
    <row r="20" spans="1:18" x14ac:dyDescent="0.2">
      <c r="A20" s="12" t="s">
        <v>18</v>
      </c>
      <c r="B20" s="13" t="s">
        <v>82</v>
      </c>
      <c r="C20" s="14">
        <v>174627393149</v>
      </c>
      <c r="D20" s="15">
        <f t="shared" si="0"/>
        <v>4.3077165469916225E-2</v>
      </c>
      <c r="E20" s="14">
        <v>167415603495</v>
      </c>
      <c r="F20" s="15">
        <f t="shared" si="0"/>
        <v>0.13007398417325156</v>
      </c>
      <c r="G20" s="16">
        <v>148145701821</v>
      </c>
      <c r="R20" s="17"/>
    </row>
    <row r="21" spans="1:18" x14ac:dyDescent="0.2">
      <c r="A21" s="12" t="s">
        <v>19</v>
      </c>
      <c r="B21" s="13" t="s">
        <v>82</v>
      </c>
      <c r="C21" s="14">
        <v>51321136709</v>
      </c>
      <c r="D21" s="15">
        <f t="shared" si="0"/>
        <v>6.9007095522663042E-2</v>
      </c>
      <c r="E21" s="14">
        <v>48008228312</v>
      </c>
      <c r="F21" s="15">
        <f t="shared" si="0"/>
        <v>0.13731007944788087</v>
      </c>
      <c r="G21" s="16">
        <v>42212083740</v>
      </c>
      <c r="R21" s="17"/>
    </row>
    <row r="22" spans="1:18" x14ac:dyDescent="0.2">
      <c r="A22" s="12" t="s">
        <v>20</v>
      </c>
      <c r="B22" s="13" t="s">
        <v>82</v>
      </c>
      <c r="C22" s="14">
        <v>26697936451</v>
      </c>
      <c r="D22" s="15">
        <f t="shared" si="0"/>
        <v>9.0347504571244394E-2</v>
      </c>
      <c r="E22" s="14">
        <v>24485713352</v>
      </c>
      <c r="F22" s="15">
        <f t="shared" si="0"/>
        <v>8.7791242147688478E-2</v>
      </c>
      <c r="G22" s="16">
        <v>22509570222</v>
      </c>
      <c r="R22" s="17"/>
    </row>
    <row r="23" spans="1:18" x14ac:dyDescent="0.2">
      <c r="A23" s="12" t="s">
        <v>21</v>
      </c>
      <c r="B23" s="13" t="s">
        <v>83</v>
      </c>
      <c r="C23" s="14">
        <v>6099773911</v>
      </c>
      <c r="D23" s="15">
        <f t="shared" si="0"/>
        <v>0.21469480846309025</v>
      </c>
      <c r="E23" s="14">
        <v>5021651421</v>
      </c>
      <c r="F23" s="15">
        <f t="shared" si="0"/>
        <v>0.1992651540760226</v>
      </c>
      <c r="G23" s="16">
        <v>4187273685</v>
      </c>
      <c r="R23" s="17"/>
    </row>
    <row r="24" spans="1:18" x14ac:dyDescent="0.2">
      <c r="A24" s="12" t="s">
        <v>22</v>
      </c>
      <c r="B24" s="13" t="s">
        <v>83</v>
      </c>
      <c r="C24" s="14">
        <v>5167501491</v>
      </c>
      <c r="D24" s="15">
        <f t="shared" si="0"/>
        <v>0.19797598229265939</v>
      </c>
      <c r="E24" s="14">
        <v>4313526788</v>
      </c>
      <c r="F24" s="15">
        <f t="shared" si="0"/>
        <v>0.17113360722034715</v>
      </c>
      <c r="G24" s="16">
        <v>3683206392</v>
      </c>
      <c r="R24" s="17"/>
    </row>
    <row r="25" spans="1:18" x14ac:dyDescent="0.2">
      <c r="A25" s="12" t="s">
        <v>23</v>
      </c>
      <c r="B25" s="13" t="s">
        <v>83</v>
      </c>
      <c r="C25" s="14">
        <v>3031756425</v>
      </c>
      <c r="D25" s="15">
        <f t="shared" si="0"/>
        <v>0.19547181393960988</v>
      </c>
      <c r="E25" s="14">
        <v>2536033380</v>
      </c>
      <c r="F25" s="15">
        <f t="shared" si="0"/>
        <v>0.18985752130266054</v>
      </c>
      <c r="G25" s="16">
        <v>2131375677</v>
      </c>
      <c r="R25" s="17"/>
    </row>
    <row r="26" spans="1:18" x14ac:dyDescent="0.2">
      <c r="A26" s="12" t="s">
        <v>24</v>
      </c>
      <c r="B26" s="13" t="s">
        <v>83</v>
      </c>
      <c r="C26" s="14">
        <v>6336112745</v>
      </c>
      <c r="D26" s="15">
        <f t="shared" si="0"/>
        <v>0.10534032517731247</v>
      </c>
      <c r="E26" s="14">
        <v>5732273220</v>
      </c>
      <c r="F26" s="15">
        <f t="shared" si="0"/>
        <v>0.13674814979775429</v>
      </c>
      <c r="G26" s="16">
        <v>5042694128</v>
      </c>
      <c r="R26" s="17"/>
    </row>
    <row r="27" spans="1:18" x14ac:dyDescent="0.2">
      <c r="A27" s="12" t="s">
        <v>25</v>
      </c>
      <c r="B27" s="13" t="s">
        <v>83</v>
      </c>
      <c r="C27" s="14">
        <v>6711751096</v>
      </c>
      <c r="D27" s="15">
        <f t="shared" si="0"/>
        <v>0.17101906747908677</v>
      </c>
      <c r="E27" s="14">
        <v>5731547233</v>
      </c>
      <c r="F27" s="15">
        <f t="shared" si="0"/>
        <v>0.21414337854687424</v>
      </c>
      <c r="G27" s="16">
        <v>4720651065</v>
      </c>
      <c r="R27" s="17"/>
    </row>
    <row r="28" spans="1:18" x14ac:dyDescent="0.2">
      <c r="A28" s="12" t="s">
        <v>26</v>
      </c>
      <c r="B28" s="13" t="s">
        <v>82</v>
      </c>
      <c r="C28" s="14">
        <v>2683865091</v>
      </c>
      <c r="D28" s="15">
        <f t="shared" si="0"/>
        <v>0.16818685826880761</v>
      </c>
      <c r="E28" s="14">
        <v>2297462150</v>
      </c>
      <c r="F28" s="15">
        <f t="shared" si="0"/>
        <v>0.13551181773034768</v>
      </c>
      <c r="G28" s="16">
        <v>2023283346</v>
      </c>
      <c r="R28" s="17"/>
    </row>
    <row r="29" spans="1:18" x14ac:dyDescent="0.2">
      <c r="A29" s="12" t="s">
        <v>27</v>
      </c>
      <c r="B29" s="13" t="s">
        <v>82</v>
      </c>
      <c r="C29" s="14">
        <v>5920596899</v>
      </c>
      <c r="D29" s="15">
        <f t="shared" si="0"/>
        <v>6.9624076750290559E-2</v>
      </c>
      <c r="E29" s="14">
        <v>5535212817</v>
      </c>
      <c r="F29" s="15">
        <f t="shared" si="0"/>
        <v>0.13872818905460324</v>
      </c>
      <c r="G29" s="16">
        <v>4860872744</v>
      </c>
      <c r="R29" s="17"/>
    </row>
    <row r="30" spans="1:18" x14ac:dyDescent="0.2">
      <c r="A30" s="12" t="s">
        <v>28</v>
      </c>
      <c r="B30" s="13" t="s">
        <v>82</v>
      </c>
      <c r="C30" s="14">
        <v>10190554399</v>
      </c>
      <c r="D30" s="15">
        <f t="shared" si="0"/>
        <v>5.5280373352680108E-2</v>
      </c>
      <c r="E30" s="14">
        <v>9656726929</v>
      </c>
      <c r="F30" s="15">
        <f t="shared" si="0"/>
        <v>9.5353444720876077E-2</v>
      </c>
      <c r="G30" s="16">
        <v>8816083042</v>
      </c>
      <c r="R30" s="17"/>
    </row>
    <row r="31" spans="1:18" x14ac:dyDescent="0.2">
      <c r="A31" s="12" t="s">
        <v>29</v>
      </c>
      <c r="B31" s="13" t="s">
        <v>82</v>
      </c>
      <c r="C31" s="14">
        <v>32718558512</v>
      </c>
      <c r="D31" s="15">
        <f t="shared" si="0"/>
        <v>5.5982166725251664E-2</v>
      </c>
      <c r="E31" s="14">
        <v>30984006684</v>
      </c>
      <c r="F31" s="15">
        <f t="shared" si="0"/>
        <v>0.15879479594041668</v>
      </c>
      <c r="G31" s="16">
        <v>26738130679</v>
      </c>
      <c r="R31" s="17"/>
    </row>
    <row r="32" spans="1:18" x14ac:dyDescent="0.2">
      <c r="A32" s="12" t="s">
        <v>30</v>
      </c>
      <c r="B32" s="13" t="s">
        <v>82</v>
      </c>
      <c r="C32" s="14">
        <v>16718270505</v>
      </c>
      <c r="D32" s="15">
        <f t="shared" si="0"/>
        <v>4.5867775126471354E-2</v>
      </c>
      <c r="E32" s="14">
        <v>15985070869</v>
      </c>
      <c r="F32" s="15">
        <f t="shared" si="0"/>
        <v>0.39957636309756778</v>
      </c>
      <c r="G32" s="16">
        <v>11421363843</v>
      </c>
      <c r="R32" s="17"/>
    </row>
    <row r="33" spans="1:18" x14ac:dyDescent="0.2">
      <c r="A33" s="12" t="s">
        <v>31</v>
      </c>
      <c r="B33" s="13" t="s">
        <v>82</v>
      </c>
      <c r="C33" s="14">
        <v>270524493357</v>
      </c>
      <c r="D33" s="15">
        <f t="shared" si="0"/>
        <v>6.0692227369415479E-2</v>
      </c>
      <c r="E33" s="14">
        <v>255045230253</v>
      </c>
      <c r="F33" s="15">
        <f t="shared" si="0"/>
        <v>9.0386592864690515E-2</v>
      </c>
      <c r="G33" s="16">
        <v>233903490672</v>
      </c>
      <c r="R33" s="17"/>
    </row>
    <row r="34" spans="1:18" x14ac:dyDescent="0.2">
      <c r="A34" s="12" t="s">
        <v>32</v>
      </c>
      <c r="B34" s="13" t="s">
        <v>83</v>
      </c>
      <c r="C34" s="14">
        <v>1627145593</v>
      </c>
      <c r="D34" s="15">
        <f t="shared" si="0"/>
        <v>0.20193707485478951</v>
      </c>
      <c r="E34" s="14">
        <v>1353769367</v>
      </c>
      <c r="F34" s="15">
        <f t="shared" si="0"/>
        <v>5.1532671044564417E-2</v>
      </c>
      <c r="G34" s="16">
        <v>1287424922</v>
      </c>
      <c r="R34" s="17"/>
    </row>
    <row r="35" spans="1:18" x14ac:dyDescent="0.2">
      <c r="A35" s="12" t="s">
        <v>33</v>
      </c>
      <c r="B35" s="13" t="s">
        <v>82</v>
      </c>
      <c r="C35" s="14">
        <v>48643303866</v>
      </c>
      <c r="D35" s="15">
        <f t="shared" si="0"/>
        <v>6.2885773294502179E-2</v>
      </c>
      <c r="E35" s="14">
        <v>45765316545</v>
      </c>
      <c r="F35" s="15">
        <f t="shared" si="0"/>
        <v>0.22050688178466707</v>
      </c>
      <c r="G35" s="16">
        <v>37496975419</v>
      </c>
      <c r="R35" s="17"/>
    </row>
    <row r="36" spans="1:18" x14ac:dyDescent="0.2">
      <c r="A36" s="12" t="s">
        <v>34</v>
      </c>
      <c r="B36" s="13" t="s">
        <v>83</v>
      </c>
      <c r="C36" s="14">
        <v>4655009198</v>
      </c>
      <c r="D36" s="15">
        <f t="shared" si="0"/>
        <v>7.9659645667161605E-2</v>
      </c>
      <c r="E36" s="14">
        <v>4311552457</v>
      </c>
      <c r="F36" s="15">
        <f t="shared" si="0"/>
        <v>0.13044325101777335</v>
      </c>
      <c r="G36" s="16">
        <v>3814037063</v>
      </c>
      <c r="R36" s="17"/>
    </row>
    <row r="37" spans="1:18" x14ac:dyDescent="0.2">
      <c r="A37" s="12" t="s">
        <v>35</v>
      </c>
      <c r="B37" s="13" t="s">
        <v>82</v>
      </c>
      <c r="C37" s="14">
        <v>2692033818</v>
      </c>
      <c r="D37" s="15">
        <f t="shared" si="0"/>
        <v>6.4750337736185992E-2</v>
      </c>
      <c r="E37" s="14">
        <v>2528323986</v>
      </c>
      <c r="F37" s="15">
        <f t="shared" si="0"/>
        <v>0.29769021458099093</v>
      </c>
      <c r="G37" s="16">
        <v>1948326309</v>
      </c>
      <c r="R37" s="17"/>
    </row>
    <row r="38" spans="1:18" x14ac:dyDescent="0.2">
      <c r="A38" s="12" t="s">
        <v>36</v>
      </c>
      <c r="B38" s="13" t="s">
        <v>83</v>
      </c>
      <c r="C38" s="14">
        <v>1053695575</v>
      </c>
      <c r="D38" s="15">
        <f t="shared" si="0"/>
        <v>6.5431354642959932E-2</v>
      </c>
      <c r="E38" s="14">
        <v>988984950</v>
      </c>
      <c r="F38" s="15">
        <f t="shared" si="0"/>
        <v>0.10138579337974966</v>
      </c>
      <c r="G38" s="16">
        <v>897945984</v>
      </c>
      <c r="R38" s="17"/>
    </row>
    <row r="39" spans="1:18" x14ac:dyDescent="0.2">
      <c r="A39" s="12" t="s">
        <v>37</v>
      </c>
      <c r="B39" s="13" t="s">
        <v>82</v>
      </c>
      <c r="C39" s="14">
        <v>64657553476</v>
      </c>
      <c r="D39" s="15">
        <f t="shared" si="0"/>
        <v>0.12320028817969779</v>
      </c>
      <c r="E39" s="14">
        <v>57565470875</v>
      </c>
      <c r="F39" s="15">
        <f t="shared" si="0"/>
        <v>0.16847900461994481</v>
      </c>
      <c r="G39" s="16">
        <v>49265301856</v>
      </c>
      <c r="R39" s="17"/>
    </row>
    <row r="40" spans="1:18" x14ac:dyDescent="0.2">
      <c r="A40" s="12" t="s">
        <v>38</v>
      </c>
      <c r="B40" s="13" t="s">
        <v>82</v>
      </c>
      <c r="C40" s="14">
        <v>219486951098</v>
      </c>
      <c r="D40" s="15">
        <f t="shared" si="0"/>
        <v>7.5975811844054691E-2</v>
      </c>
      <c r="E40" s="14">
        <v>203988740901</v>
      </c>
      <c r="F40" s="15">
        <f t="shared" si="0"/>
        <v>0.12931880886339639</v>
      </c>
      <c r="G40" s="16">
        <v>180629897687</v>
      </c>
      <c r="R40" s="17"/>
    </row>
    <row r="41" spans="1:18" x14ac:dyDescent="0.2">
      <c r="A41" s="12" t="s">
        <v>39</v>
      </c>
      <c r="B41" s="13" t="s">
        <v>82</v>
      </c>
      <c r="C41" s="14">
        <v>43425405609</v>
      </c>
      <c r="D41" s="15">
        <f t="shared" si="0"/>
        <v>7.5602551194386761E-2</v>
      </c>
      <c r="E41" s="14">
        <v>40373096513</v>
      </c>
      <c r="F41" s="15">
        <f t="shared" si="0"/>
        <v>0.10551153197693018</v>
      </c>
      <c r="G41" s="16">
        <v>36519832987</v>
      </c>
      <c r="R41" s="17"/>
    </row>
    <row r="42" spans="1:18" x14ac:dyDescent="0.2">
      <c r="A42" s="12" t="s">
        <v>40</v>
      </c>
      <c r="B42" s="13" t="s">
        <v>83</v>
      </c>
      <c r="C42" s="14">
        <v>7783559166</v>
      </c>
      <c r="D42" s="15">
        <f t="shared" si="0"/>
        <v>-1.9084412370410527E-2</v>
      </c>
      <c r="E42" s="14">
        <v>7934993861</v>
      </c>
      <c r="F42" s="15">
        <f t="shared" si="0"/>
        <v>0.19608458061783085</v>
      </c>
      <c r="G42" s="16">
        <v>6634141088</v>
      </c>
      <c r="R42" s="17"/>
    </row>
    <row r="43" spans="1:18" x14ac:dyDescent="0.2">
      <c r="A43" s="12" t="s">
        <v>41</v>
      </c>
      <c r="B43" s="13" t="s">
        <v>83</v>
      </c>
      <c r="C43" s="14">
        <v>1070011780</v>
      </c>
      <c r="D43" s="15">
        <f t="shared" si="0"/>
        <v>1.7185077588820957E-2</v>
      </c>
      <c r="E43" s="14">
        <v>1051934209</v>
      </c>
      <c r="F43" s="15">
        <f t="shared" si="0"/>
        <v>1.546251509691173E-2</v>
      </c>
      <c r="G43" s="16">
        <v>1035916337</v>
      </c>
      <c r="R43" s="17"/>
    </row>
    <row r="44" spans="1:18" x14ac:dyDescent="0.2">
      <c r="A44" s="12" t="s">
        <v>42</v>
      </c>
      <c r="B44" s="13" t="s">
        <v>82</v>
      </c>
      <c r="C44" s="14">
        <v>2544631897</v>
      </c>
      <c r="D44" s="15">
        <f t="shared" si="0"/>
        <v>3.7610932479816353E-2</v>
      </c>
      <c r="E44" s="14">
        <v>2452395033</v>
      </c>
      <c r="F44" s="15">
        <f t="shared" si="0"/>
        <v>0.26603766122237449</v>
      </c>
      <c r="G44" s="16">
        <v>1937063255</v>
      </c>
      <c r="R44" s="17"/>
    </row>
    <row r="45" spans="1:18" x14ac:dyDescent="0.2">
      <c r="A45" s="12" t="s">
        <v>43</v>
      </c>
      <c r="B45" s="13" t="s">
        <v>82</v>
      </c>
      <c r="C45" s="14">
        <v>106929529648</v>
      </c>
      <c r="D45" s="15">
        <f t="shared" si="0"/>
        <v>6.0030102720552647E-2</v>
      </c>
      <c r="E45" s="14">
        <v>100874050061</v>
      </c>
      <c r="F45" s="15">
        <f t="shared" si="0"/>
        <v>0.22697654155627431</v>
      </c>
      <c r="G45" s="16">
        <v>82213511542</v>
      </c>
      <c r="R45" s="17"/>
    </row>
    <row r="46" spans="1:18" x14ac:dyDescent="0.2">
      <c r="A46" s="12" t="s">
        <v>44</v>
      </c>
      <c r="B46" s="13" t="s">
        <v>82</v>
      </c>
      <c r="C46" s="14">
        <v>61811705304</v>
      </c>
      <c r="D46" s="15">
        <f t="shared" si="0"/>
        <v>9.1763552191965678E-2</v>
      </c>
      <c r="E46" s="14">
        <v>56616384729</v>
      </c>
      <c r="F46" s="15">
        <f t="shared" si="0"/>
        <v>0.18582231758708503</v>
      </c>
      <c r="G46" s="16">
        <v>47744408154</v>
      </c>
      <c r="R46" s="17"/>
    </row>
    <row r="47" spans="1:18" x14ac:dyDescent="0.2">
      <c r="A47" s="12" t="s">
        <v>45</v>
      </c>
      <c r="B47" s="13" t="s">
        <v>82</v>
      </c>
      <c r="C47" s="14">
        <v>56939695653</v>
      </c>
      <c r="D47" s="15">
        <f t="shared" si="0"/>
        <v>6.5381101802231958E-2</v>
      </c>
      <c r="E47" s="14">
        <v>53445377956</v>
      </c>
      <c r="F47" s="15">
        <f t="shared" si="0"/>
        <v>0.19349854251282361</v>
      </c>
      <c r="G47" s="16">
        <v>44780430015</v>
      </c>
      <c r="R47" s="17"/>
    </row>
    <row r="48" spans="1:18" x14ac:dyDescent="0.2">
      <c r="A48" s="12" t="s">
        <v>46</v>
      </c>
      <c r="B48" s="13" t="s">
        <v>82</v>
      </c>
      <c r="C48" s="14">
        <v>72008721142</v>
      </c>
      <c r="D48" s="15">
        <f t="shared" si="0"/>
        <v>5.9076875642288605E-2</v>
      </c>
      <c r="E48" s="14">
        <v>67991968098</v>
      </c>
      <c r="F48" s="15">
        <f t="shared" si="0"/>
        <v>0.21982825434745995</v>
      </c>
      <c r="G48" s="16">
        <v>55738968052</v>
      </c>
      <c r="R48" s="17"/>
    </row>
    <row r="49" spans="1:18" x14ac:dyDescent="0.2">
      <c r="A49" s="12" t="s">
        <v>47</v>
      </c>
      <c r="B49" s="13" t="s">
        <v>82</v>
      </c>
      <c r="C49" s="14">
        <v>28079360141</v>
      </c>
      <c r="D49" s="15">
        <f t="shared" si="0"/>
        <v>8.7590402631401096E-2</v>
      </c>
      <c r="E49" s="14">
        <v>25817955062</v>
      </c>
      <c r="F49" s="15">
        <f t="shared" si="0"/>
        <v>0.22055129369064494</v>
      </c>
      <c r="G49" s="16">
        <v>21152699764</v>
      </c>
      <c r="R49" s="17"/>
    </row>
    <row r="50" spans="1:18" x14ac:dyDescent="0.2">
      <c r="A50" s="12" t="s">
        <v>48</v>
      </c>
      <c r="B50" s="13" t="s">
        <v>82</v>
      </c>
      <c r="C50" s="14">
        <v>43121579945</v>
      </c>
      <c r="D50" s="15">
        <f t="shared" si="0"/>
        <v>3.0085930919063184E-2</v>
      </c>
      <c r="E50" s="14">
        <v>41862119121</v>
      </c>
      <c r="F50" s="15">
        <f t="shared" si="0"/>
        <v>0.12456914425556301</v>
      </c>
      <c r="G50" s="16">
        <v>37225029101</v>
      </c>
      <c r="R50" s="17"/>
    </row>
    <row r="51" spans="1:18" x14ac:dyDescent="0.2">
      <c r="A51" s="12" t="s">
        <v>49</v>
      </c>
      <c r="B51" s="13" t="s">
        <v>82</v>
      </c>
      <c r="C51" s="14">
        <v>9927207386</v>
      </c>
      <c r="D51" s="15">
        <f t="shared" si="0"/>
        <v>1.4813717706540214E-2</v>
      </c>
      <c r="E51" s="14">
        <v>9782295226</v>
      </c>
      <c r="F51" s="15">
        <f t="shared" si="0"/>
        <v>0.23937416216141064</v>
      </c>
      <c r="G51" s="16">
        <v>7892931388</v>
      </c>
      <c r="R51" s="17"/>
    </row>
    <row r="52" spans="1:18" x14ac:dyDescent="0.2">
      <c r="A52" s="12" t="s">
        <v>50</v>
      </c>
      <c r="B52" s="13" t="s">
        <v>82</v>
      </c>
      <c r="C52" s="14">
        <v>331734472132</v>
      </c>
      <c r="D52" s="15">
        <f t="shared" si="0"/>
        <v>5.2378569751856799E-2</v>
      </c>
      <c r="E52" s="14">
        <v>315223515251</v>
      </c>
      <c r="F52" s="15">
        <f t="shared" si="0"/>
        <v>0.1465459779824223</v>
      </c>
      <c r="G52" s="16">
        <v>274933165616</v>
      </c>
      <c r="R52" s="17"/>
    </row>
    <row r="53" spans="1:18" x14ac:dyDescent="0.2">
      <c r="A53" s="12" t="s">
        <v>51</v>
      </c>
      <c r="B53" s="13" t="s">
        <v>82</v>
      </c>
      <c r="C53" s="14">
        <v>80133432227</v>
      </c>
      <c r="D53" s="15">
        <f t="shared" si="0"/>
        <v>8.3442368323907695E-2</v>
      </c>
      <c r="E53" s="14">
        <v>73961877964</v>
      </c>
      <c r="F53" s="15">
        <f t="shared" si="0"/>
        <v>0.19823202010069649</v>
      </c>
      <c r="G53" s="16">
        <v>61725840007</v>
      </c>
      <c r="R53" s="17"/>
    </row>
    <row r="54" spans="1:18" x14ac:dyDescent="0.2">
      <c r="A54" s="12" t="s">
        <v>52</v>
      </c>
      <c r="B54" s="13" t="s">
        <v>82</v>
      </c>
      <c r="C54" s="14">
        <v>514117157502</v>
      </c>
      <c r="D54" s="15">
        <f t="shared" si="0"/>
        <v>5.7890790537606172E-2</v>
      </c>
      <c r="E54" s="14">
        <v>485983205545</v>
      </c>
      <c r="F54" s="15">
        <f t="shared" si="0"/>
        <v>0.20331294984526402</v>
      </c>
      <c r="G54" s="16">
        <v>403871000979</v>
      </c>
      <c r="R54" s="17"/>
    </row>
    <row r="55" spans="1:18" x14ac:dyDescent="0.2">
      <c r="A55" s="12" t="s">
        <v>53</v>
      </c>
      <c r="B55" s="13" t="s">
        <v>82</v>
      </c>
      <c r="C55" s="14">
        <v>92378967054</v>
      </c>
      <c r="D55" s="15">
        <f t="shared" si="0"/>
        <v>9.2579103930805776E-2</v>
      </c>
      <c r="E55" s="14">
        <v>84551284865</v>
      </c>
      <c r="F55" s="15">
        <f t="shared" si="0"/>
        <v>0.20718778367876803</v>
      </c>
      <c r="G55" s="16">
        <v>70039877812</v>
      </c>
      <c r="R55" s="17"/>
    </row>
    <row r="56" spans="1:18" x14ac:dyDescent="0.2">
      <c r="A56" s="12" t="s">
        <v>54</v>
      </c>
      <c r="B56" s="13" t="s">
        <v>82</v>
      </c>
      <c r="C56" s="14">
        <v>228582692704</v>
      </c>
      <c r="D56" s="15">
        <f t="shared" si="0"/>
        <v>6.6704287880386015E-2</v>
      </c>
      <c r="E56" s="14">
        <v>214288716471</v>
      </c>
      <c r="F56" s="15">
        <f t="shared" si="0"/>
        <v>0.15181519469964941</v>
      </c>
      <c r="G56" s="16">
        <v>186044356297</v>
      </c>
      <c r="R56" s="17"/>
    </row>
    <row r="57" spans="1:18" x14ac:dyDescent="0.2">
      <c r="A57" s="12" t="s">
        <v>55</v>
      </c>
      <c r="B57" s="13" t="s">
        <v>82</v>
      </c>
      <c r="C57" s="14">
        <v>106507061483</v>
      </c>
      <c r="D57" s="15">
        <f t="shared" si="0"/>
        <v>6.3621162038838844E-2</v>
      </c>
      <c r="E57" s="14">
        <v>100136275287</v>
      </c>
      <c r="F57" s="15">
        <f t="shared" si="0"/>
        <v>0.16299962772725371</v>
      </c>
      <c r="G57" s="16">
        <v>86101726002</v>
      </c>
      <c r="R57" s="17"/>
    </row>
    <row r="58" spans="1:18" x14ac:dyDescent="0.2">
      <c r="A58" s="12" t="s">
        <v>56</v>
      </c>
      <c r="B58" s="13" t="s">
        <v>82</v>
      </c>
      <c r="C58" s="14">
        <v>13654476826</v>
      </c>
      <c r="D58" s="15">
        <f t="shared" si="0"/>
        <v>8.3516072688663678E-2</v>
      </c>
      <c r="E58" s="14">
        <v>12602006717</v>
      </c>
      <c r="F58" s="15">
        <f t="shared" si="0"/>
        <v>0.16738018292772316</v>
      </c>
      <c r="G58" s="16">
        <v>10795117907</v>
      </c>
      <c r="R58" s="17"/>
    </row>
    <row r="59" spans="1:18" x14ac:dyDescent="0.2">
      <c r="A59" s="12" t="s">
        <v>2</v>
      </c>
      <c r="B59" s="13" t="s">
        <v>82</v>
      </c>
      <c r="C59" s="14">
        <v>85148555931</v>
      </c>
      <c r="D59" s="15">
        <f t="shared" si="0"/>
        <v>7.6800391604660595E-2</v>
      </c>
      <c r="E59" s="14">
        <v>79075524670</v>
      </c>
      <c r="F59" s="15">
        <f t="shared" si="0"/>
        <v>0.19738205527251312</v>
      </c>
      <c r="G59" s="16">
        <v>66040345537</v>
      </c>
      <c r="R59" s="17"/>
    </row>
    <row r="60" spans="1:18" x14ac:dyDescent="0.2">
      <c r="A60" s="12" t="s">
        <v>3</v>
      </c>
      <c r="B60" s="13" t="s">
        <v>82</v>
      </c>
      <c r="C60" s="14">
        <v>70767719258</v>
      </c>
      <c r="D60" s="15">
        <f t="shared" si="0"/>
        <v>7.1154594953269298E-2</v>
      </c>
      <c r="E60" s="14">
        <v>66066765331</v>
      </c>
      <c r="F60" s="15">
        <f t="shared" si="0"/>
        <v>0.18535220662560678</v>
      </c>
      <c r="G60" s="16">
        <v>55735978692</v>
      </c>
      <c r="R60" s="17"/>
    </row>
    <row r="61" spans="1:18" x14ac:dyDescent="0.2">
      <c r="A61" s="12" t="s">
        <v>57</v>
      </c>
      <c r="B61" s="13" t="s">
        <v>82</v>
      </c>
      <c r="C61" s="14">
        <v>30355710160</v>
      </c>
      <c r="D61" s="15">
        <f t="shared" si="0"/>
        <v>7.4871346818695353E-2</v>
      </c>
      <c r="E61" s="14">
        <v>28241249755</v>
      </c>
      <c r="F61" s="15">
        <f t="shared" si="0"/>
        <v>0.12533848329966513</v>
      </c>
      <c r="G61" s="16">
        <v>25095782446</v>
      </c>
      <c r="R61" s="17"/>
    </row>
    <row r="62" spans="1:18" x14ac:dyDescent="0.2">
      <c r="A62" s="12" t="s">
        <v>58</v>
      </c>
      <c r="B62" s="13" t="s">
        <v>82</v>
      </c>
      <c r="C62" s="14">
        <v>154340342474</v>
      </c>
      <c r="D62" s="15">
        <f t="shared" si="0"/>
        <v>2.7587826607118875E-2</v>
      </c>
      <c r="E62" s="14">
        <v>150196740831</v>
      </c>
      <c r="F62" s="15">
        <f t="shared" si="0"/>
        <v>0.1326794699583555</v>
      </c>
      <c r="G62" s="16">
        <v>132603039796</v>
      </c>
      <c r="R62" s="17"/>
    </row>
    <row r="63" spans="1:18" x14ac:dyDescent="0.2">
      <c r="A63" s="12" t="s">
        <v>59</v>
      </c>
      <c r="B63" s="13" t="s">
        <v>82</v>
      </c>
      <c r="C63" s="14">
        <v>83596765074</v>
      </c>
      <c r="D63" s="15">
        <f t="shared" si="0"/>
        <v>7.2417416659500494E-2</v>
      </c>
      <c r="E63" s="14">
        <v>77951704043</v>
      </c>
      <c r="F63" s="15">
        <f t="shared" si="0"/>
        <v>0.1317832584944966</v>
      </c>
      <c r="G63" s="16">
        <v>68875116731</v>
      </c>
      <c r="R63" s="17"/>
    </row>
    <row r="64" spans="1:18" x14ac:dyDescent="0.2">
      <c r="A64" s="12" t="s">
        <v>60</v>
      </c>
      <c r="B64" s="13" t="s">
        <v>82</v>
      </c>
      <c r="C64" s="14">
        <v>32895891689</v>
      </c>
      <c r="D64" s="15">
        <f t="shared" si="0"/>
        <v>4.0164599531022506E-2</v>
      </c>
      <c r="E64" s="14">
        <v>31625659731</v>
      </c>
      <c r="F64" s="15">
        <f t="shared" si="0"/>
        <v>0.13446801704016456</v>
      </c>
      <c r="G64" s="16">
        <v>27877083581</v>
      </c>
      <c r="R64" s="17"/>
    </row>
    <row r="65" spans="1:18" x14ac:dyDescent="0.2">
      <c r="A65" s="12" t="s">
        <v>61</v>
      </c>
      <c r="B65" s="13" t="s">
        <v>83</v>
      </c>
      <c r="C65" s="14">
        <v>5007675790</v>
      </c>
      <c r="D65" s="15">
        <f t="shared" si="0"/>
        <v>8.2545284659032409E-2</v>
      </c>
      <c r="E65" s="14">
        <v>4625834929</v>
      </c>
      <c r="F65" s="15">
        <f t="shared" si="0"/>
        <v>0.1896999019471497</v>
      </c>
      <c r="G65" s="16">
        <v>3888236791</v>
      </c>
      <c r="R65" s="17"/>
    </row>
    <row r="66" spans="1:18" x14ac:dyDescent="0.2">
      <c r="A66" s="12" t="s">
        <v>62</v>
      </c>
      <c r="B66" s="13" t="s">
        <v>82</v>
      </c>
      <c r="C66" s="14">
        <v>3774915143</v>
      </c>
      <c r="D66" s="15">
        <f t="shared" si="0"/>
        <v>1.8204652024526403E-2</v>
      </c>
      <c r="E66" s="14">
        <v>3707422801</v>
      </c>
      <c r="F66" s="15">
        <f t="shared" si="0"/>
        <v>0.19177476518174563</v>
      </c>
      <c r="G66" s="16">
        <v>3110841838</v>
      </c>
      <c r="R66" s="17"/>
    </row>
    <row r="67" spans="1:18" x14ac:dyDescent="0.2">
      <c r="A67" s="12" t="s">
        <v>63</v>
      </c>
      <c r="B67" s="13" t="s">
        <v>83</v>
      </c>
      <c r="C67" s="14">
        <v>1096003915</v>
      </c>
      <c r="D67" s="15">
        <f t="shared" si="0"/>
        <v>3.9476448729298591E-2</v>
      </c>
      <c r="E67" s="14">
        <v>1054380709</v>
      </c>
      <c r="F67" s="15">
        <f t="shared" si="0"/>
        <v>6.8025655247854852E-2</v>
      </c>
      <c r="G67" s="16">
        <v>987224140</v>
      </c>
      <c r="R67" s="17"/>
    </row>
    <row r="68" spans="1:18" x14ac:dyDescent="0.2">
      <c r="A68" s="12" t="s">
        <v>64</v>
      </c>
      <c r="B68" s="13" t="s">
        <v>82</v>
      </c>
      <c r="C68" s="14">
        <v>104554584316</v>
      </c>
      <c r="D68" s="15">
        <f t="shared" si="0"/>
        <v>6.9465442096796878E-2</v>
      </c>
      <c r="E68" s="14">
        <v>97763406091</v>
      </c>
      <c r="F68" s="15">
        <f t="shared" si="0"/>
        <v>0.15184049430149221</v>
      </c>
      <c r="G68" s="16">
        <v>84875819677</v>
      </c>
      <c r="R68" s="17"/>
    </row>
    <row r="69" spans="1:18" x14ac:dyDescent="0.2">
      <c r="A69" s="12" t="s">
        <v>65</v>
      </c>
      <c r="B69" s="13" t="s">
        <v>83</v>
      </c>
      <c r="C69" s="14">
        <v>4569578731</v>
      </c>
      <c r="D69" s="15">
        <f t="shared" si="0"/>
        <v>6.3767550213697718E-2</v>
      </c>
      <c r="E69" s="14">
        <v>4295655315</v>
      </c>
      <c r="F69" s="15">
        <f t="shared" si="0"/>
        <v>0.20104806445001955</v>
      </c>
      <c r="G69" s="16">
        <v>3576589016</v>
      </c>
      <c r="R69" s="17"/>
    </row>
    <row r="70" spans="1:18" x14ac:dyDescent="0.2">
      <c r="A70" s="12" t="s">
        <v>66</v>
      </c>
      <c r="B70" s="13" t="s">
        <v>82</v>
      </c>
      <c r="C70" s="14">
        <v>58068437480</v>
      </c>
      <c r="D70" s="15">
        <f t="shared" ref="D70:F73" si="1">((C70-E70)/E70)</f>
        <v>8.2611432859107506E-2</v>
      </c>
      <c r="E70" s="14">
        <v>53637376918</v>
      </c>
      <c r="F70" s="15">
        <f t="shared" si="1"/>
        <v>0.19084425376721229</v>
      </c>
      <c r="G70" s="16">
        <v>45041470997</v>
      </c>
      <c r="R70" s="17"/>
    </row>
    <row r="71" spans="1:18" x14ac:dyDescent="0.2">
      <c r="A71" s="12" t="s">
        <v>67</v>
      </c>
      <c r="B71" s="13" t="s">
        <v>83</v>
      </c>
      <c r="C71" s="14">
        <v>2710899651</v>
      </c>
      <c r="D71" s="15">
        <f t="shared" si="1"/>
        <v>9.7723490407872121E-2</v>
      </c>
      <c r="E71" s="14">
        <v>2469565127</v>
      </c>
      <c r="F71" s="15">
        <f t="shared" si="1"/>
        <v>0.12438476547091942</v>
      </c>
      <c r="G71" s="16">
        <v>2196370142</v>
      </c>
      <c r="R71" s="17"/>
    </row>
    <row r="72" spans="1:18" x14ac:dyDescent="0.2">
      <c r="A72" s="18"/>
      <c r="B72" s="19"/>
      <c r="C72" s="14"/>
      <c r="D72" s="20"/>
      <c r="E72" s="14"/>
      <c r="F72" s="20"/>
      <c r="G72" s="16"/>
      <c r="R72" s="17"/>
    </row>
    <row r="73" spans="1:18" ht="15.75" thickBot="1" x14ac:dyDescent="0.3">
      <c r="A73" s="21" t="s">
        <v>68</v>
      </c>
      <c r="B73" s="22"/>
      <c r="C73" s="23">
        <f>SUM(C5:C71)</f>
        <v>5212650771352</v>
      </c>
      <c r="D73" s="24">
        <f t="shared" si="1"/>
        <v>7.4020607743487413E-2</v>
      </c>
      <c r="E73" s="23">
        <f>SUM(E5:E71)</f>
        <v>4853399212054</v>
      </c>
      <c r="F73" s="24">
        <f t="shared" si="1"/>
        <v>0.16736970321457995</v>
      </c>
      <c r="G73" s="25">
        <f>SUM(G5:G71)</f>
        <v>4157551115717</v>
      </c>
      <c r="R73" s="17"/>
    </row>
    <row r="74" spans="1:18" x14ac:dyDescent="0.2">
      <c r="R74" s="17"/>
    </row>
    <row r="75" spans="1:18" x14ac:dyDescent="0.2">
      <c r="A75" s="26" t="s">
        <v>87</v>
      </c>
      <c r="R75" s="17"/>
    </row>
    <row r="76" spans="1:18" x14ac:dyDescent="0.2">
      <c r="C76" s="17"/>
      <c r="E76" s="17"/>
      <c r="G76" s="17"/>
    </row>
  </sheetData>
  <phoneticPr fontId="3" type="noConversion"/>
  <conditionalFormatting sqref="A75">
    <cfRule type="expression" dxfId="11" priority="5" stopIfTrue="1">
      <formula>MOD(ROW(),5)=1</formula>
    </cfRule>
  </conditionalFormatting>
  <conditionalFormatting sqref="A4:G73">
    <cfRule type="expression" dxfId="10" priority="1" stopIfTrue="1">
      <formula>MOD(ROW(),3)=1</formula>
    </cfRule>
  </conditionalFormatting>
  <pageMargins left="0.7" right="0.7" top="0.5" bottom="0.5" header="0.05" footer="0.05"/>
  <pageSetup scale="78" fitToHeight="2" orientation="landscape" r:id="rId1"/>
  <rowBreaks count="1" manualBreakCount="1">
    <brk id="37" max="6" man="1"/>
  </rowBreaks>
  <ignoredErrors>
    <ignoredError sqref="E7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5"/>
  <sheetViews>
    <sheetView zoomScaleNormal="100" zoomScaleSheetLayoutView="100" workbookViewId="0">
      <pane ySplit="4" topLeftCell="A5" activePane="bottomLeft" state="frozen"/>
      <selection sqref="A1:XFD1048576"/>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7" ht="23.25" x14ac:dyDescent="0.35">
      <c r="A1" s="7" t="s">
        <v>69</v>
      </c>
      <c r="B1" s="8"/>
      <c r="C1" s="9"/>
      <c r="D1" s="8"/>
      <c r="E1" s="9"/>
      <c r="F1" s="8"/>
      <c r="G1" s="9"/>
    </row>
    <row r="2" spans="1:7" ht="15" x14ac:dyDescent="0.25">
      <c r="A2" s="10" t="s">
        <v>93</v>
      </c>
      <c r="B2" s="10"/>
      <c r="C2" s="10"/>
      <c r="D2" s="10"/>
      <c r="E2" s="10"/>
      <c r="F2" s="10"/>
      <c r="G2" s="10"/>
    </row>
    <row r="3" spans="1:7" ht="15" thickBot="1" x14ac:dyDescent="0.25"/>
    <row r="4" spans="1:7" s="36" customFormat="1" ht="25.5" x14ac:dyDescent="0.2">
      <c r="A4" s="33" t="s">
        <v>0</v>
      </c>
      <c r="B4" s="34" t="s">
        <v>1</v>
      </c>
      <c r="C4" s="37" t="s">
        <v>86</v>
      </c>
      <c r="D4" s="37" t="s">
        <v>92</v>
      </c>
      <c r="E4" s="37" t="s">
        <v>84</v>
      </c>
      <c r="F4" s="37" t="s">
        <v>85</v>
      </c>
      <c r="G4" s="38" t="s">
        <v>81</v>
      </c>
    </row>
    <row r="5" spans="1:7" x14ac:dyDescent="0.2">
      <c r="A5" s="12" t="s">
        <v>4</v>
      </c>
      <c r="B5" s="13" t="s">
        <v>82</v>
      </c>
      <c r="C5" s="14">
        <v>40367067073</v>
      </c>
      <c r="D5" s="15">
        <f>((C5-E5)/E5)</f>
        <v>9.2102837983888824E-2</v>
      </c>
      <c r="E5" s="14">
        <v>36962697714</v>
      </c>
      <c r="F5" s="15">
        <f>((E5-G5)/G5)</f>
        <v>9.6002251571334518E-2</v>
      </c>
      <c r="G5" s="16">
        <v>33725019872</v>
      </c>
    </row>
    <row r="6" spans="1:7" x14ac:dyDescent="0.2">
      <c r="A6" s="12" t="s">
        <v>5</v>
      </c>
      <c r="B6" s="13" t="s">
        <v>83</v>
      </c>
      <c r="C6" s="14">
        <v>3007732366</v>
      </c>
      <c r="D6" s="15">
        <f t="shared" ref="D6:F69" si="0">((C6-E6)/E6)</f>
        <v>8.095317097855452E-2</v>
      </c>
      <c r="E6" s="14">
        <v>2782481653</v>
      </c>
      <c r="F6" s="15">
        <f t="shared" si="0"/>
        <v>8.2535250468892582E-2</v>
      </c>
      <c r="G6" s="16">
        <v>2570338150</v>
      </c>
    </row>
    <row r="7" spans="1:7" x14ac:dyDescent="0.2">
      <c r="A7" s="12" t="s">
        <v>6</v>
      </c>
      <c r="B7" s="13" t="s">
        <v>82</v>
      </c>
      <c r="C7" s="14">
        <v>40898319155</v>
      </c>
      <c r="D7" s="15">
        <f t="shared" si="0"/>
        <v>7.9993888771634991E-2</v>
      </c>
      <c r="E7" s="14">
        <v>37869028316</v>
      </c>
      <c r="F7" s="15">
        <f t="shared" si="0"/>
        <v>0.20760199760146628</v>
      </c>
      <c r="G7" s="16">
        <v>31358865248</v>
      </c>
    </row>
    <row r="8" spans="1:7" x14ac:dyDescent="0.2">
      <c r="A8" s="12" t="s">
        <v>7</v>
      </c>
      <c r="B8" s="13" t="s">
        <v>82</v>
      </c>
      <c r="C8" s="14">
        <v>2428232528</v>
      </c>
      <c r="D8" s="15">
        <f t="shared" si="0"/>
        <v>0.10666854606687869</v>
      </c>
      <c r="E8" s="14">
        <v>2194182293</v>
      </c>
      <c r="F8" s="15">
        <f t="shared" si="0"/>
        <v>0.14070656269481738</v>
      </c>
      <c r="G8" s="16">
        <v>1923529122</v>
      </c>
    </row>
    <row r="9" spans="1:7" x14ac:dyDescent="0.2">
      <c r="A9" s="12" t="s">
        <v>8</v>
      </c>
      <c r="B9" s="13" t="s">
        <v>82</v>
      </c>
      <c r="C9" s="14">
        <v>112744432760</v>
      </c>
      <c r="D9" s="15">
        <f t="shared" si="0"/>
        <v>5.6024258072185321E-2</v>
      </c>
      <c r="E9" s="14">
        <v>106763108800</v>
      </c>
      <c r="F9" s="15">
        <f t="shared" si="0"/>
        <v>0.10818657973620566</v>
      </c>
      <c r="G9" s="16">
        <v>96340373320</v>
      </c>
    </row>
    <row r="10" spans="1:7" x14ac:dyDescent="0.2">
      <c r="A10" s="12" t="s">
        <v>9</v>
      </c>
      <c r="B10" s="13" t="s">
        <v>82</v>
      </c>
      <c r="C10" s="14">
        <v>458035155020</v>
      </c>
      <c r="D10" s="15">
        <f t="shared" si="0"/>
        <v>9.0258986771873606E-2</v>
      </c>
      <c r="E10" s="14">
        <v>420115917940</v>
      </c>
      <c r="F10" s="15">
        <f t="shared" si="0"/>
        <v>0.16586804894610307</v>
      </c>
      <c r="G10" s="16">
        <v>360346025710</v>
      </c>
    </row>
    <row r="11" spans="1:7" x14ac:dyDescent="0.2">
      <c r="A11" s="12" t="s">
        <v>10</v>
      </c>
      <c r="B11" s="13" t="s">
        <v>83</v>
      </c>
      <c r="C11" s="14">
        <v>1074393795</v>
      </c>
      <c r="D11" s="15">
        <f t="shared" si="0"/>
        <v>0.10968002175249812</v>
      </c>
      <c r="E11" s="14">
        <v>968201440</v>
      </c>
      <c r="F11" s="15">
        <f t="shared" si="0"/>
        <v>4.5912867509504317E-2</v>
      </c>
      <c r="G11" s="16">
        <v>925699903</v>
      </c>
    </row>
    <row r="12" spans="1:7" x14ac:dyDescent="0.2">
      <c r="A12" s="12" t="s">
        <v>11</v>
      </c>
      <c r="B12" s="13" t="s">
        <v>82</v>
      </c>
      <c r="C12" s="14">
        <v>51113483408</v>
      </c>
      <c r="D12" s="15">
        <f t="shared" si="0"/>
        <v>8.9494628607929325E-2</v>
      </c>
      <c r="E12" s="14">
        <v>46914855811</v>
      </c>
      <c r="F12" s="15">
        <f t="shared" si="0"/>
        <v>0.19068192439272461</v>
      </c>
      <c r="G12" s="16">
        <v>39401669623</v>
      </c>
    </row>
    <row r="13" spans="1:7" x14ac:dyDescent="0.2">
      <c r="A13" s="12" t="s">
        <v>12</v>
      </c>
      <c r="B13" s="13" t="s">
        <v>82</v>
      </c>
      <c r="C13" s="14">
        <v>24157823501</v>
      </c>
      <c r="D13" s="15">
        <f t="shared" si="0"/>
        <v>6.0593191856524183E-2</v>
      </c>
      <c r="E13" s="14">
        <v>22777652814</v>
      </c>
      <c r="F13" s="15">
        <f t="shared" si="0"/>
        <v>0.16847104657292836</v>
      </c>
      <c r="G13" s="16">
        <v>19493553461</v>
      </c>
    </row>
    <row r="14" spans="1:7" x14ac:dyDescent="0.2">
      <c r="A14" s="12" t="s">
        <v>13</v>
      </c>
      <c r="B14" s="13" t="s">
        <v>82</v>
      </c>
      <c r="C14" s="14">
        <v>30801753130</v>
      </c>
      <c r="D14" s="15">
        <f t="shared" si="0"/>
        <v>6.172298910474272E-2</v>
      </c>
      <c r="E14" s="14">
        <v>29011101244</v>
      </c>
      <c r="F14" s="15">
        <f t="shared" si="0"/>
        <v>0.18958649015664292</v>
      </c>
      <c r="G14" s="16">
        <v>24387551039</v>
      </c>
    </row>
    <row r="15" spans="1:7" x14ac:dyDescent="0.2">
      <c r="A15" s="12" t="s">
        <v>14</v>
      </c>
      <c r="B15" s="13" t="s">
        <v>82</v>
      </c>
      <c r="C15" s="14">
        <v>219264448968</v>
      </c>
      <c r="D15" s="15">
        <f t="shared" si="0"/>
        <v>3.1329375812418027E-3</v>
      </c>
      <c r="E15" s="14">
        <v>218579652560</v>
      </c>
      <c r="F15" s="15">
        <f t="shared" si="0"/>
        <v>0.19929898814831221</v>
      </c>
      <c r="G15" s="16">
        <v>182256180252</v>
      </c>
    </row>
    <row r="16" spans="1:7" x14ac:dyDescent="0.2">
      <c r="A16" s="12" t="s">
        <v>15</v>
      </c>
      <c r="B16" s="13" t="s">
        <v>82</v>
      </c>
      <c r="C16" s="14">
        <v>7108864228</v>
      </c>
      <c r="D16" s="15">
        <f t="shared" si="0"/>
        <v>9.5456539097024978E-2</v>
      </c>
      <c r="E16" s="14">
        <v>6489407817</v>
      </c>
      <c r="F16" s="15">
        <f t="shared" si="0"/>
        <v>0.1331341545689857</v>
      </c>
      <c r="G16" s="16">
        <v>5726954563</v>
      </c>
    </row>
    <row r="17" spans="1:7" x14ac:dyDescent="0.2">
      <c r="A17" s="12" t="s">
        <v>78</v>
      </c>
      <c r="B17" s="13" t="s">
        <v>82</v>
      </c>
      <c r="C17" s="14">
        <v>745419129920</v>
      </c>
      <c r="D17" s="15">
        <f t="shared" si="0"/>
        <v>0.14177925029314584</v>
      </c>
      <c r="E17" s="14">
        <v>652857485130</v>
      </c>
      <c r="F17" s="15">
        <f t="shared" si="0"/>
        <v>0.20892213577879559</v>
      </c>
      <c r="G17" s="16">
        <v>540032700046</v>
      </c>
    </row>
    <row r="18" spans="1:7" x14ac:dyDescent="0.2">
      <c r="A18" s="12" t="s">
        <v>16</v>
      </c>
      <c r="B18" s="13" t="s">
        <v>82</v>
      </c>
      <c r="C18" s="14">
        <v>5427216427</v>
      </c>
      <c r="D18" s="15">
        <f t="shared" si="0"/>
        <v>6.6810842594161826E-2</v>
      </c>
      <c r="E18" s="14">
        <v>5087327772</v>
      </c>
      <c r="F18" s="15">
        <f t="shared" si="0"/>
        <v>1.8306172051204068E-2</v>
      </c>
      <c r="G18" s="16">
        <v>4995872471</v>
      </c>
    </row>
    <row r="19" spans="1:7" x14ac:dyDescent="0.2">
      <c r="A19" s="12" t="s">
        <v>17</v>
      </c>
      <c r="B19" s="13" t="s">
        <v>83</v>
      </c>
      <c r="C19" s="14">
        <v>1803319340</v>
      </c>
      <c r="D19" s="15">
        <f t="shared" si="0"/>
        <v>5.7189314499940712E-2</v>
      </c>
      <c r="E19" s="14">
        <v>1705767657</v>
      </c>
      <c r="F19" s="15">
        <f t="shared" si="0"/>
        <v>7.4019191428392153E-2</v>
      </c>
      <c r="G19" s="16">
        <v>1588209662</v>
      </c>
    </row>
    <row r="20" spans="1:7" x14ac:dyDescent="0.2">
      <c r="A20" s="12" t="s">
        <v>18</v>
      </c>
      <c r="B20" s="13" t="s">
        <v>82</v>
      </c>
      <c r="C20" s="14">
        <v>157460806088</v>
      </c>
      <c r="D20" s="15">
        <f t="shared" si="0"/>
        <v>4.5001342461541749E-2</v>
      </c>
      <c r="E20" s="14">
        <v>150680003642</v>
      </c>
      <c r="F20" s="15">
        <f t="shared" si="0"/>
        <v>0.1347440004700286</v>
      </c>
      <c r="G20" s="16">
        <v>132787662750</v>
      </c>
    </row>
    <row r="21" spans="1:7" x14ac:dyDescent="0.2">
      <c r="A21" s="12" t="s">
        <v>19</v>
      </c>
      <c r="B21" s="13" t="s">
        <v>82</v>
      </c>
      <c r="C21" s="14">
        <v>46264479889</v>
      </c>
      <c r="D21" s="15">
        <f t="shared" si="0"/>
        <v>6.8380156953586291E-2</v>
      </c>
      <c r="E21" s="14">
        <v>43303387458</v>
      </c>
      <c r="F21" s="15">
        <f t="shared" si="0"/>
        <v>0.13055133217519407</v>
      </c>
      <c r="G21" s="16">
        <v>38302893664</v>
      </c>
    </row>
    <row r="22" spans="1:7" x14ac:dyDescent="0.2">
      <c r="A22" s="12" t="s">
        <v>20</v>
      </c>
      <c r="B22" s="13" t="s">
        <v>82</v>
      </c>
      <c r="C22" s="14">
        <v>25639111797</v>
      </c>
      <c r="D22" s="15">
        <f t="shared" si="0"/>
        <v>8.9788053791857475E-2</v>
      </c>
      <c r="E22" s="14">
        <v>23526695588</v>
      </c>
      <c r="F22" s="15">
        <f t="shared" si="0"/>
        <v>9.1596038923443604E-2</v>
      </c>
      <c r="G22" s="16">
        <v>21552565921</v>
      </c>
    </row>
    <row r="23" spans="1:7" x14ac:dyDescent="0.2">
      <c r="A23" s="12" t="s">
        <v>21</v>
      </c>
      <c r="B23" s="13" t="s">
        <v>83</v>
      </c>
      <c r="C23" s="14">
        <v>5998117886</v>
      </c>
      <c r="D23" s="15">
        <f t="shared" si="0"/>
        <v>0.21742881127971814</v>
      </c>
      <c r="E23" s="14">
        <v>4926873613</v>
      </c>
      <c r="F23" s="15">
        <f t="shared" si="0"/>
        <v>0.20509929835976204</v>
      </c>
      <c r="G23" s="16">
        <v>4088354893</v>
      </c>
    </row>
    <row r="24" spans="1:7" x14ac:dyDescent="0.2">
      <c r="A24" s="12" t="s">
        <v>22</v>
      </c>
      <c r="B24" s="13" t="s">
        <v>83</v>
      </c>
      <c r="C24" s="14">
        <v>4331969150</v>
      </c>
      <c r="D24" s="15">
        <f t="shared" si="0"/>
        <v>0.23428431742280512</v>
      </c>
      <c r="E24" s="14">
        <v>3509701200</v>
      </c>
      <c r="F24" s="15">
        <f t="shared" si="0"/>
        <v>0.17660569150097238</v>
      </c>
      <c r="G24" s="16">
        <v>2982903470</v>
      </c>
    </row>
    <row r="25" spans="1:7" x14ac:dyDescent="0.2">
      <c r="A25" s="12" t="s">
        <v>23</v>
      </c>
      <c r="B25" s="13" t="s">
        <v>83</v>
      </c>
      <c r="C25" s="14">
        <v>2619661568</v>
      </c>
      <c r="D25" s="15">
        <f t="shared" si="0"/>
        <v>0.19937298697093683</v>
      </c>
      <c r="E25" s="14">
        <v>2184192571</v>
      </c>
      <c r="F25" s="15">
        <f t="shared" si="0"/>
        <v>0.2168568917253724</v>
      </c>
      <c r="G25" s="16">
        <v>1794946132</v>
      </c>
    </row>
    <row r="26" spans="1:7" x14ac:dyDescent="0.2">
      <c r="A26" s="12" t="s">
        <v>24</v>
      </c>
      <c r="B26" s="13" t="s">
        <v>83</v>
      </c>
      <c r="C26" s="14">
        <v>6110521321</v>
      </c>
      <c r="D26" s="15">
        <f t="shared" si="0"/>
        <v>0.10631252248954146</v>
      </c>
      <c r="E26" s="14">
        <v>5523322928</v>
      </c>
      <c r="F26" s="15">
        <f t="shared" si="0"/>
        <v>0.13807694411804583</v>
      </c>
      <c r="G26" s="16">
        <v>4853206944</v>
      </c>
    </row>
    <row r="27" spans="1:7" x14ac:dyDescent="0.2">
      <c r="A27" s="12" t="s">
        <v>25</v>
      </c>
      <c r="B27" s="13" t="s">
        <v>83</v>
      </c>
      <c r="C27" s="14">
        <v>6555010216</v>
      </c>
      <c r="D27" s="15">
        <f t="shared" si="0"/>
        <v>0.17325405518465251</v>
      </c>
      <c r="E27" s="14">
        <v>5587033931</v>
      </c>
      <c r="F27" s="15">
        <f t="shared" si="0"/>
        <v>0.21556864676430812</v>
      </c>
      <c r="G27" s="16">
        <v>4596230699</v>
      </c>
    </row>
    <row r="28" spans="1:7" x14ac:dyDescent="0.2">
      <c r="A28" s="12" t="s">
        <v>26</v>
      </c>
      <c r="B28" s="13" t="s">
        <v>82</v>
      </c>
      <c r="C28" s="14">
        <v>1943967695</v>
      </c>
      <c r="D28" s="15">
        <f t="shared" si="0"/>
        <v>0.24766709893081196</v>
      </c>
      <c r="E28" s="14">
        <v>1558082037</v>
      </c>
      <c r="F28" s="15">
        <f t="shared" si="0"/>
        <v>0.19299462189282113</v>
      </c>
      <c r="G28" s="16">
        <v>1306026036</v>
      </c>
    </row>
    <row r="29" spans="1:7" x14ac:dyDescent="0.2">
      <c r="A29" s="12" t="s">
        <v>27</v>
      </c>
      <c r="B29" s="13" t="s">
        <v>82</v>
      </c>
      <c r="C29" s="14">
        <v>4731752507</v>
      </c>
      <c r="D29" s="15">
        <f t="shared" si="0"/>
        <v>7.1827716399424313E-2</v>
      </c>
      <c r="E29" s="14">
        <v>4414657724</v>
      </c>
      <c r="F29" s="15">
        <f t="shared" si="0"/>
        <v>0.13403117446180002</v>
      </c>
      <c r="G29" s="16">
        <v>3892889211</v>
      </c>
    </row>
    <row r="30" spans="1:7" x14ac:dyDescent="0.2">
      <c r="A30" s="12" t="s">
        <v>28</v>
      </c>
      <c r="B30" s="13" t="s">
        <v>82</v>
      </c>
      <c r="C30" s="14">
        <v>8502388006</v>
      </c>
      <c r="D30" s="15">
        <f t="shared" si="0"/>
        <v>3.5547437850691671E-2</v>
      </c>
      <c r="E30" s="14">
        <v>8210524883</v>
      </c>
      <c r="F30" s="15">
        <f t="shared" si="0"/>
        <v>8.5336932537369403E-2</v>
      </c>
      <c r="G30" s="16">
        <v>7564954842</v>
      </c>
    </row>
    <row r="31" spans="1:7" x14ac:dyDescent="0.2">
      <c r="A31" s="12" t="s">
        <v>29</v>
      </c>
      <c r="B31" s="13" t="s">
        <v>82</v>
      </c>
      <c r="C31" s="14">
        <v>30581396004</v>
      </c>
      <c r="D31" s="15">
        <f t="shared" si="0"/>
        <v>5.7626234285168478E-2</v>
      </c>
      <c r="E31" s="14">
        <v>28915126169</v>
      </c>
      <c r="F31" s="15">
        <f t="shared" si="0"/>
        <v>0.1638626462728594</v>
      </c>
      <c r="G31" s="16">
        <v>24844105326</v>
      </c>
    </row>
    <row r="32" spans="1:7" x14ac:dyDescent="0.2">
      <c r="A32" s="12" t="s">
        <v>30</v>
      </c>
      <c r="B32" s="13" t="s">
        <v>82</v>
      </c>
      <c r="C32" s="14">
        <v>15822004438</v>
      </c>
      <c r="D32" s="15">
        <f t="shared" si="0"/>
        <v>4.6675032738782846E-2</v>
      </c>
      <c r="E32" s="14">
        <v>15116443923</v>
      </c>
      <c r="F32" s="15">
        <f t="shared" si="0"/>
        <v>0.42147053297913895</v>
      </c>
      <c r="G32" s="16">
        <v>10634370233</v>
      </c>
    </row>
    <row r="33" spans="1:7" x14ac:dyDescent="0.2">
      <c r="A33" s="12" t="s">
        <v>31</v>
      </c>
      <c r="B33" s="13" t="s">
        <v>82</v>
      </c>
      <c r="C33" s="14">
        <v>255892646090</v>
      </c>
      <c r="D33" s="15">
        <f t="shared" si="0"/>
        <v>6.305041157055763E-2</v>
      </c>
      <c r="E33" s="14">
        <v>240715438614</v>
      </c>
      <c r="F33" s="15">
        <f t="shared" si="0"/>
        <v>8.7904704830742031E-2</v>
      </c>
      <c r="G33" s="16">
        <v>221265187608</v>
      </c>
    </row>
    <row r="34" spans="1:7" x14ac:dyDescent="0.2">
      <c r="A34" s="12" t="s">
        <v>32</v>
      </c>
      <c r="B34" s="13" t="s">
        <v>83</v>
      </c>
      <c r="C34" s="14">
        <v>1484168105</v>
      </c>
      <c r="D34" s="15">
        <f t="shared" si="0"/>
        <v>0.20678084597194299</v>
      </c>
      <c r="E34" s="14">
        <v>1229857194</v>
      </c>
      <c r="F34" s="15">
        <f t="shared" si="0"/>
        <v>4.7115126961751498E-2</v>
      </c>
      <c r="G34" s="16">
        <v>1174519556</v>
      </c>
    </row>
    <row r="35" spans="1:7" x14ac:dyDescent="0.2">
      <c r="A35" s="12" t="s">
        <v>33</v>
      </c>
      <c r="B35" s="13" t="s">
        <v>82</v>
      </c>
      <c r="C35" s="14">
        <v>47284755595</v>
      </c>
      <c r="D35" s="15">
        <f t="shared" si="0"/>
        <v>6.3855737945549912E-2</v>
      </c>
      <c r="E35" s="14">
        <v>44446586044</v>
      </c>
      <c r="F35" s="15">
        <f t="shared" si="0"/>
        <v>0.21700525849532817</v>
      </c>
      <c r="G35" s="16">
        <v>36521276908</v>
      </c>
    </row>
    <row r="36" spans="1:7" x14ac:dyDescent="0.2">
      <c r="A36" s="12" t="s">
        <v>34</v>
      </c>
      <c r="B36" s="13" t="s">
        <v>83</v>
      </c>
      <c r="C36" s="14">
        <v>4048803615</v>
      </c>
      <c r="D36" s="15">
        <f t="shared" si="0"/>
        <v>8.7324427917175637E-2</v>
      </c>
      <c r="E36" s="14">
        <v>3723638972</v>
      </c>
      <c r="F36" s="15">
        <f t="shared" si="0"/>
        <v>0.1331277208849147</v>
      </c>
      <c r="G36" s="16">
        <v>3286159983</v>
      </c>
    </row>
    <row r="37" spans="1:7" x14ac:dyDescent="0.2">
      <c r="A37" s="12" t="s">
        <v>35</v>
      </c>
      <c r="B37" s="13" t="s">
        <v>82</v>
      </c>
      <c r="C37" s="14">
        <v>2408164458</v>
      </c>
      <c r="D37" s="15">
        <f t="shared" si="0"/>
        <v>7.1244674550473022E-2</v>
      </c>
      <c r="E37" s="14">
        <v>2248006002</v>
      </c>
      <c r="F37" s="15">
        <f t="shared" si="0"/>
        <v>0.28015074363444947</v>
      </c>
      <c r="G37" s="16">
        <v>1756047882</v>
      </c>
    </row>
    <row r="38" spans="1:7" x14ac:dyDescent="0.2">
      <c r="A38" s="12" t="s">
        <v>36</v>
      </c>
      <c r="B38" s="13" t="s">
        <v>83</v>
      </c>
      <c r="C38" s="14">
        <v>978003844</v>
      </c>
      <c r="D38" s="15">
        <f t="shared" si="0"/>
        <v>6.5009504742329846E-2</v>
      </c>
      <c r="E38" s="14">
        <v>918305273</v>
      </c>
      <c r="F38" s="15">
        <f t="shared" si="0"/>
        <v>0.1209899736061051</v>
      </c>
      <c r="G38" s="16">
        <v>819191335</v>
      </c>
    </row>
    <row r="39" spans="1:7" x14ac:dyDescent="0.2">
      <c r="A39" s="12" t="s">
        <v>37</v>
      </c>
      <c r="B39" s="13" t="s">
        <v>82</v>
      </c>
      <c r="C39" s="14">
        <v>62038000331</v>
      </c>
      <c r="D39" s="15">
        <f t="shared" si="0"/>
        <v>0.12633327772694466</v>
      </c>
      <c r="E39" s="14">
        <v>55079612365</v>
      </c>
      <c r="F39" s="15">
        <f t="shared" si="0"/>
        <v>0.17487500949588264</v>
      </c>
      <c r="G39" s="16">
        <v>46881252831</v>
      </c>
    </row>
    <row r="40" spans="1:7" x14ac:dyDescent="0.2">
      <c r="A40" s="12" t="s">
        <v>38</v>
      </c>
      <c r="B40" s="13" t="s">
        <v>82</v>
      </c>
      <c r="C40" s="14">
        <v>212330626639</v>
      </c>
      <c r="D40" s="15">
        <f t="shared" si="0"/>
        <v>7.7016384151324779E-2</v>
      </c>
      <c r="E40" s="14">
        <v>197147072007</v>
      </c>
      <c r="F40" s="15">
        <f t="shared" si="0"/>
        <v>0.13030887881164599</v>
      </c>
      <c r="G40" s="16">
        <v>174418759069</v>
      </c>
    </row>
    <row r="41" spans="1:7" x14ac:dyDescent="0.2">
      <c r="A41" s="12" t="s">
        <v>39</v>
      </c>
      <c r="B41" s="13" t="s">
        <v>82</v>
      </c>
      <c r="C41" s="14">
        <v>40805626755</v>
      </c>
      <c r="D41" s="15">
        <f t="shared" si="0"/>
        <v>7.3052679446790503E-2</v>
      </c>
      <c r="E41" s="14">
        <v>38027608091</v>
      </c>
      <c r="F41" s="15">
        <f t="shared" si="0"/>
        <v>0.10981661869725912</v>
      </c>
      <c r="G41" s="16">
        <v>34264767215</v>
      </c>
    </row>
    <row r="42" spans="1:7" x14ac:dyDescent="0.2">
      <c r="A42" s="12" t="s">
        <v>40</v>
      </c>
      <c r="B42" s="13" t="s">
        <v>83</v>
      </c>
      <c r="C42" s="14">
        <v>7273625329</v>
      </c>
      <c r="D42" s="15">
        <f t="shared" si="0"/>
        <v>-3.1053386988462165E-2</v>
      </c>
      <c r="E42" s="14">
        <v>7506734872</v>
      </c>
      <c r="F42" s="15">
        <f t="shared" si="0"/>
        <v>0.20526864417040616</v>
      </c>
      <c r="G42" s="16">
        <v>6228266958</v>
      </c>
    </row>
    <row r="43" spans="1:7" x14ac:dyDescent="0.2">
      <c r="A43" s="12" t="s">
        <v>41</v>
      </c>
      <c r="B43" s="13" t="s">
        <v>83</v>
      </c>
      <c r="C43" s="14">
        <v>907907585</v>
      </c>
      <c r="D43" s="15">
        <f t="shared" si="0"/>
        <v>1.6849731278283493E-2</v>
      </c>
      <c r="E43" s="14">
        <v>892863082</v>
      </c>
      <c r="F43" s="15">
        <f t="shared" si="0"/>
        <v>7.6163700943847629E-3</v>
      </c>
      <c r="G43" s="16">
        <v>886114109</v>
      </c>
    </row>
    <row r="44" spans="1:7" x14ac:dyDescent="0.2">
      <c r="A44" s="12" t="s">
        <v>42</v>
      </c>
      <c r="B44" s="13" t="s">
        <v>82</v>
      </c>
      <c r="C44" s="14">
        <v>2163653531</v>
      </c>
      <c r="D44" s="15">
        <f t="shared" si="0"/>
        <v>3.0726485920917049E-2</v>
      </c>
      <c r="E44" s="14">
        <v>2099153908</v>
      </c>
      <c r="F44" s="15">
        <f t="shared" si="0"/>
        <v>0.24674326560909698</v>
      </c>
      <c r="G44" s="16">
        <v>1683709843</v>
      </c>
    </row>
    <row r="45" spans="1:7" x14ac:dyDescent="0.2">
      <c r="A45" s="12" t="s">
        <v>43</v>
      </c>
      <c r="B45" s="13" t="s">
        <v>82</v>
      </c>
      <c r="C45" s="14">
        <v>101998559512</v>
      </c>
      <c r="D45" s="15">
        <f t="shared" si="0"/>
        <v>6.1773869069640726E-2</v>
      </c>
      <c r="E45" s="14">
        <v>96064296253</v>
      </c>
      <c r="F45" s="15">
        <f t="shared" si="0"/>
        <v>0.23205182423125881</v>
      </c>
      <c r="G45" s="16">
        <v>77970986580</v>
      </c>
    </row>
    <row r="46" spans="1:7" x14ac:dyDescent="0.2">
      <c r="A46" s="12" t="s">
        <v>44</v>
      </c>
      <c r="B46" s="13" t="s">
        <v>82</v>
      </c>
      <c r="C46" s="14">
        <v>58980702791</v>
      </c>
      <c r="D46" s="15">
        <f t="shared" si="0"/>
        <v>9.299332698237861E-2</v>
      </c>
      <c r="E46" s="14">
        <v>53962546097</v>
      </c>
      <c r="F46" s="15">
        <f t="shared" si="0"/>
        <v>0.18790574390786011</v>
      </c>
      <c r="G46" s="16">
        <v>45426622755</v>
      </c>
    </row>
    <row r="47" spans="1:7" x14ac:dyDescent="0.2">
      <c r="A47" s="12" t="s">
        <v>45</v>
      </c>
      <c r="B47" s="13" t="s">
        <v>82</v>
      </c>
      <c r="C47" s="14">
        <v>53044322388</v>
      </c>
      <c r="D47" s="15">
        <f t="shared" si="0"/>
        <v>6.7782494846634581E-2</v>
      </c>
      <c r="E47" s="14">
        <v>49677085590</v>
      </c>
      <c r="F47" s="15">
        <f t="shared" si="0"/>
        <v>0.19949350426238938</v>
      </c>
      <c r="G47" s="16">
        <v>41415051781</v>
      </c>
    </row>
    <row r="48" spans="1:7" x14ac:dyDescent="0.2">
      <c r="A48" s="12" t="s">
        <v>46</v>
      </c>
      <c r="B48" s="13" t="s">
        <v>82</v>
      </c>
      <c r="C48" s="14">
        <v>70908935447</v>
      </c>
      <c r="D48" s="15">
        <f t="shared" si="0"/>
        <v>5.9678722997060014E-2</v>
      </c>
      <c r="E48" s="14">
        <v>66915503641</v>
      </c>
      <c r="F48" s="15">
        <f t="shared" si="0"/>
        <v>0.22136651325349435</v>
      </c>
      <c r="G48" s="16">
        <v>54787406495</v>
      </c>
    </row>
    <row r="49" spans="1:7" x14ac:dyDescent="0.2">
      <c r="A49" s="12" t="s">
        <v>47</v>
      </c>
      <c r="B49" s="13" t="s">
        <v>82</v>
      </c>
      <c r="C49" s="14">
        <v>26148401285</v>
      </c>
      <c r="D49" s="15">
        <f t="shared" si="0"/>
        <v>9.115466579834311E-2</v>
      </c>
      <c r="E49" s="14">
        <v>23963973307</v>
      </c>
      <c r="F49" s="15">
        <f t="shared" si="0"/>
        <v>0.23154875615489659</v>
      </c>
      <c r="G49" s="16">
        <v>19458404052</v>
      </c>
    </row>
    <row r="50" spans="1:7" x14ac:dyDescent="0.2">
      <c r="A50" s="12" t="s">
        <v>48</v>
      </c>
      <c r="B50" s="13" t="s">
        <v>82</v>
      </c>
      <c r="C50" s="14">
        <v>41865803287</v>
      </c>
      <c r="D50" s="15">
        <f t="shared" si="0"/>
        <v>2.9941408801562402E-2</v>
      </c>
      <c r="E50" s="14">
        <v>40648723247</v>
      </c>
      <c r="F50" s="15">
        <f t="shared" si="0"/>
        <v>0.12482740418896292</v>
      </c>
      <c r="G50" s="16">
        <v>36137742640</v>
      </c>
    </row>
    <row r="51" spans="1:7" x14ac:dyDescent="0.2">
      <c r="A51" s="12" t="s">
        <v>49</v>
      </c>
      <c r="B51" s="13" t="s">
        <v>82</v>
      </c>
      <c r="C51" s="14">
        <v>7907456647</v>
      </c>
      <c r="D51" s="15">
        <f t="shared" si="0"/>
        <v>2.0296104134477585E-3</v>
      </c>
      <c r="E51" s="14">
        <v>7891440098</v>
      </c>
      <c r="F51" s="15">
        <f t="shared" si="0"/>
        <v>0.30433978031020875</v>
      </c>
      <c r="G51" s="16">
        <v>6050141395</v>
      </c>
    </row>
    <row r="52" spans="1:7" x14ac:dyDescent="0.2">
      <c r="A52" s="12" t="s">
        <v>50</v>
      </c>
      <c r="B52" s="13" t="s">
        <v>82</v>
      </c>
      <c r="C52" s="14">
        <v>312252548967</v>
      </c>
      <c r="D52" s="15">
        <f t="shared" si="0"/>
        <v>5.3770114453608298E-2</v>
      </c>
      <c r="E52" s="14">
        <v>296319419847</v>
      </c>
      <c r="F52" s="15">
        <f t="shared" si="0"/>
        <v>0.14738062879113006</v>
      </c>
      <c r="G52" s="16">
        <v>258257297022</v>
      </c>
    </row>
    <row r="53" spans="1:7" x14ac:dyDescent="0.2">
      <c r="A53" s="12" t="s">
        <v>51</v>
      </c>
      <c r="B53" s="13" t="s">
        <v>82</v>
      </c>
      <c r="C53" s="14">
        <v>76496838519</v>
      </c>
      <c r="D53" s="15">
        <f t="shared" si="0"/>
        <v>8.4105861977114282E-2</v>
      </c>
      <c r="E53" s="14">
        <v>70562148220</v>
      </c>
      <c r="F53" s="15">
        <f t="shared" si="0"/>
        <v>0.21299982015153732</v>
      </c>
      <c r="G53" s="16">
        <v>58171606498</v>
      </c>
    </row>
    <row r="54" spans="1:7" x14ac:dyDescent="0.2">
      <c r="A54" s="12" t="s">
        <v>52</v>
      </c>
      <c r="B54" s="13" t="s">
        <v>82</v>
      </c>
      <c r="C54" s="14">
        <v>498721179218</v>
      </c>
      <c r="D54" s="15">
        <f t="shared" si="0"/>
        <v>5.8265728502145876E-2</v>
      </c>
      <c r="E54" s="14">
        <v>471262713878</v>
      </c>
      <c r="F54" s="15">
        <f t="shared" si="0"/>
        <v>0.20598855292772897</v>
      </c>
      <c r="G54" s="16">
        <v>390768811805</v>
      </c>
    </row>
    <row r="55" spans="1:7" x14ac:dyDescent="0.2">
      <c r="A55" s="12" t="s">
        <v>53</v>
      </c>
      <c r="B55" s="13" t="s">
        <v>82</v>
      </c>
      <c r="C55" s="14">
        <v>88494919522</v>
      </c>
      <c r="D55" s="15">
        <f t="shared" si="0"/>
        <v>9.3713483011939533E-2</v>
      </c>
      <c r="E55" s="14">
        <v>80912342123</v>
      </c>
      <c r="F55" s="15">
        <f t="shared" si="0"/>
        <v>0.21448204608933316</v>
      </c>
      <c r="G55" s="16">
        <v>66622921585</v>
      </c>
    </row>
    <row r="56" spans="1:7" x14ac:dyDescent="0.2">
      <c r="A56" s="12" t="s">
        <v>54</v>
      </c>
      <c r="B56" s="13" t="s">
        <v>82</v>
      </c>
      <c r="C56" s="14">
        <v>221153732607</v>
      </c>
      <c r="D56" s="15">
        <f t="shared" si="0"/>
        <v>6.7781815009460331E-2</v>
      </c>
      <c r="E56" s="14">
        <v>207115095517</v>
      </c>
      <c r="F56" s="15">
        <f t="shared" si="0"/>
        <v>0.15523049807666189</v>
      </c>
      <c r="G56" s="16">
        <v>179284650000</v>
      </c>
    </row>
    <row r="57" spans="1:7" x14ac:dyDescent="0.2">
      <c r="A57" s="12" t="s">
        <v>55</v>
      </c>
      <c r="B57" s="13" t="s">
        <v>82</v>
      </c>
      <c r="C57" s="14">
        <v>96091007103</v>
      </c>
      <c r="D57" s="15">
        <f t="shared" si="0"/>
        <v>6.4364364200629839E-2</v>
      </c>
      <c r="E57" s="14">
        <v>90280180674</v>
      </c>
      <c r="F57" s="15">
        <f t="shared" si="0"/>
        <v>0.17384362174708773</v>
      </c>
      <c r="G57" s="16">
        <v>76909887315</v>
      </c>
    </row>
    <row r="58" spans="1:7" x14ac:dyDescent="0.2">
      <c r="A58" s="12" t="s">
        <v>56</v>
      </c>
      <c r="B58" s="13" t="s">
        <v>82</v>
      </c>
      <c r="C58" s="14">
        <v>10092469714</v>
      </c>
      <c r="D58" s="15">
        <f t="shared" si="0"/>
        <v>7.7470915376252766E-2</v>
      </c>
      <c r="E58" s="14">
        <v>9366814055</v>
      </c>
      <c r="F58" s="15">
        <f t="shared" si="0"/>
        <v>0.15081364780169479</v>
      </c>
      <c r="G58" s="16">
        <v>8139296986</v>
      </c>
    </row>
    <row r="59" spans="1:7" x14ac:dyDescent="0.2">
      <c r="A59" s="12" t="s">
        <v>2</v>
      </c>
      <c r="B59" s="13" t="s">
        <v>82</v>
      </c>
      <c r="C59" s="14">
        <v>82849762295</v>
      </c>
      <c r="D59" s="15">
        <f t="shared" si="0"/>
        <v>7.7175441524951316E-2</v>
      </c>
      <c r="E59" s="14">
        <v>76913898239</v>
      </c>
      <c r="F59" s="15">
        <f t="shared" si="0"/>
        <v>0.19789831394501825</v>
      </c>
      <c r="G59" s="16">
        <v>64207368308</v>
      </c>
    </row>
    <row r="60" spans="1:7" x14ac:dyDescent="0.2">
      <c r="A60" s="12" t="s">
        <v>3</v>
      </c>
      <c r="B60" s="13" t="s">
        <v>82</v>
      </c>
      <c r="C60" s="14">
        <v>64240349218</v>
      </c>
      <c r="D60" s="15">
        <f t="shared" si="0"/>
        <v>7.1616114002844455E-2</v>
      </c>
      <c r="E60" s="14">
        <v>59947166134</v>
      </c>
      <c r="F60" s="15">
        <f t="shared" si="0"/>
        <v>0.19900662037372133</v>
      </c>
      <c r="G60" s="16">
        <v>49997360411</v>
      </c>
    </row>
    <row r="61" spans="1:7" x14ac:dyDescent="0.2">
      <c r="A61" s="12" t="s">
        <v>57</v>
      </c>
      <c r="B61" s="13" t="s">
        <v>82</v>
      </c>
      <c r="C61" s="14">
        <v>29236925363</v>
      </c>
      <c r="D61" s="15">
        <f t="shared" si="0"/>
        <v>7.4174952550621523E-2</v>
      </c>
      <c r="E61" s="14">
        <v>27218029329</v>
      </c>
      <c r="F61" s="15">
        <f t="shared" si="0"/>
        <v>0.12849096075033503</v>
      </c>
      <c r="G61" s="16">
        <v>24118960874</v>
      </c>
    </row>
    <row r="62" spans="1:7" x14ac:dyDescent="0.2">
      <c r="A62" s="12" t="s">
        <v>58</v>
      </c>
      <c r="B62" s="13" t="s">
        <v>82</v>
      </c>
      <c r="C62" s="14">
        <v>150486397900</v>
      </c>
      <c r="D62" s="15">
        <f t="shared" si="0"/>
        <v>2.6853138216331691E-2</v>
      </c>
      <c r="E62" s="14">
        <v>146551042500</v>
      </c>
      <c r="F62" s="15">
        <f t="shared" si="0"/>
        <v>0.13243503743948873</v>
      </c>
      <c r="G62" s="16">
        <v>129412317400</v>
      </c>
    </row>
    <row r="63" spans="1:7" x14ac:dyDescent="0.2">
      <c r="A63" s="12" t="s">
        <v>59</v>
      </c>
      <c r="B63" s="13" t="s">
        <v>82</v>
      </c>
      <c r="C63" s="14">
        <v>80137148245</v>
      </c>
      <c r="D63" s="15">
        <f t="shared" si="0"/>
        <v>7.4644172032092809E-2</v>
      </c>
      <c r="E63" s="14">
        <v>74570867577</v>
      </c>
      <c r="F63" s="15">
        <f t="shared" si="0"/>
        <v>0.13222834845227377</v>
      </c>
      <c r="G63" s="16">
        <v>65862038942</v>
      </c>
    </row>
    <row r="64" spans="1:7" x14ac:dyDescent="0.2">
      <c r="A64" s="12" t="s">
        <v>60</v>
      </c>
      <c r="B64" s="13" t="s">
        <v>82</v>
      </c>
      <c r="C64" s="14">
        <v>31283595538</v>
      </c>
      <c r="D64" s="15">
        <f t="shared" si="0"/>
        <v>3.652009624498069E-2</v>
      </c>
      <c r="E64" s="14">
        <v>30181369036</v>
      </c>
      <c r="F64" s="15">
        <f t="shared" si="0"/>
        <v>0.13300513561939958</v>
      </c>
      <c r="G64" s="16">
        <v>26638333832</v>
      </c>
    </row>
    <row r="65" spans="1:7" x14ac:dyDescent="0.2">
      <c r="A65" s="12" t="s">
        <v>61</v>
      </c>
      <c r="B65" s="13" t="s">
        <v>83</v>
      </c>
      <c r="C65" s="14">
        <v>3982996424</v>
      </c>
      <c r="D65" s="15">
        <f t="shared" si="0"/>
        <v>8.8163868448307856E-2</v>
      </c>
      <c r="E65" s="14">
        <v>3660291009</v>
      </c>
      <c r="F65" s="15">
        <f t="shared" si="0"/>
        <v>0.1917318550389556</v>
      </c>
      <c r="G65" s="16">
        <v>3071404858</v>
      </c>
    </row>
    <row r="66" spans="1:7" x14ac:dyDescent="0.2">
      <c r="A66" s="12" t="s">
        <v>62</v>
      </c>
      <c r="B66" s="13" t="s">
        <v>82</v>
      </c>
      <c r="C66" s="14">
        <v>2815334833</v>
      </c>
      <c r="D66" s="15">
        <f t="shared" si="0"/>
        <v>7.2922891884461161E-2</v>
      </c>
      <c r="E66" s="14">
        <v>2623986173</v>
      </c>
      <c r="F66" s="15">
        <f t="shared" si="0"/>
        <v>0.21540828381129118</v>
      </c>
      <c r="G66" s="16">
        <v>2158933922</v>
      </c>
    </row>
    <row r="67" spans="1:7" x14ac:dyDescent="0.2">
      <c r="A67" s="12" t="s">
        <v>63</v>
      </c>
      <c r="B67" s="13" t="s">
        <v>83</v>
      </c>
      <c r="C67" s="14">
        <v>978451869</v>
      </c>
      <c r="D67" s="15">
        <f t="shared" si="0"/>
        <v>3.6437274937524834E-2</v>
      </c>
      <c r="E67" s="14">
        <v>944053145</v>
      </c>
      <c r="F67" s="15">
        <f t="shared" si="0"/>
        <v>4.9301948882729783E-2</v>
      </c>
      <c r="G67" s="16">
        <v>899696361</v>
      </c>
    </row>
    <row r="68" spans="1:7" x14ac:dyDescent="0.2">
      <c r="A68" s="12" t="s">
        <v>64</v>
      </c>
      <c r="B68" s="13" t="s">
        <v>82</v>
      </c>
      <c r="C68" s="14">
        <v>99346431942</v>
      </c>
      <c r="D68" s="15">
        <f t="shared" si="0"/>
        <v>7.0984984142117361E-2</v>
      </c>
      <c r="E68" s="14">
        <v>92761741213</v>
      </c>
      <c r="F68" s="15">
        <f t="shared" si="0"/>
        <v>0.15705331615109147</v>
      </c>
      <c r="G68" s="16">
        <v>80170671410</v>
      </c>
    </row>
    <row r="69" spans="1:7" x14ac:dyDescent="0.2">
      <c r="A69" s="12" t="s">
        <v>65</v>
      </c>
      <c r="B69" s="13" t="s">
        <v>83</v>
      </c>
      <c r="C69" s="14">
        <v>4312939859</v>
      </c>
      <c r="D69" s="15">
        <f t="shared" si="0"/>
        <v>6.5191224988810317E-2</v>
      </c>
      <c r="E69" s="14">
        <v>4048981777</v>
      </c>
      <c r="F69" s="15">
        <f t="shared" si="0"/>
        <v>0.20361743065086105</v>
      </c>
      <c r="G69" s="16">
        <v>3364010585</v>
      </c>
    </row>
    <row r="70" spans="1:7" x14ac:dyDescent="0.2">
      <c r="A70" s="12" t="s">
        <v>66</v>
      </c>
      <c r="B70" s="13" t="s">
        <v>82</v>
      </c>
      <c r="C70" s="14">
        <v>57051180911</v>
      </c>
      <c r="D70" s="15">
        <f t="shared" ref="D70:F73" si="1">((C70-E70)/E70)</f>
        <v>8.1213947683528409E-2</v>
      </c>
      <c r="E70" s="14">
        <v>52765857334</v>
      </c>
      <c r="F70" s="15">
        <f t="shared" si="1"/>
        <v>0.19151619152765545</v>
      </c>
      <c r="G70" s="16">
        <v>44284633066</v>
      </c>
    </row>
    <row r="71" spans="1:7" x14ac:dyDescent="0.2">
      <c r="A71" s="12" t="s">
        <v>67</v>
      </c>
      <c r="B71" s="13" t="s">
        <v>83</v>
      </c>
      <c r="C71" s="14">
        <v>2396266288</v>
      </c>
      <c r="D71" s="15">
        <f t="shared" si="1"/>
        <v>9.965982861906246E-2</v>
      </c>
      <c r="E71" s="14">
        <v>2179097777</v>
      </c>
      <c r="F71" s="15">
        <f t="shared" si="1"/>
        <v>0.1370555853746033</v>
      </c>
      <c r="G71" s="16">
        <v>1916439095</v>
      </c>
    </row>
    <row r="72" spans="1:7" x14ac:dyDescent="0.2">
      <c r="A72" s="18"/>
      <c r="B72" s="19"/>
      <c r="C72" s="14"/>
      <c r="D72" s="20"/>
      <c r="E72" s="14"/>
      <c r="F72" s="20"/>
      <c r="G72" s="16"/>
    </row>
    <row r="73" spans="1:7" ht="15.75" thickBot="1" x14ac:dyDescent="0.3">
      <c r="A73" s="21" t="s">
        <v>68</v>
      </c>
      <c r="B73" s="22"/>
      <c r="C73" s="23">
        <f>SUM(C5:C71)</f>
        <v>4971103197753</v>
      </c>
      <c r="D73" s="24">
        <f t="shared" si="1"/>
        <v>7.5559049491044722E-2</v>
      </c>
      <c r="E73" s="23">
        <f>SUM(E5:E71)</f>
        <v>4621878454842</v>
      </c>
      <c r="F73" s="24">
        <f t="shared" si="1"/>
        <v>0.1704034046762139</v>
      </c>
      <c r="G73" s="25">
        <f>SUM(G5:G71)</f>
        <v>3948961901833</v>
      </c>
    </row>
    <row r="75" spans="1:7" x14ac:dyDescent="0.2">
      <c r="A75" s="26" t="s">
        <v>87</v>
      </c>
    </row>
  </sheetData>
  <phoneticPr fontId="3" type="noConversion"/>
  <conditionalFormatting sqref="A75">
    <cfRule type="expression" dxfId="9" priority="7" stopIfTrue="1">
      <formula>MOD(ROW(),5)=1</formula>
    </cfRule>
  </conditionalFormatting>
  <conditionalFormatting sqref="A4:G73">
    <cfRule type="expression" dxfId="8"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E7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5"/>
  <sheetViews>
    <sheetView zoomScaleNormal="100" zoomScaleSheetLayoutView="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8" width="9.140625" style="2"/>
    <col min="9" max="9" width="10" style="2" bestFit="1" customWidth="1"/>
    <col min="10" max="16384" width="9.140625" style="2"/>
  </cols>
  <sheetData>
    <row r="1" spans="1:16" ht="23.25" x14ac:dyDescent="0.35">
      <c r="A1" s="7" t="s">
        <v>70</v>
      </c>
      <c r="B1" s="8"/>
      <c r="C1" s="9"/>
      <c r="D1" s="8"/>
      <c r="E1" s="9"/>
      <c r="F1" s="8"/>
      <c r="G1" s="9"/>
    </row>
    <row r="2" spans="1:16" ht="15" x14ac:dyDescent="0.25">
      <c r="A2" s="10" t="s">
        <v>93</v>
      </c>
      <c r="B2" s="10"/>
      <c r="C2" s="10"/>
      <c r="D2" s="10"/>
      <c r="E2" s="10"/>
      <c r="F2" s="10"/>
      <c r="G2" s="10"/>
    </row>
    <row r="3" spans="1:16" ht="15" thickBot="1" x14ac:dyDescent="0.25"/>
    <row r="4" spans="1:16" s="36" customFormat="1" ht="25.5" x14ac:dyDescent="0.2">
      <c r="A4" s="33" t="s">
        <v>0</v>
      </c>
      <c r="B4" s="34" t="s">
        <v>1</v>
      </c>
      <c r="C4" s="37" t="s">
        <v>86</v>
      </c>
      <c r="D4" s="37" t="s">
        <v>92</v>
      </c>
      <c r="E4" s="37" t="s">
        <v>84</v>
      </c>
      <c r="F4" s="37" t="s">
        <v>85</v>
      </c>
      <c r="G4" s="38" t="s">
        <v>81</v>
      </c>
    </row>
    <row r="5" spans="1:16" x14ac:dyDescent="0.2">
      <c r="A5" s="12" t="s">
        <v>4</v>
      </c>
      <c r="B5" s="13" t="s">
        <v>82</v>
      </c>
      <c r="C5" s="14">
        <v>4345851739</v>
      </c>
      <c r="D5" s="15">
        <f>((C5-E5)/E5)</f>
        <v>-2.7386069399123938E-4</v>
      </c>
      <c r="E5" s="14">
        <v>4347042223</v>
      </c>
      <c r="F5" s="15">
        <f>((E5-G5)/G5)</f>
        <v>7.6961823979333155E-2</v>
      </c>
      <c r="G5" s="16">
        <v>4036393980</v>
      </c>
    </row>
    <row r="6" spans="1:16" x14ac:dyDescent="0.2">
      <c r="A6" s="12" t="s">
        <v>5</v>
      </c>
      <c r="B6" s="13" t="s">
        <v>83</v>
      </c>
      <c r="C6" s="14">
        <v>263584522</v>
      </c>
      <c r="D6" s="15">
        <f t="shared" ref="D6:F69" si="0">((C6-E6)/E6)</f>
        <v>3.6907731252115807E-2</v>
      </c>
      <c r="E6" s="14">
        <v>254202485</v>
      </c>
      <c r="F6" s="15">
        <f t="shared" si="0"/>
        <v>9.1190120153881893E-2</v>
      </c>
      <c r="G6" s="16">
        <v>232958932</v>
      </c>
    </row>
    <row r="7" spans="1:16" x14ac:dyDescent="0.2">
      <c r="A7" s="12" t="s">
        <v>6</v>
      </c>
      <c r="B7" s="13" t="s">
        <v>82</v>
      </c>
      <c r="C7" s="14">
        <v>2822227514</v>
      </c>
      <c r="D7" s="15">
        <f t="shared" si="0"/>
        <v>7.8805500688237134E-2</v>
      </c>
      <c r="E7" s="14">
        <v>2616067041</v>
      </c>
      <c r="F7" s="15">
        <f t="shared" si="0"/>
        <v>0.13584224129734701</v>
      </c>
      <c r="G7" s="16">
        <v>2303195766</v>
      </c>
      <c r="P7" s="17"/>
    </row>
    <row r="8" spans="1:16" x14ac:dyDescent="0.2">
      <c r="A8" s="12" t="s">
        <v>7</v>
      </c>
      <c r="B8" s="13" t="s">
        <v>82</v>
      </c>
      <c r="C8" s="14">
        <v>343505646</v>
      </c>
      <c r="D8" s="15">
        <f t="shared" si="0"/>
        <v>5.9624844123958423E-2</v>
      </c>
      <c r="E8" s="14">
        <v>324176663</v>
      </c>
      <c r="F8" s="15">
        <f t="shared" si="0"/>
        <v>-5.4028883230907758E-2</v>
      </c>
      <c r="G8" s="16">
        <v>342691925</v>
      </c>
      <c r="P8" s="17"/>
    </row>
    <row r="9" spans="1:16" x14ac:dyDescent="0.2">
      <c r="A9" s="12" t="s">
        <v>8</v>
      </c>
      <c r="B9" s="13" t="s">
        <v>82</v>
      </c>
      <c r="C9" s="14">
        <v>12201475724</v>
      </c>
      <c r="D9" s="15">
        <f t="shared" si="0"/>
        <v>6.059838653227715E-2</v>
      </c>
      <c r="E9" s="14">
        <v>11504331780</v>
      </c>
      <c r="F9" s="15">
        <f t="shared" si="0"/>
        <v>8.7397390859046381E-2</v>
      </c>
      <c r="G9" s="16">
        <v>10579694118</v>
      </c>
      <c r="P9" s="17"/>
    </row>
    <row r="10" spans="1:16" x14ac:dyDescent="0.2">
      <c r="A10" s="12" t="s">
        <v>9</v>
      </c>
      <c r="B10" s="13" t="s">
        <v>82</v>
      </c>
      <c r="C10" s="14">
        <v>12279633737</v>
      </c>
      <c r="D10" s="15">
        <f t="shared" si="0"/>
        <v>2.5947329246183766E-2</v>
      </c>
      <c r="E10" s="14">
        <v>11969068379</v>
      </c>
      <c r="F10" s="15">
        <f t="shared" si="0"/>
        <v>0.13761820458667234</v>
      </c>
      <c r="G10" s="16">
        <v>10521164597</v>
      </c>
      <c r="P10" s="17"/>
    </row>
    <row r="11" spans="1:16" x14ac:dyDescent="0.2">
      <c r="A11" s="12" t="s">
        <v>10</v>
      </c>
      <c r="B11" s="13" t="s">
        <v>83</v>
      </c>
      <c r="C11" s="14">
        <v>395799655</v>
      </c>
      <c r="D11" s="15">
        <f t="shared" si="0"/>
        <v>6.0076798051042553E-2</v>
      </c>
      <c r="E11" s="14">
        <v>373368850</v>
      </c>
      <c r="F11" s="15">
        <f t="shared" si="0"/>
        <v>1.7600849751295153</v>
      </c>
      <c r="G11" s="16">
        <v>135274404</v>
      </c>
      <c r="P11" s="17"/>
    </row>
    <row r="12" spans="1:16" x14ac:dyDescent="0.2">
      <c r="A12" s="12" t="s">
        <v>11</v>
      </c>
      <c r="B12" s="13" t="s">
        <v>82</v>
      </c>
      <c r="C12" s="14">
        <v>1909406404</v>
      </c>
      <c r="D12" s="15">
        <f t="shared" si="0"/>
        <v>6.4374361828352225E-2</v>
      </c>
      <c r="E12" s="14">
        <v>1793923710</v>
      </c>
      <c r="F12" s="15">
        <f t="shared" si="0"/>
        <v>0.1468758265536845</v>
      </c>
      <c r="G12" s="16">
        <v>1564183034</v>
      </c>
      <c r="P12" s="17"/>
    </row>
    <row r="13" spans="1:16" x14ac:dyDescent="0.2">
      <c r="A13" s="12" t="s">
        <v>12</v>
      </c>
      <c r="B13" s="13" t="s">
        <v>82</v>
      </c>
      <c r="C13" s="14">
        <v>4034998231</v>
      </c>
      <c r="D13" s="15">
        <f t="shared" si="0"/>
        <v>-2.250144613222288E-2</v>
      </c>
      <c r="E13" s="14">
        <v>4127881535</v>
      </c>
      <c r="F13" s="15">
        <f t="shared" si="0"/>
        <v>9.3766371940651697E-2</v>
      </c>
      <c r="G13" s="16">
        <v>3774006626</v>
      </c>
      <c r="P13" s="17"/>
    </row>
    <row r="14" spans="1:16" x14ac:dyDescent="0.2">
      <c r="A14" s="12" t="s">
        <v>13</v>
      </c>
      <c r="B14" s="13" t="s">
        <v>82</v>
      </c>
      <c r="C14" s="14">
        <v>2190700920</v>
      </c>
      <c r="D14" s="15">
        <f t="shared" si="0"/>
        <v>0.1071235822816463</v>
      </c>
      <c r="E14" s="14">
        <v>1978732054</v>
      </c>
      <c r="F14" s="15">
        <f t="shared" si="0"/>
        <v>0.21985166762636188</v>
      </c>
      <c r="G14" s="16">
        <v>1622108742</v>
      </c>
      <c r="P14" s="17"/>
    </row>
    <row r="15" spans="1:16" x14ac:dyDescent="0.2">
      <c r="A15" s="12" t="s">
        <v>14</v>
      </c>
      <c r="B15" s="13" t="s">
        <v>82</v>
      </c>
      <c r="C15" s="14">
        <v>3397445196</v>
      </c>
      <c r="D15" s="15">
        <f t="shared" si="0"/>
        <v>3.1870982086792524E-2</v>
      </c>
      <c r="E15" s="14">
        <v>3292509679</v>
      </c>
      <c r="F15" s="15">
        <f t="shared" si="0"/>
        <v>7.8595629743317533E-2</v>
      </c>
      <c r="G15" s="16">
        <v>3052589486</v>
      </c>
      <c r="P15" s="17"/>
    </row>
    <row r="16" spans="1:16" x14ac:dyDescent="0.2">
      <c r="A16" s="12" t="s">
        <v>15</v>
      </c>
      <c r="B16" s="13" t="s">
        <v>82</v>
      </c>
      <c r="C16" s="14">
        <v>968655471</v>
      </c>
      <c r="D16" s="15">
        <f t="shared" si="0"/>
        <v>1.5417358481461472E-2</v>
      </c>
      <c r="E16" s="14">
        <v>953948111</v>
      </c>
      <c r="F16" s="15">
        <f t="shared" si="0"/>
        <v>0.15154764326167089</v>
      </c>
      <c r="G16" s="16">
        <v>828405248</v>
      </c>
      <c r="P16" s="17"/>
    </row>
    <row r="17" spans="1:16" x14ac:dyDescent="0.2">
      <c r="A17" s="12" t="s">
        <v>78</v>
      </c>
      <c r="B17" s="13" t="s">
        <v>82</v>
      </c>
      <c r="C17" s="14">
        <v>23108619496</v>
      </c>
      <c r="D17" s="15">
        <f t="shared" si="0"/>
        <v>3.3490177244444495E-2</v>
      </c>
      <c r="E17" s="14">
        <v>22359786290</v>
      </c>
      <c r="F17" s="15">
        <f t="shared" si="0"/>
        <v>0.11184482006731272</v>
      </c>
      <c r="G17" s="16">
        <v>20110527914</v>
      </c>
      <c r="P17" s="17"/>
    </row>
    <row r="18" spans="1:16" x14ac:dyDescent="0.2">
      <c r="A18" s="12" t="s">
        <v>16</v>
      </c>
      <c r="B18" s="13" t="s">
        <v>82</v>
      </c>
      <c r="C18" s="14">
        <v>792897219</v>
      </c>
      <c r="D18" s="15">
        <f t="shared" si="0"/>
        <v>-6.2798961486829924E-2</v>
      </c>
      <c r="E18" s="14">
        <v>846026825</v>
      </c>
      <c r="F18" s="15">
        <f t="shared" si="0"/>
        <v>0.11793289086688201</v>
      </c>
      <c r="G18" s="16">
        <v>756777828</v>
      </c>
      <c r="P18" s="17"/>
    </row>
    <row r="19" spans="1:16" x14ac:dyDescent="0.2">
      <c r="A19" s="12" t="s">
        <v>17</v>
      </c>
      <c r="B19" s="13" t="s">
        <v>83</v>
      </c>
      <c r="C19" s="14">
        <v>122978395</v>
      </c>
      <c r="D19" s="15">
        <f t="shared" si="0"/>
        <v>0.13100419271613861</v>
      </c>
      <c r="E19" s="14">
        <v>108733810</v>
      </c>
      <c r="F19" s="15">
        <f t="shared" si="0"/>
        <v>0.10492408275029451</v>
      </c>
      <c r="G19" s="16">
        <v>98408399</v>
      </c>
      <c r="P19" s="17"/>
    </row>
    <row r="20" spans="1:16" x14ac:dyDescent="0.2">
      <c r="A20" s="12" t="s">
        <v>18</v>
      </c>
      <c r="B20" s="13" t="s">
        <v>82</v>
      </c>
      <c r="C20" s="14">
        <v>16947250544</v>
      </c>
      <c r="D20" s="15">
        <f t="shared" si="0"/>
        <v>2.6668471535313109E-2</v>
      </c>
      <c r="E20" s="14">
        <v>16507033199</v>
      </c>
      <c r="F20" s="15">
        <f t="shared" si="0"/>
        <v>9.0860537628889043E-2</v>
      </c>
      <c r="G20" s="16">
        <v>15132120587</v>
      </c>
      <c r="P20" s="17"/>
    </row>
    <row r="21" spans="1:16" x14ac:dyDescent="0.2">
      <c r="A21" s="12" t="s">
        <v>19</v>
      </c>
      <c r="B21" s="13" t="s">
        <v>82</v>
      </c>
      <c r="C21" s="14">
        <v>5022819875</v>
      </c>
      <c r="D21" s="15">
        <f t="shared" si="0"/>
        <v>7.490677053613104E-2</v>
      </c>
      <c r="E21" s="14">
        <v>4672795830</v>
      </c>
      <c r="F21" s="15">
        <f t="shared" si="0"/>
        <v>0.20502043090780467</v>
      </c>
      <c r="G21" s="16">
        <v>3877773115</v>
      </c>
      <c r="P21" s="17"/>
    </row>
    <row r="22" spans="1:16" x14ac:dyDescent="0.2">
      <c r="A22" s="12" t="s">
        <v>20</v>
      </c>
      <c r="B22" s="13" t="s">
        <v>82</v>
      </c>
      <c r="C22" s="14">
        <v>1034213437</v>
      </c>
      <c r="D22" s="15">
        <f t="shared" si="0"/>
        <v>0.11267484891355915</v>
      </c>
      <c r="E22" s="14">
        <v>929483971</v>
      </c>
      <c r="F22" s="15">
        <f t="shared" si="0"/>
        <v>5.7748278827897643E-5</v>
      </c>
      <c r="G22" s="16">
        <v>929430298</v>
      </c>
      <c r="P22" s="17"/>
    </row>
    <row r="23" spans="1:16" x14ac:dyDescent="0.2">
      <c r="A23" s="12" t="s">
        <v>21</v>
      </c>
      <c r="B23" s="13" t="s">
        <v>83</v>
      </c>
      <c r="C23" s="14">
        <v>100939073</v>
      </c>
      <c r="D23" s="15">
        <f t="shared" si="0"/>
        <v>7.3018380801456201E-2</v>
      </c>
      <c r="E23" s="14">
        <v>94070218</v>
      </c>
      <c r="F23" s="15">
        <f t="shared" si="0"/>
        <v>-4.2271407274092156E-2</v>
      </c>
      <c r="G23" s="16">
        <v>98222209</v>
      </c>
      <c r="P23" s="17"/>
    </row>
    <row r="24" spans="1:16" x14ac:dyDescent="0.2">
      <c r="A24" s="12" t="s">
        <v>22</v>
      </c>
      <c r="B24" s="13" t="s">
        <v>83</v>
      </c>
      <c r="C24" s="14">
        <v>826845939</v>
      </c>
      <c r="D24" s="15">
        <f t="shared" si="0"/>
        <v>3.93690205496992E-2</v>
      </c>
      <c r="E24" s="14">
        <v>795526827</v>
      </c>
      <c r="F24" s="15">
        <f t="shared" si="0"/>
        <v>0.14942193510705989</v>
      </c>
      <c r="G24" s="16">
        <v>692110358</v>
      </c>
      <c r="P24" s="17"/>
    </row>
    <row r="25" spans="1:16" x14ac:dyDescent="0.2">
      <c r="A25" s="12" t="s">
        <v>23</v>
      </c>
      <c r="B25" s="13" t="s">
        <v>83</v>
      </c>
      <c r="C25" s="14">
        <v>412094857</v>
      </c>
      <c r="D25" s="15">
        <f t="shared" si="0"/>
        <v>0.17125372173641176</v>
      </c>
      <c r="E25" s="14">
        <v>351840809</v>
      </c>
      <c r="F25" s="15">
        <f t="shared" si="0"/>
        <v>4.5808295463467694E-2</v>
      </c>
      <c r="G25" s="16">
        <v>336429545</v>
      </c>
      <c r="P25" s="17"/>
    </row>
    <row r="26" spans="1:16" x14ac:dyDescent="0.2">
      <c r="A26" s="12" t="s">
        <v>24</v>
      </c>
      <c r="B26" s="13" t="s">
        <v>83</v>
      </c>
      <c r="C26" s="14">
        <v>209990287</v>
      </c>
      <c r="D26" s="15">
        <f t="shared" si="0"/>
        <v>0.10315784661592176</v>
      </c>
      <c r="E26" s="14">
        <v>190353799</v>
      </c>
      <c r="F26" s="15">
        <f t="shared" si="0"/>
        <v>0.11257458426077203</v>
      </c>
      <c r="G26" s="16">
        <v>171093068</v>
      </c>
      <c r="P26" s="17"/>
    </row>
    <row r="27" spans="1:16" x14ac:dyDescent="0.2">
      <c r="A27" s="12" t="s">
        <v>25</v>
      </c>
      <c r="B27" s="13" t="s">
        <v>83</v>
      </c>
      <c r="C27" s="14">
        <v>156056550</v>
      </c>
      <c r="D27" s="15">
        <f t="shared" si="0"/>
        <v>8.5024092155582126E-2</v>
      </c>
      <c r="E27" s="14">
        <v>143827728</v>
      </c>
      <c r="F27" s="15">
        <f t="shared" si="0"/>
        <v>0.16247730696590876</v>
      </c>
      <c r="G27" s="16">
        <v>123725192</v>
      </c>
      <c r="P27" s="17"/>
    </row>
    <row r="28" spans="1:16" x14ac:dyDescent="0.2">
      <c r="A28" s="12" t="s">
        <v>26</v>
      </c>
      <c r="B28" s="13" t="s">
        <v>82</v>
      </c>
      <c r="C28" s="14">
        <v>712050584</v>
      </c>
      <c r="D28" s="15">
        <f t="shared" si="0"/>
        <v>1.9098802606460682E-3</v>
      </c>
      <c r="E28" s="14">
        <v>710693245</v>
      </c>
      <c r="F28" s="15">
        <f t="shared" si="0"/>
        <v>3.0441102797046374E-2</v>
      </c>
      <c r="G28" s="16">
        <v>689698075</v>
      </c>
      <c r="P28" s="17"/>
    </row>
    <row r="29" spans="1:16" x14ac:dyDescent="0.2">
      <c r="A29" s="12" t="s">
        <v>27</v>
      </c>
      <c r="B29" s="13" t="s">
        <v>82</v>
      </c>
      <c r="C29" s="14">
        <v>1179363844</v>
      </c>
      <c r="D29" s="15">
        <f t="shared" si="0"/>
        <v>6.1445711689735359E-2</v>
      </c>
      <c r="E29" s="14">
        <v>1111092005</v>
      </c>
      <c r="F29" s="15">
        <f t="shared" si="0"/>
        <v>0.15905795522898583</v>
      </c>
      <c r="G29" s="16">
        <v>958616435</v>
      </c>
      <c r="P29" s="17"/>
    </row>
    <row r="30" spans="1:16" x14ac:dyDescent="0.2">
      <c r="A30" s="12" t="s">
        <v>28</v>
      </c>
      <c r="B30" s="13" t="s">
        <v>82</v>
      </c>
      <c r="C30" s="14">
        <v>1682811380</v>
      </c>
      <c r="D30" s="15">
        <f t="shared" si="0"/>
        <v>0.16870365400463114</v>
      </c>
      <c r="E30" s="14">
        <v>1439895712</v>
      </c>
      <c r="F30" s="15">
        <f t="shared" si="0"/>
        <v>0.15637237765340628</v>
      </c>
      <c r="G30" s="16">
        <v>1245183420</v>
      </c>
      <c r="P30" s="17"/>
    </row>
    <row r="31" spans="1:16" x14ac:dyDescent="0.2">
      <c r="A31" s="12" t="s">
        <v>29</v>
      </c>
      <c r="B31" s="13" t="s">
        <v>82</v>
      </c>
      <c r="C31" s="14">
        <v>2125051038</v>
      </c>
      <c r="D31" s="15">
        <f t="shared" si="0"/>
        <v>3.3190315304184835E-2</v>
      </c>
      <c r="E31" s="14">
        <v>2056785673</v>
      </c>
      <c r="F31" s="15">
        <f t="shared" si="0"/>
        <v>9.2849495927761649E-2</v>
      </c>
      <c r="G31" s="16">
        <v>1882039275</v>
      </c>
      <c r="P31" s="17"/>
    </row>
    <row r="32" spans="1:16" x14ac:dyDescent="0.2">
      <c r="A32" s="12" t="s">
        <v>30</v>
      </c>
      <c r="B32" s="13" t="s">
        <v>82</v>
      </c>
      <c r="C32" s="14">
        <v>860444928</v>
      </c>
      <c r="D32" s="15">
        <f t="shared" si="0"/>
        <v>3.6841706380647356E-2</v>
      </c>
      <c r="E32" s="14">
        <v>829871062</v>
      </c>
      <c r="F32" s="15">
        <f t="shared" si="0"/>
        <v>0.10885989722580063</v>
      </c>
      <c r="G32" s="16">
        <v>748400284</v>
      </c>
      <c r="P32" s="17"/>
    </row>
    <row r="33" spans="1:16" x14ac:dyDescent="0.2">
      <c r="A33" s="12" t="s">
        <v>31</v>
      </c>
      <c r="B33" s="13" t="s">
        <v>82</v>
      </c>
      <c r="C33" s="14">
        <v>14500974270</v>
      </c>
      <c r="D33" s="15">
        <f t="shared" si="0"/>
        <v>2.1289036277304555E-2</v>
      </c>
      <c r="E33" s="14">
        <v>14198697680</v>
      </c>
      <c r="F33" s="15">
        <f t="shared" si="0"/>
        <v>0.13549028630754034</v>
      </c>
      <c r="G33" s="16">
        <v>12504464240</v>
      </c>
      <c r="P33" s="17"/>
    </row>
    <row r="34" spans="1:16" x14ac:dyDescent="0.2">
      <c r="A34" s="12" t="s">
        <v>32</v>
      </c>
      <c r="B34" s="13" t="s">
        <v>83</v>
      </c>
      <c r="C34" s="14">
        <v>139010338</v>
      </c>
      <c r="D34" s="15">
        <f t="shared" si="0"/>
        <v>0.1596093488227491</v>
      </c>
      <c r="E34" s="14">
        <v>119876869</v>
      </c>
      <c r="F34" s="15">
        <f t="shared" si="0"/>
        <v>9.7829613474483282E-2</v>
      </c>
      <c r="G34" s="16">
        <v>109194421</v>
      </c>
      <c r="P34" s="17"/>
    </row>
    <row r="35" spans="1:16" x14ac:dyDescent="0.2">
      <c r="A35" s="12" t="s">
        <v>33</v>
      </c>
      <c r="B35" s="13" t="s">
        <v>82</v>
      </c>
      <c r="C35" s="14">
        <v>1307557308</v>
      </c>
      <c r="D35" s="15">
        <f t="shared" si="0"/>
        <v>1.2997518742859464E-2</v>
      </c>
      <c r="E35" s="14">
        <v>1290780366</v>
      </c>
      <c r="F35" s="15">
        <f t="shared" si="0"/>
        <v>0.35993700736650669</v>
      </c>
      <c r="G35" s="16">
        <v>949147173</v>
      </c>
      <c r="P35" s="17"/>
    </row>
    <row r="36" spans="1:16" x14ac:dyDescent="0.2">
      <c r="A36" s="12" t="s">
        <v>34</v>
      </c>
      <c r="B36" s="13" t="s">
        <v>83</v>
      </c>
      <c r="C36" s="14">
        <v>577606733</v>
      </c>
      <c r="D36" s="15">
        <f t="shared" si="0"/>
        <v>3.308971760387127E-2</v>
      </c>
      <c r="E36" s="14">
        <v>559106071</v>
      </c>
      <c r="F36" s="15">
        <f t="shared" si="0"/>
        <v>0.12121175568877035</v>
      </c>
      <c r="G36" s="16">
        <v>498662334</v>
      </c>
      <c r="P36" s="17"/>
    </row>
    <row r="37" spans="1:16" x14ac:dyDescent="0.2">
      <c r="A37" s="12" t="s">
        <v>35</v>
      </c>
      <c r="B37" s="13" t="s">
        <v>82</v>
      </c>
      <c r="C37" s="14">
        <v>280635985</v>
      </c>
      <c r="D37" s="15">
        <f t="shared" si="0"/>
        <v>1.2238259724871768E-2</v>
      </c>
      <c r="E37" s="14">
        <v>277243013</v>
      </c>
      <c r="F37" s="15">
        <f t="shared" si="0"/>
        <v>0.46499176696150901</v>
      </c>
      <c r="G37" s="16">
        <v>189245441</v>
      </c>
      <c r="P37" s="17"/>
    </row>
    <row r="38" spans="1:16" x14ac:dyDescent="0.2">
      <c r="A38" s="12" t="s">
        <v>36</v>
      </c>
      <c r="B38" s="13" t="s">
        <v>83</v>
      </c>
      <c r="C38" s="14">
        <v>75691731</v>
      </c>
      <c r="D38" s="15">
        <f t="shared" si="0"/>
        <v>7.0912236907930415E-2</v>
      </c>
      <c r="E38" s="14">
        <v>70679677</v>
      </c>
      <c r="F38" s="15">
        <f t="shared" si="0"/>
        <v>-0.10253327394043747</v>
      </c>
      <c r="G38" s="16">
        <v>78754649</v>
      </c>
      <c r="P38" s="17"/>
    </row>
    <row r="39" spans="1:16" x14ac:dyDescent="0.2">
      <c r="A39" s="12" t="s">
        <v>37</v>
      </c>
      <c r="B39" s="13" t="s">
        <v>82</v>
      </c>
      <c r="C39" s="14">
        <v>2614142584</v>
      </c>
      <c r="D39" s="15">
        <f t="shared" si="0"/>
        <v>5.4637150819870306E-2</v>
      </c>
      <c r="E39" s="14">
        <v>2478712780</v>
      </c>
      <c r="F39" s="15">
        <f t="shared" si="0"/>
        <v>4.5468959310391292E-2</v>
      </c>
      <c r="G39" s="16">
        <v>2370909971</v>
      </c>
      <c r="P39" s="17"/>
    </row>
    <row r="40" spans="1:16" x14ac:dyDescent="0.2">
      <c r="A40" s="12" t="s">
        <v>38</v>
      </c>
      <c r="B40" s="13" t="s">
        <v>82</v>
      </c>
      <c r="C40" s="14">
        <v>7150791547</v>
      </c>
      <c r="D40" s="15">
        <f t="shared" si="0"/>
        <v>4.591778588132002E-2</v>
      </c>
      <c r="E40" s="14">
        <v>6836858158</v>
      </c>
      <c r="F40" s="15">
        <f t="shared" si="0"/>
        <v>0.10169821440334002</v>
      </c>
      <c r="G40" s="16">
        <v>6205744975</v>
      </c>
      <c r="P40" s="17"/>
    </row>
    <row r="41" spans="1:16" x14ac:dyDescent="0.2">
      <c r="A41" s="12" t="s">
        <v>39</v>
      </c>
      <c r="B41" s="13" t="s">
        <v>82</v>
      </c>
      <c r="C41" s="14">
        <v>2613669250</v>
      </c>
      <c r="D41" s="15">
        <f t="shared" si="0"/>
        <v>0.1171196941790965</v>
      </c>
      <c r="E41" s="14">
        <v>2339650141</v>
      </c>
      <c r="F41" s="15">
        <f t="shared" si="0"/>
        <v>4.016406631556458E-2</v>
      </c>
      <c r="G41" s="16">
        <v>2249308755</v>
      </c>
      <c r="P41" s="17"/>
    </row>
    <row r="42" spans="1:16" x14ac:dyDescent="0.2">
      <c r="A42" s="12" t="s">
        <v>40</v>
      </c>
      <c r="B42" s="13" t="s">
        <v>83</v>
      </c>
      <c r="C42" s="14">
        <v>506262464</v>
      </c>
      <c r="D42" s="15">
        <f t="shared" si="0"/>
        <v>0.19054238821048103</v>
      </c>
      <c r="E42" s="14">
        <v>425236824</v>
      </c>
      <c r="F42" s="15">
        <f t="shared" si="0"/>
        <v>5.8129612001745851E-2</v>
      </c>
      <c r="G42" s="16">
        <v>401875932</v>
      </c>
      <c r="P42" s="17"/>
    </row>
    <row r="43" spans="1:16" x14ac:dyDescent="0.2">
      <c r="A43" s="12" t="s">
        <v>41</v>
      </c>
      <c r="B43" s="13" t="s">
        <v>83</v>
      </c>
      <c r="C43" s="14">
        <v>161186508</v>
      </c>
      <c r="D43" s="15">
        <f t="shared" si="0"/>
        <v>1.9170230262029544E-2</v>
      </c>
      <c r="E43" s="14">
        <v>158154647</v>
      </c>
      <c r="F43" s="15">
        <f t="shared" si="0"/>
        <v>6.1021686833894695E-2</v>
      </c>
      <c r="G43" s="16">
        <v>149058826</v>
      </c>
      <c r="P43" s="17"/>
    </row>
    <row r="44" spans="1:16" x14ac:dyDescent="0.2">
      <c r="A44" s="12" t="s">
        <v>42</v>
      </c>
      <c r="B44" s="13" t="s">
        <v>82</v>
      </c>
      <c r="C44" s="14">
        <v>372198327</v>
      </c>
      <c r="D44" s="15">
        <f t="shared" si="0"/>
        <v>8.0343937543068275E-2</v>
      </c>
      <c r="E44" s="14">
        <v>344518365</v>
      </c>
      <c r="F44" s="15">
        <f t="shared" si="0"/>
        <v>0.407880773852622</v>
      </c>
      <c r="G44" s="16">
        <v>244707060</v>
      </c>
      <c r="P44" s="17"/>
    </row>
    <row r="45" spans="1:16" x14ac:dyDescent="0.2">
      <c r="A45" s="12" t="s">
        <v>43</v>
      </c>
      <c r="B45" s="13" t="s">
        <v>82</v>
      </c>
      <c r="C45" s="14">
        <v>4922378253</v>
      </c>
      <c r="D45" s="15">
        <f t="shared" si="0"/>
        <v>2.5295639041347583E-2</v>
      </c>
      <c r="E45" s="14">
        <v>4800935521</v>
      </c>
      <c r="F45" s="15">
        <f t="shared" si="0"/>
        <v>0.13400998981311357</v>
      </c>
      <c r="G45" s="16">
        <v>4233591912</v>
      </c>
      <c r="P45" s="17"/>
    </row>
    <row r="46" spans="1:16" x14ac:dyDescent="0.2">
      <c r="A46" s="12" t="s">
        <v>44</v>
      </c>
      <c r="B46" s="13" t="s">
        <v>82</v>
      </c>
      <c r="C46" s="14">
        <v>2801733095</v>
      </c>
      <c r="D46" s="15">
        <f t="shared" si="0"/>
        <v>6.7031039567810438E-2</v>
      </c>
      <c r="E46" s="14">
        <v>2625727829</v>
      </c>
      <c r="F46" s="15">
        <f t="shared" si="0"/>
        <v>0.14796152526512002</v>
      </c>
      <c r="G46" s="16">
        <v>2287296021</v>
      </c>
      <c r="P46" s="17"/>
    </row>
    <row r="47" spans="1:16" x14ac:dyDescent="0.2">
      <c r="A47" s="12" t="s">
        <v>45</v>
      </c>
      <c r="B47" s="13" t="s">
        <v>82</v>
      </c>
      <c r="C47" s="14">
        <v>3791305163</v>
      </c>
      <c r="D47" s="15">
        <f t="shared" si="0"/>
        <v>2.6700211874721137E-2</v>
      </c>
      <c r="E47" s="14">
        <v>3692709049</v>
      </c>
      <c r="F47" s="15">
        <f t="shared" si="0"/>
        <v>0.12142829126632848</v>
      </c>
      <c r="G47" s="16">
        <v>3292862395</v>
      </c>
      <c r="P47" s="17"/>
    </row>
    <row r="48" spans="1:16" x14ac:dyDescent="0.2">
      <c r="A48" s="12" t="s">
        <v>46</v>
      </c>
      <c r="B48" s="13" t="s">
        <v>82</v>
      </c>
      <c r="C48" s="14">
        <v>1099785695</v>
      </c>
      <c r="D48" s="15">
        <f t="shared" si="0"/>
        <v>2.1664661427831983E-2</v>
      </c>
      <c r="E48" s="14">
        <v>1076464457</v>
      </c>
      <c r="F48" s="15">
        <f t="shared" si="0"/>
        <v>0.13126097737048451</v>
      </c>
      <c r="G48" s="16">
        <v>951561557</v>
      </c>
      <c r="P48" s="17"/>
    </row>
    <row r="49" spans="1:16" x14ac:dyDescent="0.2">
      <c r="A49" s="12" t="s">
        <v>47</v>
      </c>
      <c r="B49" s="13" t="s">
        <v>82</v>
      </c>
      <c r="C49" s="14">
        <v>1879337761</v>
      </c>
      <c r="D49" s="15">
        <f t="shared" si="0"/>
        <v>4.2040738264524931E-2</v>
      </c>
      <c r="E49" s="14">
        <v>1803516592</v>
      </c>
      <c r="F49" s="15">
        <f t="shared" si="0"/>
        <v>9.4868975108700654E-2</v>
      </c>
      <c r="G49" s="16">
        <v>1647244221</v>
      </c>
      <c r="P49" s="17"/>
    </row>
    <row r="50" spans="1:16" x14ac:dyDescent="0.2">
      <c r="A50" s="12" t="s">
        <v>48</v>
      </c>
      <c r="B50" s="13" t="s">
        <v>82</v>
      </c>
      <c r="C50" s="14">
        <v>1251236331</v>
      </c>
      <c r="D50" s="15">
        <f t="shared" si="0"/>
        <v>3.4883111039060312E-2</v>
      </c>
      <c r="E50" s="14">
        <v>1209060538</v>
      </c>
      <c r="F50" s="15">
        <f t="shared" si="0"/>
        <v>0.11639204611214732</v>
      </c>
      <c r="G50" s="16">
        <v>1083007123</v>
      </c>
      <c r="P50" s="17"/>
    </row>
    <row r="51" spans="1:16" x14ac:dyDescent="0.2">
      <c r="A51" s="12" t="s">
        <v>49</v>
      </c>
      <c r="B51" s="13" t="s">
        <v>82</v>
      </c>
      <c r="C51" s="14">
        <v>2007415290</v>
      </c>
      <c r="D51" s="15">
        <f t="shared" si="0"/>
        <v>6.8605206082260742E-2</v>
      </c>
      <c r="E51" s="14">
        <v>1878537816</v>
      </c>
      <c r="F51" s="15">
        <f t="shared" si="0"/>
        <v>2.6193937438077838E-2</v>
      </c>
      <c r="G51" s="16">
        <v>1830587521</v>
      </c>
      <c r="P51" s="17"/>
    </row>
    <row r="52" spans="1:16" x14ac:dyDescent="0.2">
      <c r="A52" s="12" t="s">
        <v>50</v>
      </c>
      <c r="B52" s="13" t="s">
        <v>82</v>
      </c>
      <c r="C52" s="14">
        <v>19355683980</v>
      </c>
      <c r="D52" s="15">
        <f t="shared" si="0"/>
        <v>2.6241594233977365E-2</v>
      </c>
      <c r="E52" s="14">
        <v>18860747887</v>
      </c>
      <c r="F52" s="15">
        <f t="shared" si="0"/>
        <v>0.134551053858634</v>
      </c>
      <c r="G52" s="16">
        <v>16623974587</v>
      </c>
      <c r="P52" s="17"/>
    </row>
    <row r="53" spans="1:16" x14ac:dyDescent="0.2">
      <c r="A53" s="12" t="s">
        <v>51</v>
      </c>
      <c r="B53" s="13" t="s">
        <v>82</v>
      </c>
      <c r="C53" s="14">
        <v>3629680397</v>
      </c>
      <c r="D53" s="15">
        <f t="shared" si="0"/>
        <v>6.9810623922407625E-2</v>
      </c>
      <c r="E53" s="14">
        <v>3392825156</v>
      </c>
      <c r="F53" s="15">
        <f t="shared" si="0"/>
        <v>-4.35713894035962E-2</v>
      </c>
      <c r="G53" s="16">
        <v>3547389861</v>
      </c>
      <c r="P53" s="17"/>
    </row>
    <row r="54" spans="1:16" x14ac:dyDescent="0.2">
      <c r="A54" s="12" t="s">
        <v>52</v>
      </c>
      <c r="B54" s="13" t="s">
        <v>82</v>
      </c>
      <c r="C54" s="14">
        <v>15146961932</v>
      </c>
      <c r="D54" s="15">
        <f t="shared" si="0"/>
        <v>4.2739749335020553E-2</v>
      </c>
      <c r="E54" s="14">
        <v>14526119237</v>
      </c>
      <c r="F54" s="15">
        <f t="shared" si="0"/>
        <v>0.12535326306395289</v>
      </c>
      <c r="G54" s="16">
        <v>12908052710</v>
      </c>
      <c r="P54" s="17"/>
    </row>
    <row r="55" spans="1:16" x14ac:dyDescent="0.2">
      <c r="A55" s="12" t="s">
        <v>53</v>
      </c>
      <c r="B55" s="13" t="s">
        <v>82</v>
      </c>
      <c r="C55" s="14">
        <v>3860812293</v>
      </c>
      <c r="D55" s="15">
        <f t="shared" si="0"/>
        <v>6.7776643633161257E-2</v>
      </c>
      <c r="E55" s="14">
        <v>3615748964</v>
      </c>
      <c r="F55" s="15">
        <f t="shared" si="0"/>
        <v>6.5339013362237214E-2</v>
      </c>
      <c r="G55" s="16">
        <v>3393989067</v>
      </c>
      <c r="P55" s="17"/>
    </row>
    <row r="56" spans="1:16" x14ac:dyDescent="0.2">
      <c r="A56" s="12" t="s">
        <v>54</v>
      </c>
      <c r="B56" s="13" t="s">
        <v>82</v>
      </c>
      <c r="C56" s="14">
        <v>7415414139</v>
      </c>
      <c r="D56" s="15">
        <f t="shared" si="0"/>
        <v>3.565870839451863E-2</v>
      </c>
      <c r="E56" s="14">
        <v>7160094420</v>
      </c>
      <c r="F56" s="15">
        <f t="shared" si="0"/>
        <v>6.1335414268017266E-2</v>
      </c>
      <c r="G56" s="16">
        <v>6746306892</v>
      </c>
      <c r="P56" s="17"/>
    </row>
    <row r="57" spans="1:16" x14ac:dyDescent="0.2">
      <c r="A57" s="12" t="s">
        <v>55</v>
      </c>
      <c r="B57" s="13" t="s">
        <v>82</v>
      </c>
      <c r="C57" s="14">
        <v>10286661123</v>
      </c>
      <c r="D57" s="15">
        <f t="shared" si="0"/>
        <v>5.7386074932991402E-2</v>
      </c>
      <c r="E57" s="14">
        <v>9728387168</v>
      </c>
      <c r="F57" s="15">
        <f t="shared" si="0"/>
        <v>7.4107428166910475E-2</v>
      </c>
      <c r="G57" s="16">
        <v>9057182655</v>
      </c>
      <c r="P57" s="17"/>
    </row>
    <row r="58" spans="1:16" x14ac:dyDescent="0.2">
      <c r="A58" s="12" t="s">
        <v>56</v>
      </c>
      <c r="B58" s="13" t="s">
        <v>82</v>
      </c>
      <c r="C58" s="14">
        <v>3543364128</v>
      </c>
      <c r="D58" s="15">
        <f t="shared" si="0"/>
        <v>0.10159548461730003</v>
      </c>
      <c r="E58" s="14">
        <v>3216574666</v>
      </c>
      <c r="F58" s="15">
        <f t="shared" si="0"/>
        <v>0.21961228130727078</v>
      </c>
      <c r="G58" s="16">
        <v>2637374775</v>
      </c>
      <c r="P58" s="17"/>
    </row>
    <row r="59" spans="1:16" x14ac:dyDescent="0.2">
      <c r="A59" s="12" t="s">
        <v>2</v>
      </c>
      <c r="B59" s="13" t="s">
        <v>82</v>
      </c>
      <c r="C59" s="14">
        <v>2261232775</v>
      </c>
      <c r="D59" s="15">
        <f t="shared" si="0"/>
        <v>6.8193669333042925E-2</v>
      </c>
      <c r="E59" s="14">
        <v>2116875282</v>
      </c>
      <c r="F59" s="15">
        <f t="shared" si="0"/>
        <v>0.18232816167104454</v>
      </c>
      <c r="G59" s="16">
        <v>1790429553</v>
      </c>
      <c r="P59" s="17"/>
    </row>
    <row r="60" spans="1:16" x14ac:dyDescent="0.2">
      <c r="A60" s="12" t="s">
        <v>3</v>
      </c>
      <c r="B60" s="13" t="s">
        <v>82</v>
      </c>
      <c r="C60" s="14">
        <v>6445735248</v>
      </c>
      <c r="D60" s="15">
        <f t="shared" si="0"/>
        <v>6.4115416693772992E-2</v>
      </c>
      <c r="E60" s="14">
        <v>6057364781</v>
      </c>
      <c r="F60" s="15">
        <f t="shared" si="0"/>
        <v>6.6548167453490556E-2</v>
      </c>
      <c r="G60" s="16">
        <v>5679410425</v>
      </c>
      <c r="P60" s="17"/>
    </row>
    <row r="61" spans="1:16" x14ac:dyDescent="0.2">
      <c r="A61" s="12" t="s">
        <v>57</v>
      </c>
      <c r="B61" s="13" t="s">
        <v>82</v>
      </c>
      <c r="C61" s="14">
        <v>1114529586</v>
      </c>
      <c r="D61" s="15">
        <f t="shared" si="0"/>
        <v>9.356552265647336E-2</v>
      </c>
      <c r="E61" s="14">
        <v>1019170377</v>
      </c>
      <c r="F61" s="15">
        <f t="shared" si="0"/>
        <v>4.7638668164160555E-2</v>
      </c>
      <c r="G61" s="16">
        <v>972826231</v>
      </c>
      <c r="P61" s="17"/>
    </row>
    <row r="62" spans="1:16" x14ac:dyDescent="0.2">
      <c r="A62" s="12" t="s">
        <v>58</v>
      </c>
      <c r="B62" s="13" t="s">
        <v>82</v>
      </c>
      <c r="C62" s="14">
        <v>3852987857</v>
      </c>
      <c r="D62" s="15">
        <f t="shared" si="0"/>
        <v>5.7096723299140867E-2</v>
      </c>
      <c r="E62" s="14">
        <v>3644877306</v>
      </c>
      <c r="F62" s="15">
        <f t="shared" si="0"/>
        <v>0.14267184876336533</v>
      </c>
      <c r="G62" s="16">
        <v>3189784810</v>
      </c>
      <c r="P62" s="17"/>
    </row>
    <row r="63" spans="1:16" x14ac:dyDescent="0.2">
      <c r="A63" s="12" t="s">
        <v>59</v>
      </c>
      <c r="B63" s="13" t="s">
        <v>82</v>
      </c>
      <c r="C63" s="14">
        <v>3447244641</v>
      </c>
      <c r="D63" s="15">
        <f t="shared" si="0"/>
        <v>2.3388209847156737E-2</v>
      </c>
      <c r="E63" s="14">
        <v>3368462337</v>
      </c>
      <c r="F63" s="15">
        <f t="shared" si="0"/>
        <v>0.12253095273331378</v>
      </c>
      <c r="G63" s="16">
        <v>3000774570</v>
      </c>
      <c r="P63" s="17"/>
    </row>
    <row r="64" spans="1:16" x14ac:dyDescent="0.2">
      <c r="A64" s="12" t="s">
        <v>60</v>
      </c>
      <c r="B64" s="13" t="s">
        <v>82</v>
      </c>
      <c r="C64" s="14">
        <v>1594821386</v>
      </c>
      <c r="D64" s="15">
        <f t="shared" si="0"/>
        <v>0.11750290063194803</v>
      </c>
      <c r="E64" s="14">
        <v>1427129527</v>
      </c>
      <c r="F64" s="15">
        <f t="shared" si="0"/>
        <v>0.16837094916966089</v>
      </c>
      <c r="G64" s="16">
        <v>1221469541</v>
      </c>
      <c r="P64" s="17"/>
    </row>
    <row r="65" spans="1:16" x14ac:dyDescent="0.2">
      <c r="A65" s="12" t="s">
        <v>61</v>
      </c>
      <c r="B65" s="13" t="s">
        <v>83</v>
      </c>
      <c r="C65" s="14">
        <v>1020358467</v>
      </c>
      <c r="D65" s="15">
        <f t="shared" si="0"/>
        <v>6.1282059319145328E-2</v>
      </c>
      <c r="E65" s="14">
        <v>961439476</v>
      </c>
      <c r="F65" s="15">
        <f t="shared" si="0"/>
        <v>0.18289614268693974</v>
      </c>
      <c r="G65" s="16">
        <v>812784353</v>
      </c>
      <c r="P65" s="17"/>
    </row>
    <row r="66" spans="1:16" x14ac:dyDescent="0.2">
      <c r="A66" s="12" t="s">
        <v>62</v>
      </c>
      <c r="B66" s="13" t="s">
        <v>82</v>
      </c>
      <c r="C66" s="14">
        <v>957120850</v>
      </c>
      <c r="D66" s="15">
        <f t="shared" si="0"/>
        <v>-0.11440529312542998</v>
      </c>
      <c r="E66" s="14">
        <v>1080766227</v>
      </c>
      <c r="F66" s="15">
        <f t="shared" si="0"/>
        <v>0.13854734897973472</v>
      </c>
      <c r="G66" s="16">
        <v>949250137</v>
      </c>
      <c r="P66" s="17"/>
    </row>
    <row r="67" spans="1:16" x14ac:dyDescent="0.2">
      <c r="A67" s="12" t="s">
        <v>63</v>
      </c>
      <c r="B67" s="13" t="s">
        <v>83</v>
      </c>
      <c r="C67" s="14">
        <v>117552046</v>
      </c>
      <c r="D67" s="15">
        <f t="shared" si="0"/>
        <v>6.5482112883413254E-2</v>
      </c>
      <c r="E67" s="14">
        <v>110327564</v>
      </c>
      <c r="F67" s="15">
        <f t="shared" si="0"/>
        <v>0.26048627373487909</v>
      </c>
      <c r="G67" s="16">
        <v>87527779</v>
      </c>
      <c r="P67" s="17"/>
    </row>
    <row r="68" spans="1:16" x14ac:dyDescent="0.2">
      <c r="A68" s="12" t="s">
        <v>64</v>
      </c>
      <c r="B68" s="13" t="s">
        <v>82</v>
      </c>
      <c r="C68" s="14">
        <v>5138464349</v>
      </c>
      <c r="D68" s="15">
        <f t="shared" si="0"/>
        <v>4.3593148092851496E-2</v>
      </c>
      <c r="E68" s="14">
        <v>4923819554</v>
      </c>
      <c r="F68" s="15">
        <f t="shared" si="0"/>
        <v>6.3280933992525046E-2</v>
      </c>
      <c r="G68" s="16">
        <v>4630779502</v>
      </c>
      <c r="P68" s="17"/>
    </row>
    <row r="69" spans="1:16" x14ac:dyDescent="0.2">
      <c r="A69" s="12" t="s">
        <v>65</v>
      </c>
      <c r="B69" s="13" t="s">
        <v>83</v>
      </c>
      <c r="C69" s="14">
        <v>256638872</v>
      </c>
      <c r="D69" s="15">
        <f t="shared" si="0"/>
        <v>4.0398877321003925E-2</v>
      </c>
      <c r="E69" s="14">
        <v>246673538</v>
      </c>
      <c r="F69" s="15">
        <f t="shared" si="0"/>
        <v>0.16038836508300316</v>
      </c>
      <c r="G69" s="16">
        <v>212578431</v>
      </c>
      <c r="P69" s="17"/>
    </row>
    <row r="70" spans="1:16" x14ac:dyDescent="0.2">
      <c r="A70" s="12" t="s">
        <v>66</v>
      </c>
      <c r="B70" s="13" t="s">
        <v>82</v>
      </c>
      <c r="C70" s="14">
        <v>1013578258</v>
      </c>
      <c r="D70" s="15">
        <f t="shared" ref="D70:F73" si="1">((C70-E70)/E70)</f>
        <v>0.1676957367368975</v>
      </c>
      <c r="E70" s="14">
        <v>868015722</v>
      </c>
      <c r="F70" s="15">
        <f t="shared" si="1"/>
        <v>0.15216054215785321</v>
      </c>
      <c r="G70" s="16">
        <v>753380879</v>
      </c>
      <c r="P70" s="17"/>
    </row>
    <row r="71" spans="1:16" x14ac:dyDescent="0.2">
      <c r="A71" s="12" t="s">
        <v>67</v>
      </c>
      <c r="B71" s="13" t="s">
        <v>83</v>
      </c>
      <c r="C71" s="14">
        <v>312466936</v>
      </c>
      <c r="D71" s="15">
        <f t="shared" si="1"/>
        <v>8.3406623867495769E-2</v>
      </c>
      <c r="E71" s="14">
        <v>288411506</v>
      </c>
      <c r="F71" s="15">
        <f t="shared" si="1"/>
        <v>3.7809642884193563E-2</v>
      </c>
      <c r="G71" s="16">
        <v>277904053</v>
      </c>
      <c r="P71" s="17"/>
    </row>
    <row r="72" spans="1:16" x14ac:dyDescent="0.2">
      <c r="A72" s="18"/>
      <c r="B72" s="19"/>
      <c r="C72" s="14"/>
      <c r="D72" s="20"/>
      <c r="E72" s="14"/>
      <c r="F72" s="20"/>
      <c r="G72" s="16"/>
      <c r="P72" s="17"/>
    </row>
    <row r="73" spans="1:16" ht="15.75" thickBot="1" x14ac:dyDescent="0.3">
      <c r="A73" s="21" t="s">
        <v>68</v>
      </c>
      <c r="B73" s="22"/>
      <c r="C73" s="23">
        <f>SUM(C5:C71)</f>
        <v>239271940101</v>
      </c>
      <c r="D73" s="24">
        <f t="shared" si="1"/>
        <v>4.265482786392652E-2</v>
      </c>
      <c r="E73" s="23">
        <f>SUM(E5:E71)</f>
        <v>229483366601</v>
      </c>
      <c r="F73" s="24">
        <f t="shared" si="1"/>
        <v>0.11068848511758639</v>
      </c>
      <c r="G73" s="25">
        <f>SUM(G5:G71)</f>
        <v>206613618198</v>
      </c>
      <c r="P73" s="17"/>
    </row>
    <row r="74" spans="1:16" x14ac:dyDescent="0.2">
      <c r="P74" s="17"/>
    </row>
    <row r="75" spans="1:16" x14ac:dyDescent="0.2">
      <c r="A75" s="26" t="s">
        <v>87</v>
      </c>
      <c r="P75" s="17"/>
    </row>
  </sheetData>
  <phoneticPr fontId="3" type="noConversion"/>
  <conditionalFormatting sqref="A75">
    <cfRule type="expression" dxfId="7" priority="10" stopIfTrue="1">
      <formula>MOD(ROW(),5)=1</formula>
    </cfRule>
  </conditionalFormatting>
  <conditionalFormatting sqref="A72:G73 A5:A71 C5:G71">
    <cfRule type="expression" dxfId="6" priority="3" stopIfTrue="1">
      <formula>MOD(ROW(),3)=1</formula>
    </cfRule>
  </conditionalFormatting>
  <conditionalFormatting sqref="A4:G4">
    <cfRule type="expression" dxfId="5" priority="2" stopIfTrue="1">
      <formula>MOD(ROW(),3)=1</formula>
    </cfRule>
  </conditionalFormatting>
  <conditionalFormatting sqref="B5:B71">
    <cfRule type="expression" dxfId="4"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E7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75"/>
  <sheetViews>
    <sheetView zoomScaleNormal="100" zoomScaleSheetLayoutView="100" workbookViewId="0">
      <pane ySplit="4" topLeftCell="A5" activePane="bottomLeft" state="frozen"/>
      <selection pane="bottomLeft"/>
    </sheetView>
  </sheetViews>
  <sheetFormatPr defaultRowHeight="14.25" x14ac:dyDescent="0.2"/>
  <cols>
    <col min="1" max="1" width="30.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9" ht="23.25" x14ac:dyDescent="0.35">
      <c r="A1" s="7" t="s">
        <v>71</v>
      </c>
      <c r="B1" s="8"/>
      <c r="C1" s="9"/>
      <c r="D1" s="8"/>
      <c r="E1" s="9"/>
      <c r="F1" s="8"/>
      <c r="G1" s="9"/>
    </row>
    <row r="2" spans="1:19" ht="15" x14ac:dyDescent="0.25">
      <c r="A2" s="10" t="s">
        <v>93</v>
      </c>
      <c r="B2" s="10"/>
      <c r="C2" s="10"/>
      <c r="D2" s="10"/>
      <c r="E2" s="10"/>
      <c r="F2" s="10"/>
      <c r="G2" s="10"/>
    </row>
    <row r="3" spans="1:19" ht="15" thickBot="1" x14ac:dyDescent="0.25"/>
    <row r="4" spans="1:19" s="36" customFormat="1" ht="25.5" x14ac:dyDescent="0.2">
      <c r="A4" s="33" t="s">
        <v>0</v>
      </c>
      <c r="B4" s="34" t="s">
        <v>1</v>
      </c>
      <c r="C4" s="37" t="s">
        <v>86</v>
      </c>
      <c r="D4" s="37" t="s">
        <v>92</v>
      </c>
      <c r="E4" s="37" t="s">
        <v>84</v>
      </c>
      <c r="F4" s="37" t="s">
        <v>85</v>
      </c>
      <c r="G4" s="38" t="s">
        <v>81</v>
      </c>
    </row>
    <row r="5" spans="1:19" x14ac:dyDescent="0.2">
      <c r="A5" s="12" t="s">
        <v>4</v>
      </c>
      <c r="B5" s="13" t="s">
        <v>82</v>
      </c>
      <c r="C5" s="14">
        <v>34392445</v>
      </c>
      <c r="D5" s="15">
        <f>((C5-E5)/E5)</f>
        <v>4.0896453510222912E-2</v>
      </c>
      <c r="E5" s="14">
        <v>33041178</v>
      </c>
      <c r="F5" s="15">
        <f>((E5-G5)/G5)</f>
        <v>-3.8910575329970026E-2</v>
      </c>
      <c r="G5" s="16">
        <v>34378880</v>
      </c>
    </row>
    <row r="6" spans="1:19" x14ac:dyDescent="0.2">
      <c r="A6" s="12" t="s">
        <v>5</v>
      </c>
      <c r="B6" s="13" t="s">
        <v>83</v>
      </c>
      <c r="C6" s="14">
        <v>15517162</v>
      </c>
      <c r="D6" s="15">
        <f t="shared" ref="D6:F68" si="0">((C6-E6)/E6)</f>
        <v>-9.9629216896949813E-3</v>
      </c>
      <c r="E6" s="14">
        <v>15673314</v>
      </c>
      <c r="F6" s="15">
        <f t="shared" si="0"/>
        <v>3.653280012009863E-2</v>
      </c>
      <c r="G6" s="16">
        <v>15120905</v>
      </c>
    </row>
    <row r="7" spans="1:19" x14ac:dyDescent="0.2">
      <c r="A7" s="12" t="s">
        <v>6</v>
      </c>
      <c r="B7" s="13" t="s">
        <v>82</v>
      </c>
      <c r="C7" s="14">
        <v>34804014</v>
      </c>
      <c r="D7" s="15">
        <f t="shared" si="0"/>
        <v>-2.7186389604035615E-2</v>
      </c>
      <c r="E7" s="14">
        <v>35776652</v>
      </c>
      <c r="F7" s="15">
        <f t="shared" si="0"/>
        <v>-2.5406313931347096E-2</v>
      </c>
      <c r="G7" s="16">
        <v>36709300</v>
      </c>
      <c r="S7" s="17"/>
    </row>
    <row r="8" spans="1:19" x14ac:dyDescent="0.2">
      <c r="A8" s="12" t="s">
        <v>7</v>
      </c>
      <c r="B8" s="13" t="s">
        <v>82</v>
      </c>
      <c r="C8" s="14">
        <v>19119156</v>
      </c>
      <c r="D8" s="15">
        <f t="shared" si="0"/>
        <v>2.3628917265026486E-3</v>
      </c>
      <c r="E8" s="14">
        <v>19074086</v>
      </c>
      <c r="F8" s="15">
        <f t="shared" si="0"/>
        <v>1.0733042041037781E-2</v>
      </c>
      <c r="G8" s="16">
        <v>18871537</v>
      </c>
      <c r="S8" s="17"/>
    </row>
    <row r="9" spans="1:19" x14ac:dyDescent="0.2">
      <c r="A9" s="12" t="s">
        <v>8</v>
      </c>
      <c r="B9" s="13" t="s">
        <v>82</v>
      </c>
      <c r="C9" s="14">
        <v>146608523</v>
      </c>
      <c r="D9" s="15">
        <f t="shared" si="0"/>
        <v>0.24920342775126259</v>
      </c>
      <c r="E9" s="14">
        <v>117361608</v>
      </c>
      <c r="F9" s="15">
        <f t="shared" si="0"/>
        <v>0.28893717285059739</v>
      </c>
      <c r="G9" s="16">
        <v>91053009</v>
      </c>
      <c r="S9" s="17"/>
    </row>
    <row r="10" spans="1:19" x14ac:dyDescent="0.2">
      <c r="A10" s="12" t="s">
        <v>9</v>
      </c>
      <c r="B10" s="13" t="s">
        <v>82</v>
      </c>
      <c r="C10" s="14">
        <v>112111277</v>
      </c>
      <c r="D10" s="15">
        <f t="shared" si="0"/>
        <v>8.095451004547323E-2</v>
      </c>
      <c r="E10" s="14">
        <v>103715074</v>
      </c>
      <c r="F10" s="15">
        <f t="shared" si="0"/>
        <v>9.0026338826802253E-3</v>
      </c>
      <c r="G10" s="16">
        <v>102789696</v>
      </c>
      <c r="S10" s="17"/>
    </row>
    <row r="11" spans="1:19" x14ac:dyDescent="0.2">
      <c r="A11" s="12" t="s">
        <v>10</v>
      </c>
      <c r="B11" s="13" t="s">
        <v>83</v>
      </c>
      <c r="C11" s="14"/>
      <c r="D11" s="15" t="s">
        <v>79</v>
      </c>
      <c r="E11" s="14"/>
      <c r="F11" s="15" t="s">
        <v>79</v>
      </c>
      <c r="G11" s="16"/>
      <c r="S11" s="17"/>
    </row>
    <row r="12" spans="1:19" x14ac:dyDescent="0.2">
      <c r="A12" s="12" t="s">
        <v>11</v>
      </c>
      <c r="B12" s="13" t="s">
        <v>82</v>
      </c>
      <c r="C12" s="14">
        <v>3214895</v>
      </c>
      <c r="D12" s="15">
        <f t="shared" si="0"/>
        <v>0.16330725847830824</v>
      </c>
      <c r="E12" s="14">
        <v>2763582</v>
      </c>
      <c r="F12" s="15">
        <f t="shared" si="0"/>
        <v>-0.12451784175579096</v>
      </c>
      <c r="G12" s="16">
        <v>3156640</v>
      </c>
      <c r="S12" s="17"/>
    </row>
    <row r="13" spans="1:19" x14ac:dyDescent="0.2">
      <c r="A13" s="12" t="s">
        <v>12</v>
      </c>
      <c r="B13" s="13" t="s">
        <v>82</v>
      </c>
      <c r="C13" s="14">
        <v>1686480</v>
      </c>
      <c r="D13" s="15">
        <f t="shared" si="0"/>
        <v>0.11688600673914426</v>
      </c>
      <c r="E13" s="14">
        <v>1509984</v>
      </c>
      <c r="F13" s="15">
        <f t="shared" si="0"/>
        <v>-0.2371783990882417</v>
      </c>
      <c r="G13" s="16">
        <v>1979472</v>
      </c>
    </row>
    <row r="14" spans="1:19" x14ac:dyDescent="0.2">
      <c r="A14" s="12" t="s">
        <v>13</v>
      </c>
      <c r="B14" s="13" t="s">
        <v>82</v>
      </c>
      <c r="C14" s="14">
        <v>17375080</v>
      </c>
      <c r="D14" s="15">
        <f t="shared" si="0"/>
        <v>2.0182139832771282E-3</v>
      </c>
      <c r="E14" s="14">
        <v>17340084</v>
      </c>
      <c r="F14" s="15">
        <f t="shared" si="0"/>
        <v>1.0246436014656543E-2</v>
      </c>
      <c r="G14" s="16">
        <v>17164212</v>
      </c>
      <c r="S14" s="17"/>
    </row>
    <row r="15" spans="1:19" x14ac:dyDescent="0.2">
      <c r="A15" s="12" t="s">
        <v>14</v>
      </c>
      <c r="B15" s="13" t="s">
        <v>82</v>
      </c>
      <c r="C15" s="14">
        <v>206925</v>
      </c>
      <c r="D15" s="15">
        <f t="shared" si="0"/>
        <v>0.16474442324254041</v>
      </c>
      <c r="E15" s="14">
        <v>177657</v>
      </c>
      <c r="F15" s="15">
        <f t="shared" si="0"/>
        <v>-0.11298343368982355</v>
      </c>
      <c r="G15" s="16">
        <v>200286</v>
      </c>
      <c r="S15" s="17"/>
    </row>
    <row r="16" spans="1:19" x14ac:dyDescent="0.2">
      <c r="A16" s="12" t="s">
        <v>15</v>
      </c>
      <c r="B16" s="13" t="s">
        <v>82</v>
      </c>
      <c r="C16" s="14">
        <v>15621927</v>
      </c>
      <c r="D16" s="15">
        <f t="shared" si="0"/>
        <v>-1.4021759155733093E-2</v>
      </c>
      <c r="E16" s="14">
        <v>15844089</v>
      </c>
      <c r="F16" s="15">
        <f t="shared" si="0"/>
        <v>3.8059568062459331E-2</v>
      </c>
      <c r="G16" s="16">
        <v>15263179</v>
      </c>
      <c r="S16" s="17"/>
    </row>
    <row r="17" spans="1:19" x14ac:dyDescent="0.2">
      <c r="A17" s="12" t="s">
        <v>78</v>
      </c>
      <c r="B17" s="13" t="s">
        <v>82</v>
      </c>
      <c r="C17" s="14">
        <v>214047318</v>
      </c>
      <c r="D17" s="15">
        <f t="shared" si="0"/>
        <v>0.11112609127069666</v>
      </c>
      <c r="E17" s="14">
        <v>192639989</v>
      </c>
      <c r="F17" s="15">
        <f t="shared" si="0"/>
        <v>0.25738362251080504</v>
      </c>
      <c r="G17" s="16">
        <v>153207013</v>
      </c>
      <c r="S17" s="17"/>
    </row>
    <row r="18" spans="1:19" x14ac:dyDescent="0.2">
      <c r="A18" s="12" t="s">
        <v>16</v>
      </c>
      <c r="B18" s="13" t="s">
        <v>82</v>
      </c>
      <c r="C18" s="14">
        <v>4774087</v>
      </c>
      <c r="D18" s="15">
        <f t="shared" si="0"/>
        <v>7.4722707909693417E-2</v>
      </c>
      <c r="E18" s="14">
        <v>4442157</v>
      </c>
      <c r="F18" s="15">
        <f t="shared" si="0"/>
        <v>-5.3281811974176523E-2</v>
      </c>
      <c r="G18" s="16">
        <v>4692164</v>
      </c>
      <c r="S18" s="17"/>
    </row>
    <row r="19" spans="1:19" x14ac:dyDescent="0.2">
      <c r="A19" s="12" t="s">
        <v>17</v>
      </c>
      <c r="B19" s="13" t="s">
        <v>83</v>
      </c>
      <c r="C19" s="14"/>
      <c r="D19" s="15" t="s">
        <v>79</v>
      </c>
      <c r="E19" s="14"/>
      <c r="F19" s="15" t="s">
        <v>79</v>
      </c>
      <c r="G19" s="16"/>
      <c r="S19" s="17"/>
    </row>
    <row r="20" spans="1:19" x14ac:dyDescent="0.2">
      <c r="A20" s="12" t="s">
        <v>18</v>
      </c>
      <c r="B20" s="13" t="s">
        <v>82</v>
      </c>
      <c r="C20" s="14">
        <v>219336517</v>
      </c>
      <c r="D20" s="15">
        <f t="shared" si="0"/>
        <v>-4.0382692918976712E-2</v>
      </c>
      <c r="E20" s="14">
        <v>228566654</v>
      </c>
      <c r="F20" s="15">
        <f t="shared" si="0"/>
        <v>1.1721794308782632E-2</v>
      </c>
      <c r="G20" s="16">
        <v>225918484</v>
      </c>
      <c r="S20" s="17"/>
    </row>
    <row r="21" spans="1:19" x14ac:dyDescent="0.2">
      <c r="A21" s="12" t="s">
        <v>19</v>
      </c>
      <c r="B21" s="13" t="s">
        <v>82</v>
      </c>
      <c r="C21" s="14">
        <v>33836945</v>
      </c>
      <c r="D21" s="15">
        <f t="shared" si="0"/>
        <v>5.5918853423233508E-2</v>
      </c>
      <c r="E21" s="14">
        <v>32045024</v>
      </c>
      <c r="F21" s="15">
        <f t="shared" si="0"/>
        <v>1.9991207933829119E-2</v>
      </c>
      <c r="G21" s="16">
        <v>31416961</v>
      </c>
    </row>
    <row r="22" spans="1:19" x14ac:dyDescent="0.2">
      <c r="A22" s="12" t="s">
        <v>20</v>
      </c>
      <c r="B22" s="13" t="s">
        <v>82</v>
      </c>
      <c r="C22" s="14">
        <v>24611217</v>
      </c>
      <c r="D22" s="15">
        <f t="shared" si="0"/>
        <v>-0.16667605139644609</v>
      </c>
      <c r="E22" s="14">
        <v>29533793</v>
      </c>
      <c r="F22" s="15">
        <f t="shared" si="0"/>
        <v>7.1073829940469652E-2</v>
      </c>
      <c r="G22" s="16">
        <v>27574003</v>
      </c>
      <c r="S22" s="17"/>
    </row>
    <row r="23" spans="1:19" x14ac:dyDescent="0.2">
      <c r="A23" s="12" t="s">
        <v>21</v>
      </c>
      <c r="B23" s="13" t="s">
        <v>83</v>
      </c>
      <c r="C23" s="14">
        <v>716952</v>
      </c>
      <c r="D23" s="15">
        <f t="shared" si="0"/>
        <v>1.3230825760680621E-2</v>
      </c>
      <c r="E23" s="14">
        <v>707590</v>
      </c>
      <c r="F23" s="15">
        <f t="shared" si="0"/>
        <v>1.5801419213503632E-2</v>
      </c>
      <c r="G23" s="16">
        <v>696583</v>
      </c>
      <c r="S23" s="17"/>
    </row>
    <row r="24" spans="1:19" x14ac:dyDescent="0.2">
      <c r="A24" s="12" t="s">
        <v>22</v>
      </c>
      <c r="B24" s="13" t="s">
        <v>83</v>
      </c>
      <c r="C24" s="14">
        <v>8686402</v>
      </c>
      <c r="D24" s="15">
        <f t="shared" si="0"/>
        <v>4.6710707779149201E-2</v>
      </c>
      <c r="E24" s="14">
        <v>8298761</v>
      </c>
      <c r="F24" s="15">
        <f t="shared" si="0"/>
        <v>1.2962608531346231E-2</v>
      </c>
      <c r="G24" s="16">
        <v>8192564</v>
      </c>
      <c r="S24" s="17"/>
    </row>
    <row r="25" spans="1:19" x14ac:dyDescent="0.2">
      <c r="A25" s="12" t="s">
        <v>23</v>
      </c>
      <c r="B25" s="13" t="s">
        <v>83</v>
      </c>
      <c r="C25" s="14"/>
      <c r="D25" s="15" t="s">
        <v>79</v>
      </c>
      <c r="E25" s="14"/>
      <c r="F25" s="15" t="s">
        <v>79</v>
      </c>
      <c r="G25" s="16"/>
      <c r="S25" s="17"/>
    </row>
    <row r="26" spans="1:19" x14ac:dyDescent="0.2">
      <c r="A26" s="12" t="s">
        <v>24</v>
      </c>
      <c r="B26" s="13" t="s">
        <v>83</v>
      </c>
      <c r="C26" s="14">
        <v>15601137</v>
      </c>
      <c r="D26" s="15">
        <f t="shared" si="0"/>
        <v>-0.1610710148413467</v>
      </c>
      <c r="E26" s="14">
        <v>18596493</v>
      </c>
      <c r="F26" s="15">
        <f t="shared" si="0"/>
        <v>1.1002268334069438E-2</v>
      </c>
      <c r="G26" s="16">
        <v>18394116</v>
      </c>
      <c r="S26" s="17"/>
    </row>
    <row r="27" spans="1:19" x14ac:dyDescent="0.2">
      <c r="A27" s="12" t="s">
        <v>25</v>
      </c>
      <c r="B27" s="13" t="s">
        <v>83</v>
      </c>
      <c r="C27" s="14">
        <v>684330</v>
      </c>
      <c r="D27" s="15">
        <f t="shared" si="0"/>
        <v>-1.8145378908768419E-3</v>
      </c>
      <c r="E27" s="14">
        <v>685574</v>
      </c>
      <c r="F27" s="15">
        <f t="shared" si="0"/>
        <v>-1.3809492299769554E-2</v>
      </c>
      <c r="G27" s="16">
        <v>695174</v>
      </c>
    </row>
    <row r="28" spans="1:19" x14ac:dyDescent="0.2">
      <c r="A28" s="12" t="s">
        <v>26</v>
      </c>
      <c r="B28" s="13" t="s">
        <v>82</v>
      </c>
      <c r="C28" s="14">
        <v>27846812</v>
      </c>
      <c r="D28" s="15">
        <f t="shared" si="0"/>
        <v>-2.9283642954678776E-2</v>
      </c>
      <c r="E28" s="14">
        <v>28686868</v>
      </c>
      <c r="F28" s="15">
        <f t="shared" si="0"/>
        <v>4.0916701787985045E-2</v>
      </c>
      <c r="G28" s="16">
        <v>27559235</v>
      </c>
      <c r="S28" s="17"/>
    </row>
    <row r="29" spans="1:19" x14ac:dyDescent="0.2">
      <c r="A29" s="12" t="s">
        <v>27</v>
      </c>
      <c r="B29" s="13" t="s">
        <v>82</v>
      </c>
      <c r="C29" s="14">
        <v>9480548</v>
      </c>
      <c r="D29" s="15">
        <f t="shared" si="0"/>
        <v>1.8450636832289841E-3</v>
      </c>
      <c r="E29" s="14">
        <v>9463088</v>
      </c>
      <c r="F29" s="15">
        <f t="shared" si="0"/>
        <v>1.0247570805814139E-2</v>
      </c>
      <c r="G29" s="16">
        <v>9367098</v>
      </c>
      <c r="S29" s="17"/>
    </row>
    <row r="30" spans="1:19" x14ac:dyDescent="0.2">
      <c r="A30" s="12" t="s">
        <v>28</v>
      </c>
      <c r="B30" s="13" t="s">
        <v>82</v>
      </c>
      <c r="C30" s="14">
        <v>5355013</v>
      </c>
      <c r="D30" s="15">
        <f t="shared" si="0"/>
        <v>-0.15085166754567708</v>
      </c>
      <c r="E30" s="14">
        <v>6306334</v>
      </c>
      <c r="F30" s="15">
        <f t="shared" si="0"/>
        <v>6.0818735091963033E-2</v>
      </c>
      <c r="G30" s="16">
        <v>5944780</v>
      </c>
      <c r="S30" s="17"/>
    </row>
    <row r="31" spans="1:19" x14ac:dyDescent="0.2">
      <c r="A31" s="12" t="s">
        <v>29</v>
      </c>
      <c r="B31" s="13" t="s">
        <v>82</v>
      </c>
      <c r="C31" s="14">
        <v>12111470</v>
      </c>
      <c r="D31" s="15">
        <f t="shared" si="0"/>
        <v>1.3748009275358869E-3</v>
      </c>
      <c r="E31" s="14">
        <v>12094842</v>
      </c>
      <c r="F31" s="15">
        <f t="shared" si="0"/>
        <v>9.0741942443558262E-3</v>
      </c>
      <c r="G31" s="16">
        <v>11986078</v>
      </c>
      <c r="S31" s="17"/>
    </row>
    <row r="32" spans="1:19" x14ac:dyDescent="0.2">
      <c r="A32" s="12" t="s">
        <v>30</v>
      </c>
      <c r="B32" s="13" t="s">
        <v>82</v>
      </c>
      <c r="C32" s="14">
        <v>35821139</v>
      </c>
      <c r="D32" s="15">
        <f t="shared" si="0"/>
        <v>-7.5723856537500217E-2</v>
      </c>
      <c r="E32" s="14">
        <v>38755884</v>
      </c>
      <c r="F32" s="15">
        <f t="shared" si="0"/>
        <v>4.2120754246472566E-3</v>
      </c>
      <c r="G32" s="16">
        <v>38593326</v>
      </c>
      <c r="S32" s="17"/>
    </row>
    <row r="33" spans="1:19" x14ac:dyDescent="0.2">
      <c r="A33" s="12" t="s">
        <v>31</v>
      </c>
      <c r="B33" s="13" t="s">
        <v>82</v>
      </c>
      <c r="C33" s="14">
        <v>130872997</v>
      </c>
      <c r="D33" s="15">
        <f t="shared" si="0"/>
        <v>-1.6855238920658426E-3</v>
      </c>
      <c r="E33" s="14">
        <v>131093959</v>
      </c>
      <c r="F33" s="15">
        <f t="shared" si="0"/>
        <v>-2.0508735193309827E-2</v>
      </c>
      <c r="G33" s="16">
        <v>133838824</v>
      </c>
      <c r="S33" s="17"/>
    </row>
    <row r="34" spans="1:19" x14ac:dyDescent="0.2">
      <c r="A34" s="12" t="s">
        <v>32</v>
      </c>
      <c r="B34" s="13" t="s">
        <v>83</v>
      </c>
      <c r="C34" s="14">
        <v>3967150</v>
      </c>
      <c r="D34" s="15">
        <f t="shared" si="0"/>
        <v>-1.6889433856780059E-2</v>
      </c>
      <c r="E34" s="14">
        <v>4035304</v>
      </c>
      <c r="F34" s="15">
        <f t="shared" si="0"/>
        <v>8.7406038084638815E-2</v>
      </c>
      <c r="G34" s="16">
        <v>3710945</v>
      </c>
      <c r="S34" s="17"/>
    </row>
    <row r="35" spans="1:19" x14ac:dyDescent="0.2">
      <c r="A35" s="12" t="s">
        <v>33</v>
      </c>
      <c r="B35" s="13" t="s">
        <v>82</v>
      </c>
      <c r="C35" s="14">
        <v>50990963</v>
      </c>
      <c r="D35" s="15">
        <f t="shared" si="0"/>
        <v>0.82435480186410548</v>
      </c>
      <c r="E35" s="14">
        <v>27950135</v>
      </c>
      <c r="F35" s="15">
        <f t="shared" si="0"/>
        <v>5.2682731092497111E-2</v>
      </c>
      <c r="G35" s="16">
        <v>26551338</v>
      </c>
      <c r="S35" s="17"/>
    </row>
    <row r="36" spans="1:19" x14ac:dyDescent="0.2">
      <c r="A36" s="12" t="s">
        <v>34</v>
      </c>
      <c r="B36" s="13" t="s">
        <v>83</v>
      </c>
      <c r="C36" s="14">
        <v>28598850</v>
      </c>
      <c r="D36" s="15">
        <f t="shared" si="0"/>
        <v>-7.2399417733226591E-3</v>
      </c>
      <c r="E36" s="14">
        <v>28807414</v>
      </c>
      <c r="F36" s="15">
        <f t="shared" si="0"/>
        <v>-1.3942684971486659E-2</v>
      </c>
      <c r="G36" s="16">
        <v>29214746</v>
      </c>
      <c r="S36" s="17"/>
    </row>
    <row r="37" spans="1:19" x14ac:dyDescent="0.2">
      <c r="A37" s="12" t="s">
        <v>35</v>
      </c>
      <c r="B37" s="13" t="s">
        <v>82</v>
      </c>
      <c r="C37" s="14">
        <v>3233375</v>
      </c>
      <c r="D37" s="15">
        <f t="shared" si="0"/>
        <v>5.1513981757876741E-2</v>
      </c>
      <c r="E37" s="14">
        <v>3074971</v>
      </c>
      <c r="F37" s="15">
        <f t="shared" si="0"/>
        <v>1.3842793867165889E-2</v>
      </c>
      <c r="G37" s="16">
        <v>3032986</v>
      </c>
      <c r="S37" s="17"/>
    </row>
    <row r="38" spans="1:19" x14ac:dyDescent="0.2">
      <c r="A38" s="12" t="s">
        <v>36</v>
      </c>
      <c r="B38" s="13" t="s">
        <v>83</v>
      </c>
      <c r="C38" s="14"/>
      <c r="D38" s="15" t="s">
        <v>79</v>
      </c>
      <c r="E38" s="14"/>
      <c r="F38" s="15" t="s">
        <v>79</v>
      </c>
      <c r="G38" s="16"/>
      <c r="S38" s="17"/>
    </row>
    <row r="39" spans="1:19" x14ac:dyDescent="0.2">
      <c r="A39" s="12" t="s">
        <v>37</v>
      </c>
      <c r="B39" s="13" t="s">
        <v>82</v>
      </c>
      <c r="C39" s="14">
        <v>5410561</v>
      </c>
      <c r="D39" s="15">
        <f t="shared" si="0"/>
        <v>-0.2428259953846563</v>
      </c>
      <c r="E39" s="14">
        <v>7145730</v>
      </c>
      <c r="F39" s="15">
        <f t="shared" si="0"/>
        <v>-0.45614577731395273</v>
      </c>
      <c r="G39" s="16">
        <v>13139054</v>
      </c>
      <c r="S39" s="17"/>
    </row>
    <row r="40" spans="1:19" x14ac:dyDescent="0.2">
      <c r="A40" s="12" t="s">
        <v>38</v>
      </c>
      <c r="B40" s="13" t="s">
        <v>82</v>
      </c>
      <c r="C40" s="14">
        <v>5532912</v>
      </c>
      <c r="D40" s="15">
        <f t="shared" si="0"/>
        <v>0.15011757036761111</v>
      </c>
      <c r="E40" s="14">
        <v>4810736</v>
      </c>
      <c r="F40" s="15">
        <f t="shared" si="0"/>
        <v>-0.10807296663868929</v>
      </c>
      <c r="G40" s="16">
        <v>5393643</v>
      </c>
    </row>
    <row r="41" spans="1:19" x14ac:dyDescent="0.2">
      <c r="A41" s="12" t="s">
        <v>39</v>
      </c>
      <c r="B41" s="13" t="s">
        <v>82</v>
      </c>
      <c r="C41" s="14">
        <v>6109604</v>
      </c>
      <c r="D41" s="15">
        <f t="shared" si="0"/>
        <v>4.6473097132529249E-2</v>
      </c>
      <c r="E41" s="14">
        <v>5838281</v>
      </c>
      <c r="F41" s="15">
        <f t="shared" si="0"/>
        <v>1.411564357027259E-2</v>
      </c>
      <c r="G41" s="16">
        <v>5757017</v>
      </c>
      <c r="S41" s="17"/>
    </row>
    <row r="42" spans="1:19" x14ac:dyDescent="0.2">
      <c r="A42" s="12" t="s">
        <v>40</v>
      </c>
      <c r="B42" s="13" t="s">
        <v>83</v>
      </c>
      <c r="C42" s="14">
        <v>3671373</v>
      </c>
      <c r="D42" s="15">
        <f t="shared" si="0"/>
        <v>0.21481553786772065</v>
      </c>
      <c r="E42" s="14">
        <v>3022165</v>
      </c>
      <c r="F42" s="15">
        <f t="shared" si="0"/>
        <v>-0.24411822526047985</v>
      </c>
      <c r="G42" s="16">
        <v>3998198</v>
      </c>
      <c r="S42" s="17"/>
    </row>
    <row r="43" spans="1:19" x14ac:dyDescent="0.2">
      <c r="A43" s="12" t="s">
        <v>41</v>
      </c>
      <c r="B43" s="13" t="s">
        <v>83</v>
      </c>
      <c r="C43" s="14">
        <v>917687</v>
      </c>
      <c r="D43" s="15">
        <f t="shared" si="0"/>
        <v>1.3169954608938548E-3</v>
      </c>
      <c r="E43" s="14">
        <v>916480</v>
      </c>
      <c r="F43" s="15">
        <f t="shared" si="0"/>
        <v>0.23281885171145625</v>
      </c>
      <c r="G43" s="16">
        <v>743402</v>
      </c>
      <c r="S43" s="17"/>
    </row>
    <row r="44" spans="1:19" x14ac:dyDescent="0.2">
      <c r="A44" s="12" t="s">
        <v>42</v>
      </c>
      <c r="B44" s="13" t="s">
        <v>82</v>
      </c>
      <c r="C44" s="14">
        <v>8780039</v>
      </c>
      <c r="D44" s="15">
        <f t="shared" si="0"/>
        <v>6.5666142367782673E-3</v>
      </c>
      <c r="E44" s="14">
        <v>8722760</v>
      </c>
      <c r="F44" s="15">
        <f t="shared" si="0"/>
        <v>8.8370216711047625E-3</v>
      </c>
      <c r="G44" s="16">
        <v>8646352</v>
      </c>
      <c r="S44" s="17"/>
    </row>
    <row r="45" spans="1:19" x14ac:dyDescent="0.2">
      <c r="A45" s="12" t="s">
        <v>43</v>
      </c>
      <c r="B45" s="13" t="s">
        <v>82</v>
      </c>
      <c r="C45" s="14">
        <v>8591883</v>
      </c>
      <c r="D45" s="15">
        <f t="shared" si="0"/>
        <v>-2.567437417267095E-2</v>
      </c>
      <c r="E45" s="14">
        <v>8818287</v>
      </c>
      <c r="F45" s="15">
        <f t="shared" si="0"/>
        <v>-1.2847011938811492E-2</v>
      </c>
      <c r="G45" s="16">
        <v>8933050</v>
      </c>
      <c r="S45" s="17"/>
    </row>
    <row r="46" spans="1:19" x14ac:dyDescent="0.2">
      <c r="A46" s="12" t="s">
        <v>44</v>
      </c>
      <c r="B46" s="13" t="s">
        <v>82</v>
      </c>
      <c r="C46" s="14">
        <v>29269418</v>
      </c>
      <c r="D46" s="15">
        <f t="shared" si="0"/>
        <v>4.1216005106648856E-2</v>
      </c>
      <c r="E46" s="14">
        <v>28110803</v>
      </c>
      <c r="F46" s="15">
        <f t="shared" si="0"/>
        <v>-7.8013234641913648E-2</v>
      </c>
      <c r="G46" s="16">
        <v>30489378</v>
      </c>
      <c r="S46" s="17"/>
    </row>
    <row r="47" spans="1:19" x14ac:dyDescent="0.2">
      <c r="A47" s="12" t="s">
        <v>45</v>
      </c>
      <c r="B47" s="13" t="s">
        <v>82</v>
      </c>
      <c r="C47" s="14">
        <v>104068102</v>
      </c>
      <c r="D47" s="15">
        <f t="shared" si="0"/>
        <v>0.37686603513312333</v>
      </c>
      <c r="E47" s="14">
        <v>75583317</v>
      </c>
      <c r="F47" s="15">
        <f t="shared" si="0"/>
        <v>4.2300799967300934E-2</v>
      </c>
      <c r="G47" s="16">
        <v>72515839</v>
      </c>
      <c r="S47" s="17"/>
    </row>
    <row r="48" spans="1:19" x14ac:dyDescent="0.2">
      <c r="A48" s="12" t="s">
        <v>46</v>
      </c>
      <c r="B48" s="13" t="s">
        <v>82</v>
      </c>
      <c r="C48" s="14"/>
      <c r="D48" s="15" t="s">
        <v>79</v>
      </c>
      <c r="E48" s="14"/>
      <c r="F48" s="15" t="s">
        <v>79</v>
      </c>
      <c r="G48" s="16"/>
      <c r="S48" s="17"/>
    </row>
    <row r="49" spans="1:19" x14ac:dyDescent="0.2">
      <c r="A49" s="12" t="s">
        <v>47</v>
      </c>
      <c r="B49" s="13" t="s">
        <v>82</v>
      </c>
      <c r="C49" s="14">
        <v>51621095</v>
      </c>
      <c r="D49" s="15">
        <f t="shared" si="0"/>
        <v>2.2905543770858326E-2</v>
      </c>
      <c r="E49" s="14">
        <v>50465163</v>
      </c>
      <c r="F49" s="15">
        <f t="shared" si="0"/>
        <v>7.2551834754822117E-2</v>
      </c>
      <c r="G49" s="16">
        <v>47051491</v>
      </c>
      <c r="S49" s="17"/>
    </row>
    <row r="50" spans="1:19" x14ac:dyDescent="0.2">
      <c r="A50" s="12" t="s">
        <v>48</v>
      </c>
      <c r="B50" s="13" t="s">
        <v>82</v>
      </c>
      <c r="C50" s="14">
        <v>4540327</v>
      </c>
      <c r="D50" s="15">
        <f t="shared" si="0"/>
        <v>4.7283763011678907E-2</v>
      </c>
      <c r="E50" s="14">
        <v>4335336</v>
      </c>
      <c r="F50" s="15">
        <f t="shared" si="0"/>
        <v>1.3085668858127121E-2</v>
      </c>
      <c r="G50" s="16">
        <v>4279338</v>
      </c>
    </row>
    <row r="51" spans="1:19" x14ac:dyDescent="0.2">
      <c r="A51" s="12" t="s">
        <v>49</v>
      </c>
      <c r="B51" s="13" t="s">
        <v>82</v>
      </c>
      <c r="C51" s="14">
        <v>12335449</v>
      </c>
      <c r="D51" s="15">
        <f t="shared" si="0"/>
        <v>1.4724803593511311E-3</v>
      </c>
      <c r="E51" s="14">
        <v>12317312</v>
      </c>
      <c r="F51" s="15">
        <f t="shared" si="0"/>
        <v>9.4112078273975962E-3</v>
      </c>
      <c r="G51" s="16">
        <v>12202472</v>
      </c>
      <c r="S51" s="17"/>
    </row>
    <row r="52" spans="1:19" x14ac:dyDescent="0.2">
      <c r="A52" s="12" t="s">
        <v>50</v>
      </c>
      <c r="B52" s="13" t="s">
        <v>82</v>
      </c>
      <c r="C52" s="14">
        <v>126239185</v>
      </c>
      <c r="D52" s="15">
        <f t="shared" si="0"/>
        <v>1.9122587344506954</v>
      </c>
      <c r="E52" s="14">
        <v>43347517</v>
      </c>
      <c r="F52" s="15">
        <f t="shared" si="0"/>
        <v>-0.16469127157592592</v>
      </c>
      <c r="G52" s="16">
        <v>51894007</v>
      </c>
      <c r="S52" s="17"/>
    </row>
    <row r="53" spans="1:19" x14ac:dyDescent="0.2">
      <c r="A53" s="12" t="s">
        <v>51</v>
      </c>
      <c r="B53" s="13" t="s">
        <v>82</v>
      </c>
      <c r="C53" s="14">
        <v>6913311</v>
      </c>
      <c r="D53" s="15">
        <f t="shared" si="0"/>
        <v>1.2633628538009799E-3</v>
      </c>
      <c r="E53" s="14">
        <v>6904588</v>
      </c>
      <c r="F53" s="15">
        <f t="shared" si="0"/>
        <v>8.9046076010922837E-3</v>
      </c>
      <c r="G53" s="16">
        <v>6843648</v>
      </c>
      <c r="S53" s="17"/>
    </row>
    <row r="54" spans="1:19" x14ac:dyDescent="0.2">
      <c r="A54" s="12" t="s">
        <v>52</v>
      </c>
      <c r="B54" s="13" t="s">
        <v>82</v>
      </c>
      <c r="C54" s="14">
        <v>249016352</v>
      </c>
      <c r="D54" s="15">
        <f t="shared" si="0"/>
        <v>0.28113000387966547</v>
      </c>
      <c r="E54" s="14">
        <v>194372430</v>
      </c>
      <c r="F54" s="15">
        <f t="shared" si="0"/>
        <v>1.2154646022603977E-3</v>
      </c>
      <c r="G54" s="16">
        <v>194136464</v>
      </c>
      <c r="S54" s="17"/>
    </row>
    <row r="55" spans="1:19" x14ac:dyDescent="0.2">
      <c r="A55" s="12" t="s">
        <v>53</v>
      </c>
      <c r="B55" s="13" t="s">
        <v>82</v>
      </c>
      <c r="C55" s="14">
        <v>23235239</v>
      </c>
      <c r="D55" s="15">
        <f t="shared" si="0"/>
        <v>1.7875914825088003E-3</v>
      </c>
      <c r="E55" s="14">
        <v>23193778</v>
      </c>
      <c r="F55" s="15">
        <f t="shared" si="0"/>
        <v>9.8670449459140799E-3</v>
      </c>
      <c r="G55" s="16">
        <v>22967160</v>
      </c>
      <c r="S55" s="17"/>
    </row>
    <row r="56" spans="1:19" x14ac:dyDescent="0.2">
      <c r="A56" s="12" t="s">
        <v>54</v>
      </c>
      <c r="B56" s="13" t="s">
        <v>82</v>
      </c>
      <c r="C56" s="14">
        <v>13545958</v>
      </c>
      <c r="D56" s="15">
        <f t="shared" si="0"/>
        <v>1.435992398348313E-3</v>
      </c>
      <c r="E56" s="14">
        <v>13526534</v>
      </c>
      <c r="F56" s="15">
        <f t="shared" si="0"/>
        <v>9.4876600863993583E-3</v>
      </c>
      <c r="G56" s="16">
        <v>13399405</v>
      </c>
      <c r="S56" s="17"/>
    </row>
    <row r="57" spans="1:19" x14ac:dyDescent="0.2">
      <c r="A57" s="12" t="s">
        <v>55</v>
      </c>
      <c r="B57" s="13" t="s">
        <v>82</v>
      </c>
      <c r="C57" s="14">
        <v>129393257</v>
      </c>
      <c r="D57" s="15">
        <f t="shared" si="0"/>
        <v>1.3200577303852568E-2</v>
      </c>
      <c r="E57" s="14">
        <v>127707445</v>
      </c>
      <c r="F57" s="15">
        <f t="shared" si="0"/>
        <v>-5.1602493381061459E-2</v>
      </c>
      <c r="G57" s="16">
        <v>134656032</v>
      </c>
      <c r="S57" s="17"/>
    </row>
    <row r="58" spans="1:19" x14ac:dyDescent="0.2">
      <c r="A58" s="12" t="s">
        <v>56</v>
      </c>
      <c r="B58" s="13" t="s">
        <v>82</v>
      </c>
      <c r="C58" s="14">
        <v>18642984</v>
      </c>
      <c r="D58" s="15">
        <f t="shared" si="0"/>
        <v>1.3421423014592978E-3</v>
      </c>
      <c r="E58" s="14">
        <v>18617996</v>
      </c>
      <c r="F58" s="15">
        <f t="shared" si="0"/>
        <v>9.3163092171123438E-3</v>
      </c>
      <c r="G58" s="16">
        <v>18446146</v>
      </c>
      <c r="S58" s="17"/>
    </row>
    <row r="59" spans="1:19" x14ac:dyDescent="0.2">
      <c r="A59" s="12" t="s">
        <v>2</v>
      </c>
      <c r="B59" s="13" t="s">
        <v>82</v>
      </c>
      <c r="C59" s="14">
        <v>37560861</v>
      </c>
      <c r="D59" s="15">
        <f t="shared" si="0"/>
        <v>-0.16067270138695211</v>
      </c>
      <c r="E59" s="14">
        <v>44751149</v>
      </c>
      <c r="F59" s="15">
        <f t="shared" si="0"/>
        <v>5.1788327992344403E-2</v>
      </c>
      <c r="G59" s="16">
        <v>42547676</v>
      </c>
      <c r="S59" s="17"/>
    </row>
    <row r="60" spans="1:19" x14ac:dyDescent="0.2">
      <c r="A60" s="12" t="s">
        <v>3</v>
      </c>
      <c r="B60" s="13" t="s">
        <v>82</v>
      </c>
      <c r="C60" s="14">
        <v>81634792</v>
      </c>
      <c r="D60" s="15">
        <f t="shared" si="0"/>
        <v>0.31173066683874723</v>
      </c>
      <c r="E60" s="14">
        <v>62234416</v>
      </c>
      <c r="F60" s="15">
        <f t="shared" si="0"/>
        <v>5.1117540888492907E-2</v>
      </c>
      <c r="G60" s="16">
        <v>59207856</v>
      </c>
      <c r="S60" s="17"/>
    </row>
    <row r="61" spans="1:19" x14ac:dyDescent="0.2">
      <c r="A61" s="12" t="s">
        <v>57</v>
      </c>
      <c r="B61" s="13" t="s">
        <v>82</v>
      </c>
      <c r="C61" s="14">
        <v>4255211</v>
      </c>
      <c r="D61" s="15">
        <f t="shared" si="0"/>
        <v>5.0656671067436466E-2</v>
      </c>
      <c r="E61" s="14">
        <v>4050049</v>
      </c>
      <c r="F61" s="15">
        <f t="shared" si="0"/>
        <v>1.3692948862187233E-2</v>
      </c>
      <c r="G61" s="16">
        <v>3995341</v>
      </c>
      <c r="S61" s="17"/>
    </row>
    <row r="62" spans="1:19" x14ac:dyDescent="0.2">
      <c r="A62" s="12" t="s">
        <v>58</v>
      </c>
      <c r="B62" s="13" t="s">
        <v>82</v>
      </c>
      <c r="C62" s="14">
        <v>956717</v>
      </c>
      <c r="D62" s="15">
        <f t="shared" si="0"/>
        <v>0.16527145945616759</v>
      </c>
      <c r="E62" s="14">
        <v>821025</v>
      </c>
      <c r="F62" s="15">
        <f t="shared" si="0"/>
        <v>-0.12432032901515168</v>
      </c>
      <c r="G62" s="16">
        <v>937586</v>
      </c>
      <c r="S62" s="17"/>
    </row>
    <row r="63" spans="1:19" x14ac:dyDescent="0.2">
      <c r="A63" s="12" t="s">
        <v>59</v>
      </c>
      <c r="B63" s="13" t="s">
        <v>82</v>
      </c>
      <c r="C63" s="14">
        <v>12372188</v>
      </c>
      <c r="D63" s="15">
        <f t="shared" si="0"/>
        <v>-1.5685952522395718E-4</v>
      </c>
      <c r="E63" s="14">
        <v>12374129</v>
      </c>
      <c r="F63" s="15">
        <f t="shared" si="0"/>
        <v>5.7635322918335435E-3</v>
      </c>
      <c r="G63" s="16">
        <v>12303219</v>
      </c>
      <c r="S63" s="17"/>
    </row>
    <row r="64" spans="1:19" x14ac:dyDescent="0.2">
      <c r="A64" s="12" t="s">
        <v>60</v>
      </c>
      <c r="B64" s="13" t="s">
        <v>82</v>
      </c>
      <c r="C64" s="14">
        <v>17474765</v>
      </c>
      <c r="D64" s="15">
        <f t="shared" si="0"/>
        <v>1.8273639649702165E-2</v>
      </c>
      <c r="E64" s="14">
        <v>17161168</v>
      </c>
      <c r="F64" s="15">
        <f t="shared" si="0"/>
        <v>-6.8888059680763105E-3</v>
      </c>
      <c r="G64" s="16">
        <v>17280208</v>
      </c>
      <c r="S64" s="17"/>
    </row>
    <row r="65" spans="1:19" x14ac:dyDescent="0.2">
      <c r="A65" s="12" t="s">
        <v>61</v>
      </c>
      <c r="B65" s="13" t="s">
        <v>83</v>
      </c>
      <c r="C65" s="14">
        <v>4320899</v>
      </c>
      <c r="D65" s="15">
        <f t="shared" si="0"/>
        <v>5.2736740956875035E-2</v>
      </c>
      <c r="E65" s="14">
        <v>4104444</v>
      </c>
      <c r="F65" s="15">
        <f t="shared" si="0"/>
        <v>1.4048888471629961E-2</v>
      </c>
      <c r="G65" s="16">
        <v>4047580</v>
      </c>
      <c r="S65" s="17"/>
    </row>
    <row r="66" spans="1:19" x14ac:dyDescent="0.2">
      <c r="A66" s="12" t="s">
        <v>62</v>
      </c>
      <c r="B66" s="13" t="s">
        <v>82</v>
      </c>
      <c r="C66" s="14">
        <v>2459460</v>
      </c>
      <c r="D66" s="15">
        <f t="shared" si="0"/>
        <v>-7.8992256219197046E-2</v>
      </c>
      <c r="E66" s="14">
        <v>2670401</v>
      </c>
      <c r="F66" s="15">
        <f t="shared" si="0"/>
        <v>4.7490780836179384E-3</v>
      </c>
      <c r="G66" s="16">
        <v>2657779</v>
      </c>
      <c r="S66" s="17"/>
    </row>
    <row r="67" spans="1:19" x14ac:dyDescent="0.2">
      <c r="A67" s="12" t="s">
        <v>63</v>
      </c>
      <c r="B67" s="13" t="s">
        <v>83</v>
      </c>
      <c r="C67" s="14"/>
      <c r="D67" s="15" t="s">
        <v>79</v>
      </c>
      <c r="E67" s="14"/>
      <c r="F67" s="15" t="s">
        <v>79</v>
      </c>
      <c r="G67" s="16"/>
      <c r="S67" s="17"/>
    </row>
    <row r="68" spans="1:19" x14ac:dyDescent="0.2">
      <c r="A68" s="12" t="s">
        <v>64</v>
      </c>
      <c r="B68" s="13" t="s">
        <v>82</v>
      </c>
      <c r="C68" s="14">
        <v>69688025</v>
      </c>
      <c r="D68" s="15">
        <f t="shared" si="0"/>
        <v>-0.10478855480131344</v>
      </c>
      <c r="E68" s="14">
        <v>77845324</v>
      </c>
      <c r="F68" s="15">
        <f t="shared" si="0"/>
        <v>4.6747569359259902E-2</v>
      </c>
      <c r="G68" s="16">
        <v>74368765</v>
      </c>
      <c r="S68" s="17"/>
    </row>
    <row r="69" spans="1:19" x14ac:dyDescent="0.2">
      <c r="A69" s="12" t="s">
        <v>65</v>
      </c>
      <c r="B69" s="13" t="s">
        <v>83</v>
      </c>
      <c r="C69" s="14"/>
      <c r="D69" s="15" t="s">
        <v>79</v>
      </c>
      <c r="E69" s="14"/>
      <c r="F69" s="15" t="s">
        <v>79</v>
      </c>
      <c r="G69" s="16"/>
    </row>
    <row r="70" spans="1:19" x14ac:dyDescent="0.2">
      <c r="A70" s="12" t="s">
        <v>66</v>
      </c>
      <c r="B70" s="13" t="s">
        <v>82</v>
      </c>
      <c r="C70" s="14">
        <v>3678311</v>
      </c>
      <c r="D70" s="15">
        <f t="shared" ref="D70:F73" si="1">((C70-E70)/E70)</f>
        <v>4.9787634330347483E-2</v>
      </c>
      <c r="E70" s="14">
        <v>3503862</v>
      </c>
      <c r="F70" s="15">
        <f t="shared" si="1"/>
        <v>1.3540438500780433E-2</v>
      </c>
      <c r="G70" s="16">
        <v>3457052</v>
      </c>
      <c r="S70" s="17"/>
    </row>
    <row r="71" spans="1:19" x14ac:dyDescent="0.2">
      <c r="A71" s="12" t="s">
        <v>67</v>
      </c>
      <c r="B71" s="13" t="s">
        <v>83</v>
      </c>
      <c r="C71" s="14">
        <v>2166427</v>
      </c>
      <c r="D71" s="15">
        <f t="shared" si="1"/>
        <v>5.3789587147662958E-2</v>
      </c>
      <c r="E71" s="14">
        <v>2055844</v>
      </c>
      <c r="F71" s="15">
        <f t="shared" si="1"/>
        <v>1.4232898568027334E-2</v>
      </c>
      <c r="G71" s="16">
        <v>2026994</v>
      </c>
    </row>
    <row r="72" spans="1:19" x14ac:dyDescent="0.2">
      <c r="A72" s="18"/>
      <c r="B72" s="19"/>
      <c r="C72" s="14"/>
      <c r="D72" s="20"/>
      <c r="E72" s="14"/>
      <c r="F72" s="20"/>
      <c r="G72" s="16"/>
    </row>
    <row r="73" spans="1:19" ht="15.75" thickBot="1" x14ac:dyDescent="0.3">
      <c r="A73" s="21" t="s">
        <v>68</v>
      </c>
      <c r="B73" s="22"/>
      <c r="C73" s="23">
        <f>SUM(C5:C71)</f>
        <v>2275633498</v>
      </c>
      <c r="D73" s="24">
        <f t="shared" si="1"/>
        <v>0.11693530229977094</v>
      </c>
      <c r="E73" s="23">
        <f>SUM(E5:E71)</f>
        <v>2037390611</v>
      </c>
      <c r="F73" s="24">
        <f t="shared" si="1"/>
        <v>3.1279135421234158E-2</v>
      </c>
      <c r="G73" s="25">
        <f>SUM(G5:G71)</f>
        <v>1975595686</v>
      </c>
      <c r="S73" s="17"/>
    </row>
    <row r="74" spans="1:19" x14ac:dyDescent="0.2">
      <c r="S74" s="17"/>
    </row>
    <row r="75" spans="1:19" x14ac:dyDescent="0.2">
      <c r="A75" s="26" t="s">
        <v>87</v>
      </c>
      <c r="S75" s="17"/>
    </row>
  </sheetData>
  <phoneticPr fontId="3" type="noConversion"/>
  <conditionalFormatting sqref="A75">
    <cfRule type="expression" dxfId="3" priority="31" stopIfTrue="1">
      <formula>MOD(ROW(),5)=1</formula>
    </cfRule>
  </conditionalFormatting>
  <conditionalFormatting sqref="A72:G73 A5:A71 C5:G71">
    <cfRule type="expression" dxfId="2" priority="3" stopIfTrue="1">
      <formula>MOD(ROW(),3)=1</formula>
    </cfRule>
  </conditionalFormatting>
  <conditionalFormatting sqref="A4:G4">
    <cfRule type="expression" dxfId="1" priority="2" stopIfTrue="1">
      <formula>MOD(ROW(),3)=1</formula>
    </cfRule>
  </conditionalFormatting>
  <conditionalFormatting sqref="B5:B71">
    <cfRule type="expression" dxfId="0"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D74:F74 E73"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1166BEE4B88A42947F6C3C78DF4222" ma:contentTypeVersion="3" ma:contentTypeDescription="Create a new document." ma:contentTypeScope="" ma:versionID="56528aa3969daa96996fae423c61dab6">
  <xsd:schema xmlns:xsd="http://www.w3.org/2001/XMLSchema" xmlns:xs="http://www.w3.org/2001/XMLSchema" xmlns:p="http://schemas.microsoft.com/office/2006/metadata/properties" xmlns:ns1="http://schemas.microsoft.com/sharepoint/v3" targetNamespace="http://schemas.microsoft.com/office/2006/metadata/properties" ma:root="true" ma:fieldsID="ff328a1cd662c37536c074f55b1464a7"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2202F5FC-DCA6-4FA2-A1A0-3FDB366931DF}"/>
</file>

<file path=customXml/itemProps2.xml><?xml version="1.0" encoding="utf-8"?>
<ds:datastoreItem xmlns:ds="http://schemas.openxmlformats.org/officeDocument/2006/customXml" ds:itemID="{37F3DE20-AD80-45C1-9CC9-7D9612E7AFE1}"/>
</file>

<file path=customXml/itemProps3.xml><?xml version="1.0" encoding="utf-8"?>
<ds:datastoreItem xmlns:ds="http://schemas.openxmlformats.org/officeDocument/2006/customXml" ds:itemID="{C6BD4C2A-1401-4E64-AE99-8BC1CC1AD99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Report Index</vt:lpstr>
      <vt:lpstr>Just Value All Property Types</vt:lpstr>
      <vt:lpstr>All Property Just Value</vt:lpstr>
      <vt:lpstr>Real Property Just Value</vt:lpstr>
      <vt:lpstr>Personal Property Just Value</vt:lpstr>
      <vt:lpstr>Centrally Assessed Just Value </vt:lpstr>
      <vt:lpstr>'All Property Just Value'!Print_Area</vt:lpstr>
      <vt:lpstr>'Centrally Assessed Just Value '!Print_Area</vt:lpstr>
      <vt:lpstr>'Just Value All Property Types'!Print_Area</vt:lpstr>
      <vt:lpstr>'Personal Property Just Value'!Print_Area</vt:lpstr>
      <vt:lpstr>'Real Property Just Value'!Print_Area</vt:lpstr>
      <vt:lpstr>'Report Index'!Print_Area</vt:lpstr>
      <vt:lpstr>'All Property Just Value'!Print_Titles</vt:lpstr>
      <vt:lpstr>'Centrally Assessed Just Value '!Print_Titles</vt:lpstr>
      <vt:lpstr>'Just Value All Property Types'!Print_Titles</vt:lpstr>
      <vt:lpstr>'Personal Property Just Value'!Print_Titles</vt:lpstr>
      <vt:lpstr>'Real Property Just Value'!Print_Titles</vt:lpstr>
    </vt:vector>
  </TitlesOfParts>
  <Company>Florida Dept. of Revenue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Florida Dept. of Revenue</dc:creator>
  <cp:lastModifiedBy>Allison Kever</cp:lastModifiedBy>
  <cp:lastPrinted>2011-02-11T15:23:46Z</cp:lastPrinted>
  <dcterms:created xsi:type="dcterms:W3CDTF">2010-08-10T15:50:22Z</dcterms:created>
  <dcterms:modified xsi:type="dcterms:W3CDTF">2024-11-07T15:11:20Z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0x010100211166BEE4B88A42947F6C3C78DF4222</vt:lpwstr>
  </property>
</Properties>
</file>