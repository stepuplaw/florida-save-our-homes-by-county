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For Review\"/>
    </mc:Choice>
  </mc:AlternateContent>
  <xr:revisionPtr revIDLastSave="0" documentId="13_ncr:1_{F33B3CAF-3EA3-4017-B288-9580A212D018}" xr6:coauthVersionLast="47" xr6:coauthVersionMax="47" xr10:uidLastSave="{00000000-0000-0000-0000-000000000000}"/>
  <bookViews>
    <workbookView xWindow="28680" yWindow="-120" windowWidth="29040" windowHeight="15720" tabRatio="708" xr2:uid="{00000000-000D-0000-FFFF-FFFF00000000}"/>
  </bookViews>
  <sheets>
    <sheet name="Report Index" sheetId="10" r:id="rId1"/>
    <sheet name="Assessed Value All Property" sheetId="9" r:id="rId2"/>
    <sheet name="All Property Assessed Value" sheetId="4" r:id="rId3"/>
    <sheet name="Real Property Assessed Value" sheetId="6" r:id="rId4"/>
    <sheet name="Personal Prop Assessed Value" sheetId="7" r:id="rId5"/>
    <sheet name="Centrally Prop Assessed Value " sheetId="8" r:id="rId6"/>
  </sheets>
  <definedNames>
    <definedName name="_xlnm.Print_Area" localSheetId="2">'All Property Assessed Value'!$A$1:$G$75</definedName>
    <definedName name="_xlnm.Print_Area" localSheetId="1">'Assessed Value All Property'!$A$1:$F$75</definedName>
    <definedName name="_xlnm.Print_Area" localSheetId="5">'Centrally Prop Assessed Value '!$A$1:$G$73</definedName>
    <definedName name="_xlnm.Print_Area" localSheetId="4">'Personal Prop Assessed Value'!$A$1:$G$73</definedName>
    <definedName name="_xlnm.Print_Area" localSheetId="3">'Real Property Assessed Value'!$A$1:$G$73</definedName>
    <definedName name="_xlnm.Print_Area" localSheetId="0">'Report Index'!$A$1:$H$20</definedName>
    <definedName name="_xlnm.Print_Titles" localSheetId="2">'All Property Assessed Value'!$1:$4</definedName>
    <definedName name="_xlnm.Print_Titles" localSheetId="1">'Assessed Value All Property'!$1:$4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9" l="1"/>
  <c r="E73" i="7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71" i="8"/>
  <c r="F70" i="8"/>
  <c r="F68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7" i="8"/>
  <c r="F46" i="8"/>
  <c r="F45" i="8"/>
  <c r="F44" i="8"/>
  <c r="F43" i="8"/>
  <c r="F42" i="8"/>
  <c r="F41" i="8"/>
  <c r="F40" i="8"/>
  <c r="F39" i="8"/>
  <c r="F37" i="8"/>
  <c r="F36" i="8"/>
  <c r="F35" i="8"/>
  <c r="F34" i="8"/>
  <c r="F33" i="8"/>
  <c r="F32" i="8"/>
  <c r="F31" i="8"/>
  <c r="F30" i="8"/>
  <c r="F29" i="8"/>
  <c r="F28" i="8"/>
  <c r="F27" i="8"/>
  <c r="F26" i="8"/>
  <c r="F24" i="8"/>
  <c r="F23" i="8"/>
  <c r="F22" i="8"/>
  <c r="F21" i="8"/>
  <c r="F20" i="8"/>
  <c r="F18" i="8"/>
  <c r="F17" i="8"/>
  <c r="F16" i="8"/>
  <c r="F15" i="8"/>
  <c r="F14" i="8"/>
  <c r="F13" i="8"/>
  <c r="F12" i="8"/>
  <c r="F10" i="8"/>
  <c r="F9" i="8"/>
  <c r="F8" i="8"/>
  <c r="F7" i="8"/>
  <c r="F6" i="8"/>
  <c r="F5" i="8"/>
  <c r="F67" i="4"/>
  <c r="F48" i="4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5" i="4"/>
  <c r="D8" i="8"/>
  <c r="D7" i="8"/>
  <c r="D6" i="8"/>
  <c r="D5" i="8"/>
  <c r="D71" i="8"/>
  <c r="D70" i="8"/>
  <c r="D68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7" i="8"/>
  <c r="D46" i="8"/>
  <c r="D45" i="8"/>
  <c r="D44" i="8"/>
  <c r="D42" i="8"/>
  <c r="D41" i="8"/>
  <c r="D40" i="8"/>
  <c r="D39" i="8"/>
  <c r="D37" i="8"/>
  <c r="D36" i="8"/>
  <c r="D35" i="8"/>
  <c r="D34" i="8"/>
  <c r="D33" i="8"/>
  <c r="D32" i="8"/>
  <c r="D31" i="8"/>
  <c r="D30" i="8"/>
  <c r="D29" i="8"/>
  <c r="D28" i="8"/>
  <c r="D26" i="8"/>
  <c r="D24" i="8"/>
  <c r="D22" i="8"/>
  <c r="D21" i="8"/>
  <c r="D20" i="8"/>
  <c r="D18" i="8"/>
  <c r="D17" i="8"/>
  <c r="D16" i="8"/>
  <c r="D15" i="8"/>
  <c r="D14" i="8"/>
  <c r="D13" i="8"/>
  <c r="D12" i="8"/>
  <c r="D10" i="8"/>
  <c r="D9" i="8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8" i="6"/>
  <c r="D7" i="6"/>
  <c r="D6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G73" i="6"/>
  <c r="E73" i="6"/>
  <c r="G73" i="7"/>
  <c r="C73" i="9"/>
  <c r="G73" i="8"/>
  <c r="D73" i="9"/>
  <c r="E73" i="9"/>
  <c r="E73" i="8"/>
  <c r="F19" i="4"/>
  <c r="F22" i="4"/>
  <c r="F46" i="4"/>
  <c r="F21" i="4"/>
  <c r="F45" i="4"/>
  <c r="F69" i="4"/>
  <c r="G73" i="4"/>
  <c r="E73" i="4"/>
  <c r="F20" i="4"/>
  <c r="F44" i="4"/>
  <c r="F49" i="4"/>
  <c r="F25" i="4"/>
  <c r="F47" i="4"/>
  <c r="F71" i="4"/>
  <c r="F50" i="4"/>
  <c r="F24" i="4"/>
  <c r="F23" i="4"/>
  <c r="F26" i="4"/>
  <c r="F51" i="4"/>
  <c r="F27" i="4"/>
  <c r="F52" i="4"/>
  <c r="F28" i="4"/>
  <c r="F53" i="4"/>
  <c r="F29" i="4"/>
  <c r="F54" i="4"/>
  <c r="F5" i="4"/>
  <c r="F30" i="4"/>
  <c r="F55" i="4"/>
  <c r="F6" i="4"/>
  <c r="F31" i="4"/>
  <c r="F56" i="4"/>
  <c r="F7" i="4"/>
  <c r="F32" i="4"/>
  <c r="F57" i="4"/>
  <c r="F8" i="4"/>
  <c r="F33" i="4"/>
  <c r="F58" i="4"/>
  <c r="F9" i="4"/>
  <c r="F34" i="4"/>
  <c r="F59" i="4"/>
  <c r="F10" i="4"/>
  <c r="F35" i="4"/>
  <c r="F60" i="4"/>
  <c r="F11" i="4"/>
  <c r="F36" i="4"/>
  <c r="F61" i="4"/>
  <c r="F12" i="4"/>
  <c r="F37" i="4"/>
  <c r="F62" i="4"/>
  <c r="F13" i="4"/>
  <c r="F38" i="4"/>
  <c r="F63" i="4"/>
  <c r="F14" i="4"/>
  <c r="F39" i="4"/>
  <c r="F64" i="4"/>
  <c r="F15" i="4"/>
  <c r="F40" i="4"/>
  <c r="F65" i="4"/>
  <c r="F16" i="4"/>
  <c r="F41" i="4"/>
  <c r="F66" i="4"/>
  <c r="F17" i="4"/>
  <c r="F42" i="4"/>
  <c r="F68" i="4"/>
  <c r="F18" i="4"/>
  <c r="F43" i="4"/>
  <c r="F70" i="4"/>
  <c r="C73" i="8"/>
  <c r="D5" i="6"/>
  <c r="D6" i="4"/>
  <c r="D5" i="7"/>
  <c r="C73" i="7"/>
  <c r="C73" i="6"/>
  <c r="C73" i="4"/>
  <c r="F73" i="7" l="1"/>
  <c r="D73" i="7"/>
  <c r="F73" i="6"/>
  <c r="D73" i="8"/>
  <c r="D73" i="4"/>
  <c r="F73" i="8"/>
  <c r="F73" i="4"/>
  <c r="D73" i="6"/>
  <c r="F73" i="9"/>
</calcChain>
</file>

<file path=xl/sharedStrings.xml><?xml version="1.0" encoding="utf-8"?>
<sst xmlns="http://schemas.openxmlformats.org/spreadsheetml/2006/main" count="487" uniqueCount="98">
  <si>
    <t>County</t>
  </si>
  <si>
    <t>Status</t>
  </si>
  <si>
    <t>Saint Johns</t>
  </si>
  <si>
    <t>Saint Lucie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</si>
  <si>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</si>
  <si>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</si>
  <si>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</si>
  <si>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</si>
  <si>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</si>
  <si>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</si>
  <si>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</si>
  <si>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</si>
  <si>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</si>
  <si>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</si>
  <si>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</si>
  <si>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</si>
  <si>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</si>
  <si>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</si>
  <si>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</si>
  <si>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</si>
  <si>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</si>
  <si>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</si>
  <si>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</si>
  <si>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</si>
  <si>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</si>
  <si>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</si>
  <si>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</si>
  <si>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</si>
  <si>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</si>
  <si>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</si>
  <si>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</si>
  <si>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</si>
  <si>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</si>
  <si>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</si>
  <si>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</si>
  <si>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</si>
  <si>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</si>
  <si>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</si>
  <si>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</si>
  <si>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</si>
  <si>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</si>
  <si>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</si>
  <si>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</si>
  <si>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</si>
  <si>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</si>
  <si>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</si>
  <si>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</si>
  <si>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</si>
  <si>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</si>
  <si>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</si>
  <si>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</si>
  <si>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</si>
  <si>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</si>
  <si>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</si>
  <si>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</si>
  <si>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</si>
  <si>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</si>
  <si>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</si>
  <si>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</si>
  <si>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</si>
  <si>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</si>
  <si>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</si>
  <si>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</si>
  <si>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</si>
  <si>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</si>
  <si>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</si>
  <si>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</si>
  <si>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</si>
  <si>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</si>
  <si>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Assessed Value All Property Types</t>
  </si>
  <si>
    <t>All Property Types Assessed Value and Growth Rate</t>
  </si>
  <si>
    <t>Real Property Assessed Value and Growth Rate</t>
  </si>
  <si>
    <t>Personal Property Assessed Value and Growth Rate</t>
  </si>
  <si>
    <t>Centrally Assessed Property Assessed Value and Growth Rate</t>
  </si>
  <si>
    <t>Statewide Assessed Value Summary Information by County</t>
  </si>
  <si>
    <t>Assessed Value is the value of the property with regard to a possible Agricultural classification and any deferred amount accumulated because of Save Our Homes, Amendment 1.</t>
  </si>
  <si>
    <t xml:space="preserve">Contact Information: </t>
  </si>
  <si>
    <t xml:space="preserve">Property Tax Oversight, Research &amp; Analysis  </t>
  </si>
  <si>
    <t>Miami-Dade</t>
  </si>
  <si>
    <t xml:space="preserve">n/a </t>
  </si>
  <si>
    <t>PTOResearchAnalysis@floridarevenue.com</t>
  </si>
  <si>
    <t>R-Prelim</t>
  </si>
  <si>
    <t>2024 Value</t>
  </si>
  <si>
    <t>2025 Value</t>
  </si>
  <si>
    <t>Percent increase 2024-2025</t>
  </si>
  <si>
    <t xml:space="preserve"> 2026 Real Property
 Assessed Value</t>
  </si>
  <si>
    <t>2026 Personal Property Assessed Value</t>
  </si>
  <si>
    <t xml:space="preserve"> 2026 Central Assessment Assessed Value</t>
  </si>
  <si>
    <t>2026 Total
 Assessed Value</t>
  </si>
  <si>
    <t>Data Extract: July 2026</t>
  </si>
  <si>
    <t>2024-2026</t>
  </si>
  <si>
    <t>2026 Value</t>
  </si>
  <si>
    <t>Percent increase 2025-2026</t>
  </si>
  <si>
    <t>*Escambia 2026 Real Property and Total Assessed Value has been administratively updated</t>
  </si>
  <si>
    <t>*Lake, Walton, Taylor, and Sumter 2026 Personal Property and Total Assessed Value has been administratively updated</t>
  </si>
  <si>
    <t>*Escambia, Lake, Walton, Taylor, and Sumter 2026 All Property Assessed Value has been administratively updated</t>
  </si>
  <si>
    <t>*Escambia 2026 Real Property Assessed Value has been administratively updated</t>
  </si>
  <si>
    <t>*Lake, Walton, Taylor, and Sumter 2026 Personal Property Assessed Value has been administratively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</si>
</sst>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0" applyFont="1"/>
    <xf numFmtId="0" fontId="7" fillId="0" borderId="0" xfId="0" applyFont="1"/>
    <xf numFmtId="3" fontId="7" fillId="0" borderId="0" xfId="0" applyNumberFormat="1" applyFont="1" applyBorder="1" applyAlignment="1">
      <alignment horizontal="left" vertical="center" wrapText="1"/>
    </xf>
    <xf numFmtId="0" fontId="8" fillId="0" borderId="0" xfId="3" applyFont="1" applyAlignment="1" applyProtection="1"/>
    <xf numFmtId="0" fontId="9" fillId="0" borderId="0" xfId="0" applyFont="1"/>
    <xf numFmtId="0" fontId="1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/>
    <xf numFmtId="10" fontId="7" fillId="0" borderId="2" xfId="5" applyNumberFormat="1" applyFont="1" applyBorder="1" applyAlignment="1">
      <alignment horizontal="right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 applyAlignment="1">
      <alignment horizontal="center"/>
    </xf>
    <xf numFmtId="3" fontId="6" fillId="2" borderId="7" xfId="0" applyNumberFormat="1" applyFont="1" applyFill="1" applyBorder="1"/>
    <xf numFmtId="10" fontId="6" fillId="2" borderId="7" xfId="5" applyNumberFormat="1" applyFont="1" applyFill="1" applyBorder="1" applyAlignment="1">
      <alignment horizontal="right"/>
    </xf>
    <xf numFmtId="3" fontId="6" fillId="2" borderId="8" xfId="0" applyNumberFormat="1" applyFont="1" applyFill="1" applyBorder="1"/>
    <xf numFmtId="0" fontId="7" fillId="0" borderId="0" xfId="0" applyFont="1" applyFill="1" applyBorder="1"/>
    <xf numFmtId="3" fontId="7" fillId="0" borderId="0" xfId="0" applyNumberFormat="1" applyFont="1"/>
    <xf numFmtId="3" fontId="7" fillId="0" borderId="2" xfId="1" applyNumberFormat="1" applyFont="1" applyBorder="1" applyAlignment="1"/>
    <xf numFmtId="3" fontId="7" fillId="0" borderId="2" xfId="1" applyNumberFormat="1" applyFont="1" applyBorder="1"/>
    <xf numFmtId="3" fontId="7" fillId="0" borderId="3" xfId="1" applyNumberFormat="1" applyFont="1" applyBorder="1"/>
    <xf numFmtId="3" fontId="7" fillId="0" borderId="5" xfId="1" applyNumberFormat="1" applyFont="1" applyBorder="1" applyAlignment="1"/>
    <xf numFmtId="3" fontId="7" fillId="0" borderId="5" xfId="1" applyNumberFormat="1" applyFont="1" applyBorder="1"/>
    <xf numFmtId="3" fontId="7" fillId="0" borderId="9" xfId="1" applyNumberFormat="1" applyFont="1" applyBorder="1"/>
    <xf numFmtId="3" fontId="6" fillId="2" borderId="7" xfId="1" applyNumberFormat="1" applyFont="1" applyFill="1" applyBorder="1"/>
    <xf numFmtId="3" fontId="6" fillId="2" borderId="8" xfId="1" applyNumberFormat="1" applyFont="1" applyFill="1" applyBorder="1"/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3" fontId="7" fillId="0" borderId="15" xfId="0" applyNumberFormat="1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left" vertical="center" wrapText="1"/>
    </xf>
    <xf numFmtId="3" fontId="7" fillId="0" borderId="17" xfId="0" applyNumberFormat="1" applyFont="1" applyBorder="1" applyAlignment="1">
      <alignment horizontal="left" vertical="center" wrapText="1"/>
    </xf>
    <xf numFmtId="3" fontId="7" fillId="0" borderId="18" xfId="0" applyNumberFormat="1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left" vertical="center" wrapText="1"/>
    </xf>
    <xf numFmtId="3" fontId="7" fillId="0" borderId="19" xfId="0" applyNumberFormat="1" applyFont="1" applyBorder="1" applyAlignment="1">
      <alignment horizontal="left" vertical="center" wrapText="1"/>
    </xf>
    <xf numFmtId="3" fontId="7" fillId="0" borderId="20" xfId="0" applyNumberFormat="1" applyFont="1" applyBorder="1" applyAlignment="1">
      <alignment horizontal="left" vertical="center" wrapText="1"/>
    </xf>
    <xf numFmtId="3" fontId="7" fillId="0" borderId="21" xfId="0" applyNumberFormat="1" applyFont="1" applyBorder="1" applyAlignment="1">
      <alignment horizontal="left" vertical="center" wrapText="1"/>
    </xf>
    <xf numFmtId="3" fontId="7" fillId="0" borderId="22" xfId="0" applyNumberFormat="1" applyFont="1" applyBorder="1" applyAlignment="1">
      <alignment horizontal="left" vertical="center" wrapText="1"/>
    </xf>
    <xf numFmtId="0" fontId="8" fillId="0" borderId="0" xfId="3" applyFont="1" applyAlignment="1" applyProtection="1">
      <alignment horizontal="left"/>
    </xf>
  </cellXfs>
  <cellStyles count="6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Percent" xfId="5" builtinId="5"/>
  </cellStyles>
  <dxfs count="11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/>
  </sheetViews>
  <sheetFormatPr defaultRowHeight="14.25" x14ac:dyDescent="0.2"/>
  <cols>
    <col min="1" max="7" width="9.140625" style="2"/>
    <col min="8" max="8" width="9.140625" style="2" customWidth="1"/>
    <col min="9" max="16384" width="9.140625" style="2"/>
  </cols>
  <sheetData>
    <row r="2" spans="1:8" ht="15" x14ac:dyDescent="0.25">
      <c r="A2" s="1" t="s">
        <v>74</v>
      </c>
    </row>
    <row r="3" spans="1:8" ht="15" thickBot="1" x14ac:dyDescent="0.25"/>
    <row r="4" spans="1:8" x14ac:dyDescent="0.2">
      <c r="B4" s="42" t="s">
        <v>75</v>
      </c>
      <c r="C4" s="43"/>
      <c r="D4" s="43"/>
      <c r="E4" s="43"/>
      <c r="F4" s="43"/>
      <c r="G4" s="43"/>
      <c r="H4" s="44"/>
    </row>
    <row r="5" spans="1:8" x14ac:dyDescent="0.2">
      <c r="B5" s="45"/>
      <c r="C5" s="46"/>
      <c r="D5" s="46"/>
      <c r="E5" s="46"/>
      <c r="F5" s="46"/>
      <c r="G5" s="46"/>
      <c r="H5" s="47"/>
    </row>
    <row r="6" spans="1:8" x14ac:dyDescent="0.2">
      <c r="B6" s="45"/>
      <c r="C6" s="46"/>
      <c r="D6" s="46"/>
      <c r="E6" s="46"/>
      <c r="F6" s="46"/>
      <c r="G6" s="46"/>
      <c r="H6" s="47"/>
    </row>
    <row r="7" spans="1:8" x14ac:dyDescent="0.2">
      <c r="B7" s="45"/>
      <c r="C7" s="46"/>
      <c r="D7" s="46"/>
      <c r="E7" s="46"/>
      <c r="F7" s="46"/>
      <c r="G7" s="46"/>
      <c r="H7" s="47"/>
    </row>
    <row r="8" spans="1:8" x14ac:dyDescent="0.2">
      <c r="B8" s="45"/>
      <c r="C8" s="46"/>
      <c r="D8" s="46"/>
      <c r="E8" s="46"/>
      <c r="F8" s="46"/>
      <c r="G8" s="46"/>
      <c r="H8" s="47"/>
    </row>
    <row r="9" spans="1:8" ht="15" thickBot="1" x14ac:dyDescent="0.25">
      <c r="B9" s="48"/>
      <c r="C9" s="49"/>
      <c r="D9" s="49"/>
      <c r="E9" s="49"/>
      <c r="F9" s="49"/>
      <c r="G9" s="49"/>
      <c r="H9" s="50"/>
    </row>
    <row r="10" spans="1:8" x14ac:dyDescent="0.2">
      <c r="B10" s="3"/>
      <c r="C10" s="3"/>
      <c r="D10" s="3"/>
      <c r="E10" s="3"/>
      <c r="F10" s="3"/>
      <c r="G10" s="3"/>
      <c r="H10" s="3"/>
    </row>
    <row r="11" spans="1:8" x14ac:dyDescent="0.2">
      <c r="B11" s="51" t="s">
        <v>69</v>
      </c>
      <c r="C11" s="51"/>
      <c r="D11" s="51"/>
      <c r="E11" s="51"/>
      <c r="F11" s="51"/>
      <c r="G11" s="51"/>
      <c r="H11" s="51"/>
    </row>
    <row r="13" spans="1:8" x14ac:dyDescent="0.2">
      <c r="B13" s="51" t="s">
        <v>70</v>
      </c>
      <c r="C13" s="51"/>
      <c r="D13" s="51"/>
      <c r="E13" s="51"/>
      <c r="F13" s="51"/>
      <c r="G13" s="51"/>
      <c r="H13" s="51"/>
    </row>
    <row r="15" spans="1:8" x14ac:dyDescent="0.2">
      <c r="B15" s="51" t="s">
        <v>71</v>
      </c>
      <c r="C15" s="51"/>
      <c r="D15" s="51"/>
      <c r="E15" s="51"/>
      <c r="F15" s="51"/>
      <c r="G15" s="51"/>
      <c r="H15" s="51"/>
    </row>
    <row r="17" spans="1:9" x14ac:dyDescent="0.2">
      <c r="B17" s="51" t="s">
        <v>72</v>
      </c>
      <c r="C17" s="51"/>
      <c r="D17" s="51"/>
      <c r="E17" s="51"/>
      <c r="F17" s="51"/>
      <c r="G17" s="51"/>
      <c r="H17" s="51"/>
    </row>
    <row r="19" spans="1:9" x14ac:dyDescent="0.2">
      <c r="B19" s="51" t="s">
        <v>73</v>
      </c>
      <c r="C19" s="51"/>
      <c r="D19" s="51"/>
      <c r="E19" s="51"/>
      <c r="F19" s="51"/>
      <c r="G19" s="51"/>
      <c r="H19" s="51"/>
      <c r="I19" s="4"/>
    </row>
    <row r="25" spans="1:9" x14ac:dyDescent="0.2">
      <c r="A25" s="5" t="s">
        <v>76</v>
      </c>
      <c r="D25" s="5" t="s">
        <v>77</v>
      </c>
    </row>
    <row r="26" spans="1:9" x14ac:dyDescent="0.2">
      <c r="D26" s="4" t="s">
        <v>80</v>
      </c>
    </row>
  </sheetData>
  <mergeCells count="6">
    <mergeCell ref="B4:H9"/>
    <mergeCell ref="B11:H11"/>
    <mergeCell ref="B19:H19"/>
    <mergeCell ref="B13:H13"/>
    <mergeCell ref="B15:H15"/>
    <mergeCell ref="B17:H17"/>
  </mergeCells>
  <phoneticPr fontId="3" type="noConversion"/>
  <hyperlinks>
    <hyperlink ref="B11" location="'Assessed Value All Property'!A1" display="Assessed Value All Property Types 2010" xr:uid="{00000000-0004-0000-0000-000000000000}"/>
    <hyperlink ref="B13" location="'All Property Assessed Value'!A1" display="All Property Types Assessed Value and Growth Rate 2008 - 2010" xr:uid="{00000000-0004-0000-0000-000001000000}"/>
    <hyperlink ref="B15" location="'Real Property Assessed Value'!A1" display="Real Property Assessed Value and Growth Rate 2008 - 2010" xr:uid="{00000000-0004-0000-0000-000002000000}"/>
    <hyperlink ref="B17" location="'Personal Prop Assessed Value'!A1" display="Personal Property Assessed Value and Growth Rate 2008 - 2010" xr:uid="{00000000-0004-0000-0000-000003000000}"/>
    <hyperlink ref="B19" location="'Centrally Prop Assessed Value '!A1" display="Centrally Assessed Property Assessed Value and Growth Rate 2008 - 2010" xr:uid="{00000000-0004-0000-0000-000004000000}"/>
    <hyperlink ref="D26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workbookViewId="0">
      <pane ySplit="4" topLeftCell="A29" activePane="bottomLeft" state="frozen"/>
      <selection sqref="A1:XFD1048576"/>
      <selection pane="bottomLeft" activeCell="F43" sqref="F43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9" style="2" bestFit="1" customWidth="1"/>
    <col min="4" max="4" width="22.42578125" style="2" bestFit="1" customWidth="1"/>
    <col min="5" max="5" width="24.28515625" style="2" bestFit="1" customWidth="1"/>
    <col min="6" max="6" width="18.42578125" style="2" bestFit="1" customWidth="1"/>
    <col min="7" max="16384" width="9.140625" style="2"/>
  </cols>
  <sheetData>
    <row r="1" spans="1:6" ht="23.25" x14ac:dyDescent="0.35">
      <c r="A1" s="6" t="s">
        <v>69</v>
      </c>
      <c r="B1" s="7"/>
      <c r="C1" s="8"/>
      <c r="D1" s="8"/>
      <c r="E1" s="8"/>
      <c r="F1" s="8"/>
    </row>
    <row r="2" spans="1:6" ht="15" x14ac:dyDescent="0.25">
      <c r="A2" s="9">
        <v>2026</v>
      </c>
      <c r="B2" s="9"/>
      <c r="C2" s="9"/>
      <c r="D2" s="9"/>
      <c r="E2" s="9"/>
      <c r="F2" s="9"/>
    </row>
    <row r="3" spans="1:6" s="40" customFormat="1" ht="15" thickBot="1" x14ac:dyDescent="0.25">
      <c r="B3" s="41"/>
    </row>
    <row r="4" spans="1:6" s="37" customFormat="1" ht="25.5" x14ac:dyDescent="0.2">
      <c r="A4" s="34" t="s">
        <v>0</v>
      </c>
      <c r="B4" s="35" t="s">
        <v>1</v>
      </c>
      <c r="C4" s="35" t="s">
        <v>85</v>
      </c>
      <c r="D4" s="35" t="s">
        <v>86</v>
      </c>
      <c r="E4" s="35" t="s">
        <v>87</v>
      </c>
      <c r="F4" s="36" t="s">
        <v>88</v>
      </c>
    </row>
    <row r="5" spans="1:6" x14ac:dyDescent="0.2">
      <c r="A5" s="11" t="s">
        <v>4</v>
      </c>
      <c r="B5" s="12" t="s">
        <v>81</v>
      </c>
      <c r="C5" s="26">
        <v>34840429609</v>
      </c>
      <c r="D5" s="26">
        <v>4420026482</v>
      </c>
      <c r="E5" s="27">
        <v>35914609</v>
      </c>
      <c r="F5" s="28">
        <v>39296370700</v>
      </c>
    </row>
    <row r="6" spans="1:6" x14ac:dyDescent="0.2">
      <c r="A6" s="11" t="s">
        <v>5</v>
      </c>
      <c r="B6" s="12" t="s">
        <v>81</v>
      </c>
      <c r="C6" s="26">
        <v>2280897071</v>
      </c>
      <c r="D6" s="26">
        <v>285317729</v>
      </c>
      <c r="E6" s="27">
        <v>13796624</v>
      </c>
      <c r="F6" s="28">
        <v>2580011424</v>
      </c>
    </row>
    <row r="7" spans="1:6" x14ac:dyDescent="0.2">
      <c r="A7" s="11" t="s">
        <v>6</v>
      </c>
      <c r="B7" s="12" t="s">
        <v>81</v>
      </c>
      <c r="C7" s="26">
        <v>37915535497</v>
      </c>
      <c r="D7" s="26">
        <v>2687112330</v>
      </c>
      <c r="E7" s="27">
        <v>30583860</v>
      </c>
      <c r="F7" s="28">
        <v>40633231687</v>
      </c>
    </row>
    <row r="8" spans="1:6" x14ac:dyDescent="0.2">
      <c r="A8" s="11" t="s">
        <v>7</v>
      </c>
      <c r="B8" s="12" t="s">
        <v>81</v>
      </c>
      <c r="C8" s="26">
        <v>1851307814</v>
      </c>
      <c r="D8" s="26">
        <v>348512026</v>
      </c>
      <c r="E8" s="27">
        <v>20294348</v>
      </c>
      <c r="F8" s="28">
        <v>2220114188</v>
      </c>
    </row>
    <row r="9" spans="1:6" x14ac:dyDescent="0.2">
      <c r="A9" s="11" t="s">
        <v>8</v>
      </c>
      <c r="B9" s="12" t="s">
        <v>81</v>
      </c>
      <c r="C9" s="26">
        <v>92163188590</v>
      </c>
      <c r="D9" s="26">
        <v>12792815435</v>
      </c>
      <c r="E9" s="27">
        <v>134785621</v>
      </c>
      <c r="F9" s="28">
        <v>105090789646</v>
      </c>
    </row>
    <row r="10" spans="1:6" x14ac:dyDescent="0.2">
      <c r="A10" s="11" t="s">
        <v>9</v>
      </c>
      <c r="B10" s="12" t="s">
        <v>81</v>
      </c>
      <c r="C10" s="26">
        <v>378586860070</v>
      </c>
      <c r="D10" s="26">
        <v>13381973237</v>
      </c>
      <c r="E10" s="27">
        <v>104719059</v>
      </c>
      <c r="F10" s="28">
        <v>392073552366</v>
      </c>
    </row>
    <row r="11" spans="1:6" x14ac:dyDescent="0.2">
      <c r="A11" s="11" t="s">
        <v>10</v>
      </c>
      <c r="B11" s="12" t="s">
        <v>81</v>
      </c>
      <c r="C11" s="26">
        <v>730395719</v>
      </c>
      <c r="D11" s="26">
        <v>886504405</v>
      </c>
      <c r="E11" s="27"/>
      <c r="F11" s="28">
        <v>1616900124</v>
      </c>
    </row>
    <row r="12" spans="1:6" x14ac:dyDescent="0.2">
      <c r="A12" s="11" t="s">
        <v>11</v>
      </c>
      <c r="B12" s="12" t="s">
        <v>81</v>
      </c>
      <c r="C12" s="26">
        <v>40183752392</v>
      </c>
      <c r="D12" s="26">
        <v>2206355616</v>
      </c>
      <c r="E12" s="27">
        <v>2958202</v>
      </c>
      <c r="F12" s="28">
        <v>42393066210</v>
      </c>
    </row>
    <row r="13" spans="1:6" x14ac:dyDescent="0.2">
      <c r="A13" s="11" t="s">
        <v>12</v>
      </c>
      <c r="B13" s="12" t="s">
        <v>81</v>
      </c>
      <c r="C13" s="26">
        <v>19717975270</v>
      </c>
      <c r="D13" s="26">
        <v>2384961559</v>
      </c>
      <c r="E13" s="27">
        <v>1459025</v>
      </c>
      <c r="F13" s="28">
        <v>22104395854</v>
      </c>
    </row>
    <row r="14" spans="1:6" x14ac:dyDescent="0.2">
      <c r="A14" s="11" t="s">
        <v>13</v>
      </c>
      <c r="B14" s="12" t="s">
        <v>81</v>
      </c>
      <c r="C14" s="26">
        <v>25898656441</v>
      </c>
      <c r="D14" s="26">
        <v>2378488822</v>
      </c>
      <c r="E14" s="27">
        <v>36001517</v>
      </c>
      <c r="F14" s="28">
        <v>28313146780</v>
      </c>
    </row>
    <row r="15" spans="1:6" x14ac:dyDescent="0.2">
      <c r="A15" s="11" t="s">
        <v>14</v>
      </c>
      <c r="B15" s="12" t="s">
        <v>81</v>
      </c>
      <c r="C15" s="26">
        <v>181550237942</v>
      </c>
      <c r="D15" s="26">
        <v>3895364601</v>
      </c>
      <c r="E15" s="27">
        <v>224358</v>
      </c>
      <c r="F15" s="28">
        <v>185445826901</v>
      </c>
    </row>
    <row r="16" spans="1:6" x14ac:dyDescent="0.2">
      <c r="A16" s="11" t="s">
        <v>15</v>
      </c>
      <c r="B16" s="12" t="s">
        <v>81</v>
      </c>
      <c r="C16" s="26">
        <v>5785452953</v>
      </c>
      <c r="D16" s="26">
        <v>1151156244</v>
      </c>
      <c r="E16" s="27">
        <v>13665893</v>
      </c>
      <c r="F16" s="28">
        <v>6950275090</v>
      </c>
    </row>
    <row r="17" spans="1:6" x14ac:dyDescent="0.2">
      <c r="A17" s="11" t="s">
        <v>78</v>
      </c>
      <c r="B17" s="12" t="s">
        <v>81</v>
      </c>
      <c r="C17" s="26">
        <v>586005952029</v>
      </c>
      <c r="D17" s="26">
        <v>25121633877</v>
      </c>
      <c r="E17" s="27">
        <v>195617719</v>
      </c>
      <c r="F17" s="28">
        <v>611323203625</v>
      </c>
    </row>
    <row r="18" spans="1:6" x14ac:dyDescent="0.2">
      <c r="A18" s="11" t="s">
        <v>16</v>
      </c>
      <c r="B18" s="12" t="s">
        <v>81</v>
      </c>
      <c r="C18" s="26">
        <v>3012243129</v>
      </c>
      <c r="D18" s="26">
        <v>830779663</v>
      </c>
      <c r="E18" s="27">
        <v>4733310</v>
      </c>
      <c r="F18" s="28">
        <v>3847756102</v>
      </c>
    </row>
    <row r="19" spans="1:6" x14ac:dyDescent="0.2">
      <c r="A19" s="11" t="s">
        <v>17</v>
      </c>
      <c r="B19" s="12" t="s">
        <v>81</v>
      </c>
      <c r="C19" s="26">
        <v>1142813789</v>
      </c>
      <c r="D19" s="26">
        <v>138064684</v>
      </c>
      <c r="E19" s="27"/>
      <c r="F19" s="28">
        <v>1280878473</v>
      </c>
    </row>
    <row r="20" spans="1:6" x14ac:dyDescent="0.2">
      <c r="A20" s="11" t="s">
        <v>18</v>
      </c>
      <c r="B20" s="12" t="s">
        <v>81</v>
      </c>
      <c r="C20" s="26">
        <v>142728331498</v>
      </c>
      <c r="D20" s="26">
        <v>18605156425</v>
      </c>
      <c r="E20" s="27">
        <v>226994435</v>
      </c>
      <c r="F20" s="28">
        <v>161560482358</v>
      </c>
    </row>
    <row r="21" spans="1:6" x14ac:dyDescent="0.2">
      <c r="A21" s="11" t="s">
        <v>19</v>
      </c>
      <c r="B21" s="12" t="s">
        <v>81</v>
      </c>
      <c r="C21" s="26">
        <v>41576022532</v>
      </c>
      <c r="D21" s="26">
        <v>4892160437</v>
      </c>
      <c r="E21" s="27">
        <v>34168910</v>
      </c>
      <c r="F21" s="28">
        <v>46502351879</v>
      </c>
    </row>
    <row r="22" spans="1:6" x14ac:dyDescent="0.2">
      <c r="A22" s="11" t="s">
        <v>20</v>
      </c>
      <c r="B22" s="12" t="s">
        <v>81</v>
      </c>
      <c r="C22" s="26">
        <v>22015828532</v>
      </c>
      <c r="D22" s="26">
        <v>1146613952</v>
      </c>
      <c r="E22" s="27">
        <v>23937098</v>
      </c>
      <c r="F22" s="28">
        <v>23186379582</v>
      </c>
    </row>
    <row r="23" spans="1:6" x14ac:dyDescent="0.2">
      <c r="A23" s="11" t="s">
        <v>21</v>
      </c>
      <c r="B23" s="12" t="s">
        <v>81</v>
      </c>
      <c r="C23" s="26">
        <v>5179998053</v>
      </c>
      <c r="D23" s="26">
        <v>105478236</v>
      </c>
      <c r="E23" s="27"/>
      <c r="F23" s="28">
        <v>5285476289</v>
      </c>
    </row>
    <row r="24" spans="1:6" x14ac:dyDescent="0.2">
      <c r="A24" s="11" t="s">
        <v>22</v>
      </c>
      <c r="B24" s="12" t="s">
        <v>81</v>
      </c>
      <c r="C24" s="26">
        <v>2738232151</v>
      </c>
      <c r="D24" s="26">
        <v>984925754</v>
      </c>
      <c r="E24" s="27">
        <v>10327724</v>
      </c>
      <c r="F24" s="28">
        <v>3733485629</v>
      </c>
    </row>
    <row r="25" spans="1:6" x14ac:dyDescent="0.2">
      <c r="A25" s="11" t="s">
        <v>23</v>
      </c>
      <c r="B25" s="12" t="s">
        <v>81</v>
      </c>
      <c r="C25" s="26">
        <v>1548519951</v>
      </c>
      <c r="D25" s="26">
        <v>491057571</v>
      </c>
      <c r="E25" s="27"/>
      <c r="F25" s="28">
        <v>2039577522</v>
      </c>
    </row>
    <row r="26" spans="1:6" x14ac:dyDescent="0.2">
      <c r="A26" s="11" t="s">
        <v>24</v>
      </c>
      <c r="B26" s="12" t="s">
        <v>81</v>
      </c>
      <c r="C26" s="26">
        <v>2252578299</v>
      </c>
      <c r="D26" s="26">
        <v>231526004</v>
      </c>
      <c r="E26" s="27">
        <v>14421555</v>
      </c>
      <c r="F26" s="28">
        <v>2498525858</v>
      </c>
    </row>
    <row r="27" spans="1:6" x14ac:dyDescent="0.2">
      <c r="A27" s="11" t="s">
        <v>25</v>
      </c>
      <c r="B27" s="12" t="s">
        <v>81</v>
      </c>
      <c r="C27" s="26">
        <v>5067404628</v>
      </c>
      <c r="D27" s="26">
        <v>179777182</v>
      </c>
      <c r="E27" s="27"/>
      <c r="F27" s="28">
        <v>5247181810</v>
      </c>
    </row>
    <row r="28" spans="1:6" x14ac:dyDescent="0.2">
      <c r="A28" s="11" t="s">
        <v>26</v>
      </c>
      <c r="B28" s="12" t="s">
        <v>81</v>
      </c>
      <c r="C28" s="26">
        <v>1016942777</v>
      </c>
      <c r="D28" s="26">
        <v>704338273</v>
      </c>
      <c r="E28" s="27">
        <v>22537698</v>
      </c>
      <c r="F28" s="28">
        <v>1743818748</v>
      </c>
    </row>
    <row r="29" spans="1:6" x14ac:dyDescent="0.2">
      <c r="A29" s="11" t="s">
        <v>27</v>
      </c>
      <c r="B29" s="12" t="s">
        <v>81</v>
      </c>
      <c r="C29" s="26">
        <v>2444524955</v>
      </c>
      <c r="D29" s="26">
        <v>1244757847</v>
      </c>
      <c r="E29" s="27">
        <v>10098411</v>
      </c>
      <c r="F29" s="28">
        <v>3699381213</v>
      </c>
    </row>
    <row r="30" spans="1:6" x14ac:dyDescent="0.2">
      <c r="A30" s="11" t="s">
        <v>28</v>
      </c>
      <c r="B30" s="12" t="s">
        <v>81</v>
      </c>
      <c r="C30" s="26">
        <v>5620203574</v>
      </c>
      <c r="D30" s="26">
        <v>1905409769</v>
      </c>
      <c r="E30" s="27">
        <v>4999064</v>
      </c>
      <c r="F30" s="28">
        <v>7530612407</v>
      </c>
    </row>
    <row r="31" spans="1:6" x14ac:dyDescent="0.2">
      <c r="A31" s="11" t="s">
        <v>29</v>
      </c>
      <c r="B31" s="12" t="s">
        <v>81</v>
      </c>
      <c r="C31" s="26">
        <v>23335115777</v>
      </c>
      <c r="D31" s="26">
        <v>2556179886</v>
      </c>
      <c r="E31" s="27">
        <v>12906416</v>
      </c>
      <c r="F31" s="28">
        <v>25904202079</v>
      </c>
    </row>
    <row r="32" spans="1:6" x14ac:dyDescent="0.2">
      <c r="A32" s="11" t="s">
        <v>30</v>
      </c>
      <c r="B32" s="12" t="s">
        <v>81</v>
      </c>
      <c r="C32" s="26">
        <v>11253952758</v>
      </c>
      <c r="D32" s="26">
        <v>773819095</v>
      </c>
      <c r="E32" s="27">
        <v>35810333</v>
      </c>
      <c r="F32" s="28">
        <v>12063582186</v>
      </c>
    </row>
    <row r="33" spans="1:6" x14ac:dyDescent="0.2">
      <c r="A33" s="11" t="s">
        <v>31</v>
      </c>
      <c r="B33" s="12" t="s">
        <v>81</v>
      </c>
      <c r="C33" s="26">
        <v>218300966173</v>
      </c>
      <c r="D33" s="26">
        <v>14285675930</v>
      </c>
      <c r="E33" s="27">
        <v>137336207</v>
      </c>
      <c r="F33" s="28">
        <v>232723978310</v>
      </c>
    </row>
    <row r="34" spans="1:6" x14ac:dyDescent="0.2">
      <c r="A34" s="11" t="s">
        <v>32</v>
      </c>
      <c r="B34" s="12" t="s">
        <v>81</v>
      </c>
      <c r="C34" s="26">
        <v>1044471320</v>
      </c>
      <c r="D34" s="26">
        <v>144860255</v>
      </c>
      <c r="E34" s="27">
        <v>4431950</v>
      </c>
      <c r="F34" s="28">
        <v>1193763525</v>
      </c>
    </row>
    <row r="35" spans="1:6" x14ac:dyDescent="0.2">
      <c r="A35" s="11" t="s">
        <v>33</v>
      </c>
      <c r="B35" s="12" t="s">
        <v>81</v>
      </c>
      <c r="C35" s="26">
        <v>37300488983</v>
      </c>
      <c r="D35" s="26">
        <v>1613193318</v>
      </c>
      <c r="E35" s="27">
        <v>46105678</v>
      </c>
      <c r="F35" s="28">
        <v>38959787979</v>
      </c>
    </row>
    <row r="36" spans="1:6" x14ac:dyDescent="0.2">
      <c r="A36" s="11" t="s">
        <v>34</v>
      </c>
      <c r="B36" s="12" t="s">
        <v>81</v>
      </c>
      <c r="C36" s="26">
        <v>3138911563</v>
      </c>
      <c r="D36" s="26">
        <v>621876126</v>
      </c>
      <c r="E36" s="27">
        <v>27264771</v>
      </c>
      <c r="F36" s="28">
        <v>3788052460</v>
      </c>
    </row>
    <row r="37" spans="1:6" x14ac:dyDescent="0.2">
      <c r="A37" s="11" t="s">
        <v>35</v>
      </c>
      <c r="B37" s="12" t="s">
        <v>81</v>
      </c>
      <c r="C37" s="26">
        <v>1380283256</v>
      </c>
      <c r="D37" s="26">
        <v>275524636</v>
      </c>
      <c r="E37" s="27">
        <v>3531607</v>
      </c>
      <c r="F37" s="28">
        <v>1659339499</v>
      </c>
    </row>
    <row r="38" spans="1:6" x14ac:dyDescent="0.2">
      <c r="A38" s="11" t="s">
        <v>36</v>
      </c>
      <c r="B38" s="12" t="s">
        <v>81</v>
      </c>
      <c r="C38" s="26">
        <v>541090663</v>
      </c>
      <c r="D38" s="26">
        <v>84705720</v>
      </c>
      <c r="E38" s="27"/>
      <c r="F38" s="28">
        <v>625796383</v>
      </c>
    </row>
    <row r="39" spans="1:6" x14ac:dyDescent="0.2">
      <c r="A39" s="11" t="s">
        <v>37</v>
      </c>
      <c r="B39" s="12" t="s">
        <v>81</v>
      </c>
      <c r="C39" s="26">
        <v>56070531343</v>
      </c>
      <c r="D39" s="26">
        <v>3174722544</v>
      </c>
      <c r="E39" s="27">
        <v>5784065</v>
      </c>
      <c r="F39" s="28">
        <v>59251037952</v>
      </c>
    </row>
    <row r="40" spans="1:6" x14ac:dyDescent="0.2">
      <c r="A40" s="11" t="s">
        <v>38</v>
      </c>
      <c r="B40" s="12" t="s">
        <v>81</v>
      </c>
      <c r="C40" s="26">
        <v>172297174013</v>
      </c>
      <c r="D40" s="26">
        <v>7973441775</v>
      </c>
      <c r="E40" s="27">
        <v>4978548</v>
      </c>
      <c r="F40" s="28">
        <v>180275594336</v>
      </c>
    </row>
    <row r="41" spans="1:6" x14ac:dyDescent="0.2">
      <c r="A41" s="11" t="s">
        <v>39</v>
      </c>
      <c r="B41" s="12" t="s">
        <v>81</v>
      </c>
      <c r="C41" s="26">
        <v>38794904930</v>
      </c>
      <c r="D41" s="26">
        <v>2590304643</v>
      </c>
      <c r="E41" s="27">
        <v>6677452</v>
      </c>
      <c r="F41" s="28">
        <v>41391887025</v>
      </c>
    </row>
    <row r="42" spans="1:6" x14ac:dyDescent="0.2">
      <c r="A42" s="11" t="s">
        <v>40</v>
      </c>
      <c r="B42" s="12" t="s">
        <v>81</v>
      </c>
      <c r="C42" s="26">
        <v>4354502970</v>
      </c>
      <c r="D42" s="26">
        <v>887784098</v>
      </c>
      <c r="E42" s="27">
        <v>3185083</v>
      </c>
      <c r="F42" s="28">
        <v>5245472151</v>
      </c>
    </row>
    <row r="43" spans="1:6" x14ac:dyDescent="0.2">
      <c r="A43" s="11" t="s">
        <v>41</v>
      </c>
      <c r="B43" s="12" t="s">
        <v>81</v>
      </c>
      <c r="C43" s="26">
        <v>675770902</v>
      </c>
      <c r="D43" s="26">
        <v>173662484</v>
      </c>
      <c r="E43" s="27"/>
      <c r="F43" s="28">
        <f>C43+D43</f>
        <v>849433386</v>
      </c>
    </row>
    <row r="44" spans="1:6" x14ac:dyDescent="0.2">
      <c r="A44" s="11" t="s">
        <v>42</v>
      </c>
      <c r="B44" s="12" t="s">
        <v>81</v>
      </c>
      <c r="C44" s="26">
        <v>1392024826</v>
      </c>
      <c r="D44" s="26">
        <v>462951060</v>
      </c>
      <c r="E44" s="27">
        <v>8280272</v>
      </c>
      <c r="F44" s="28">
        <v>1863256158</v>
      </c>
    </row>
    <row r="45" spans="1:6" x14ac:dyDescent="0.2">
      <c r="A45" s="11" t="s">
        <v>43</v>
      </c>
      <c r="B45" s="12" t="s">
        <v>81</v>
      </c>
      <c r="C45" s="26">
        <v>85898335377</v>
      </c>
      <c r="D45" s="26">
        <v>5284290624</v>
      </c>
      <c r="E45" s="27">
        <v>9083876</v>
      </c>
      <c r="F45" s="28">
        <v>91191709877</v>
      </c>
    </row>
    <row r="46" spans="1:6" x14ac:dyDescent="0.2">
      <c r="A46" s="11" t="s">
        <v>44</v>
      </c>
      <c r="B46" s="12" t="s">
        <v>81</v>
      </c>
      <c r="C46" s="26">
        <v>49555237545</v>
      </c>
      <c r="D46" s="26">
        <v>3323155359</v>
      </c>
      <c r="E46" s="27">
        <v>29711175</v>
      </c>
      <c r="F46" s="28">
        <v>52908104079</v>
      </c>
    </row>
    <row r="47" spans="1:6" x14ac:dyDescent="0.2">
      <c r="A47" s="11" t="s">
        <v>45</v>
      </c>
      <c r="B47" s="12" t="s">
        <v>81</v>
      </c>
      <c r="C47" s="26">
        <v>42838818932</v>
      </c>
      <c r="D47" s="26">
        <v>4102330382</v>
      </c>
      <c r="E47" s="27">
        <v>97624340</v>
      </c>
      <c r="F47" s="28">
        <v>47038773654</v>
      </c>
    </row>
    <row r="48" spans="1:6" x14ac:dyDescent="0.2">
      <c r="A48" s="11" t="s">
        <v>46</v>
      </c>
      <c r="B48" s="12" t="s">
        <v>81</v>
      </c>
      <c r="C48" s="26">
        <v>58763756651</v>
      </c>
      <c r="D48" s="26">
        <v>1176483660</v>
      </c>
      <c r="E48" s="27"/>
      <c r="F48" s="28">
        <v>59940240311</v>
      </c>
    </row>
    <row r="49" spans="1:6" x14ac:dyDescent="0.2">
      <c r="A49" s="11" t="s">
        <v>47</v>
      </c>
      <c r="B49" s="12" t="s">
        <v>81</v>
      </c>
      <c r="C49" s="26">
        <v>22102896642</v>
      </c>
      <c r="D49" s="26">
        <v>1693332904</v>
      </c>
      <c r="E49" s="27">
        <v>52839185</v>
      </c>
      <c r="F49" s="28">
        <v>23849068731</v>
      </c>
    </row>
    <row r="50" spans="1:6" x14ac:dyDescent="0.2">
      <c r="A50" s="11" t="s">
        <v>48</v>
      </c>
      <c r="B50" s="12" t="s">
        <v>81</v>
      </c>
      <c r="C50" s="26">
        <v>37579638543</v>
      </c>
      <c r="D50" s="26">
        <v>1807252194</v>
      </c>
      <c r="E50" s="27">
        <v>4898817</v>
      </c>
      <c r="F50" s="28">
        <v>39391789554</v>
      </c>
    </row>
    <row r="51" spans="1:6" x14ac:dyDescent="0.2">
      <c r="A51" s="11" t="s">
        <v>49</v>
      </c>
      <c r="B51" s="12" t="s">
        <v>81</v>
      </c>
      <c r="C51" s="26">
        <v>4597823798</v>
      </c>
      <c r="D51" s="26">
        <v>2412935600</v>
      </c>
      <c r="E51" s="27">
        <v>13160492</v>
      </c>
      <c r="F51" s="28">
        <v>7023919890</v>
      </c>
    </row>
    <row r="52" spans="1:6" x14ac:dyDescent="0.2">
      <c r="A52" s="11" t="s">
        <v>50</v>
      </c>
      <c r="B52" s="12" t="s">
        <v>81</v>
      </c>
      <c r="C52" s="26">
        <v>287353264085</v>
      </c>
      <c r="D52" s="26">
        <v>21484586475</v>
      </c>
      <c r="E52" s="27">
        <v>111107383</v>
      </c>
      <c r="F52" s="28">
        <v>308948957943</v>
      </c>
    </row>
    <row r="53" spans="1:6" x14ac:dyDescent="0.2">
      <c r="A53" s="11" t="s">
        <v>51</v>
      </c>
      <c r="B53" s="12" t="s">
        <v>81</v>
      </c>
      <c r="C53" s="26">
        <v>68539211613</v>
      </c>
      <c r="D53" s="26">
        <v>4523783150</v>
      </c>
      <c r="E53" s="27">
        <v>7385033</v>
      </c>
      <c r="F53" s="28">
        <v>73070379796</v>
      </c>
    </row>
    <row r="54" spans="1:6" x14ac:dyDescent="0.2">
      <c r="A54" s="11" t="s">
        <v>52</v>
      </c>
      <c r="B54" s="12" t="s">
        <v>81</v>
      </c>
      <c r="C54" s="26">
        <v>397623777621</v>
      </c>
      <c r="D54" s="26">
        <v>16518013309</v>
      </c>
      <c r="E54" s="27">
        <v>229609713</v>
      </c>
      <c r="F54" s="28">
        <v>414371400643</v>
      </c>
    </row>
    <row r="55" spans="1:6" x14ac:dyDescent="0.2">
      <c r="A55" s="11" t="s">
        <v>53</v>
      </c>
      <c r="B55" s="12" t="s">
        <v>81</v>
      </c>
      <c r="C55" s="26">
        <v>75188688967</v>
      </c>
      <c r="D55" s="26">
        <v>4214293641</v>
      </c>
      <c r="E55" s="27">
        <v>24753439</v>
      </c>
      <c r="F55" s="28">
        <v>79427736047</v>
      </c>
    </row>
    <row r="56" spans="1:6" x14ac:dyDescent="0.2">
      <c r="A56" s="11" t="s">
        <v>54</v>
      </c>
      <c r="B56" s="12" t="s">
        <v>81</v>
      </c>
      <c r="C56" s="26">
        <v>168019974696</v>
      </c>
      <c r="D56" s="26">
        <v>8131134060</v>
      </c>
      <c r="E56" s="27">
        <v>14433637</v>
      </c>
      <c r="F56" s="28">
        <v>176165542393</v>
      </c>
    </row>
    <row r="57" spans="1:6" x14ac:dyDescent="0.2">
      <c r="A57" s="11" t="s">
        <v>55</v>
      </c>
      <c r="B57" s="12" t="s">
        <v>81</v>
      </c>
      <c r="C57" s="26">
        <v>83678601783</v>
      </c>
      <c r="D57" s="26">
        <v>9434232644</v>
      </c>
      <c r="E57" s="27">
        <v>137411027</v>
      </c>
      <c r="F57" s="28">
        <v>93250245454</v>
      </c>
    </row>
    <row r="58" spans="1:6" x14ac:dyDescent="0.2">
      <c r="A58" s="11" t="s">
        <v>56</v>
      </c>
      <c r="B58" s="12" t="s">
        <v>81</v>
      </c>
      <c r="C58" s="26">
        <v>7612254499</v>
      </c>
      <c r="D58" s="26">
        <v>3100281274</v>
      </c>
      <c r="E58" s="27">
        <v>28086280</v>
      </c>
      <c r="F58" s="28">
        <v>10740622053</v>
      </c>
    </row>
    <row r="59" spans="1:6" x14ac:dyDescent="0.2">
      <c r="A59" s="11" t="s">
        <v>2</v>
      </c>
      <c r="B59" s="12" t="s">
        <v>81</v>
      </c>
      <c r="C59" s="26">
        <v>71051829871</v>
      </c>
      <c r="D59" s="26">
        <v>2455290954</v>
      </c>
      <c r="E59" s="27">
        <v>36549040</v>
      </c>
      <c r="F59" s="28">
        <v>73543669865</v>
      </c>
    </row>
    <row r="60" spans="1:6" x14ac:dyDescent="0.2">
      <c r="A60" s="11" t="s">
        <v>3</v>
      </c>
      <c r="B60" s="12" t="s">
        <v>81</v>
      </c>
      <c r="C60" s="26">
        <v>51653621214</v>
      </c>
      <c r="D60" s="26">
        <v>6936350857</v>
      </c>
      <c r="E60" s="27">
        <v>70927665</v>
      </c>
      <c r="F60" s="28">
        <v>58660899736</v>
      </c>
    </row>
    <row r="61" spans="1:6" x14ac:dyDescent="0.2">
      <c r="A61" s="11" t="s">
        <v>57</v>
      </c>
      <c r="B61" s="12" t="s">
        <v>81</v>
      </c>
      <c r="C61" s="26">
        <v>27214470673</v>
      </c>
      <c r="D61" s="26">
        <v>1260490287</v>
      </c>
      <c r="E61" s="27">
        <v>4643658</v>
      </c>
      <c r="F61" s="28">
        <v>28479604618</v>
      </c>
    </row>
    <row r="62" spans="1:6" x14ac:dyDescent="0.2">
      <c r="A62" s="11" t="s">
        <v>58</v>
      </c>
      <c r="B62" s="12" t="s">
        <v>81</v>
      </c>
      <c r="C62" s="26">
        <v>125351123634</v>
      </c>
      <c r="D62" s="26">
        <v>4400499544</v>
      </c>
      <c r="E62" s="27">
        <v>857737</v>
      </c>
      <c r="F62" s="28">
        <v>129752480915</v>
      </c>
    </row>
    <row r="63" spans="1:6" x14ac:dyDescent="0.2">
      <c r="A63" s="11" t="s">
        <v>59</v>
      </c>
      <c r="B63" s="12" t="s">
        <v>81</v>
      </c>
      <c r="C63" s="26">
        <v>67380074354</v>
      </c>
      <c r="D63" s="26">
        <v>3804560917</v>
      </c>
      <c r="E63" s="27">
        <v>13295524</v>
      </c>
      <c r="F63" s="28">
        <v>71197930795</v>
      </c>
    </row>
    <row r="64" spans="1:6" x14ac:dyDescent="0.2">
      <c r="A64" s="11" t="s">
        <v>60</v>
      </c>
      <c r="B64" s="12" t="s">
        <v>81</v>
      </c>
      <c r="C64" s="26">
        <v>29518017892</v>
      </c>
      <c r="D64" s="26">
        <v>1888338344</v>
      </c>
      <c r="E64" s="27">
        <v>18580645</v>
      </c>
      <c r="F64" s="28">
        <v>31424936881</v>
      </c>
    </row>
    <row r="65" spans="1:6" x14ac:dyDescent="0.2">
      <c r="A65" s="11" t="s">
        <v>61</v>
      </c>
      <c r="B65" s="12" t="s">
        <v>81</v>
      </c>
      <c r="C65" s="26">
        <v>3095967451</v>
      </c>
      <c r="D65" s="26">
        <v>1127832296</v>
      </c>
      <c r="E65" s="27">
        <v>4727745</v>
      </c>
      <c r="F65" s="28">
        <v>4228527492</v>
      </c>
    </row>
    <row r="66" spans="1:6" x14ac:dyDescent="0.2">
      <c r="A66" s="11" t="s">
        <v>62</v>
      </c>
      <c r="B66" s="12" t="s">
        <v>81</v>
      </c>
      <c r="C66" s="26">
        <v>1848263433</v>
      </c>
      <c r="D66" s="26">
        <v>451166015</v>
      </c>
      <c r="E66" s="27">
        <v>1896944</v>
      </c>
      <c r="F66" s="28">
        <v>2301326392</v>
      </c>
    </row>
    <row r="67" spans="1:6" x14ac:dyDescent="0.2">
      <c r="A67" s="11" t="s">
        <v>63</v>
      </c>
      <c r="B67" s="12" t="s">
        <v>81</v>
      </c>
      <c r="C67" s="26">
        <v>597016772</v>
      </c>
      <c r="D67" s="26">
        <v>107148894</v>
      </c>
      <c r="E67" s="27"/>
      <c r="F67" s="28">
        <v>704165666</v>
      </c>
    </row>
    <row r="68" spans="1:6" x14ac:dyDescent="0.2">
      <c r="A68" s="11" t="s">
        <v>64</v>
      </c>
      <c r="B68" s="12" t="s">
        <v>81</v>
      </c>
      <c r="C68" s="26">
        <v>82153039462</v>
      </c>
      <c r="D68" s="26">
        <v>5776003349</v>
      </c>
      <c r="E68" s="27">
        <v>70075854</v>
      </c>
      <c r="F68" s="28">
        <v>87999118665</v>
      </c>
    </row>
    <row r="69" spans="1:6" x14ac:dyDescent="0.2">
      <c r="A69" s="11" t="s">
        <v>65</v>
      </c>
      <c r="B69" s="12" t="s">
        <v>81</v>
      </c>
      <c r="C69" s="26">
        <v>3626315727</v>
      </c>
      <c r="D69" s="26">
        <v>245168457</v>
      </c>
      <c r="E69" s="27"/>
      <c r="F69" s="28">
        <v>3871484184</v>
      </c>
    </row>
    <row r="70" spans="1:6" x14ac:dyDescent="0.2">
      <c r="A70" s="11" t="s">
        <v>66</v>
      </c>
      <c r="B70" s="12" t="s">
        <v>81</v>
      </c>
      <c r="C70" s="26">
        <v>51688662281</v>
      </c>
      <c r="D70" s="26">
        <v>1168214847</v>
      </c>
      <c r="E70" s="27">
        <v>4007655</v>
      </c>
      <c r="F70" s="28">
        <v>52860884783</v>
      </c>
    </row>
    <row r="71" spans="1:6" x14ac:dyDescent="0.2">
      <c r="A71" s="11" t="s">
        <v>67</v>
      </c>
      <c r="B71" s="12" t="s">
        <v>81</v>
      </c>
      <c r="C71" s="26">
        <v>1851230989</v>
      </c>
      <c r="D71" s="26">
        <v>378513165</v>
      </c>
      <c r="E71" s="27">
        <v>2374718</v>
      </c>
      <c r="F71" s="28">
        <v>2232118872</v>
      </c>
    </row>
    <row r="72" spans="1:6" x14ac:dyDescent="0.2">
      <c r="A72" s="16"/>
      <c r="B72" s="17"/>
      <c r="C72" s="29"/>
      <c r="D72" s="29"/>
      <c r="E72" s="30"/>
      <c r="F72" s="31"/>
    </row>
    <row r="73" spans="1:6" ht="15.75" thickBot="1" x14ac:dyDescent="0.3">
      <c r="A73" s="19" t="s">
        <v>68</v>
      </c>
      <c r="B73" s="20"/>
      <c r="C73" s="32">
        <f>SUM(C5:C71)</f>
        <v>4120116389247</v>
      </c>
      <c r="D73" s="32">
        <f>SUM(D5:D71)</f>
        <v>256224652932</v>
      </c>
      <c r="E73" s="32">
        <f>SUM(E5:E71)</f>
        <v>2226573004</v>
      </c>
      <c r="F73" s="33">
        <f>SUM(F5:F71)</f>
        <v>4378567615183</v>
      </c>
    </row>
    <row r="75" spans="1:6" x14ac:dyDescent="0.2">
      <c r="A75" s="24" t="s">
        <v>89</v>
      </c>
    </row>
    <row r="77" spans="1:6" x14ac:dyDescent="0.2">
      <c r="A77" s="2" t="s">
        <v>93</v>
      </c>
    </row>
    <row r="78" spans="1:6" x14ac:dyDescent="0.2">
      <c r="A78" s="2" t="s">
        <v>94</v>
      </c>
    </row>
  </sheetData>
  <phoneticPr fontId="3" type="noConversion"/>
  <conditionalFormatting sqref="A75">
    <cfRule type="expression" dxfId="10" priority="1" stopIfTrue="1">
      <formula>MOD(ROW(),5)=1</formula>
    </cfRule>
  </conditionalFormatting>
  <conditionalFormatting sqref="A4:F73">
    <cfRule type="expression" dxfId="9" priority="2" stopIfTrue="1">
      <formula>MOD(ROW(),3)=1</formula>
    </cfRule>
  </conditionalFormatting>
  <pageMargins left="0.75" right="0.75" top="1" bottom="1" header="0.5" footer="0.5"/>
  <pageSetup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7"/>
  <sheetViews>
    <sheetView zoomScaleNormal="100" zoomScaleSheetLayoutView="100" workbookViewId="0">
      <pane ySplit="4" topLeftCell="A47" activePane="bottomLeft" state="frozen"/>
      <selection sqref="A1:XFD1048576"/>
      <selection pane="bottomLeft" activeCell="L43" sqref="L43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9" width="9.140625" style="2"/>
    <col min="10" max="10" width="14.140625" style="2" bestFit="1" customWidth="1"/>
    <col min="11" max="16384" width="9.140625" style="2"/>
  </cols>
  <sheetData>
    <row r="1" spans="1:7" ht="23.25" x14ac:dyDescent="0.35">
      <c r="A1" s="6" t="s">
        <v>70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s="40" customFormat="1" ht="15" thickBot="1" x14ac:dyDescent="0.25">
      <c r="B3" s="41"/>
      <c r="D3" s="41"/>
      <c r="F3" s="41"/>
    </row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83</v>
      </c>
      <c r="F4" s="38" t="s">
        <v>84</v>
      </c>
      <c r="G4" s="39" t="s">
        <v>82</v>
      </c>
    </row>
    <row r="5" spans="1:7" x14ac:dyDescent="0.2">
      <c r="A5" s="11" t="s">
        <v>4</v>
      </c>
      <c r="B5" s="12" t="str">
        <f>'Assessed Value All Property'!B5</f>
        <v>R-Prelim</v>
      </c>
      <c r="C5" s="13">
        <v>39296370700</v>
      </c>
      <c r="D5" s="14">
        <f>((C5-E5)/E5)</f>
        <v>5.3112855095207599E-2</v>
      </c>
      <c r="E5" s="13">
        <v>37314491519</v>
      </c>
      <c r="F5" s="14">
        <f>((E5-G5)/G5)</f>
        <v>5.3994898633081691E-2</v>
      </c>
      <c r="G5" s="15">
        <v>35402914727</v>
      </c>
    </row>
    <row r="6" spans="1:7" x14ac:dyDescent="0.2">
      <c r="A6" s="11" t="s">
        <v>5</v>
      </c>
      <c r="B6" s="12" t="str">
        <f>'Assessed Value All Property'!B6</f>
        <v>R-Prelim</v>
      </c>
      <c r="C6" s="13">
        <v>2580011424</v>
      </c>
      <c r="D6" s="14">
        <f t="shared" ref="D6:D69" si="0">((C6-E6)/E6)</f>
        <v>3.7404320919684486E-2</v>
      </c>
      <c r="E6" s="13">
        <v>2486987351</v>
      </c>
      <c r="F6" s="14">
        <f t="shared" ref="F6:F69" si="1">((E6-G6)/G6)</f>
        <v>7.7484422700962965E-2</v>
      </c>
      <c r="G6" s="15">
        <v>2308142279</v>
      </c>
    </row>
    <row r="7" spans="1:7" x14ac:dyDescent="0.2">
      <c r="A7" s="11" t="s">
        <v>6</v>
      </c>
      <c r="B7" s="12" t="str">
        <f>'Assessed Value All Property'!B7</f>
        <v>R-Prelim</v>
      </c>
      <c r="C7" s="13">
        <v>40633231687</v>
      </c>
      <c r="D7" s="14">
        <f t="shared" si="0"/>
        <v>5.6918962711681016E-2</v>
      </c>
      <c r="E7" s="13">
        <v>38444983126</v>
      </c>
      <c r="F7" s="14">
        <f t="shared" si="1"/>
        <v>7.5408109222825898E-2</v>
      </c>
      <c r="G7" s="15">
        <v>35749203299</v>
      </c>
    </row>
    <row r="8" spans="1:7" x14ac:dyDescent="0.2">
      <c r="A8" s="11" t="s">
        <v>7</v>
      </c>
      <c r="B8" s="12" t="str">
        <f>'Assessed Value All Property'!B8</f>
        <v>R-Prelim</v>
      </c>
      <c r="C8" s="13">
        <v>2220114188</v>
      </c>
      <c r="D8" s="14">
        <f t="shared" si="0"/>
        <v>5.3660549999100617E-2</v>
      </c>
      <c r="E8" s="13">
        <v>2107048791</v>
      </c>
      <c r="F8" s="14">
        <f t="shared" si="1"/>
        <v>7.8376650855086508E-2</v>
      </c>
      <c r="G8" s="15">
        <v>1953908024</v>
      </c>
    </row>
    <row r="9" spans="1:7" x14ac:dyDescent="0.2">
      <c r="A9" s="11" t="s">
        <v>8</v>
      </c>
      <c r="B9" s="12" t="str">
        <f>'Assessed Value All Property'!B9</f>
        <v>R-Prelim</v>
      </c>
      <c r="C9" s="13">
        <v>105090789646</v>
      </c>
      <c r="D9" s="14">
        <f t="shared" si="0"/>
        <v>4.597035812481106E-2</v>
      </c>
      <c r="E9" s="13">
        <v>100472053371</v>
      </c>
      <c r="F9" s="14">
        <f t="shared" si="1"/>
        <v>7.0368124758812919E-2</v>
      </c>
      <c r="G9" s="15">
        <v>93866821187</v>
      </c>
    </row>
    <row r="10" spans="1:7" x14ac:dyDescent="0.2">
      <c r="A10" s="11" t="s">
        <v>9</v>
      </c>
      <c r="B10" s="12" t="str">
        <f>'Assessed Value All Property'!B10</f>
        <v>R-Prelim</v>
      </c>
      <c r="C10" s="13">
        <v>392073552366</v>
      </c>
      <c r="D10" s="14">
        <f t="shared" si="0"/>
        <v>5.4235903022892454E-2</v>
      </c>
      <c r="E10" s="13">
        <v>371903054375</v>
      </c>
      <c r="F10" s="14">
        <f t="shared" si="1"/>
        <v>0.11348315319930302</v>
      </c>
      <c r="G10" s="15">
        <v>333999713697</v>
      </c>
    </row>
    <row r="11" spans="1:7" x14ac:dyDescent="0.2">
      <c r="A11" s="11" t="s">
        <v>10</v>
      </c>
      <c r="B11" s="12" t="str">
        <f>'Assessed Value All Property'!B11</f>
        <v>R-Prelim</v>
      </c>
      <c r="C11" s="13">
        <v>1616900124</v>
      </c>
      <c r="D11" s="14">
        <f t="shared" si="0"/>
        <v>0.35997847982465014</v>
      </c>
      <c r="E11" s="13">
        <v>1188915963</v>
      </c>
      <c r="F11" s="14">
        <f t="shared" si="1"/>
        <v>0.13878464281914488</v>
      </c>
      <c r="G11" s="15">
        <v>1044021774</v>
      </c>
    </row>
    <row r="12" spans="1:7" x14ac:dyDescent="0.2">
      <c r="A12" s="11" t="s">
        <v>11</v>
      </c>
      <c r="B12" s="12" t="str">
        <f>'Assessed Value All Property'!B12</f>
        <v>R-Prelim</v>
      </c>
      <c r="C12" s="13">
        <v>42393066210</v>
      </c>
      <c r="D12" s="14">
        <f t="shared" si="0"/>
        <v>3.0511154129751864E-2</v>
      </c>
      <c r="E12" s="13">
        <v>41137901361</v>
      </c>
      <c r="F12" s="14">
        <f t="shared" si="1"/>
        <v>7.5692570767281156E-2</v>
      </c>
      <c r="G12" s="15">
        <v>38243176981</v>
      </c>
    </row>
    <row r="13" spans="1:7" x14ac:dyDescent="0.2">
      <c r="A13" s="11" t="s">
        <v>12</v>
      </c>
      <c r="B13" s="12" t="str">
        <f>'Assessed Value All Property'!B13</f>
        <v>R-Prelim</v>
      </c>
      <c r="C13" s="13">
        <v>22104395854</v>
      </c>
      <c r="D13" s="14">
        <f t="shared" si="0"/>
        <v>6.6620859595427379E-2</v>
      </c>
      <c r="E13" s="13">
        <v>20723761077</v>
      </c>
      <c r="F13" s="14">
        <f t="shared" si="1"/>
        <v>7.1461083355153179E-2</v>
      </c>
      <c r="G13" s="15">
        <v>19341590095</v>
      </c>
    </row>
    <row r="14" spans="1:7" x14ac:dyDescent="0.2">
      <c r="A14" s="11" t="s">
        <v>13</v>
      </c>
      <c r="B14" s="12" t="str">
        <f>'Assessed Value All Property'!B14</f>
        <v>R-Prelim</v>
      </c>
      <c r="C14" s="13">
        <v>28313146780</v>
      </c>
      <c r="D14" s="14">
        <f t="shared" si="0"/>
        <v>5.8353660216198075E-2</v>
      </c>
      <c r="E14" s="13">
        <v>26752065821</v>
      </c>
      <c r="F14" s="14">
        <f t="shared" si="1"/>
        <v>8.5935228018693563E-2</v>
      </c>
      <c r="G14" s="15">
        <v>24635047405</v>
      </c>
    </row>
    <row r="15" spans="1:7" x14ac:dyDescent="0.2">
      <c r="A15" s="11" t="s">
        <v>14</v>
      </c>
      <c r="B15" s="12" t="str">
        <f>'Assessed Value All Property'!B15</f>
        <v>R-Prelim</v>
      </c>
      <c r="C15" s="13">
        <v>185445826901</v>
      </c>
      <c r="D15" s="14">
        <f t="shared" si="0"/>
        <v>3.5836920558387893E-2</v>
      </c>
      <c r="E15" s="13">
        <v>179029944985</v>
      </c>
      <c r="F15" s="14">
        <f t="shared" si="1"/>
        <v>7.9605897088543459E-2</v>
      </c>
      <c r="G15" s="15">
        <v>165828980249</v>
      </c>
    </row>
    <row r="16" spans="1:7" x14ac:dyDescent="0.2">
      <c r="A16" s="11" t="s">
        <v>15</v>
      </c>
      <c r="B16" s="12" t="str">
        <f>'Assessed Value All Property'!B16</f>
        <v>R-Prelim</v>
      </c>
      <c r="C16" s="13">
        <v>6950275090</v>
      </c>
      <c r="D16" s="14">
        <f t="shared" si="0"/>
        <v>4.9527884143646603E-2</v>
      </c>
      <c r="E16" s="13">
        <v>6622287216</v>
      </c>
      <c r="F16" s="14">
        <f t="shared" si="1"/>
        <v>9.3086974931402958E-2</v>
      </c>
      <c r="G16" s="15">
        <v>6058335126</v>
      </c>
    </row>
    <row r="17" spans="1:7" x14ac:dyDescent="0.2">
      <c r="A17" s="11" t="s">
        <v>78</v>
      </c>
      <c r="B17" s="12" t="str">
        <f>'Assessed Value All Property'!B17</f>
        <v>R-Prelim</v>
      </c>
      <c r="C17" s="13">
        <v>611323203625</v>
      </c>
      <c r="D17" s="14">
        <f t="shared" si="0"/>
        <v>6.8248854082386762E-2</v>
      </c>
      <c r="E17" s="13">
        <v>572266659860</v>
      </c>
      <c r="F17" s="14">
        <f t="shared" si="1"/>
        <v>7.5274340109390769E-2</v>
      </c>
      <c r="G17" s="15">
        <v>532205260103</v>
      </c>
    </row>
    <row r="18" spans="1:7" x14ac:dyDescent="0.2">
      <c r="A18" s="11" t="s">
        <v>16</v>
      </c>
      <c r="B18" s="12" t="str">
        <f>'Assessed Value All Property'!B18</f>
        <v>R-Prelim</v>
      </c>
      <c r="C18" s="13">
        <v>3847756102</v>
      </c>
      <c r="D18" s="14">
        <f t="shared" si="0"/>
        <v>1.9605139511812732E-2</v>
      </c>
      <c r="E18" s="13">
        <v>3773770799</v>
      </c>
      <c r="F18" s="14">
        <f t="shared" si="1"/>
        <v>8.8629705215952162E-2</v>
      </c>
      <c r="G18" s="15">
        <v>3466533001</v>
      </c>
    </row>
    <row r="19" spans="1:7" x14ac:dyDescent="0.2">
      <c r="A19" s="11" t="s">
        <v>17</v>
      </c>
      <c r="B19" s="12" t="str">
        <f>'Assessed Value All Property'!B19</f>
        <v>R-Prelim</v>
      </c>
      <c r="C19" s="13">
        <v>1280878473</v>
      </c>
      <c r="D19" s="14">
        <f t="shared" si="0"/>
        <v>5.6774544133490194E-2</v>
      </c>
      <c r="E19" s="13">
        <v>1212064087</v>
      </c>
      <c r="F19" s="14">
        <f t="shared" si="1"/>
        <v>3.2306541152834406E-2</v>
      </c>
      <c r="G19" s="15">
        <v>1174131945</v>
      </c>
    </row>
    <row r="20" spans="1:7" x14ac:dyDescent="0.2">
      <c r="A20" s="11" t="s">
        <v>18</v>
      </c>
      <c r="B20" s="12" t="str">
        <f>'Assessed Value All Property'!B20</f>
        <v>R-Prelim</v>
      </c>
      <c r="C20" s="13">
        <v>161560482358</v>
      </c>
      <c r="D20" s="14">
        <f t="shared" si="0"/>
        <v>6.6761899381196893E-2</v>
      </c>
      <c r="E20" s="13">
        <v>151449430704</v>
      </c>
      <c r="F20" s="14">
        <f t="shared" si="1"/>
        <v>6.7220106350309755E-2</v>
      </c>
      <c r="G20" s="15">
        <v>141910211214</v>
      </c>
    </row>
    <row r="21" spans="1:7" x14ac:dyDescent="0.2">
      <c r="A21" s="11" t="s">
        <v>19</v>
      </c>
      <c r="B21" s="12" t="str">
        <f>'Assessed Value All Property'!B21</f>
        <v>R-Prelim</v>
      </c>
      <c r="C21" s="13">
        <v>46502351879</v>
      </c>
      <c r="D21" s="14">
        <f t="shared" si="0"/>
        <v>4.5592052558756056E-2</v>
      </c>
      <c r="E21" s="13">
        <v>44474660806</v>
      </c>
      <c r="F21" s="14">
        <f t="shared" si="1"/>
        <v>6.9453310466697782E-2</v>
      </c>
      <c r="G21" s="15">
        <v>41586351055</v>
      </c>
    </row>
    <row r="22" spans="1:7" x14ac:dyDescent="0.2">
      <c r="A22" s="11" t="s">
        <v>20</v>
      </c>
      <c r="B22" s="12" t="str">
        <f>'Assessed Value All Property'!B22</f>
        <v>R-Prelim</v>
      </c>
      <c r="C22" s="13">
        <v>23186379582</v>
      </c>
      <c r="D22" s="14">
        <f t="shared" si="0"/>
        <v>3.7106347879421533E-2</v>
      </c>
      <c r="E22" s="13">
        <v>22356800370</v>
      </c>
      <c r="F22" s="14">
        <f t="shared" si="1"/>
        <v>0.10044789136584463</v>
      </c>
      <c r="G22" s="15">
        <v>20316091789</v>
      </c>
    </row>
    <row r="23" spans="1:7" x14ac:dyDescent="0.2">
      <c r="A23" s="11" t="s">
        <v>21</v>
      </c>
      <c r="B23" s="12" t="str">
        <f>'Assessed Value All Property'!B23</f>
        <v>R-Prelim</v>
      </c>
      <c r="C23" s="13">
        <v>5285476289</v>
      </c>
      <c r="D23" s="14">
        <f t="shared" si="0"/>
        <v>5.5939072096155326E-2</v>
      </c>
      <c r="E23" s="13">
        <v>5005474680</v>
      </c>
      <c r="F23" s="14">
        <f t="shared" si="1"/>
        <v>7.0533913521720101E-2</v>
      </c>
      <c r="G23" s="15">
        <v>4675680627</v>
      </c>
    </row>
    <row r="24" spans="1:7" x14ac:dyDescent="0.2">
      <c r="A24" s="11" t="s">
        <v>22</v>
      </c>
      <c r="B24" s="12" t="str">
        <f>'Assessed Value All Property'!B24</f>
        <v>R-Prelim</v>
      </c>
      <c r="C24" s="13">
        <v>3733485629</v>
      </c>
      <c r="D24" s="14">
        <f t="shared" si="0"/>
        <v>3.7878125837272868E-2</v>
      </c>
      <c r="E24" s="13">
        <v>3597229324</v>
      </c>
      <c r="F24" s="14">
        <f t="shared" si="1"/>
        <v>8.5555828947095999E-2</v>
      </c>
      <c r="G24" s="15">
        <v>3313721163</v>
      </c>
    </row>
    <row r="25" spans="1:7" x14ac:dyDescent="0.2">
      <c r="A25" s="11" t="s">
        <v>23</v>
      </c>
      <c r="B25" s="12" t="str">
        <f>'Assessed Value All Property'!B25</f>
        <v>R-Prelim</v>
      </c>
      <c r="C25" s="13">
        <v>2039577522</v>
      </c>
      <c r="D25" s="14">
        <f t="shared" si="0"/>
        <v>5.4253959670914585E-2</v>
      </c>
      <c r="E25" s="13">
        <v>1934616895</v>
      </c>
      <c r="F25" s="14">
        <f t="shared" si="1"/>
        <v>0.12018017015991526</v>
      </c>
      <c r="G25" s="15">
        <v>1727058688</v>
      </c>
    </row>
    <row r="26" spans="1:7" x14ac:dyDescent="0.2">
      <c r="A26" s="11" t="s">
        <v>24</v>
      </c>
      <c r="B26" s="12" t="str">
        <f>'Assessed Value All Property'!B26</f>
        <v>R-Prelim</v>
      </c>
      <c r="C26" s="13">
        <v>2498525858</v>
      </c>
      <c r="D26" s="14">
        <f t="shared" si="0"/>
        <v>6.633120972331108E-2</v>
      </c>
      <c r="E26" s="13">
        <v>2343104877</v>
      </c>
      <c r="F26" s="14">
        <f t="shared" si="1"/>
        <v>6.8340792035109607E-2</v>
      </c>
      <c r="G26" s="15">
        <v>2193218582</v>
      </c>
    </row>
    <row r="27" spans="1:7" x14ac:dyDescent="0.2">
      <c r="A27" s="11" t="s">
        <v>25</v>
      </c>
      <c r="B27" s="12" t="str">
        <f>'Assessed Value All Property'!B27</f>
        <v>R-Prelim</v>
      </c>
      <c r="C27" s="13">
        <v>5247181810</v>
      </c>
      <c r="D27" s="14">
        <f t="shared" si="0"/>
        <v>8.1020466264099714E-2</v>
      </c>
      <c r="E27" s="13">
        <v>4853915327</v>
      </c>
      <c r="F27" s="14">
        <f t="shared" si="1"/>
        <v>9.6533888896219069E-2</v>
      </c>
      <c r="G27" s="15">
        <v>4426598554</v>
      </c>
    </row>
    <row r="28" spans="1:7" x14ac:dyDescent="0.2">
      <c r="A28" s="11" t="s">
        <v>26</v>
      </c>
      <c r="B28" s="12" t="str">
        <f>'Assessed Value All Property'!B28</f>
        <v>R-Prelim</v>
      </c>
      <c r="C28" s="13">
        <v>1743818748</v>
      </c>
      <c r="D28" s="14">
        <f t="shared" si="0"/>
        <v>5.3012024546428262E-2</v>
      </c>
      <c r="E28" s="13">
        <v>1656029283</v>
      </c>
      <c r="F28" s="14">
        <f t="shared" si="1"/>
        <v>5.5418009559302525E-2</v>
      </c>
      <c r="G28" s="15">
        <v>1569074308</v>
      </c>
    </row>
    <row r="29" spans="1:7" x14ac:dyDescent="0.2">
      <c r="A29" s="11" t="s">
        <v>27</v>
      </c>
      <c r="B29" s="12" t="str">
        <f>'Assessed Value All Property'!B29</f>
        <v>R-Prelim</v>
      </c>
      <c r="C29" s="13">
        <v>3699381213</v>
      </c>
      <c r="D29" s="14">
        <f t="shared" si="0"/>
        <v>6.0415249604444173E-2</v>
      </c>
      <c r="E29" s="13">
        <v>3488615629</v>
      </c>
      <c r="F29" s="14">
        <f t="shared" si="1"/>
        <v>8.146684594189707E-2</v>
      </c>
      <c r="G29" s="15">
        <v>3225818380</v>
      </c>
    </row>
    <row r="30" spans="1:7" x14ac:dyDescent="0.2">
      <c r="A30" s="11" t="s">
        <v>28</v>
      </c>
      <c r="B30" s="12" t="str">
        <f>'Assessed Value All Property'!B30</f>
        <v>R-Prelim</v>
      </c>
      <c r="C30" s="13">
        <v>7530612407</v>
      </c>
      <c r="D30" s="14">
        <f t="shared" si="0"/>
        <v>7.3509990086311372E-2</v>
      </c>
      <c r="E30" s="13">
        <v>7014943947</v>
      </c>
      <c r="F30" s="14">
        <f t="shared" si="1"/>
        <v>9.3005169911513641E-2</v>
      </c>
      <c r="G30" s="15">
        <v>6418033638</v>
      </c>
    </row>
    <row r="31" spans="1:7" x14ac:dyDescent="0.2">
      <c r="A31" s="11" t="s">
        <v>29</v>
      </c>
      <c r="B31" s="12" t="str">
        <f>'Assessed Value All Property'!B31</f>
        <v>R-Prelim</v>
      </c>
      <c r="C31" s="13">
        <v>25904202079</v>
      </c>
      <c r="D31" s="14">
        <f t="shared" si="0"/>
        <v>6.3934617135302935E-2</v>
      </c>
      <c r="E31" s="13">
        <v>24347550744</v>
      </c>
      <c r="F31" s="14">
        <f t="shared" si="1"/>
        <v>9.2788843291554748E-2</v>
      </c>
      <c r="G31" s="15">
        <v>22280197033</v>
      </c>
    </row>
    <row r="32" spans="1:7" x14ac:dyDescent="0.2">
      <c r="A32" s="11" t="s">
        <v>30</v>
      </c>
      <c r="B32" s="12" t="str">
        <f>'Assessed Value All Property'!B32</f>
        <v>R-Prelim</v>
      </c>
      <c r="C32" s="13">
        <v>12063582186</v>
      </c>
      <c r="D32" s="14">
        <f t="shared" si="0"/>
        <v>5.1732488751828398E-2</v>
      </c>
      <c r="E32" s="13">
        <v>11470200184</v>
      </c>
      <c r="F32" s="14">
        <f t="shared" si="1"/>
        <v>7.6421559712483628E-2</v>
      </c>
      <c r="G32" s="15">
        <v>10655862548</v>
      </c>
    </row>
    <row r="33" spans="1:7" x14ac:dyDescent="0.2">
      <c r="A33" s="11" t="s">
        <v>31</v>
      </c>
      <c r="B33" s="12" t="str">
        <f>'Assessed Value All Property'!B33</f>
        <v>R-Prelim</v>
      </c>
      <c r="C33" s="13">
        <v>232723978310</v>
      </c>
      <c r="D33" s="14">
        <f t="shared" si="0"/>
        <v>4.4288836735185182E-2</v>
      </c>
      <c r="E33" s="13">
        <v>222854032451</v>
      </c>
      <c r="F33" s="14">
        <f t="shared" si="1"/>
        <v>6.0834904309882989E-2</v>
      </c>
      <c r="G33" s="15">
        <v>210074189250</v>
      </c>
    </row>
    <row r="34" spans="1:7" x14ac:dyDescent="0.2">
      <c r="A34" s="11" t="s">
        <v>32</v>
      </c>
      <c r="B34" s="12" t="str">
        <f>'Assessed Value All Property'!B34</f>
        <v>R-Prelim</v>
      </c>
      <c r="C34" s="13">
        <v>1193763525</v>
      </c>
      <c r="D34" s="14">
        <f t="shared" si="0"/>
        <v>4.9791137240826101E-2</v>
      </c>
      <c r="E34" s="13">
        <v>1137143840</v>
      </c>
      <c r="F34" s="14">
        <f t="shared" si="1"/>
        <v>0.10829932165223022</v>
      </c>
      <c r="G34" s="15">
        <v>1026025928</v>
      </c>
    </row>
    <row r="35" spans="1:7" x14ac:dyDescent="0.2">
      <c r="A35" s="11" t="s">
        <v>33</v>
      </c>
      <c r="B35" s="12" t="str">
        <f>'Assessed Value All Property'!B35</f>
        <v>R-Prelim</v>
      </c>
      <c r="C35" s="13">
        <v>38959787979</v>
      </c>
      <c r="D35" s="14">
        <f t="shared" si="0"/>
        <v>6.2563268468069325E-2</v>
      </c>
      <c r="E35" s="13">
        <v>36665852411</v>
      </c>
      <c r="F35" s="14">
        <f t="shared" si="1"/>
        <v>7.9462673384839436E-2</v>
      </c>
      <c r="G35" s="15">
        <v>33966762645</v>
      </c>
    </row>
    <row r="36" spans="1:7" x14ac:dyDescent="0.2">
      <c r="A36" s="11" t="s">
        <v>34</v>
      </c>
      <c r="B36" s="12" t="str">
        <f>'Assessed Value All Property'!B36</f>
        <v>R-Prelim</v>
      </c>
      <c r="C36" s="13">
        <v>3788052460</v>
      </c>
      <c r="D36" s="14">
        <f t="shared" si="0"/>
        <v>5.7486579940663057E-2</v>
      </c>
      <c r="E36" s="13">
        <v>3582128163</v>
      </c>
      <c r="F36" s="14">
        <f t="shared" si="1"/>
        <v>5.8184768953458525E-2</v>
      </c>
      <c r="G36" s="15">
        <v>3385163223</v>
      </c>
    </row>
    <row r="37" spans="1:7" x14ac:dyDescent="0.2">
      <c r="A37" s="11" t="s">
        <v>35</v>
      </c>
      <c r="B37" s="12" t="str">
        <f>'Assessed Value All Property'!B37</f>
        <v>R-Prelim</v>
      </c>
      <c r="C37" s="13">
        <v>1659339499</v>
      </c>
      <c r="D37" s="14">
        <f t="shared" si="0"/>
        <v>4.7349431463906189E-2</v>
      </c>
      <c r="E37" s="13">
        <v>1584322719</v>
      </c>
      <c r="F37" s="14">
        <f t="shared" si="1"/>
        <v>5.2352098253085698E-2</v>
      </c>
      <c r="G37" s="15">
        <v>1505506305</v>
      </c>
    </row>
    <row r="38" spans="1:7" x14ac:dyDescent="0.2">
      <c r="A38" s="11" t="s">
        <v>36</v>
      </c>
      <c r="B38" s="12" t="str">
        <f>'Assessed Value All Property'!B38</f>
        <v>R-Prelim</v>
      </c>
      <c r="C38" s="13">
        <v>625796383</v>
      </c>
      <c r="D38" s="14">
        <f t="shared" si="0"/>
        <v>5.6342116639232755E-2</v>
      </c>
      <c r="E38" s="13">
        <v>592418283</v>
      </c>
      <c r="F38" s="14">
        <f t="shared" si="1"/>
        <v>5.2156913093315174E-2</v>
      </c>
      <c r="G38" s="15">
        <v>563051267</v>
      </c>
    </row>
    <row r="39" spans="1:7" x14ac:dyDescent="0.2">
      <c r="A39" s="11" t="s">
        <v>37</v>
      </c>
      <c r="B39" s="12" t="str">
        <f>'Assessed Value All Property'!B39</f>
        <v>R-Prelim</v>
      </c>
      <c r="C39" s="13">
        <v>59251037952</v>
      </c>
      <c r="D39" s="14">
        <f t="shared" si="0"/>
        <v>8.2999126964348871E-2</v>
      </c>
      <c r="E39" s="13">
        <v>54710143782</v>
      </c>
      <c r="F39" s="14">
        <f t="shared" si="1"/>
        <v>0.10277612854624614</v>
      </c>
      <c r="G39" s="15">
        <v>49611287700</v>
      </c>
    </row>
    <row r="40" spans="1:7" x14ac:dyDescent="0.2">
      <c r="A40" s="11" t="s">
        <v>38</v>
      </c>
      <c r="B40" s="12" t="str">
        <f>'Assessed Value All Property'!B40</f>
        <v>R-Prelim</v>
      </c>
      <c r="C40" s="13">
        <v>180275594336</v>
      </c>
      <c r="D40" s="14">
        <f t="shared" si="0"/>
        <v>4.6507633484752946E-2</v>
      </c>
      <c r="E40" s="13">
        <v>172264003212</v>
      </c>
      <c r="F40" s="14">
        <f t="shared" si="1"/>
        <v>7.9693618277162398E-2</v>
      </c>
      <c r="G40" s="15">
        <v>159548968611</v>
      </c>
    </row>
    <row r="41" spans="1:7" x14ac:dyDescent="0.2">
      <c r="A41" s="11" t="s">
        <v>39</v>
      </c>
      <c r="B41" s="12" t="str">
        <f>'Assessed Value All Property'!B41</f>
        <v>R-Prelim</v>
      </c>
      <c r="C41" s="13">
        <v>41391887025</v>
      </c>
      <c r="D41" s="14">
        <f t="shared" si="0"/>
        <v>4.6691247163706984E-2</v>
      </c>
      <c r="E41" s="13">
        <v>39545460170</v>
      </c>
      <c r="F41" s="14">
        <f t="shared" si="1"/>
        <v>6.4739902986406375E-2</v>
      </c>
      <c r="G41" s="15">
        <v>37140958143</v>
      </c>
    </row>
    <row r="42" spans="1:7" x14ac:dyDescent="0.2">
      <c r="A42" s="11" t="s">
        <v>40</v>
      </c>
      <c r="B42" s="12" t="str">
        <f>'Assessed Value All Property'!B42</f>
        <v>R-Prelim</v>
      </c>
      <c r="C42" s="13">
        <v>5245472151</v>
      </c>
      <c r="D42" s="14">
        <f t="shared" si="0"/>
        <v>0.13294634145952688</v>
      </c>
      <c r="E42" s="13">
        <v>4629938735</v>
      </c>
      <c r="F42" s="14">
        <f t="shared" si="1"/>
        <v>9.2496189146486024E-2</v>
      </c>
      <c r="G42" s="15">
        <v>4237944975</v>
      </c>
    </row>
    <row r="43" spans="1:7" x14ac:dyDescent="0.2">
      <c r="A43" s="11" t="s">
        <v>41</v>
      </c>
      <c r="B43" s="12" t="str">
        <f>'Assessed Value All Property'!B43</f>
        <v>R-Prelim</v>
      </c>
      <c r="C43" s="13">
        <v>849433386</v>
      </c>
      <c r="D43" s="14">
        <f t="shared" si="0"/>
        <v>1.4973301593567211E-2</v>
      </c>
      <c r="E43" s="13">
        <v>836902197</v>
      </c>
      <c r="F43" s="14">
        <f t="shared" si="1"/>
        <v>3.6875338220221723E-2</v>
      </c>
      <c r="G43" s="15">
        <v>807138685</v>
      </c>
    </row>
    <row r="44" spans="1:7" x14ac:dyDescent="0.2">
      <c r="A44" s="11" t="s">
        <v>42</v>
      </c>
      <c r="B44" s="12" t="str">
        <f>'Assessed Value All Property'!B44</f>
        <v>R-Prelim</v>
      </c>
      <c r="C44" s="13">
        <v>1863256158</v>
      </c>
      <c r="D44" s="14">
        <f t="shared" si="0"/>
        <v>8.0993678408732478E-2</v>
      </c>
      <c r="E44" s="13">
        <v>1723651299</v>
      </c>
      <c r="F44" s="14">
        <f t="shared" si="1"/>
        <v>8.8668862521865913E-2</v>
      </c>
      <c r="G44" s="15">
        <v>1583264993</v>
      </c>
    </row>
    <row r="45" spans="1:7" x14ac:dyDescent="0.2">
      <c r="A45" s="11" t="s">
        <v>43</v>
      </c>
      <c r="B45" s="12" t="str">
        <f>'Assessed Value All Property'!B45</f>
        <v>R-Prelim</v>
      </c>
      <c r="C45" s="13">
        <v>91191709877</v>
      </c>
      <c r="D45" s="14">
        <f t="shared" si="0"/>
        <v>7.5531176449636694E-2</v>
      </c>
      <c r="E45" s="13">
        <v>84787602511</v>
      </c>
      <c r="F45" s="14">
        <f t="shared" si="1"/>
        <v>6.4720853953198265E-2</v>
      </c>
      <c r="G45" s="15">
        <v>79633645003</v>
      </c>
    </row>
    <row r="46" spans="1:7" x14ac:dyDescent="0.2">
      <c r="A46" s="11" t="s">
        <v>44</v>
      </c>
      <c r="B46" s="12" t="str">
        <f>'Assessed Value All Property'!B46</f>
        <v>R-Prelim</v>
      </c>
      <c r="C46" s="13">
        <v>52908104079</v>
      </c>
      <c r="D46" s="14">
        <f t="shared" si="0"/>
        <v>9.869521499915597E-2</v>
      </c>
      <c r="E46" s="13">
        <v>48155396835</v>
      </c>
      <c r="F46" s="14">
        <f t="shared" si="1"/>
        <v>0.11061683462330218</v>
      </c>
      <c r="G46" s="15">
        <v>43359145417</v>
      </c>
    </row>
    <row r="47" spans="1:7" x14ac:dyDescent="0.2">
      <c r="A47" s="11" t="s">
        <v>45</v>
      </c>
      <c r="B47" s="12" t="str">
        <f>'Assessed Value All Property'!B47</f>
        <v>R-Prelim</v>
      </c>
      <c r="C47" s="13">
        <v>47038773654</v>
      </c>
      <c r="D47" s="14">
        <f t="shared" si="0"/>
        <v>6.3666811983923752E-2</v>
      </c>
      <c r="E47" s="13">
        <v>44223222088</v>
      </c>
      <c r="F47" s="14">
        <f t="shared" si="1"/>
        <v>0.11991273699984292</v>
      </c>
      <c r="G47" s="15">
        <v>39488096373</v>
      </c>
    </row>
    <row r="48" spans="1:7" x14ac:dyDescent="0.2">
      <c r="A48" s="11" t="s">
        <v>46</v>
      </c>
      <c r="B48" s="12" t="str">
        <f>'Assessed Value All Property'!B48</f>
        <v>R-Prelim</v>
      </c>
      <c r="C48" s="13">
        <v>59940240311</v>
      </c>
      <c r="D48" s="14">
        <f t="shared" si="0"/>
        <v>5.8044699371542025E-2</v>
      </c>
      <c r="E48" s="13">
        <v>56651897927</v>
      </c>
      <c r="F48" s="14">
        <f t="shared" si="1"/>
        <v>7.7979017163684064E-2</v>
      </c>
      <c r="G48" s="15">
        <v>52553803947</v>
      </c>
    </row>
    <row r="49" spans="1:7" x14ac:dyDescent="0.2">
      <c r="A49" s="11" t="s">
        <v>47</v>
      </c>
      <c r="B49" s="12" t="str">
        <f>'Assessed Value All Property'!B49</f>
        <v>R-Prelim</v>
      </c>
      <c r="C49" s="13">
        <v>23849068731</v>
      </c>
      <c r="D49" s="14">
        <f t="shared" si="0"/>
        <v>8.4893070444723023E-2</v>
      </c>
      <c r="E49" s="13">
        <v>21982874977</v>
      </c>
      <c r="F49" s="14">
        <f t="shared" si="1"/>
        <v>0.10418928386790646</v>
      </c>
      <c r="G49" s="15">
        <v>19908611049</v>
      </c>
    </row>
    <row r="50" spans="1:7" x14ac:dyDescent="0.2">
      <c r="A50" s="11" t="s">
        <v>48</v>
      </c>
      <c r="B50" s="12" t="str">
        <f>'Assessed Value All Property'!B50</f>
        <v>R-Prelim</v>
      </c>
      <c r="C50" s="13">
        <v>39391789554</v>
      </c>
      <c r="D50" s="14">
        <f t="shared" si="0"/>
        <v>3.8212171123810874E-2</v>
      </c>
      <c r="E50" s="13">
        <v>37941945442</v>
      </c>
      <c r="F50" s="14">
        <f t="shared" si="1"/>
        <v>6.9980357863032305E-2</v>
      </c>
      <c r="G50" s="15">
        <v>35460413047</v>
      </c>
    </row>
    <row r="51" spans="1:7" x14ac:dyDescent="0.2">
      <c r="A51" s="11" t="s">
        <v>49</v>
      </c>
      <c r="B51" s="12" t="str">
        <f>'Assessed Value All Property'!B51</f>
        <v>R-Prelim</v>
      </c>
      <c r="C51" s="13">
        <v>7023919890</v>
      </c>
      <c r="D51" s="14">
        <f t="shared" si="0"/>
        <v>9.6349304013837303E-2</v>
      </c>
      <c r="E51" s="13">
        <v>6406644182</v>
      </c>
      <c r="F51" s="14">
        <f t="shared" si="1"/>
        <v>9.4663738837316505E-2</v>
      </c>
      <c r="G51" s="15">
        <v>5852613871</v>
      </c>
    </row>
    <row r="52" spans="1:7" x14ac:dyDescent="0.2">
      <c r="A52" s="11" t="s">
        <v>50</v>
      </c>
      <c r="B52" s="12" t="str">
        <f>'Assessed Value All Property'!B52</f>
        <v>R-Prelim</v>
      </c>
      <c r="C52" s="13">
        <v>308948957943</v>
      </c>
      <c r="D52" s="14">
        <f t="shared" si="0"/>
        <v>6.7423034956116207E-2</v>
      </c>
      <c r="E52" s="13">
        <v>289434411499</v>
      </c>
      <c r="F52" s="14">
        <f t="shared" si="1"/>
        <v>7.038288970173158E-2</v>
      </c>
      <c r="G52" s="15">
        <v>270402688873</v>
      </c>
    </row>
    <row r="53" spans="1:7" x14ac:dyDescent="0.2">
      <c r="A53" s="11" t="s">
        <v>51</v>
      </c>
      <c r="B53" s="12" t="str">
        <f>'Assessed Value All Property'!B53</f>
        <v>R-Prelim</v>
      </c>
      <c r="C53" s="13">
        <v>73070379796</v>
      </c>
      <c r="D53" s="14">
        <f t="shared" si="0"/>
        <v>6.2103385165528081E-2</v>
      </c>
      <c r="E53" s="13">
        <v>68797803318</v>
      </c>
      <c r="F53" s="14">
        <f t="shared" si="1"/>
        <v>9.3978425593957374E-2</v>
      </c>
      <c r="G53" s="15">
        <v>62887714884</v>
      </c>
    </row>
    <row r="54" spans="1:7" x14ac:dyDescent="0.2">
      <c r="A54" s="11" t="s">
        <v>52</v>
      </c>
      <c r="B54" s="12" t="str">
        <f>'Assessed Value All Property'!B54</f>
        <v>R-Prelim</v>
      </c>
      <c r="C54" s="13">
        <v>414371400643</v>
      </c>
      <c r="D54" s="14">
        <f t="shared" si="0"/>
        <v>7.0467802642051922E-2</v>
      </c>
      <c r="E54" s="13">
        <v>387093754357</v>
      </c>
      <c r="F54" s="14">
        <f t="shared" si="1"/>
        <v>7.4045808971921742E-2</v>
      </c>
      <c r="G54" s="15">
        <v>360407117763</v>
      </c>
    </row>
    <row r="55" spans="1:7" x14ac:dyDescent="0.2">
      <c r="A55" s="11" t="s">
        <v>53</v>
      </c>
      <c r="B55" s="12" t="str">
        <f>'Assessed Value All Property'!B55</f>
        <v>R-Prelim</v>
      </c>
      <c r="C55" s="13">
        <v>79427736047</v>
      </c>
      <c r="D55" s="14">
        <f t="shared" si="0"/>
        <v>6.690584375698351E-2</v>
      </c>
      <c r="E55" s="13">
        <v>74446809446</v>
      </c>
      <c r="F55" s="14">
        <f t="shared" si="1"/>
        <v>0.10355955077097488</v>
      </c>
      <c r="G55" s="15">
        <v>67460618137</v>
      </c>
    </row>
    <row r="56" spans="1:7" x14ac:dyDescent="0.2">
      <c r="A56" s="11" t="s">
        <v>54</v>
      </c>
      <c r="B56" s="12" t="str">
        <f>'Assessed Value All Property'!B56</f>
        <v>R-Prelim</v>
      </c>
      <c r="C56" s="13">
        <v>176165542393</v>
      </c>
      <c r="D56" s="14">
        <f t="shared" si="0"/>
        <v>3.4600826754226453E-2</v>
      </c>
      <c r="E56" s="13">
        <v>170273923853</v>
      </c>
      <c r="F56" s="14">
        <f t="shared" si="1"/>
        <v>3.9394400860223458E-2</v>
      </c>
      <c r="G56" s="15">
        <v>163820320479</v>
      </c>
    </row>
    <row r="57" spans="1:7" x14ac:dyDescent="0.2">
      <c r="A57" s="11" t="s">
        <v>55</v>
      </c>
      <c r="B57" s="12" t="str">
        <f>'Assessed Value All Property'!B57</f>
        <v>R-Prelim</v>
      </c>
      <c r="C57" s="13">
        <v>93250245454</v>
      </c>
      <c r="D57" s="14">
        <f t="shared" si="0"/>
        <v>4.7721240231300477E-2</v>
      </c>
      <c r="E57" s="13">
        <v>89002915922</v>
      </c>
      <c r="F57" s="14">
        <f t="shared" si="1"/>
        <v>8.3416060859667837E-2</v>
      </c>
      <c r="G57" s="15">
        <v>82150264462</v>
      </c>
    </row>
    <row r="58" spans="1:7" x14ac:dyDescent="0.2">
      <c r="A58" s="11" t="s">
        <v>56</v>
      </c>
      <c r="B58" s="12" t="str">
        <f>'Assessed Value All Property'!B58</f>
        <v>R-Prelim</v>
      </c>
      <c r="C58" s="13">
        <v>10740622053</v>
      </c>
      <c r="D58" s="14">
        <f t="shared" si="0"/>
        <v>5.814287857804494E-2</v>
      </c>
      <c r="E58" s="13">
        <v>10150445909</v>
      </c>
      <c r="F58" s="14">
        <f t="shared" si="1"/>
        <v>5.4541722644217153E-2</v>
      </c>
      <c r="G58" s="15">
        <v>9625456908</v>
      </c>
    </row>
    <row r="59" spans="1:7" x14ac:dyDescent="0.2">
      <c r="A59" s="11" t="s">
        <v>2</v>
      </c>
      <c r="B59" s="12" t="str">
        <f>'Assessed Value All Property'!B59</f>
        <v>R-Prelim</v>
      </c>
      <c r="C59" s="13">
        <v>73543669865</v>
      </c>
      <c r="D59" s="14">
        <f t="shared" si="0"/>
        <v>6.5591056435060024E-2</v>
      </c>
      <c r="E59" s="13">
        <v>69016785962</v>
      </c>
      <c r="F59" s="14">
        <f t="shared" si="1"/>
        <v>9.8320646903449452E-2</v>
      </c>
      <c r="G59" s="15">
        <v>62838467215</v>
      </c>
    </row>
    <row r="60" spans="1:7" x14ac:dyDescent="0.2">
      <c r="A60" s="11" t="s">
        <v>3</v>
      </c>
      <c r="B60" s="12" t="str">
        <f>'Assessed Value All Property'!B60</f>
        <v>R-Prelim</v>
      </c>
      <c r="C60" s="13">
        <v>58660899736</v>
      </c>
      <c r="D60" s="14">
        <f t="shared" si="0"/>
        <v>7.3875671381504304E-2</v>
      </c>
      <c r="E60" s="13">
        <v>54625410836</v>
      </c>
      <c r="F60" s="14">
        <f t="shared" si="1"/>
        <v>0.10329373450941007</v>
      </c>
      <c r="G60" s="15">
        <v>49511212769</v>
      </c>
    </row>
    <row r="61" spans="1:7" x14ac:dyDescent="0.2">
      <c r="A61" s="11" t="s">
        <v>57</v>
      </c>
      <c r="B61" s="12" t="str">
        <f>'Assessed Value All Property'!B61</f>
        <v>R-Prelim</v>
      </c>
      <c r="C61" s="13">
        <v>28479604618</v>
      </c>
      <c r="D61" s="14">
        <f t="shared" si="0"/>
        <v>0.12070631688260822</v>
      </c>
      <c r="E61" s="13">
        <v>25412192462</v>
      </c>
      <c r="F61" s="14">
        <f t="shared" si="1"/>
        <v>8.9326277732392628E-2</v>
      </c>
      <c r="G61" s="15">
        <v>23328357152</v>
      </c>
    </row>
    <row r="62" spans="1:7" x14ac:dyDescent="0.2">
      <c r="A62" s="11" t="s">
        <v>58</v>
      </c>
      <c r="B62" s="12" t="str">
        <f>'Assessed Value All Property'!B62</f>
        <v>R-Prelim</v>
      </c>
      <c r="C62" s="13">
        <v>129752480915</v>
      </c>
      <c r="D62" s="14">
        <f t="shared" si="0"/>
        <v>3.149129447036414E-2</v>
      </c>
      <c r="E62" s="13">
        <v>125791154623</v>
      </c>
      <c r="F62" s="14">
        <f t="shared" si="1"/>
        <v>5.6409435432998284E-2</v>
      </c>
      <c r="G62" s="15">
        <v>119074243758</v>
      </c>
    </row>
    <row r="63" spans="1:7" x14ac:dyDescent="0.2">
      <c r="A63" s="11" t="s">
        <v>59</v>
      </c>
      <c r="B63" s="12" t="str">
        <f>'Assessed Value All Property'!B63</f>
        <v>R-Prelim</v>
      </c>
      <c r="C63" s="13">
        <v>71197930795</v>
      </c>
      <c r="D63" s="14">
        <f t="shared" si="0"/>
        <v>5.4835654111528596E-2</v>
      </c>
      <c r="E63" s="13">
        <v>67496704835</v>
      </c>
      <c r="F63" s="14">
        <f t="shared" si="1"/>
        <v>6.6318931739224624E-2</v>
      </c>
      <c r="G63" s="15">
        <v>63298796285</v>
      </c>
    </row>
    <row r="64" spans="1:7" x14ac:dyDescent="0.2">
      <c r="A64" s="11" t="s">
        <v>60</v>
      </c>
      <c r="B64" s="12" t="str">
        <f>'Assessed Value All Property'!B64</f>
        <v>R-Prelim</v>
      </c>
      <c r="C64" s="13">
        <v>31424936881</v>
      </c>
      <c r="D64" s="14">
        <f t="shared" si="0"/>
        <v>9.1604388128288305E-2</v>
      </c>
      <c r="E64" s="13">
        <v>28787844042</v>
      </c>
      <c r="F64" s="14">
        <f t="shared" si="1"/>
        <v>9.636250635173145E-2</v>
      </c>
      <c r="G64" s="15">
        <v>26257596256</v>
      </c>
    </row>
    <row r="65" spans="1:7" x14ac:dyDescent="0.2">
      <c r="A65" s="11" t="s">
        <v>61</v>
      </c>
      <c r="B65" s="12" t="str">
        <f>'Assessed Value All Property'!B65</f>
        <v>R-Prelim</v>
      </c>
      <c r="C65" s="13">
        <v>4228527492</v>
      </c>
      <c r="D65" s="14">
        <f t="shared" si="0"/>
        <v>6.5372876045306186E-2</v>
      </c>
      <c r="E65" s="13">
        <v>3969058709</v>
      </c>
      <c r="F65" s="14">
        <f t="shared" si="1"/>
        <v>9.7076318301461392E-2</v>
      </c>
      <c r="G65" s="15">
        <v>3617851049</v>
      </c>
    </row>
    <row r="66" spans="1:7" x14ac:dyDescent="0.2">
      <c r="A66" s="11" t="s">
        <v>62</v>
      </c>
      <c r="B66" s="12" t="str">
        <f>'Assessed Value All Property'!B66</f>
        <v>R-Prelim</v>
      </c>
      <c r="C66" s="13">
        <v>2301326392</v>
      </c>
      <c r="D66" s="14">
        <f t="shared" si="0"/>
        <v>9.202095448590521E-3</v>
      </c>
      <c r="E66" s="13">
        <v>2280342463</v>
      </c>
      <c r="F66" s="14">
        <f t="shared" si="1"/>
        <v>-8.7062998976633207E-2</v>
      </c>
      <c r="G66" s="15">
        <v>2497809225</v>
      </c>
    </row>
    <row r="67" spans="1:7" x14ac:dyDescent="0.2">
      <c r="A67" s="11" t="s">
        <v>63</v>
      </c>
      <c r="B67" s="12" t="str">
        <f>'Assessed Value All Property'!B67</f>
        <v>R-Prelim</v>
      </c>
      <c r="C67" s="13">
        <v>704165666</v>
      </c>
      <c r="D67" s="14">
        <f t="shared" si="0"/>
        <v>3.9885996828503183E-2</v>
      </c>
      <c r="E67" s="13">
        <v>677156600</v>
      </c>
      <c r="F67" s="14">
        <f t="shared" si="1"/>
        <v>3.2753777561911154E-2</v>
      </c>
      <c r="G67" s="15">
        <v>655680584</v>
      </c>
    </row>
    <row r="68" spans="1:7" x14ac:dyDescent="0.2">
      <c r="A68" s="11" t="s">
        <v>64</v>
      </c>
      <c r="B68" s="12" t="str">
        <f>'Assessed Value All Property'!B68</f>
        <v>R-Prelim</v>
      </c>
      <c r="C68" s="13">
        <v>87999118665</v>
      </c>
      <c r="D68" s="14">
        <f t="shared" si="0"/>
        <v>5.3185698408104332E-2</v>
      </c>
      <c r="E68" s="13">
        <v>83555178159</v>
      </c>
      <c r="F68" s="14">
        <f t="shared" si="1"/>
        <v>7.8350401557810714E-2</v>
      </c>
      <c r="G68" s="15">
        <v>77484255617</v>
      </c>
    </row>
    <row r="69" spans="1:7" x14ac:dyDescent="0.2">
      <c r="A69" s="11" t="s">
        <v>65</v>
      </c>
      <c r="B69" s="12" t="str">
        <f>'Assessed Value All Property'!B69</f>
        <v>R-Prelim</v>
      </c>
      <c r="C69" s="13">
        <v>3871484184</v>
      </c>
      <c r="D69" s="14">
        <f t="shared" si="0"/>
        <v>4.6085474245889581E-2</v>
      </c>
      <c r="E69" s="13">
        <v>3700925287</v>
      </c>
      <c r="F69" s="14">
        <f t="shared" si="1"/>
        <v>8.914050475602682E-2</v>
      </c>
      <c r="G69" s="15">
        <v>3398023736</v>
      </c>
    </row>
    <row r="70" spans="1:7" x14ac:dyDescent="0.2">
      <c r="A70" s="11" t="s">
        <v>66</v>
      </c>
      <c r="B70" s="12" t="str">
        <f>'Assessed Value All Property'!B70</f>
        <v>R-Prelim</v>
      </c>
      <c r="C70" s="13">
        <v>52860884783</v>
      </c>
      <c r="D70" s="14">
        <f>((C70-E70)/E70)</f>
        <v>5.7334694967231516E-2</v>
      </c>
      <c r="E70" s="13">
        <v>49994467253</v>
      </c>
      <c r="F70" s="14">
        <f>((E70-G70)/G70)</f>
        <v>9.4517176071909584E-2</v>
      </c>
      <c r="G70" s="15">
        <v>45677188395</v>
      </c>
    </row>
    <row r="71" spans="1:7" x14ac:dyDescent="0.2">
      <c r="A71" s="11" t="s">
        <v>67</v>
      </c>
      <c r="B71" s="12" t="str">
        <f>'Assessed Value All Property'!B71</f>
        <v>R-Prelim</v>
      </c>
      <c r="C71" s="13">
        <v>2232118872</v>
      </c>
      <c r="D71" s="14">
        <f>((C71-E71)/E71)</f>
        <v>8.400764536683325E-2</v>
      </c>
      <c r="E71" s="13">
        <v>2059135728</v>
      </c>
      <c r="F71" s="14">
        <f>((E71-G71)/G71)</f>
        <v>9.6301913516399468E-2</v>
      </c>
      <c r="G71" s="15">
        <v>1878256074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4378567615183</v>
      </c>
      <c r="D73" s="22">
        <f>((C73-E73)/E73)</f>
        <v>5.8578626910109233E-2</v>
      </c>
      <c r="E73" s="21">
        <f>SUM(E5:E72)</f>
        <v>4136270564959</v>
      </c>
      <c r="F73" s="22">
        <f>((E73-G73)/G73)</f>
        <v>7.8402322367156468E-2</v>
      </c>
      <c r="G73" s="23">
        <f>SUM(G5:G71)</f>
        <v>3835554207524</v>
      </c>
    </row>
    <row r="75" spans="1:7" x14ac:dyDescent="0.2">
      <c r="A75" s="24" t="s">
        <v>89</v>
      </c>
    </row>
    <row r="76" spans="1:7" x14ac:dyDescent="0.2">
      <c r="G76" s="25"/>
    </row>
    <row r="77" spans="1:7" x14ac:dyDescent="0.2">
      <c r="A77" s="2" t="s">
        <v>95</v>
      </c>
    </row>
  </sheetData>
  <phoneticPr fontId="3" type="noConversion"/>
  <conditionalFormatting sqref="A75">
    <cfRule type="expression" dxfId="8" priority="7" stopIfTrue="1">
      <formula>MOD(ROW(),5)=1</formula>
    </cfRule>
  </conditionalFormatting>
  <conditionalFormatting sqref="A4:G73">
    <cfRule type="expression" dxfId="7" priority="1" stopIfTrue="1">
      <formula>MOD(ROW(),3)=1</formula>
    </cfRule>
  </conditionalFormatting>
  <pageMargins left="0.7" right="0.7" top="0.5" bottom="0.5" header="0.05" footer="0.05"/>
  <pageSetup scale="90" fitToHeight="2" orientation="landscape" r:id="rId1"/>
  <rowBreaks count="1" manualBreakCount="1">
    <brk id="37" max="6" man="1"/>
  </rowBreaks>
  <ignoredErrors>
    <ignoredError sqref="E73 G7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"/>
  <sheetViews>
    <sheetView zoomScaleNormal="100" zoomScaleSheetLayoutView="100" workbookViewId="0">
      <pane ySplit="4" topLeftCell="A50" activePane="bottomLeft" state="frozen"/>
      <selection sqref="A1:XFD1048576"/>
      <selection pane="bottomLeft" activeCell="M57" sqref="M57:M58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9" width="9.140625" style="2"/>
    <col min="10" max="10" width="25.5703125" style="2" customWidth="1"/>
    <col min="11" max="16384" width="9.140625" style="2"/>
  </cols>
  <sheetData>
    <row r="1" spans="1:7" ht="23.25" x14ac:dyDescent="0.35">
      <c r="A1" s="6" t="s">
        <v>71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s="40" customFormat="1" ht="15" thickBot="1" x14ac:dyDescent="0.25">
      <c r="B3" s="41"/>
      <c r="D3" s="41"/>
      <c r="F3" s="41"/>
    </row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83</v>
      </c>
      <c r="F4" s="38" t="s">
        <v>84</v>
      </c>
      <c r="G4" s="39" t="s">
        <v>82</v>
      </c>
    </row>
    <row r="5" spans="1:7" x14ac:dyDescent="0.2">
      <c r="A5" s="11" t="s">
        <v>4</v>
      </c>
      <c r="B5" s="12" t="str">
        <f>'Assessed Value All Property'!B5</f>
        <v>R-Prelim</v>
      </c>
      <c r="C5" s="13">
        <v>34840429609</v>
      </c>
      <c r="D5" s="14">
        <f>((C5-E5)/E5)</f>
        <v>5.6432373511191611E-2</v>
      </c>
      <c r="E5" s="13">
        <v>32979327861</v>
      </c>
      <c r="F5" s="14">
        <f>((E5-G5)/G5)</f>
        <v>6.165501260066223E-2</v>
      </c>
      <c r="G5" s="15">
        <v>31064072104</v>
      </c>
    </row>
    <row r="6" spans="1:7" x14ac:dyDescent="0.2">
      <c r="A6" s="11" t="s">
        <v>5</v>
      </c>
      <c r="B6" s="12" t="str">
        <f>'Assessed Value All Property'!B6</f>
        <v>R-Prelim</v>
      </c>
      <c r="C6" s="13">
        <v>2280897071</v>
      </c>
      <c r="D6" s="14">
        <f t="shared" ref="D6:D69" si="0">((C6-E6)/E6)</f>
        <v>5.5869335079396301E-2</v>
      </c>
      <c r="E6" s="13">
        <v>2160207703</v>
      </c>
      <c r="F6" s="14">
        <f t="shared" ref="F6:F69" si="1">((E6-G6)/G6)</f>
        <v>6.4317081030010492E-2</v>
      </c>
      <c r="G6" s="15">
        <v>2029665540</v>
      </c>
    </row>
    <row r="7" spans="1:7" x14ac:dyDescent="0.2">
      <c r="A7" s="11" t="s">
        <v>6</v>
      </c>
      <c r="B7" s="12" t="str">
        <f>'Assessed Value All Property'!B7</f>
        <v>R-Prelim</v>
      </c>
      <c r="C7" s="13">
        <v>37915535497</v>
      </c>
      <c r="D7" s="14">
        <f t="shared" si="0"/>
        <v>6.1803834189308716E-2</v>
      </c>
      <c r="E7" s="13">
        <v>35708606690</v>
      </c>
      <c r="F7" s="14">
        <f t="shared" si="1"/>
        <v>8.0887565844016365E-2</v>
      </c>
      <c r="G7" s="15">
        <v>33036374752</v>
      </c>
    </row>
    <row r="8" spans="1:7" x14ac:dyDescent="0.2">
      <c r="A8" s="11" t="s">
        <v>7</v>
      </c>
      <c r="B8" s="12" t="str">
        <f>'Assessed Value All Property'!B8</f>
        <v>R-Prelim</v>
      </c>
      <c r="C8" s="13">
        <v>1851307814</v>
      </c>
      <c r="D8" s="14">
        <f t="shared" si="0"/>
        <v>7.2107704793053243E-2</v>
      </c>
      <c r="E8" s="13">
        <v>1726792752</v>
      </c>
      <c r="F8" s="14">
        <f t="shared" si="1"/>
        <v>8.3914662061247855E-2</v>
      </c>
      <c r="G8" s="15">
        <v>1593107661</v>
      </c>
    </row>
    <row r="9" spans="1:7" x14ac:dyDescent="0.2">
      <c r="A9" s="11" t="s">
        <v>8</v>
      </c>
      <c r="B9" s="12" t="str">
        <f>'Assessed Value All Property'!B9</f>
        <v>R-Prelim</v>
      </c>
      <c r="C9" s="13">
        <v>92163188590</v>
      </c>
      <c r="D9" s="14">
        <f t="shared" si="0"/>
        <v>5.3856077459346056E-2</v>
      </c>
      <c r="E9" s="13">
        <v>87453297050</v>
      </c>
      <c r="F9" s="14">
        <f t="shared" si="1"/>
        <v>7.2761155995148874E-2</v>
      </c>
      <c r="G9" s="15">
        <v>81521685010</v>
      </c>
    </row>
    <row r="10" spans="1:7" x14ac:dyDescent="0.2">
      <c r="A10" s="11" t="s">
        <v>9</v>
      </c>
      <c r="B10" s="12" t="str">
        <f>'Assessed Value All Property'!B10</f>
        <v>R-Prelim</v>
      </c>
      <c r="C10" s="13">
        <v>378586860070</v>
      </c>
      <c r="D10" s="14">
        <f t="shared" si="0"/>
        <v>5.463728925996339E-2</v>
      </c>
      <c r="E10" s="13">
        <v>358973520020</v>
      </c>
      <c r="F10" s="14">
        <f t="shared" si="1"/>
        <v>7.5132821399113273E-2</v>
      </c>
      <c r="G10" s="15">
        <v>333887602420</v>
      </c>
    </row>
    <row r="11" spans="1:7" x14ac:dyDescent="0.2">
      <c r="A11" s="11" t="s">
        <v>10</v>
      </c>
      <c r="B11" s="12" t="str">
        <f>'Assessed Value All Property'!B11</f>
        <v>R-Prelim</v>
      </c>
      <c r="C11" s="13">
        <v>730395719</v>
      </c>
      <c r="D11" s="14">
        <f t="shared" si="0"/>
        <v>8.2769193045874698E-2</v>
      </c>
      <c r="E11" s="13">
        <v>674562708</v>
      </c>
      <c r="F11" s="14">
        <f t="shared" si="1"/>
        <v>4.0635128342481015E-2</v>
      </c>
      <c r="G11" s="15">
        <v>648222119</v>
      </c>
    </row>
    <row r="12" spans="1:7" x14ac:dyDescent="0.2">
      <c r="A12" s="11" t="s">
        <v>11</v>
      </c>
      <c r="B12" s="12" t="str">
        <f>'Assessed Value All Property'!B12</f>
        <v>R-Prelim</v>
      </c>
      <c r="C12" s="13">
        <v>40183752392</v>
      </c>
      <c r="D12" s="14">
        <f t="shared" si="0"/>
        <v>2.8366074867256345E-2</v>
      </c>
      <c r="E12" s="13">
        <v>39075338417</v>
      </c>
      <c r="F12" s="14">
        <f t="shared" si="1"/>
        <v>7.5398985994456311E-2</v>
      </c>
      <c r="G12" s="15">
        <v>36335666042</v>
      </c>
    </row>
    <row r="13" spans="1:7" x14ac:dyDescent="0.2">
      <c r="A13" s="11" t="s">
        <v>12</v>
      </c>
      <c r="B13" s="12" t="str">
        <f>'Assessed Value All Property'!B13</f>
        <v>R-Prelim</v>
      </c>
      <c r="C13" s="13">
        <v>19717975270</v>
      </c>
      <c r="D13" s="14">
        <f t="shared" si="0"/>
        <v>6.7538151528073687E-2</v>
      </c>
      <c r="E13" s="13">
        <v>18470511093</v>
      </c>
      <c r="F13" s="14">
        <f t="shared" si="1"/>
        <v>7.2042905149607497E-2</v>
      </c>
      <c r="G13" s="15">
        <v>17229264803</v>
      </c>
    </row>
    <row r="14" spans="1:7" x14ac:dyDescent="0.2">
      <c r="A14" s="11" t="s">
        <v>13</v>
      </c>
      <c r="B14" s="12" t="str">
        <f>'Assessed Value All Property'!B14</f>
        <v>R-Prelim</v>
      </c>
      <c r="C14" s="13">
        <v>25898656441</v>
      </c>
      <c r="D14" s="14">
        <f t="shared" si="0"/>
        <v>6.0394658305695181E-2</v>
      </c>
      <c r="E14" s="13">
        <v>24423601381</v>
      </c>
      <c r="F14" s="14">
        <f t="shared" si="1"/>
        <v>8.8268368240220038E-2</v>
      </c>
      <c r="G14" s="15">
        <v>22442627291</v>
      </c>
    </row>
    <row r="15" spans="1:7" x14ac:dyDescent="0.2">
      <c r="A15" s="11" t="s">
        <v>14</v>
      </c>
      <c r="B15" s="12" t="str">
        <f>'Assessed Value All Property'!B15</f>
        <v>R-Prelim</v>
      </c>
      <c r="C15" s="13">
        <v>181550237942</v>
      </c>
      <c r="D15" s="14">
        <f t="shared" si="0"/>
        <v>3.4583518500781618E-2</v>
      </c>
      <c r="E15" s="13">
        <v>175481471235</v>
      </c>
      <c r="F15" s="14">
        <f t="shared" si="1"/>
        <v>8.0340287239204028E-2</v>
      </c>
      <c r="G15" s="15">
        <v>162431664641</v>
      </c>
    </row>
    <row r="16" spans="1:7" x14ac:dyDescent="0.2">
      <c r="A16" s="11" t="s">
        <v>15</v>
      </c>
      <c r="B16" s="12" t="str">
        <f>'Assessed Value All Property'!B16</f>
        <v>R-Prelim</v>
      </c>
      <c r="C16" s="13">
        <v>5785452953</v>
      </c>
      <c r="D16" s="14">
        <f t="shared" si="0"/>
        <v>6.5539682950543382E-2</v>
      </c>
      <c r="E16" s="13">
        <v>5429598771</v>
      </c>
      <c r="F16" s="14">
        <f t="shared" si="1"/>
        <v>6.9891983351052706E-2</v>
      </c>
      <c r="G16" s="15">
        <v>5074903687</v>
      </c>
    </row>
    <row r="17" spans="1:7" x14ac:dyDescent="0.2">
      <c r="A17" s="11" t="s">
        <v>78</v>
      </c>
      <c r="B17" s="12" t="str">
        <f>'Assessed Value All Property'!B17</f>
        <v>R-Prelim</v>
      </c>
      <c r="C17" s="13">
        <v>586005952029</v>
      </c>
      <c r="D17" s="14">
        <f t="shared" si="0"/>
        <v>6.863092612560806E-2</v>
      </c>
      <c r="E17" s="13">
        <v>548370758980</v>
      </c>
      <c r="F17" s="14">
        <f t="shared" si="1"/>
        <v>7.646441245591877E-2</v>
      </c>
      <c r="G17" s="15">
        <v>509418381727</v>
      </c>
    </row>
    <row r="18" spans="1:7" x14ac:dyDescent="0.2">
      <c r="A18" s="11" t="s">
        <v>16</v>
      </c>
      <c r="B18" s="12" t="str">
        <f>'Assessed Value All Property'!B18</f>
        <v>R-Prelim</v>
      </c>
      <c r="C18" s="13">
        <v>3012243129</v>
      </c>
      <c r="D18" s="14">
        <f t="shared" si="0"/>
        <v>4.6409587431292448E-2</v>
      </c>
      <c r="E18" s="13">
        <v>2878646340</v>
      </c>
      <c r="F18" s="14">
        <f t="shared" si="1"/>
        <v>7.8601161448679513E-2</v>
      </c>
      <c r="G18" s="15">
        <v>2668870054</v>
      </c>
    </row>
    <row r="19" spans="1:7" x14ac:dyDescent="0.2">
      <c r="A19" s="11" t="s">
        <v>17</v>
      </c>
      <c r="B19" s="12" t="str">
        <f>'Assessed Value All Property'!B19</f>
        <v>R-Prelim</v>
      </c>
      <c r="C19" s="13">
        <v>1142813789</v>
      </c>
      <c r="D19" s="14">
        <f t="shared" si="0"/>
        <v>5.1269342924738573E-2</v>
      </c>
      <c r="E19" s="13">
        <v>1087079916</v>
      </c>
      <c r="F19" s="14">
        <f t="shared" si="1"/>
        <v>3.4178038023084258E-2</v>
      </c>
      <c r="G19" s="15">
        <v>1051153550</v>
      </c>
    </row>
    <row r="20" spans="1:7" x14ac:dyDescent="0.2">
      <c r="A20" s="11" t="s">
        <v>18</v>
      </c>
      <c r="B20" s="12" t="str">
        <f>'Assessed Value All Property'!B20</f>
        <v>R-Prelim</v>
      </c>
      <c r="C20" s="13">
        <v>142728331498</v>
      </c>
      <c r="D20" s="14">
        <f t="shared" si="0"/>
        <v>6.2828492087767945E-2</v>
      </c>
      <c r="E20" s="13">
        <v>134291028666</v>
      </c>
      <c r="F20" s="14">
        <f t="shared" si="1"/>
        <v>7.5269165297121771E-2</v>
      </c>
      <c r="G20" s="15">
        <v>124890616229</v>
      </c>
    </row>
    <row r="21" spans="1:7" x14ac:dyDescent="0.2">
      <c r="A21" s="11" t="s">
        <v>19</v>
      </c>
      <c r="B21" s="12" t="str">
        <f>'Assessed Value All Property'!B21</f>
        <v>R-Prelim</v>
      </c>
      <c r="C21" s="13">
        <v>41576022532</v>
      </c>
      <c r="D21" s="14">
        <f t="shared" si="0"/>
        <v>4.8973869276135951E-2</v>
      </c>
      <c r="E21" s="13">
        <v>39634945874</v>
      </c>
      <c r="F21" s="14">
        <f t="shared" si="1"/>
        <v>6.9179220736313773E-2</v>
      </c>
      <c r="G21" s="15">
        <v>37070441611</v>
      </c>
    </row>
    <row r="22" spans="1:7" x14ac:dyDescent="0.2">
      <c r="A22" s="11" t="s">
        <v>20</v>
      </c>
      <c r="B22" s="12" t="str">
        <f>'Assessed Value All Property'!B22</f>
        <v>R-Prelim</v>
      </c>
      <c r="C22" s="13">
        <v>22015828532</v>
      </c>
      <c r="D22" s="14">
        <f t="shared" si="0"/>
        <v>4.4266935071617865E-2</v>
      </c>
      <c r="E22" s="13">
        <v>21082567869</v>
      </c>
      <c r="F22" s="14">
        <f t="shared" si="1"/>
        <v>9.4784939665821424E-2</v>
      </c>
      <c r="G22" s="15">
        <v>19257268807</v>
      </c>
    </row>
    <row r="23" spans="1:7" x14ac:dyDescent="0.2">
      <c r="A23" s="11" t="s">
        <v>21</v>
      </c>
      <c r="B23" s="12" t="str">
        <f>'Assessed Value All Property'!B23</f>
        <v>R-Prelim</v>
      </c>
      <c r="C23" s="13">
        <v>5179998053</v>
      </c>
      <c r="D23" s="14">
        <f t="shared" si="0"/>
        <v>5.8666033400475055E-2</v>
      </c>
      <c r="E23" s="13">
        <v>4892948191</v>
      </c>
      <c r="F23" s="14">
        <f t="shared" si="1"/>
        <v>6.9718623968293147E-2</v>
      </c>
      <c r="G23" s="15">
        <v>4574051607</v>
      </c>
    </row>
    <row r="24" spans="1:7" x14ac:dyDescent="0.2">
      <c r="A24" s="11" t="s">
        <v>22</v>
      </c>
      <c r="B24" s="12" t="str">
        <f>'Assessed Value All Property'!B24</f>
        <v>R-Prelim</v>
      </c>
      <c r="C24" s="13">
        <v>2738232151</v>
      </c>
      <c r="D24" s="14">
        <f t="shared" si="0"/>
        <v>3.3462525451574833E-2</v>
      </c>
      <c r="E24" s="13">
        <v>2649570820</v>
      </c>
      <c r="F24" s="14">
        <f t="shared" si="1"/>
        <v>6.905330571564125E-2</v>
      </c>
      <c r="G24" s="15">
        <v>2478427227</v>
      </c>
    </row>
    <row r="25" spans="1:7" x14ac:dyDescent="0.2">
      <c r="A25" s="11" t="s">
        <v>23</v>
      </c>
      <c r="B25" s="12" t="str">
        <f>'Assessed Value All Property'!B25</f>
        <v>R-Prelim</v>
      </c>
      <c r="C25" s="13">
        <v>1548519951</v>
      </c>
      <c r="D25" s="14">
        <f t="shared" si="0"/>
        <v>6.8313714199643966E-2</v>
      </c>
      <c r="E25" s="13">
        <v>1449499272</v>
      </c>
      <c r="F25" s="14">
        <f t="shared" si="1"/>
        <v>0.10127696900916389</v>
      </c>
      <c r="G25" s="15">
        <v>1316198661</v>
      </c>
    </row>
    <row r="26" spans="1:7" x14ac:dyDescent="0.2">
      <c r="A26" s="11" t="s">
        <v>24</v>
      </c>
      <c r="B26" s="12" t="str">
        <f>'Assessed Value All Property'!B26</f>
        <v>R-Prelim</v>
      </c>
      <c r="C26" s="13">
        <v>2252578299</v>
      </c>
      <c r="D26" s="14">
        <f t="shared" si="0"/>
        <v>6.3816574361452424E-2</v>
      </c>
      <c r="E26" s="13">
        <v>2117449900</v>
      </c>
      <c r="F26" s="14">
        <f t="shared" si="1"/>
        <v>7.5921421992248411E-2</v>
      </c>
      <c r="G26" s="15">
        <v>1968033963</v>
      </c>
    </row>
    <row r="27" spans="1:7" x14ac:dyDescent="0.2">
      <c r="A27" s="11" t="s">
        <v>25</v>
      </c>
      <c r="B27" s="12" t="str">
        <f>'Assessed Value All Property'!B27</f>
        <v>R-Prelim</v>
      </c>
      <c r="C27" s="13">
        <v>5067404628</v>
      </c>
      <c r="D27" s="14">
        <f t="shared" si="0"/>
        <v>8.1245453644030838E-2</v>
      </c>
      <c r="E27" s="13">
        <v>4686636703</v>
      </c>
      <c r="F27" s="14">
        <f t="shared" si="1"/>
        <v>9.7586192272052258E-2</v>
      </c>
      <c r="G27" s="15">
        <v>4269948671</v>
      </c>
    </row>
    <row r="28" spans="1:7" x14ac:dyDescent="0.2">
      <c r="A28" s="11" t="s">
        <v>26</v>
      </c>
      <c r="B28" s="12" t="str">
        <f>'Assessed Value All Property'!B28</f>
        <v>R-Prelim</v>
      </c>
      <c r="C28" s="13">
        <v>1016942777</v>
      </c>
      <c r="D28" s="14">
        <f t="shared" si="0"/>
        <v>6.4104824329040966E-2</v>
      </c>
      <c r="E28" s="13">
        <v>955679134</v>
      </c>
      <c r="F28" s="14">
        <f t="shared" si="1"/>
        <v>8.1170837443336322E-2</v>
      </c>
      <c r="G28" s="15">
        <v>883929811</v>
      </c>
    </row>
    <row r="29" spans="1:7" x14ac:dyDescent="0.2">
      <c r="A29" s="11" t="s">
        <v>27</v>
      </c>
      <c r="B29" s="12" t="str">
        <f>'Assessed Value All Property'!B29</f>
        <v>R-Prelim</v>
      </c>
      <c r="C29" s="13">
        <v>2444524955</v>
      </c>
      <c r="D29" s="14">
        <f t="shared" si="0"/>
        <v>8.0326210213348612E-2</v>
      </c>
      <c r="E29" s="13">
        <v>2262765572</v>
      </c>
      <c r="F29" s="14">
        <f t="shared" si="1"/>
        <v>9.2404082870916796E-2</v>
      </c>
      <c r="G29" s="15">
        <v>2071363159</v>
      </c>
    </row>
    <row r="30" spans="1:7" x14ac:dyDescent="0.2">
      <c r="A30" s="11" t="s">
        <v>28</v>
      </c>
      <c r="B30" s="12" t="str">
        <f>'Assessed Value All Property'!B30</f>
        <v>R-Prelim</v>
      </c>
      <c r="C30" s="13">
        <v>5620203574</v>
      </c>
      <c r="D30" s="14">
        <f t="shared" si="0"/>
        <v>7.3207776229149438E-2</v>
      </c>
      <c r="E30" s="13">
        <v>5236827107</v>
      </c>
      <c r="F30" s="14">
        <f t="shared" si="1"/>
        <v>9.5227256883721884E-2</v>
      </c>
      <c r="G30" s="15">
        <v>4781498154</v>
      </c>
    </row>
    <row r="31" spans="1:7" x14ac:dyDescent="0.2">
      <c r="A31" s="11" t="s">
        <v>29</v>
      </c>
      <c r="B31" s="12" t="str">
        <f>'Assessed Value All Property'!B31</f>
        <v>R-Prelim</v>
      </c>
      <c r="C31" s="13">
        <v>23335115777</v>
      </c>
      <c r="D31" s="14">
        <f t="shared" si="0"/>
        <v>5.8081071964734499E-2</v>
      </c>
      <c r="E31" s="13">
        <v>22054185067</v>
      </c>
      <c r="F31" s="14">
        <f t="shared" si="1"/>
        <v>9.3089849738399358E-2</v>
      </c>
      <c r="G31" s="15">
        <v>20176003896</v>
      </c>
    </row>
    <row r="32" spans="1:7" x14ac:dyDescent="0.2">
      <c r="A32" s="11" t="s">
        <v>30</v>
      </c>
      <c r="B32" s="12" t="str">
        <f>'Assessed Value All Property'!B32</f>
        <v>R-Prelim</v>
      </c>
      <c r="C32" s="13">
        <v>11253952758</v>
      </c>
      <c r="D32" s="14">
        <f t="shared" si="0"/>
        <v>6.8199657434316413E-2</v>
      </c>
      <c r="E32" s="13">
        <v>10535439400</v>
      </c>
      <c r="F32" s="14">
        <f t="shared" si="1"/>
        <v>7.9155706743559026E-2</v>
      </c>
      <c r="G32" s="15">
        <v>9762668477</v>
      </c>
    </row>
    <row r="33" spans="1:7" x14ac:dyDescent="0.2">
      <c r="A33" s="11" t="s">
        <v>31</v>
      </c>
      <c r="B33" s="12" t="str">
        <f>'Assessed Value All Property'!B33</f>
        <v>R-Prelim</v>
      </c>
      <c r="C33" s="13">
        <v>218300966173</v>
      </c>
      <c r="D33" s="14">
        <f t="shared" si="0"/>
        <v>4.9902701083289279E-2</v>
      </c>
      <c r="E33" s="13">
        <v>207924949567</v>
      </c>
      <c r="F33" s="14">
        <f t="shared" si="1"/>
        <v>6.3714483689668713E-2</v>
      </c>
      <c r="G33" s="15">
        <v>195470638743</v>
      </c>
    </row>
    <row r="34" spans="1:7" x14ac:dyDescent="0.2">
      <c r="A34" s="11" t="s">
        <v>32</v>
      </c>
      <c r="B34" s="12" t="str">
        <f>'Assessed Value All Property'!B34</f>
        <v>R-Prelim</v>
      </c>
      <c r="C34" s="13">
        <v>1044471320</v>
      </c>
      <c r="D34" s="14">
        <f t="shared" si="0"/>
        <v>8.1365810741797537E-2</v>
      </c>
      <c r="E34" s="13">
        <v>965881582</v>
      </c>
      <c r="F34" s="14">
        <f t="shared" si="1"/>
        <v>9.3803621916822594E-2</v>
      </c>
      <c r="G34" s="15">
        <v>883048440</v>
      </c>
    </row>
    <row r="35" spans="1:7" x14ac:dyDescent="0.2">
      <c r="A35" s="11" t="s">
        <v>33</v>
      </c>
      <c r="B35" s="12" t="str">
        <f>'Assessed Value All Property'!B35</f>
        <v>R-Prelim</v>
      </c>
      <c r="C35" s="13">
        <v>37300488983</v>
      </c>
      <c r="D35" s="14">
        <f t="shared" si="0"/>
        <v>6.1029018249788416E-2</v>
      </c>
      <c r="E35" s="13">
        <v>35155013050</v>
      </c>
      <c r="F35" s="14">
        <f t="shared" si="1"/>
        <v>7.8028784605930074E-2</v>
      </c>
      <c r="G35" s="15">
        <v>32610458600</v>
      </c>
    </row>
    <row r="36" spans="1:7" x14ac:dyDescent="0.2">
      <c r="A36" s="11" t="s">
        <v>34</v>
      </c>
      <c r="B36" s="12" t="str">
        <f>'Assessed Value All Property'!B36</f>
        <v>R-Prelim</v>
      </c>
      <c r="C36" s="13">
        <v>3138911563</v>
      </c>
      <c r="D36" s="14">
        <f t="shared" si="0"/>
        <v>5.0618911500240227E-2</v>
      </c>
      <c r="E36" s="13">
        <v>2987678528</v>
      </c>
      <c r="F36" s="14">
        <f t="shared" si="1"/>
        <v>6.5007696446056001E-2</v>
      </c>
      <c r="G36" s="15">
        <v>2805311678</v>
      </c>
    </row>
    <row r="37" spans="1:7" x14ac:dyDescent="0.2">
      <c r="A37" s="11" t="s">
        <v>35</v>
      </c>
      <c r="B37" s="12" t="str">
        <f>'Assessed Value All Property'!B37</f>
        <v>R-Prelim</v>
      </c>
      <c r="C37" s="13">
        <v>1380283256</v>
      </c>
      <c r="D37" s="14">
        <f t="shared" si="0"/>
        <v>6.8081508098560284E-2</v>
      </c>
      <c r="E37" s="13">
        <v>1292301426</v>
      </c>
      <c r="F37" s="14">
        <f t="shared" si="1"/>
        <v>5.7768501503760367E-2</v>
      </c>
      <c r="G37" s="15">
        <v>1221724247</v>
      </c>
    </row>
    <row r="38" spans="1:7" x14ac:dyDescent="0.2">
      <c r="A38" s="11" t="s">
        <v>36</v>
      </c>
      <c r="B38" s="12" t="str">
        <f>'Assessed Value All Property'!B38</f>
        <v>R-Prelim</v>
      </c>
      <c r="C38" s="13">
        <v>541090663</v>
      </c>
      <c r="D38" s="14">
        <f t="shared" si="0"/>
        <v>5.380227477750512E-2</v>
      </c>
      <c r="E38" s="13">
        <v>513465074</v>
      </c>
      <c r="F38" s="14">
        <f t="shared" si="1"/>
        <v>5.3565255364163018E-2</v>
      </c>
      <c r="G38" s="15">
        <v>487359536</v>
      </c>
    </row>
    <row r="39" spans="1:7" x14ac:dyDescent="0.2">
      <c r="A39" s="11" t="s">
        <v>37</v>
      </c>
      <c r="B39" s="12" t="str">
        <f>'Assessed Value All Property'!B39</f>
        <v>R-Prelim</v>
      </c>
      <c r="C39" s="13">
        <v>56070531343</v>
      </c>
      <c r="D39" s="14">
        <f t="shared" si="0"/>
        <v>8.0430312702340009E-2</v>
      </c>
      <c r="E39" s="13">
        <v>51896481137</v>
      </c>
      <c r="F39" s="14">
        <f t="shared" si="1"/>
        <v>0.10425033568311179</v>
      </c>
      <c r="G39" s="15">
        <v>46997025457</v>
      </c>
    </row>
    <row r="40" spans="1:7" x14ac:dyDescent="0.2">
      <c r="A40" s="11" t="s">
        <v>38</v>
      </c>
      <c r="B40" s="12" t="str">
        <f>'Assessed Value All Property'!B40</f>
        <v>R-Prelim</v>
      </c>
      <c r="C40" s="13">
        <v>172297174013</v>
      </c>
      <c r="D40" s="14">
        <f t="shared" si="0"/>
        <v>4.5993907631396706E-2</v>
      </c>
      <c r="E40" s="13">
        <v>164721011046</v>
      </c>
      <c r="F40" s="14">
        <f t="shared" si="1"/>
        <v>8.0606689107100421E-2</v>
      </c>
      <c r="G40" s="15">
        <v>152433825097</v>
      </c>
    </row>
    <row r="41" spans="1:7" x14ac:dyDescent="0.2">
      <c r="A41" s="11" t="s">
        <v>39</v>
      </c>
      <c r="B41" s="12" t="str">
        <f>'Assessed Value All Property'!B41</f>
        <v>R-Prelim</v>
      </c>
      <c r="C41" s="13">
        <v>38794904930</v>
      </c>
      <c r="D41" s="14">
        <f t="shared" si="0"/>
        <v>5.1870395185038075E-2</v>
      </c>
      <c r="E41" s="13">
        <v>36881829841</v>
      </c>
      <c r="F41" s="14">
        <f t="shared" si="1"/>
        <v>6.8156103007757263E-2</v>
      </c>
      <c r="G41" s="15">
        <v>34528501721</v>
      </c>
    </row>
    <row r="42" spans="1:7" x14ac:dyDescent="0.2">
      <c r="A42" s="11" t="s">
        <v>40</v>
      </c>
      <c r="B42" s="12" t="str">
        <f>'Assessed Value All Property'!B42</f>
        <v>R-Prelim</v>
      </c>
      <c r="C42" s="13">
        <v>4354502970</v>
      </c>
      <c r="D42" s="14">
        <f t="shared" si="0"/>
        <v>8.6763680794254366E-2</v>
      </c>
      <c r="E42" s="13">
        <v>4006853603</v>
      </c>
      <c r="F42" s="14">
        <f t="shared" si="1"/>
        <v>7.1260678572956676E-2</v>
      </c>
      <c r="G42" s="15">
        <v>3740316137</v>
      </c>
    </row>
    <row r="43" spans="1:7" x14ac:dyDescent="0.2">
      <c r="A43" s="11" t="s">
        <v>41</v>
      </c>
      <c r="B43" s="12" t="str">
        <f>'Assessed Value All Property'!B43</f>
        <v>R-Prelim</v>
      </c>
      <c r="C43" s="13">
        <v>675770902</v>
      </c>
      <c r="D43" s="14">
        <f t="shared" si="0"/>
        <v>2.7578199262609883E-2</v>
      </c>
      <c r="E43" s="13">
        <v>657634526</v>
      </c>
      <c r="F43" s="14">
        <f t="shared" si="1"/>
        <v>1.9478681724030993E-2</v>
      </c>
      <c r="G43" s="15">
        <v>645069424</v>
      </c>
    </row>
    <row r="44" spans="1:7" x14ac:dyDescent="0.2">
      <c r="A44" s="11" t="s">
        <v>42</v>
      </c>
      <c r="B44" s="12" t="str">
        <f>'Assessed Value All Property'!B44</f>
        <v>R-Prelim</v>
      </c>
      <c r="C44" s="13">
        <v>1392024826</v>
      </c>
      <c r="D44" s="14">
        <f t="shared" si="0"/>
        <v>8.2600141464695034E-2</v>
      </c>
      <c r="E44" s="13">
        <v>1285816224</v>
      </c>
      <c r="F44" s="14">
        <f t="shared" si="1"/>
        <v>6.767425413444414E-2</v>
      </c>
      <c r="G44" s="15">
        <v>1204315098</v>
      </c>
    </row>
    <row r="45" spans="1:7" x14ac:dyDescent="0.2">
      <c r="A45" s="11" t="s">
        <v>43</v>
      </c>
      <c r="B45" s="12" t="str">
        <f>'Assessed Value All Property'!B45</f>
        <v>R-Prelim</v>
      </c>
      <c r="C45" s="13">
        <v>85898335377</v>
      </c>
      <c r="D45" s="14">
        <f t="shared" si="0"/>
        <v>7.8161660607143538E-2</v>
      </c>
      <c r="E45" s="13">
        <v>79671109181</v>
      </c>
      <c r="F45" s="14">
        <f t="shared" si="1"/>
        <v>6.3221816384831223E-2</v>
      </c>
      <c r="G45" s="15">
        <v>74933666666</v>
      </c>
    </row>
    <row r="46" spans="1:7" x14ac:dyDescent="0.2">
      <c r="A46" s="11" t="s">
        <v>44</v>
      </c>
      <c r="B46" s="12" t="str">
        <f>'Assessed Value All Property'!B46</f>
        <v>R-Prelim</v>
      </c>
      <c r="C46" s="13">
        <v>49555237545</v>
      </c>
      <c r="D46" s="14">
        <f t="shared" si="0"/>
        <v>9.7404418065921664E-2</v>
      </c>
      <c r="E46" s="13">
        <v>45156768762</v>
      </c>
      <c r="F46" s="14">
        <f t="shared" si="1"/>
        <v>0.11364917642713575</v>
      </c>
      <c r="G46" s="15">
        <v>40548468690</v>
      </c>
    </row>
    <row r="47" spans="1:7" x14ac:dyDescent="0.2">
      <c r="A47" s="11" t="s">
        <v>45</v>
      </c>
      <c r="B47" s="12" t="str">
        <f>'Assessed Value All Property'!B47</f>
        <v>R-Prelim</v>
      </c>
      <c r="C47" s="13">
        <v>42838818932</v>
      </c>
      <c r="D47" s="14">
        <f t="shared" si="0"/>
        <v>6.647008753551531E-2</v>
      </c>
      <c r="E47" s="13">
        <v>40168795574</v>
      </c>
      <c r="F47" s="14">
        <f t="shared" si="1"/>
        <v>0.12724593206183712</v>
      </c>
      <c r="G47" s="15">
        <v>35634456006</v>
      </c>
    </row>
    <row r="48" spans="1:7" x14ac:dyDescent="0.2">
      <c r="A48" s="11" t="s">
        <v>46</v>
      </c>
      <c r="B48" s="12" t="str">
        <f>'Assessed Value All Property'!B48</f>
        <v>R-Prelim</v>
      </c>
      <c r="C48" s="13">
        <v>58763756651</v>
      </c>
      <c r="D48" s="14">
        <f t="shared" si="0"/>
        <v>5.9448880182882566E-2</v>
      </c>
      <c r="E48" s="13">
        <v>55466344578</v>
      </c>
      <c r="F48" s="14">
        <f t="shared" si="1"/>
        <v>7.7947922628840191E-2</v>
      </c>
      <c r="G48" s="15">
        <v>51455495589</v>
      </c>
    </row>
    <row r="49" spans="1:7" x14ac:dyDescent="0.2">
      <c r="A49" s="11" t="s">
        <v>47</v>
      </c>
      <c r="B49" s="12" t="str">
        <f>'Assessed Value All Property'!B49</f>
        <v>R-Prelim</v>
      </c>
      <c r="C49" s="13">
        <v>22102896642</v>
      </c>
      <c r="D49" s="14">
        <f t="shared" si="0"/>
        <v>9.2663902061707645E-2</v>
      </c>
      <c r="E49" s="13">
        <v>20228449572</v>
      </c>
      <c r="F49" s="14">
        <f t="shared" si="1"/>
        <v>0.11056384322952775</v>
      </c>
      <c r="G49" s="15">
        <v>18214576042</v>
      </c>
    </row>
    <row r="50" spans="1:7" x14ac:dyDescent="0.2">
      <c r="A50" s="11" t="s">
        <v>48</v>
      </c>
      <c r="B50" s="12" t="str">
        <f>'Assessed Value All Property'!B50</f>
        <v>R-Prelim</v>
      </c>
      <c r="C50" s="13">
        <v>37579638543</v>
      </c>
      <c r="D50" s="14">
        <f t="shared" si="0"/>
        <v>3.3952692589250544E-2</v>
      </c>
      <c r="E50" s="13">
        <v>36345607311</v>
      </c>
      <c r="F50" s="14">
        <f t="shared" si="1"/>
        <v>6.2400614105173863E-2</v>
      </c>
      <c r="G50" s="15">
        <v>34210830480</v>
      </c>
    </row>
    <row r="51" spans="1:7" x14ac:dyDescent="0.2">
      <c r="A51" s="11" t="s">
        <v>49</v>
      </c>
      <c r="B51" s="12" t="str">
        <f>'Assessed Value All Property'!B51</f>
        <v>R-Prelim</v>
      </c>
      <c r="C51" s="13">
        <v>4597823798</v>
      </c>
      <c r="D51" s="14">
        <f t="shared" si="0"/>
        <v>8.000477904691379E-2</v>
      </c>
      <c r="E51" s="13">
        <v>4257225419</v>
      </c>
      <c r="F51" s="14">
        <f t="shared" si="1"/>
        <v>9.8211003829167171E-2</v>
      </c>
      <c r="G51" s="15">
        <v>3876509527</v>
      </c>
    </row>
    <row r="52" spans="1:7" x14ac:dyDescent="0.2">
      <c r="A52" s="11" t="s">
        <v>50</v>
      </c>
      <c r="B52" s="12" t="str">
        <f>'Assessed Value All Property'!B52</f>
        <v>R-Prelim</v>
      </c>
      <c r="C52" s="13">
        <v>287353264085</v>
      </c>
      <c r="D52" s="14">
        <f t="shared" si="0"/>
        <v>6.5384566156353532E-2</v>
      </c>
      <c r="E52" s="13">
        <v>269717877669</v>
      </c>
      <c r="F52" s="14">
        <f t="shared" si="1"/>
        <v>7.4726828638851633E-2</v>
      </c>
      <c r="G52" s="15">
        <v>250964124540</v>
      </c>
    </row>
    <row r="53" spans="1:7" x14ac:dyDescent="0.2">
      <c r="A53" s="11" t="s">
        <v>51</v>
      </c>
      <c r="B53" s="12" t="str">
        <f>'Assessed Value All Property'!B53</f>
        <v>R-Prelim</v>
      </c>
      <c r="C53" s="13">
        <v>68539211613</v>
      </c>
      <c r="D53" s="14">
        <f t="shared" si="0"/>
        <v>5.9723120070491097E-2</v>
      </c>
      <c r="E53" s="13">
        <v>64676527590</v>
      </c>
      <c r="F53" s="14">
        <f t="shared" si="1"/>
        <v>9.1595759632146695E-2</v>
      </c>
      <c r="G53" s="15">
        <v>59249522563</v>
      </c>
    </row>
    <row r="54" spans="1:7" x14ac:dyDescent="0.2">
      <c r="A54" s="11" t="s">
        <v>52</v>
      </c>
      <c r="B54" s="12" t="str">
        <f>'Assessed Value All Property'!B54</f>
        <v>R-Prelim</v>
      </c>
      <c r="C54" s="13">
        <v>397623777621</v>
      </c>
      <c r="D54" s="14">
        <f t="shared" si="0"/>
        <v>7.1273922743361612E-2</v>
      </c>
      <c r="E54" s="13">
        <v>371169099872</v>
      </c>
      <c r="F54" s="14">
        <f t="shared" si="1"/>
        <v>7.5589986951232438E-2</v>
      </c>
      <c r="G54" s="15">
        <v>345084190421</v>
      </c>
    </row>
    <row r="55" spans="1:7" x14ac:dyDescent="0.2">
      <c r="A55" s="11" t="s">
        <v>53</v>
      </c>
      <c r="B55" s="12" t="str">
        <f>'Assessed Value All Property'!B55</f>
        <v>R-Prelim</v>
      </c>
      <c r="C55" s="13">
        <v>75188688967</v>
      </c>
      <c r="D55" s="14">
        <f t="shared" si="0"/>
        <v>6.8943458186786793E-2</v>
      </c>
      <c r="E55" s="13">
        <v>70339257321</v>
      </c>
      <c r="F55" s="14">
        <f t="shared" si="1"/>
        <v>0.1060775183270122</v>
      </c>
      <c r="G55" s="15">
        <v>63593424652</v>
      </c>
    </row>
    <row r="56" spans="1:7" x14ac:dyDescent="0.2">
      <c r="A56" s="11" t="s">
        <v>54</v>
      </c>
      <c r="B56" s="12" t="str">
        <f>'Assessed Value All Property'!B56</f>
        <v>R-Prelim</v>
      </c>
      <c r="C56" s="13">
        <v>168019974696</v>
      </c>
      <c r="D56" s="14">
        <f t="shared" si="0"/>
        <v>3.3190373684361334E-2</v>
      </c>
      <c r="E56" s="13">
        <v>162622474014</v>
      </c>
      <c r="F56" s="14">
        <f t="shared" si="1"/>
        <v>3.9599629683609042E-2</v>
      </c>
      <c r="G56" s="15">
        <v>156427983784</v>
      </c>
    </row>
    <row r="57" spans="1:7" x14ac:dyDescent="0.2">
      <c r="A57" s="11" t="s">
        <v>55</v>
      </c>
      <c r="B57" s="12" t="str">
        <f>'Assessed Value All Property'!B57</f>
        <v>R-Prelim</v>
      </c>
      <c r="C57" s="13">
        <v>83678601783</v>
      </c>
      <c r="D57" s="14">
        <f t="shared" si="0"/>
        <v>5.4377481063615916E-2</v>
      </c>
      <c r="E57" s="13">
        <v>79363039600</v>
      </c>
      <c r="F57" s="14">
        <f t="shared" si="1"/>
        <v>9.5524499655290251E-2</v>
      </c>
      <c r="G57" s="15">
        <v>72442961910</v>
      </c>
    </row>
    <row r="58" spans="1:7" x14ac:dyDescent="0.2">
      <c r="A58" s="11" t="s">
        <v>56</v>
      </c>
      <c r="B58" s="12" t="str">
        <f>'Assessed Value All Property'!B58</f>
        <v>R-Prelim</v>
      </c>
      <c r="C58" s="13">
        <v>7612254499</v>
      </c>
      <c r="D58" s="14">
        <f t="shared" si="0"/>
        <v>6.9504267788557977E-2</v>
      </c>
      <c r="E58" s="13">
        <v>7117554112</v>
      </c>
      <c r="F58" s="14">
        <f t="shared" si="1"/>
        <v>5.437584993157718E-2</v>
      </c>
      <c r="G58" s="15">
        <v>6750490456</v>
      </c>
    </row>
    <row r="59" spans="1:7" x14ac:dyDescent="0.2">
      <c r="A59" s="11" t="s">
        <v>2</v>
      </c>
      <c r="B59" s="12" t="str">
        <f>'Assessed Value All Property'!B59</f>
        <v>R-Prelim</v>
      </c>
      <c r="C59" s="13">
        <v>71051829871</v>
      </c>
      <c r="D59" s="14">
        <f t="shared" si="0"/>
        <v>6.7238013863381518E-2</v>
      </c>
      <c r="E59" s="13">
        <v>66575430174</v>
      </c>
      <c r="F59" s="14">
        <f t="shared" si="1"/>
        <v>9.9388387710746193E-2</v>
      </c>
      <c r="G59" s="15">
        <v>60556788591</v>
      </c>
    </row>
    <row r="60" spans="1:7" x14ac:dyDescent="0.2">
      <c r="A60" s="11" t="s">
        <v>3</v>
      </c>
      <c r="B60" s="12" t="str">
        <f>'Assessed Value All Property'!B60</f>
        <v>R-Prelim</v>
      </c>
      <c r="C60" s="13">
        <v>51653621214</v>
      </c>
      <c r="D60" s="14">
        <f t="shared" si="0"/>
        <v>7.5274959549118392E-2</v>
      </c>
      <c r="E60" s="13">
        <v>48037593320</v>
      </c>
      <c r="F60" s="14">
        <f t="shared" si="1"/>
        <v>0.1033321577305233</v>
      </c>
      <c r="G60" s="15">
        <v>43538650608</v>
      </c>
    </row>
    <row r="61" spans="1:7" x14ac:dyDescent="0.2">
      <c r="A61" s="11" t="s">
        <v>57</v>
      </c>
      <c r="B61" s="12" t="str">
        <f>'Assessed Value All Property'!B61</f>
        <v>R-Prelim</v>
      </c>
      <c r="C61" s="13">
        <v>27214470673</v>
      </c>
      <c r="D61" s="14">
        <f t="shared" si="0"/>
        <v>0.12123483092794111</v>
      </c>
      <c r="E61" s="13">
        <v>24271874118</v>
      </c>
      <c r="F61" s="14">
        <f t="shared" si="1"/>
        <v>9.280925188665777E-2</v>
      </c>
      <c r="G61" s="15">
        <v>22210531322</v>
      </c>
    </row>
    <row r="62" spans="1:7" x14ac:dyDescent="0.2">
      <c r="A62" s="11" t="s">
        <v>58</v>
      </c>
      <c r="B62" s="12" t="str">
        <f>'Assessed Value All Property'!B62</f>
        <v>R-Prelim</v>
      </c>
      <c r="C62" s="13">
        <v>125351123634</v>
      </c>
      <c r="D62" s="14">
        <f t="shared" si="0"/>
        <v>2.9352388497763397E-2</v>
      </c>
      <c r="E62" s="13">
        <v>121776687007</v>
      </c>
      <c r="F62" s="14">
        <f t="shared" si="1"/>
        <v>5.699832682435705E-2</v>
      </c>
      <c r="G62" s="15">
        <v>115209914639</v>
      </c>
    </row>
    <row r="63" spans="1:7" x14ac:dyDescent="0.2">
      <c r="A63" s="11" t="s">
        <v>59</v>
      </c>
      <c r="B63" s="12" t="str">
        <f>'Assessed Value All Property'!B63</f>
        <v>R-Prelim</v>
      </c>
      <c r="C63" s="13">
        <v>67380074354</v>
      </c>
      <c r="D63" s="14">
        <f t="shared" si="0"/>
        <v>5.3321240088087578E-2</v>
      </c>
      <c r="E63" s="13">
        <v>63969159445</v>
      </c>
      <c r="F63" s="14">
        <f t="shared" si="1"/>
        <v>6.8937928224936801E-2</v>
      </c>
      <c r="G63" s="15">
        <v>59843661410</v>
      </c>
    </row>
    <row r="64" spans="1:7" x14ac:dyDescent="0.2">
      <c r="A64" s="11" t="s">
        <v>60</v>
      </c>
      <c r="B64" s="12" t="str">
        <f>'Assessed Value All Property'!B64</f>
        <v>R-Prelim</v>
      </c>
      <c r="C64" s="13">
        <v>29518017892</v>
      </c>
      <c r="D64" s="14">
        <f t="shared" si="0"/>
        <v>9.0504505942325633E-2</v>
      </c>
      <c r="E64" s="13">
        <v>27068221847</v>
      </c>
      <c r="F64" s="14">
        <f t="shared" si="1"/>
        <v>9.6481363754459565E-2</v>
      </c>
      <c r="G64" s="15">
        <v>24686440410</v>
      </c>
    </row>
    <row r="65" spans="1:7" x14ac:dyDescent="0.2">
      <c r="A65" s="11" t="s">
        <v>61</v>
      </c>
      <c r="B65" s="12" t="str">
        <f>'Assessed Value All Property'!B65</f>
        <v>R-Prelim</v>
      </c>
      <c r="C65" s="13">
        <v>3095967451</v>
      </c>
      <c r="D65" s="14">
        <f t="shared" si="0"/>
        <v>8.867650778827986E-2</v>
      </c>
      <c r="E65" s="13">
        <v>2843790078</v>
      </c>
      <c r="F65" s="14">
        <f t="shared" si="1"/>
        <v>8.3220192713642727E-2</v>
      </c>
      <c r="G65" s="15">
        <v>2625311176</v>
      </c>
    </row>
    <row r="66" spans="1:7" x14ac:dyDescent="0.2">
      <c r="A66" s="11" t="s">
        <v>62</v>
      </c>
      <c r="B66" s="12" t="str">
        <f>'Assessed Value All Property'!B66</f>
        <v>R-Prelim</v>
      </c>
      <c r="C66" s="13">
        <v>1848263433</v>
      </c>
      <c r="D66" s="14">
        <f t="shared" si="0"/>
        <v>4.1553173745242949E-2</v>
      </c>
      <c r="E66" s="13">
        <v>1774526236</v>
      </c>
      <c r="F66" s="14">
        <f t="shared" si="1"/>
        <v>5.6183177168925395E-2</v>
      </c>
      <c r="G66" s="15">
        <v>1680131131</v>
      </c>
    </row>
    <row r="67" spans="1:7" x14ac:dyDescent="0.2">
      <c r="A67" s="11" t="s">
        <v>63</v>
      </c>
      <c r="B67" s="12" t="str">
        <f>'Assessed Value All Property'!B67</f>
        <v>R-Prelim</v>
      </c>
      <c r="C67" s="13">
        <v>597016772</v>
      </c>
      <c r="D67" s="14">
        <f t="shared" si="0"/>
        <v>5.6269254654861989E-2</v>
      </c>
      <c r="E67" s="13">
        <v>565212676</v>
      </c>
      <c r="F67" s="14">
        <f t="shared" si="1"/>
        <v>4.8848813387513311E-2</v>
      </c>
      <c r="G67" s="15">
        <v>538888607</v>
      </c>
    </row>
    <row r="68" spans="1:7" x14ac:dyDescent="0.2">
      <c r="A68" s="11" t="s">
        <v>64</v>
      </c>
      <c r="B68" s="12" t="str">
        <f>'Assessed Value All Property'!B68</f>
        <v>R-Prelim</v>
      </c>
      <c r="C68" s="13">
        <v>82153039462</v>
      </c>
      <c r="D68" s="14">
        <f t="shared" si="0"/>
        <v>5.193578123370389E-2</v>
      </c>
      <c r="E68" s="13">
        <v>78097010224</v>
      </c>
      <c r="F68" s="14">
        <f t="shared" si="1"/>
        <v>7.9543580215275633E-2</v>
      </c>
      <c r="G68" s="15">
        <v>72342619284</v>
      </c>
    </row>
    <row r="69" spans="1:7" x14ac:dyDescent="0.2">
      <c r="A69" s="11" t="s">
        <v>65</v>
      </c>
      <c r="B69" s="12" t="str">
        <f>'Assessed Value All Property'!B69</f>
        <v>R-Prelim</v>
      </c>
      <c r="C69" s="13">
        <v>3626315727</v>
      </c>
      <c r="D69" s="14">
        <f t="shared" si="0"/>
        <v>5.6835021643006078E-2</v>
      </c>
      <c r="E69" s="13">
        <v>3431297840</v>
      </c>
      <c r="F69" s="14">
        <f t="shared" si="1"/>
        <v>9.0776036280015182E-2</v>
      </c>
      <c r="G69" s="15">
        <v>3145740029</v>
      </c>
    </row>
    <row r="70" spans="1:7" x14ac:dyDescent="0.2">
      <c r="A70" s="11" t="s">
        <v>66</v>
      </c>
      <c r="B70" s="12" t="str">
        <f>'Assessed Value All Property'!B70</f>
        <v>R-Prelim</v>
      </c>
      <c r="C70" s="13">
        <v>51688662281</v>
      </c>
      <c r="D70" s="14">
        <f>((C70-E70)/E70)</f>
        <v>5.6393857598226321E-2</v>
      </c>
      <c r="E70" s="13">
        <v>48929347619</v>
      </c>
      <c r="F70" s="14">
        <f>((E70-G70)/G70)</f>
        <v>9.3958481818527353E-2</v>
      </c>
      <c r="G70" s="15">
        <v>44726878060</v>
      </c>
    </row>
    <row r="71" spans="1:7" x14ac:dyDescent="0.2">
      <c r="A71" s="11" t="s">
        <v>67</v>
      </c>
      <c r="B71" s="12" t="str">
        <f>'Assessed Value All Property'!B71</f>
        <v>R-Prelim</v>
      </c>
      <c r="C71" s="13">
        <v>1851230989</v>
      </c>
      <c r="D71" s="14">
        <f>((C71-E71)/E71)</f>
        <v>7.2999020144910443E-2</v>
      </c>
      <c r="E71" s="13">
        <v>1725286747</v>
      </c>
      <c r="F71" s="14">
        <f>((E71-G71)/G71)</f>
        <v>0.10334893858756249</v>
      </c>
      <c r="G71" s="15">
        <v>1563681884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SUM(C5:C72)</f>
        <v>4120116389247</v>
      </c>
      <c r="D73" s="22">
        <f>((C73-E73)/E73)</f>
        <v>5.9047706621272844E-2</v>
      </c>
      <c r="E73" s="21">
        <f>SUM(E5:E72)</f>
        <v>3890397348002</v>
      </c>
      <c r="F73" s="22">
        <f>((E73-G73)/G73)</f>
        <v>7.6772427285913575E-2</v>
      </c>
      <c r="G73" s="23">
        <f>SUM(G5:G72)</f>
        <v>3613017244329</v>
      </c>
    </row>
    <row r="75" spans="1:7" x14ac:dyDescent="0.2">
      <c r="A75" s="24" t="s">
        <v>89</v>
      </c>
    </row>
    <row r="77" spans="1:7" x14ac:dyDescent="0.2">
      <c r="A77" s="2" t="s">
        <v>96</v>
      </c>
    </row>
  </sheetData>
  <phoneticPr fontId="3" type="noConversion"/>
  <conditionalFormatting sqref="A75">
    <cfRule type="expression" dxfId="6" priority="7" stopIfTrue="1">
      <formula>MOD(ROW(),5)=1</formula>
    </cfRule>
  </conditionalFormatting>
  <conditionalFormatting sqref="A4:G73">
    <cfRule type="expression" dxfId="5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D73:F7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7"/>
  <sheetViews>
    <sheetView zoomScaleNormal="100" zoomScaleSheetLayoutView="100" workbookViewId="0">
      <pane ySplit="4" topLeftCell="A14" activePane="bottomLeft" state="frozen"/>
      <selection sqref="A1:XFD1048576"/>
      <selection pane="bottomLeft" activeCell="M59" sqref="M59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9" width="9.140625" style="2"/>
    <col min="10" max="10" width="13" style="2" customWidth="1"/>
    <col min="11" max="16384" width="9.140625" style="2"/>
  </cols>
  <sheetData>
    <row r="1" spans="1:7" ht="23.25" x14ac:dyDescent="0.35">
      <c r="A1" s="6" t="s">
        <v>72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s="40" customFormat="1" ht="15" thickBot="1" x14ac:dyDescent="0.25">
      <c r="B3" s="41"/>
      <c r="D3" s="41"/>
      <c r="F3" s="41"/>
    </row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83</v>
      </c>
      <c r="F4" s="38" t="s">
        <v>84</v>
      </c>
      <c r="G4" s="39" t="s">
        <v>82</v>
      </c>
    </row>
    <row r="5" spans="1:7" x14ac:dyDescent="0.2">
      <c r="A5" s="11" t="s">
        <v>4</v>
      </c>
      <c r="B5" s="12" t="str">
        <f>'Assessed Value All Property'!B5</f>
        <v>R-Prelim</v>
      </c>
      <c r="C5" s="13">
        <v>4420026482</v>
      </c>
      <c r="D5" s="14">
        <f>((C5-E5)/E5)</f>
        <v>2.8065053956369719E-2</v>
      </c>
      <c r="E5" s="13">
        <v>4299364583</v>
      </c>
      <c r="F5" s="14">
        <f>((E5-G5)/G5)</f>
        <v>-1.2221177412749618E-3</v>
      </c>
      <c r="G5" s="15">
        <v>4304625342</v>
      </c>
    </row>
    <row r="6" spans="1:7" x14ac:dyDescent="0.2">
      <c r="A6" s="11" t="s">
        <v>5</v>
      </c>
      <c r="B6" s="12" t="str">
        <f>'Assessed Value All Property'!B6</f>
        <v>R-Prelim</v>
      </c>
      <c r="C6" s="13">
        <v>285317729</v>
      </c>
      <c r="D6" s="14">
        <f t="shared" ref="D6:D69" si="0">((C6-E6)/E6)</f>
        <v>-9.1285702262639212E-2</v>
      </c>
      <c r="E6" s="13">
        <v>313979575</v>
      </c>
      <c r="F6" s="14">
        <f t="shared" ref="F6:F69" si="1">((E6-G6)/G6)</f>
        <v>0.19350496062811942</v>
      </c>
      <c r="G6" s="15">
        <v>263073540</v>
      </c>
    </row>
    <row r="7" spans="1:7" x14ac:dyDescent="0.2">
      <c r="A7" s="11" t="s">
        <v>6</v>
      </c>
      <c r="B7" s="12" t="str">
        <f>'Assessed Value All Property'!B7</f>
        <v>R-Prelim</v>
      </c>
      <c r="C7" s="13">
        <v>2687112330</v>
      </c>
      <c r="D7" s="14">
        <f t="shared" si="0"/>
        <v>-7.7993847694664666E-3</v>
      </c>
      <c r="E7" s="13">
        <v>2708234896</v>
      </c>
      <c r="F7" s="14">
        <f t="shared" si="1"/>
        <v>1.1280838777887327E-2</v>
      </c>
      <c r="G7" s="15">
        <v>2678024533</v>
      </c>
    </row>
    <row r="8" spans="1:7" x14ac:dyDescent="0.2">
      <c r="A8" s="11" t="s">
        <v>7</v>
      </c>
      <c r="B8" s="12" t="str">
        <f>'Assessed Value All Property'!B8</f>
        <v>R-Prelim</v>
      </c>
      <c r="C8" s="13">
        <v>348512026</v>
      </c>
      <c r="D8" s="14">
        <f t="shared" si="0"/>
        <v>-3.2602013649506247E-2</v>
      </c>
      <c r="E8" s="13">
        <v>360257134</v>
      </c>
      <c r="F8" s="14">
        <f t="shared" si="1"/>
        <v>5.4366253160654514E-2</v>
      </c>
      <c r="G8" s="15">
        <v>341681207</v>
      </c>
    </row>
    <row r="9" spans="1:7" x14ac:dyDescent="0.2">
      <c r="A9" s="11" t="s">
        <v>8</v>
      </c>
      <c r="B9" s="12" t="str">
        <f>'Assessed Value All Property'!B9</f>
        <v>R-Prelim</v>
      </c>
      <c r="C9" s="13">
        <v>12792815435</v>
      </c>
      <c r="D9" s="14">
        <f t="shared" si="0"/>
        <v>-6.2211712443240108E-3</v>
      </c>
      <c r="E9" s="13">
        <v>12872899950</v>
      </c>
      <c r="F9" s="14">
        <f t="shared" si="1"/>
        <v>5.5283089494728294E-2</v>
      </c>
      <c r="G9" s="15">
        <v>12198527654</v>
      </c>
    </row>
    <row r="10" spans="1:7" x14ac:dyDescent="0.2">
      <c r="A10" s="11" t="s">
        <v>9</v>
      </c>
      <c r="B10" s="12" t="str">
        <f>'Assessed Value All Property'!B10</f>
        <v>R-Prelim</v>
      </c>
      <c r="C10" s="13">
        <v>13381973237</v>
      </c>
      <c r="D10" s="14">
        <f t="shared" si="0"/>
        <v>4.4176741276782894E-2</v>
      </c>
      <c r="E10" s="13">
        <v>12815812408</v>
      </c>
      <c r="F10" s="14">
        <f t="shared" si="1"/>
        <v>5.6417263924273583E-2</v>
      </c>
      <c r="G10" s="15">
        <v>12131392439</v>
      </c>
    </row>
    <row r="11" spans="1:7" x14ac:dyDescent="0.2">
      <c r="A11" s="11" t="s">
        <v>10</v>
      </c>
      <c r="B11" s="12" t="str">
        <f>'Assessed Value All Property'!B11</f>
        <v>R-Prelim</v>
      </c>
      <c r="C11" s="13">
        <v>886504405</v>
      </c>
      <c r="D11" s="14">
        <f t="shared" si="0"/>
        <v>0.72353221522822875</v>
      </c>
      <c r="E11" s="13">
        <v>514353255</v>
      </c>
      <c r="F11" s="14">
        <f t="shared" si="1"/>
        <v>0.29952931616375461</v>
      </c>
      <c r="G11" s="15">
        <v>395799655</v>
      </c>
    </row>
    <row r="12" spans="1:7" x14ac:dyDescent="0.2">
      <c r="A12" s="11" t="s">
        <v>11</v>
      </c>
      <c r="B12" s="12" t="str">
        <f>'Assessed Value All Property'!B12</f>
        <v>R-Prelim</v>
      </c>
      <c r="C12" s="13">
        <v>2206355616</v>
      </c>
      <c r="D12" s="14">
        <f t="shared" si="0"/>
        <v>7.1374004258401097E-2</v>
      </c>
      <c r="E12" s="13">
        <v>2059370124</v>
      </c>
      <c r="F12" s="14">
        <f t="shared" si="1"/>
        <v>8.1433808828518472E-2</v>
      </c>
      <c r="G12" s="15">
        <v>1904296044</v>
      </c>
    </row>
    <row r="13" spans="1:7" x14ac:dyDescent="0.2">
      <c r="A13" s="11" t="s">
        <v>12</v>
      </c>
      <c r="B13" s="12" t="str">
        <f>'Assessed Value All Property'!B13</f>
        <v>R-Prelim</v>
      </c>
      <c r="C13" s="13">
        <v>2384961559</v>
      </c>
      <c r="D13" s="14">
        <f t="shared" si="0"/>
        <v>5.9249935340853946E-2</v>
      </c>
      <c r="E13" s="13">
        <v>2251556955</v>
      </c>
      <c r="F13" s="14">
        <f t="shared" si="1"/>
        <v>6.672722994116416E-2</v>
      </c>
      <c r="G13" s="15">
        <v>2110714803</v>
      </c>
    </row>
    <row r="14" spans="1:7" x14ac:dyDescent="0.2">
      <c r="A14" s="11" t="s">
        <v>13</v>
      </c>
      <c r="B14" s="12" t="str">
        <f>'Assessed Value All Property'!B14</f>
        <v>R-Prelim</v>
      </c>
      <c r="C14" s="13">
        <v>2378488822</v>
      </c>
      <c r="D14" s="14">
        <f t="shared" si="0"/>
        <v>3.6769374100416086E-2</v>
      </c>
      <c r="E14" s="13">
        <v>2294134917</v>
      </c>
      <c r="F14" s="14">
        <f t="shared" si="1"/>
        <v>5.4752835522209241E-2</v>
      </c>
      <c r="G14" s="15">
        <v>2175045034</v>
      </c>
    </row>
    <row r="15" spans="1:7" x14ac:dyDescent="0.2">
      <c r="A15" s="11" t="s">
        <v>14</v>
      </c>
      <c r="B15" s="12" t="str">
        <f>'Assessed Value All Property'!B15</f>
        <v>R-Prelim</v>
      </c>
      <c r="C15" s="13">
        <v>3895364601</v>
      </c>
      <c r="D15" s="14">
        <f t="shared" si="0"/>
        <v>9.7824625629981066E-2</v>
      </c>
      <c r="E15" s="13">
        <v>3548257627</v>
      </c>
      <c r="F15" s="14">
        <f t="shared" si="1"/>
        <v>4.4493408396495508E-2</v>
      </c>
      <c r="G15" s="15">
        <v>3397108683</v>
      </c>
    </row>
    <row r="16" spans="1:7" x14ac:dyDescent="0.2">
      <c r="A16" s="11" t="s">
        <v>15</v>
      </c>
      <c r="B16" s="12" t="str">
        <f>'Assessed Value All Property'!B16</f>
        <v>R-Prelim</v>
      </c>
      <c r="C16" s="13">
        <v>1151156244</v>
      </c>
      <c r="D16" s="14">
        <f t="shared" si="0"/>
        <v>-2.4462106055746995E-2</v>
      </c>
      <c r="E16" s="13">
        <v>1180022069</v>
      </c>
      <c r="F16" s="14">
        <f t="shared" si="1"/>
        <v>0.2191520550418096</v>
      </c>
      <c r="G16" s="15">
        <v>967903933</v>
      </c>
    </row>
    <row r="17" spans="1:7" x14ac:dyDescent="0.2">
      <c r="A17" s="11" t="s">
        <v>78</v>
      </c>
      <c r="B17" s="12" t="str">
        <f>'Assessed Value All Property'!B17</f>
        <v>R-Prelim</v>
      </c>
      <c r="C17" s="13">
        <v>25121633877</v>
      </c>
      <c r="D17" s="14">
        <f t="shared" si="0"/>
        <v>6.0828694344089544E-2</v>
      </c>
      <c r="E17" s="13">
        <v>23681140990</v>
      </c>
      <c r="F17" s="14">
        <f t="shared" si="1"/>
        <v>4.9099287951619421E-2</v>
      </c>
      <c r="G17" s="15">
        <v>22572831058</v>
      </c>
    </row>
    <row r="18" spans="1:7" x14ac:dyDescent="0.2">
      <c r="A18" s="11" t="s">
        <v>16</v>
      </c>
      <c r="B18" s="12" t="str">
        <f>'Assessed Value All Property'!B18</f>
        <v>R-Prelim</v>
      </c>
      <c r="C18" s="13">
        <v>830779663</v>
      </c>
      <c r="D18" s="14">
        <f t="shared" si="0"/>
        <v>-6.6834775532359697E-2</v>
      </c>
      <c r="E18" s="13">
        <v>890281422</v>
      </c>
      <c r="F18" s="14">
        <f t="shared" si="1"/>
        <v>0.12283255184087212</v>
      </c>
      <c r="G18" s="15">
        <v>792888860</v>
      </c>
    </row>
    <row r="19" spans="1:7" x14ac:dyDescent="0.2">
      <c r="A19" s="11" t="s">
        <v>17</v>
      </c>
      <c r="B19" s="12" t="str">
        <f>'Assessed Value All Property'!B19</f>
        <v>R-Prelim</v>
      </c>
      <c r="C19" s="13">
        <v>138064684</v>
      </c>
      <c r="D19" s="14">
        <f t="shared" si="0"/>
        <v>0.10465735697042788</v>
      </c>
      <c r="E19" s="13">
        <v>124984171</v>
      </c>
      <c r="F19" s="14">
        <f t="shared" si="1"/>
        <v>1.6309986807032242E-2</v>
      </c>
      <c r="G19" s="15">
        <v>122978395</v>
      </c>
    </row>
    <row r="20" spans="1:7" x14ac:dyDescent="0.2">
      <c r="A20" s="11" t="s">
        <v>18</v>
      </c>
      <c r="B20" s="12" t="str">
        <f>'Assessed Value All Property'!B20</f>
        <v>R-Prelim</v>
      </c>
      <c r="C20" s="13">
        <v>18605156425</v>
      </c>
      <c r="D20" s="14">
        <f t="shared" si="0"/>
        <v>9.8562081112094566E-2</v>
      </c>
      <c r="E20" s="13">
        <v>16935917182</v>
      </c>
      <c r="F20" s="14">
        <f t="shared" si="1"/>
        <v>8.0721609333252262E-3</v>
      </c>
      <c r="G20" s="15">
        <v>16800302437</v>
      </c>
    </row>
    <row r="21" spans="1:7" x14ac:dyDescent="0.2">
      <c r="A21" s="11" t="s">
        <v>19</v>
      </c>
      <c r="B21" s="12" t="str">
        <f>'Assessed Value All Property'!B21</f>
        <v>R-Prelim</v>
      </c>
      <c r="C21" s="13">
        <v>4892160437</v>
      </c>
      <c r="D21" s="14">
        <f t="shared" si="0"/>
        <v>1.8003934721695449E-2</v>
      </c>
      <c r="E21" s="13">
        <v>4805640008</v>
      </c>
      <c r="F21" s="14">
        <f t="shared" si="1"/>
        <v>7.1918717374796812E-2</v>
      </c>
      <c r="G21" s="15">
        <v>4483213074</v>
      </c>
    </row>
    <row r="22" spans="1:7" x14ac:dyDescent="0.2">
      <c r="A22" s="11" t="s">
        <v>20</v>
      </c>
      <c r="B22" s="12" t="str">
        <f>'Assessed Value All Property'!B22</f>
        <v>R-Prelim</v>
      </c>
      <c r="C22" s="13">
        <v>1146613952</v>
      </c>
      <c r="D22" s="14">
        <f t="shared" si="0"/>
        <v>-8.2756794809945591E-2</v>
      </c>
      <c r="E22" s="13">
        <v>1250065354</v>
      </c>
      <c r="F22" s="14">
        <f t="shared" si="1"/>
        <v>0.20871314396621662</v>
      </c>
      <c r="G22" s="15">
        <v>1034211765</v>
      </c>
    </row>
    <row r="23" spans="1:7" x14ac:dyDescent="0.2">
      <c r="A23" s="11" t="s">
        <v>21</v>
      </c>
      <c r="B23" s="12" t="str">
        <f>'Assessed Value All Property'!B23</f>
        <v>R-Prelim</v>
      </c>
      <c r="C23" s="13">
        <v>105478236</v>
      </c>
      <c r="D23" s="14">
        <f t="shared" si="0"/>
        <v>-6.2636389552685676E-2</v>
      </c>
      <c r="E23" s="13">
        <v>112526489</v>
      </c>
      <c r="F23" s="14">
        <f t="shared" si="1"/>
        <v>0.11479614044008508</v>
      </c>
      <c r="G23" s="15">
        <v>100939073</v>
      </c>
    </row>
    <row r="24" spans="1:7" x14ac:dyDescent="0.2">
      <c r="A24" s="11" t="s">
        <v>22</v>
      </c>
      <c r="B24" s="12" t="str">
        <f>'Assessed Value All Property'!B24</f>
        <v>R-Prelim</v>
      </c>
      <c r="C24" s="13">
        <v>984925754</v>
      </c>
      <c r="D24" s="14">
        <f t="shared" si="0"/>
        <v>5.0012502007447425E-2</v>
      </c>
      <c r="E24" s="13">
        <v>938013359</v>
      </c>
      <c r="F24" s="14">
        <f t="shared" si="1"/>
        <v>0.13444887012285622</v>
      </c>
      <c r="G24" s="15">
        <v>826844985</v>
      </c>
    </row>
    <row r="25" spans="1:7" x14ac:dyDescent="0.2">
      <c r="A25" s="11" t="s">
        <v>23</v>
      </c>
      <c r="B25" s="12" t="str">
        <f>'Assessed Value All Property'!B25</f>
        <v>R-Prelim</v>
      </c>
      <c r="C25" s="13">
        <v>491057571</v>
      </c>
      <c r="D25" s="14">
        <f t="shared" si="0"/>
        <v>1.2244345944942099E-2</v>
      </c>
      <c r="E25" s="13">
        <v>485117623</v>
      </c>
      <c r="F25" s="14">
        <f t="shared" si="1"/>
        <v>0.18073696908947534</v>
      </c>
      <c r="G25" s="15">
        <v>410860027</v>
      </c>
    </row>
    <row r="26" spans="1:7" x14ac:dyDescent="0.2">
      <c r="A26" s="11" t="s">
        <v>24</v>
      </c>
      <c r="B26" s="12" t="str">
        <f>'Assessed Value All Property'!B26</f>
        <v>R-Prelim</v>
      </c>
      <c r="C26" s="13">
        <v>231526004</v>
      </c>
      <c r="D26" s="14">
        <f t="shared" si="0"/>
        <v>9.2876992614944948E-2</v>
      </c>
      <c r="E26" s="13">
        <v>211850012</v>
      </c>
      <c r="F26" s="14">
        <f t="shared" si="1"/>
        <v>1.0814449585296993E-2</v>
      </c>
      <c r="G26" s="15">
        <v>209583482</v>
      </c>
    </row>
    <row r="27" spans="1:7" x14ac:dyDescent="0.2">
      <c r="A27" s="11" t="s">
        <v>25</v>
      </c>
      <c r="B27" s="12" t="str">
        <f>'Assessed Value All Property'!B27</f>
        <v>R-Prelim</v>
      </c>
      <c r="C27" s="13">
        <v>179777182</v>
      </c>
      <c r="D27" s="14">
        <f t="shared" si="0"/>
        <v>7.4717006280491646E-2</v>
      </c>
      <c r="E27" s="13">
        <v>167278624</v>
      </c>
      <c r="F27" s="14">
        <f t="shared" si="1"/>
        <v>7.1910304309559581E-2</v>
      </c>
      <c r="G27" s="15">
        <v>156056550</v>
      </c>
    </row>
    <row r="28" spans="1:7" x14ac:dyDescent="0.2">
      <c r="A28" s="11" t="s">
        <v>26</v>
      </c>
      <c r="B28" s="12" t="str">
        <f>'Assessed Value All Property'!B28</f>
        <v>R-Prelim</v>
      </c>
      <c r="C28" s="13">
        <v>704338273</v>
      </c>
      <c r="D28" s="14">
        <f t="shared" si="0"/>
        <v>3.6460198415174103E-2</v>
      </c>
      <c r="E28" s="13">
        <v>679561332</v>
      </c>
      <c r="F28" s="14">
        <f t="shared" si="1"/>
        <v>3.3871482447104619E-2</v>
      </c>
      <c r="G28" s="15">
        <v>657297685</v>
      </c>
    </row>
    <row r="29" spans="1:7" x14ac:dyDescent="0.2">
      <c r="A29" s="11" t="s">
        <v>27</v>
      </c>
      <c r="B29" s="12" t="str">
        <f>'Assessed Value All Property'!B29</f>
        <v>R-Prelim</v>
      </c>
      <c r="C29" s="13">
        <v>1244757847</v>
      </c>
      <c r="D29" s="14">
        <f t="shared" si="0"/>
        <v>2.3698526174054161E-2</v>
      </c>
      <c r="E29" s="13">
        <v>1215941818</v>
      </c>
      <c r="F29" s="14">
        <f t="shared" si="1"/>
        <v>6.1981410308453173E-2</v>
      </c>
      <c r="G29" s="15">
        <v>1144974673</v>
      </c>
    </row>
    <row r="30" spans="1:7" x14ac:dyDescent="0.2">
      <c r="A30" s="11" t="s">
        <v>28</v>
      </c>
      <c r="B30" s="12" t="str">
        <f>'Assessed Value All Property'!B30</f>
        <v>R-Prelim</v>
      </c>
      <c r="C30" s="13">
        <v>1905409769</v>
      </c>
      <c r="D30" s="14">
        <f t="shared" si="0"/>
        <v>7.4483909060014383E-2</v>
      </c>
      <c r="E30" s="13">
        <v>1773325550</v>
      </c>
      <c r="F30" s="14">
        <f t="shared" si="1"/>
        <v>8.7142460032553937E-2</v>
      </c>
      <c r="G30" s="15">
        <v>1631180471</v>
      </c>
    </row>
    <row r="31" spans="1:7" x14ac:dyDescent="0.2">
      <c r="A31" s="11" t="s">
        <v>29</v>
      </c>
      <c r="B31" s="12" t="str">
        <f>'Assessed Value All Property'!B31</f>
        <v>R-Prelim</v>
      </c>
      <c r="C31" s="13">
        <v>2556179886</v>
      </c>
      <c r="D31" s="14">
        <f t="shared" si="0"/>
        <v>0.12079183463900252</v>
      </c>
      <c r="E31" s="13">
        <v>2280691032</v>
      </c>
      <c r="F31" s="14">
        <f t="shared" si="1"/>
        <v>9.0153920841179097E-2</v>
      </c>
      <c r="G31" s="15">
        <v>2092081667</v>
      </c>
    </row>
    <row r="32" spans="1:7" x14ac:dyDescent="0.2">
      <c r="A32" s="11" t="s">
        <v>30</v>
      </c>
      <c r="B32" s="12" t="str">
        <f>'Assessed Value All Property'!B32</f>
        <v>R-Prelim</v>
      </c>
      <c r="C32" s="13">
        <v>773819095</v>
      </c>
      <c r="D32" s="14">
        <f t="shared" si="0"/>
        <v>-0.14021189811548632</v>
      </c>
      <c r="E32" s="13">
        <v>900011402</v>
      </c>
      <c r="F32" s="14">
        <f t="shared" si="1"/>
        <v>4.9731532695506182E-2</v>
      </c>
      <c r="G32" s="15">
        <v>857372932</v>
      </c>
    </row>
    <row r="33" spans="1:7" x14ac:dyDescent="0.2">
      <c r="A33" s="11" t="s">
        <v>31</v>
      </c>
      <c r="B33" s="12" t="str">
        <f>'Assessed Value All Property'!B33</f>
        <v>R-Prelim</v>
      </c>
      <c r="C33" s="13">
        <v>14285675930</v>
      </c>
      <c r="D33" s="14">
        <f t="shared" si="0"/>
        <v>-3.4356270277157493E-2</v>
      </c>
      <c r="E33" s="13">
        <v>14793940550</v>
      </c>
      <c r="F33" s="14">
        <f t="shared" si="1"/>
        <v>2.2197899440377981E-2</v>
      </c>
      <c r="G33" s="15">
        <v>14472677510</v>
      </c>
    </row>
    <row r="34" spans="1:7" x14ac:dyDescent="0.2">
      <c r="A34" s="11" t="s">
        <v>32</v>
      </c>
      <c r="B34" s="12" t="str">
        <f>'Assessed Value All Property'!B34</f>
        <v>R-Prelim</v>
      </c>
      <c r="C34" s="13">
        <v>144860255</v>
      </c>
      <c r="D34" s="14">
        <f t="shared" si="0"/>
        <v>-0.1352986548790201</v>
      </c>
      <c r="E34" s="13">
        <v>167526344</v>
      </c>
      <c r="F34" s="14">
        <f t="shared" si="1"/>
        <v>0.20513586550663593</v>
      </c>
      <c r="G34" s="15">
        <v>139010338</v>
      </c>
    </row>
    <row r="35" spans="1:7" x14ac:dyDescent="0.2">
      <c r="A35" s="11" t="s">
        <v>33</v>
      </c>
      <c r="B35" s="12" t="str">
        <f>'Assessed Value All Property'!B35</f>
        <v>R-Prelim</v>
      </c>
      <c r="C35" s="13">
        <v>1613193318</v>
      </c>
      <c r="D35" s="14">
        <f t="shared" si="0"/>
        <v>0.10502015296728834</v>
      </c>
      <c r="E35" s="13">
        <v>1459876830</v>
      </c>
      <c r="F35" s="14">
        <f t="shared" si="1"/>
        <v>0.11836463430832277</v>
      </c>
      <c r="G35" s="15">
        <v>1305367485</v>
      </c>
    </row>
    <row r="36" spans="1:7" x14ac:dyDescent="0.2">
      <c r="A36" s="11" t="s">
        <v>34</v>
      </c>
      <c r="B36" s="12" t="str">
        <f>'Assessed Value All Property'!B36</f>
        <v>R-Prelim</v>
      </c>
      <c r="C36" s="13">
        <v>621876126</v>
      </c>
      <c r="D36" s="14">
        <f t="shared" si="0"/>
        <v>9.2463710687414311E-2</v>
      </c>
      <c r="E36" s="13">
        <v>569241907</v>
      </c>
      <c r="F36" s="14">
        <f t="shared" si="1"/>
        <v>3.230329205592633E-2</v>
      </c>
      <c r="G36" s="15">
        <v>551428937</v>
      </c>
    </row>
    <row r="37" spans="1:7" x14ac:dyDescent="0.2">
      <c r="A37" s="11" t="s">
        <v>35</v>
      </c>
      <c r="B37" s="12" t="str">
        <f>'Assessed Value All Property'!B37</f>
        <v>R-Prelim</v>
      </c>
      <c r="C37" s="13">
        <v>275524636</v>
      </c>
      <c r="D37" s="14">
        <f t="shared" si="0"/>
        <v>-4.5652266545695985E-2</v>
      </c>
      <c r="E37" s="13">
        <v>288704658</v>
      </c>
      <c r="F37" s="14">
        <f t="shared" si="1"/>
        <v>2.8751384110630003E-2</v>
      </c>
      <c r="G37" s="15">
        <v>280635985</v>
      </c>
    </row>
    <row r="38" spans="1:7" x14ac:dyDescent="0.2">
      <c r="A38" s="11" t="s">
        <v>36</v>
      </c>
      <c r="B38" s="12" t="str">
        <f>'Assessed Value All Property'!B38</f>
        <v>R-Prelim</v>
      </c>
      <c r="C38" s="13">
        <v>84705720</v>
      </c>
      <c r="D38" s="14">
        <f t="shared" si="0"/>
        <v>7.2859749120520234E-2</v>
      </c>
      <c r="E38" s="13">
        <v>78953209</v>
      </c>
      <c r="F38" s="14">
        <f t="shared" si="1"/>
        <v>4.3088960404406657E-2</v>
      </c>
      <c r="G38" s="15">
        <v>75691731</v>
      </c>
    </row>
    <row r="39" spans="1:7" x14ac:dyDescent="0.2">
      <c r="A39" s="11" t="s">
        <v>37</v>
      </c>
      <c r="B39" s="12" t="str">
        <f>'Assessed Value All Property'!B39</f>
        <v>R-Prelim</v>
      </c>
      <c r="C39" s="13">
        <v>3174722544</v>
      </c>
      <c r="D39" s="14">
        <f t="shared" si="0"/>
        <v>0.13047516558049774</v>
      </c>
      <c r="E39" s="13">
        <v>2808308082</v>
      </c>
      <c r="F39" s="14">
        <f t="shared" si="1"/>
        <v>7.6439010493299889E-2</v>
      </c>
      <c r="G39" s="15">
        <v>2608887317</v>
      </c>
    </row>
    <row r="40" spans="1:7" x14ac:dyDescent="0.2">
      <c r="A40" s="11" t="s">
        <v>38</v>
      </c>
      <c r="B40" s="12" t="str">
        <f>'Assessed Value All Property'!B40</f>
        <v>R-Prelim</v>
      </c>
      <c r="C40" s="13">
        <v>7973441775</v>
      </c>
      <c r="D40" s="14">
        <f t="shared" si="0"/>
        <v>5.7810173593929537E-2</v>
      </c>
      <c r="E40" s="13">
        <v>7537686793</v>
      </c>
      <c r="F40" s="14">
        <f t="shared" si="1"/>
        <v>6.0210919410913749E-2</v>
      </c>
      <c r="G40" s="15">
        <v>7109610602</v>
      </c>
    </row>
    <row r="41" spans="1:7" x14ac:dyDescent="0.2">
      <c r="A41" s="11" t="s">
        <v>39</v>
      </c>
      <c r="B41" s="12" t="str">
        <f>'Assessed Value All Property'!B41</f>
        <v>R-Prelim</v>
      </c>
      <c r="C41" s="13">
        <v>2590304643</v>
      </c>
      <c r="D41" s="14">
        <f t="shared" si="0"/>
        <v>-2.5230495676904434E-2</v>
      </c>
      <c r="E41" s="13">
        <v>2657350924</v>
      </c>
      <c r="F41" s="14">
        <f t="shared" si="1"/>
        <v>1.9502936495076551E-2</v>
      </c>
      <c r="G41" s="15">
        <v>2606516204</v>
      </c>
    </row>
    <row r="42" spans="1:7" x14ac:dyDescent="0.2">
      <c r="A42" s="11" t="s">
        <v>40</v>
      </c>
      <c r="B42" s="12" t="str">
        <f>'Assessed Value All Property'!B42</f>
        <v>R-Prelim</v>
      </c>
      <c r="C42" s="13">
        <v>887784098</v>
      </c>
      <c r="D42" s="14">
        <f t="shared" si="0"/>
        <v>0.43329676972663489</v>
      </c>
      <c r="E42" s="13">
        <v>619400055</v>
      </c>
      <c r="F42" s="14">
        <f t="shared" si="1"/>
        <v>0.25352751901665233</v>
      </c>
      <c r="G42" s="15">
        <v>494125614</v>
      </c>
    </row>
    <row r="43" spans="1:7" x14ac:dyDescent="0.2">
      <c r="A43" s="11" t="s">
        <v>41</v>
      </c>
      <c r="B43" s="12" t="str">
        <f>'Assessed Value All Property'!B43</f>
        <v>R-Prelim</v>
      </c>
      <c r="C43" s="13">
        <v>173662484</v>
      </c>
      <c r="D43" s="14">
        <f t="shared" si="0"/>
        <v>-3.0573188709604807E-2</v>
      </c>
      <c r="E43" s="13">
        <v>179139345</v>
      </c>
      <c r="F43" s="14">
        <f t="shared" si="1"/>
        <v>0.11137927871729809</v>
      </c>
      <c r="G43" s="15">
        <v>161186508</v>
      </c>
    </row>
    <row r="44" spans="1:7" x14ac:dyDescent="0.2">
      <c r="A44" s="11" t="s">
        <v>42</v>
      </c>
      <c r="B44" s="12" t="str">
        <f>'Assessed Value All Property'!B44</f>
        <v>R-Prelim</v>
      </c>
      <c r="C44" s="13">
        <v>462951060</v>
      </c>
      <c r="D44" s="14">
        <f t="shared" si="0"/>
        <v>7.7126348697478489E-2</v>
      </c>
      <c r="E44" s="13">
        <v>429802001</v>
      </c>
      <c r="F44" s="14">
        <f t="shared" si="1"/>
        <v>0.16059893041936399</v>
      </c>
      <c r="G44" s="15">
        <v>370327759</v>
      </c>
    </row>
    <row r="45" spans="1:7" x14ac:dyDescent="0.2">
      <c r="A45" s="11" t="s">
        <v>43</v>
      </c>
      <c r="B45" s="12" t="str">
        <f>'Assessed Value All Property'!B45</f>
        <v>R-Prelim</v>
      </c>
      <c r="C45" s="13">
        <v>5284290624</v>
      </c>
      <c r="D45" s="14">
        <f t="shared" si="0"/>
        <v>3.4602834137331305E-2</v>
      </c>
      <c r="E45" s="13">
        <v>5107554754</v>
      </c>
      <c r="F45" s="14">
        <f t="shared" si="1"/>
        <v>8.8709021113612146E-2</v>
      </c>
      <c r="G45" s="15">
        <v>4691386454</v>
      </c>
    </row>
    <row r="46" spans="1:7" x14ac:dyDescent="0.2">
      <c r="A46" s="11" t="s">
        <v>44</v>
      </c>
      <c r="B46" s="12" t="str">
        <f>'Assessed Value All Property'!B46</f>
        <v>R-Prelim</v>
      </c>
      <c r="C46" s="13">
        <v>3323155359</v>
      </c>
      <c r="D46" s="14">
        <f t="shared" si="0"/>
        <v>0.11954755477228966</v>
      </c>
      <c r="E46" s="13">
        <v>2968302101</v>
      </c>
      <c r="F46" s="14">
        <f t="shared" si="1"/>
        <v>6.7056913868712265E-2</v>
      </c>
      <c r="G46" s="15">
        <v>2781765492</v>
      </c>
    </row>
    <row r="47" spans="1:7" x14ac:dyDescent="0.2">
      <c r="A47" s="11" t="s">
        <v>45</v>
      </c>
      <c r="B47" s="12" t="str">
        <f>'Assessed Value All Property'!B47</f>
        <v>R-Prelim</v>
      </c>
      <c r="C47" s="13">
        <v>4102330382</v>
      </c>
      <c r="D47" s="14">
        <f t="shared" si="0"/>
        <v>3.8193299024336227E-2</v>
      </c>
      <c r="E47" s="13">
        <v>3951412888</v>
      </c>
      <c r="F47" s="14">
        <f t="shared" si="1"/>
        <v>5.3830306161601608E-2</v>
      </c>
      <c r="G47" s="15">
        <v>3749572265</v>
      </c>
    </row>
    <row r="48" spans="1:7" x14ac:dyDescent="0.2">
      <c r="A48" s="11" t="s">
        <v>46</v>
      </c>
      <c r="B48" s="12" t="str">
        <f>'Assessed Value All Property'!B48</f>
        <v>R-Prelim</v>
      </c>
      <c r="C48" s="13">
        <v>1176483660</v>
      </c>
      <c r="D48" s="14">
        <f t="shared" si="0"/>
        <v>-7.6501736574319272E-3</v>
      </c>
      <c r="E48" s="13">
        <v>1185553349</v>
      </c>
      <c r="F48" s="14">
        <f t="shared" si="1"/>
        <v>7.9435789015456074E-2</v>
      </c>
      <c r="G48" s="15">
        <v>1098308358</v>
      </c>
    </row>
    <row r="49" spans="1:7" x14ac:dyDescent="0.2">
      <c r="A49" s="11" t="s">
        <v>47</v>
      </c>
      <c r="B49" s="12" t="str">
        <f>'Assessed Value All Property'!B49</f>
        <v>R-Prelim</v>
      </c>
      <c r="C49" s="13">
        <v>1693332904</v>
      </c>
      <c r="D49" s="14">
        <f t="shared" si="0"/>
        <v>-5.6329210269057545E-3</v>
      </c>
      <c r="E49" s="13">
        <v>1702925348</v>
      </c>
      <c r="F49" s="14">
        <f t="shared" si="1"/>
        <v>3.6671687376742139E-2</v>
      </c>
      <c r="G49" s="15">
        <v>1642685306</v>
      </c>
    </row>
    <row r="50" spans="1:7" x14ac:dyDescent="0.2">
      <c r="A50" s="11" t="s">
        <v>48</v>
      </c>
      <c r="B50" s="12" t="str">
        <f>'Assessed Value All Property'!B50</f>
        <v>R-Prelim</v>
      </c>
      <c r="C50" s="13">
        <v>1807252194</v>
      </c>
      <c r="D50" s="14">
        <f t="shared" si="0"/>
        <v>0.13539654559998729</v>
      </c>
      <c r="E50" s="13">
        <v>1591736562</v>
      </c>
      <c r="F50" s="14">
        <f t="shared" si="1"/>
        <v>0.27833163353745194</v>
      </c>
      <c r="G50" s="15">
        <v>1245167154</v>
      </c>
    </row>
    <row r="51" spans="1:7" x14ac:dyDescent="0.2">
      <c r="A51" s="11" t="s">
        <v>49</v>
      </c>
      <c r="B51" s="12" t="str">
        <f>'Assessed Value All Property'!B51</f>
        <v>R-Prelim</v>
      </c>
      <c r="C51" s="13">
        <v>2412935600</v>
      </c>
      <c r="D51" s="14">
        <f t="shared" si="0"/>
        <v>0.12937990076696318</v>
      </c>
      <c r="E51" s="13">
        <v>2136513673</v>
      </c>
      <c r="F51" s="14">
        <f t="shared" si="1"/>
        <v>8.7948075447244034E-2</v>
      </c>
      <c r="G51" s="15">
        <v>1963801142</v>
      </c>
    </row>
    <row r="52" spans="1:7" x14ac:dyDescent="0.2">
      <c r="A52" s="11" t="s">
        <v>50</v>
      </c>
      <c r="B52" s="12" t="str">
        <f>'Assessed Value All Property'!B52</f>
        <v>R-Prelim</v>
      </c>
      <c r="C52" s="13">
        <v>21484586475</v>
      </c>
      <c r="D52" s="14">
        <f t="shared" si="0"/>
        <v>9.6740966982083718E-2</v>
      </c>
      <c r="E52" s="13">
        <v>19589481128</v>
      </c>
      <c r="F52" s="14">
        <f t="shared" si="1"/>
        <v>1.4351248639198812E-2</v>
      </c>
      <c r="G52" s="15">
        <v>19312325148</v>
      </c>
    </row>
    <row r="53" spans="1:7" x14ac:dyDescent="0.2">
      <c r="A53" s="11" t="s">
        <v>51</v>
      </c>
      <c r="B53" s="12" t="str">
        <f>'Assessed Value All Property'!B53</f>
        <v>R-Prelim</v>
      </c>
      <c r="C53" s="13">
        <v>4523783150</v>
      </c>
      <c r="D53" s="14">
        <f t="shared" si="0"/>
        <v>9.9597065498041662E-2</v>
      </c>
      <c r="E53" s="13">
        <v>4114037125</v>
      </c>
      <c r="F53" s="14">
        <f t="shared" si="1"/>
        <v>0.13294437405403337</v>
      </c>
      <c r="G53" s="15">
        <v>3631279010</v>
      </c>
    </row>
    <row r="54" spans="1:7" x14ac:dyDescent="0.2">
      <c r="A54" s="11" t="s">
        <v>52</v>
      </c>
      <c r="B54" s="12" t="str">
        <f>'Assessed Value All Property'!B54</f>
        <v>R-Prelim</v>
      </c>
      <c r="C54" s="13">
        <v>16518013309</v>
      </c>
      <c r="D54" s="14">
        <f t="shared" si="0"/>
        <v>5.361323269255399E-2</v>
      </c>
      <c r="E54" s="13">
        <v>15677492268</v>
      </c>
      <c r="F54" s="14">
        <f t="shared" si="1"/>
        <v>4.0041451644527722E-2</v>
      </c>
      <c r="G54" s="15">
        <v>15073910990</v>
      </c>
    </row>
    <row r="55" spans="1:7" x14ac:dyDescent="0.2">
      <c r="A55" s="11" t="s">
        <v>53</v>
      </c>
      <c r="B55" s="12" t="str">
        <f>'Assessed Value All Property'!B55</f>
        <v>R-Prelim</v>
      </c>
      <c r="C55" s="13">
        <v>4214293641</v>
      </c>
      <c r="D55" s="14">
        <f t="shared" si="0"/>
        <v>3.2095039267272557E-2</v>
      </c>
      <c r="E55" s="13">
        <v>4083241834</v>
      </c>
      <c r="F55" s="14">
        <f t="shared" si="1"/>
        <v>6.2249268250766529E-2</v>
      </c>
      <c r="G55" s="15">
        <v>3843958246</v>
      </c>
    </row>
    <row r="56" spans="1:7" x14ac:dyDescent="0.2">
      <c r="A56" s="11" t="s">
        <v>54</v>
      </c>
      <c r="B56" s="12" t="str">
        <f>'Assessed Value All Property'!B56</f>
        <v>R-Prelim</v>
      </c>
      <c r="C56" s="13">
        <v>8131134060</v>
      </c>
      <c r="D56" s="14">
        <f t="shared" si="0"/>
        <v>6.4661999162587414E-2</v>
      </c>
      <c r="E56" s="13">
        <v>7637291522</v>
      </c>
      <c r="F56" s="14">
        <f t="shared" si="1"/>
        <v>3.503294702528708E-2</v>
      </c>
      <c r="G56" s="15">
        <v>7378790737</v>
      </c>
    </row>
    <row r="57" spans="1:7" x14ac:dyDescent="0.2">
      <c r="A57" s="11" t="s">
        <v>55</v>
      </c>
      <c r="B57" s="12" t="str">
        <f>'Assessed Value All Property'!B57</f>
        <v>R-Prelim</v>
      </c>
      <c r="C57" s="13">
        <v>9434232644</v>
      </c>
      <c r="D57" s="14">
        <f t="shared" si="0"/>
        <v>-7.3663656129495381E-3</v>
      </c>
      <c r="E57" s="13">
        <v>9504244383</v>
      </c>
      <c r="F57" s="14">
        <f t="shared" si="1"/>
        <v>-7.691926736664495E-3</v>
      </c>
      <c r="G57" s="15">
        <v>9577917019</v>
      </c>
    </row>
    <row r="58" spans="1:7" x14ac:dyDescent="0.2">
      <c r="A58" s="11" t="s">
        <v>56</v>
      </c>
      <c r="B58" s="12" t="str">
        <f>'Assessed Value All Property'!B58</f>
        <v>R-Prelim</v>
      </c>
      <c r="C58" s="13">
        <v>3100281274</v>
      </c>
      <c r="D58" s="14">
        <f t="shared" si="0"/>
        <v>3.1424642962117388E-2</v>
      </c>
      <c r="E58" s="13">
        <v>3005824318</v>
      </c>
      <c r="F58" s="14">
        <f t="shared" si="1"/>
        <v>5.2340307978031853E-2</v>
      </c>
      <c r="G58" s="15">
        <v>2856323468</v>
      </c>
    </row>
    <row r="59" spans="1:7" x14ac:dyDescent="0.2">
      <c r="A59" s="11" t="s">
        <v>2</v>
      </c>
      <c r="B59" s="12" t="str">
        <f>'Assessed Value All Property'!B59</f>
        <v>R-Prelim</v>
      </c>
      <c r="C59" s="13">
        <v>2455290954</v>
      </c>
      <c r="D59" s="14">
        <f t="shared" si="0"/>
        <v>2.1128145774936307E-2</v>
      </c>
      <c r="E59" s="13">
        <v>2404488569</v>
      </c>
      <c r="F59" s="14">
        <f t="shared" si="1"/>
        <v>7.1438307644912241E-2</v>
      </c>
      <c r="G59" s="15">
        <v>2244168938</v>
      </c>
    </row>
    <row r="60" spans="1:7" x14ac:dyDescent="0.2">
      <c r="A60" s="11" t="s">
        <v>3</v>
      </c>
      <c r="B60" s="12" t="str">
        <f>'Assessed Value All Property'!B60</f>
        <v>R-Prelim</v>
      </c>
      <c r="C60" s="13">
        <v>6936350857</v>
      </c>
      <c r="D60" s="14">
        <f t="shared" si="0"/>
        <v>6.5171773895558255E-2</v>
      </c>
      <c r="E60" s="13">
        <v>6511955186</v>
      </c>
      <c r="F60" s="14">
        <f t="shared" si="1"/>
        <v>0.10542106159177125</v>
      </c>
      <c r="G60" s="15">
        <v>5890927369</v>
      </c>
    </row>
    <row r="61" spans="1:7" x14ac:dyDescent="0.2">
      <c r="A61" s="11" t="s">
        <v>57</v>
      </c>
      <c r="B61" s="12" t="str">
        <f>'Assessed Value All Property'!B61</f>
        <v>R-Prelim</v>
      </c>
      <c r="C61" s="13">
        <v>1260490287</v>
      </c>
      <c r="D61" s="14">
        <f t="shared" si="0"/>
        <v>0.10962592173453427</v>
      </c>
      <c r="E61" s="13">
        <v>1135959662</v>
      </c>
      <c r="F61" s="14">
        <f t="shared" si="1"/>
        <v>2.0001323570546816E-2</v>
      </c>
      <c r="G61" s="15">
        <v>1113684498</v>
      </c>
    </row>
    <row r="62" spans="1:7" x14ac:dyDescent="0.2">
      <c r="A62" s="11" t="s">
        <v>58</v>
      </c>
      <c r="B62" s="12" t="str">
        <f>'Assessed Value All Property'!B62</f>
        <v>R-Prelim</v>
      </c>
      <c r="C62" s="13">
        <v>4400499544</v>
      </c>
      <c r="D62" s="14">
        <f t="shared" si="0"/>
        <v>9.6419189510062869E-2</v>
      </c>
      <c r="E62" s="13">
        <v>4013519269</v>
      </c>
      <c r="F62" s="14">
        <f t="shared" si="1"/>
        <v>3.8864197228895565E-2</v>
      </c>
      <c r="G62" s="15">
        <v>3863372402</v>
      </c>
    </row>
    <row r="63" spans="1:7" x14ac:dyDescent="0.2">
      <c r="A63" s="11" t="s">
        <v>59</v>
      </c>
      <c r="B63" s="12" t="str">
        <f>'Assessed Value All Property'!B63</f>
        <v>R-Prelim</v>
      </c>
      <c r="C63" s="13">
        <v>3804560917</v>
      </c>
      <c r="D63" s="14">
        <f t="shared" si="0"/>
        <v>8.2519767192977572E-2</v>
      </c>
      <c r="E63" s="13">
        <v>3514541750</v>
      </c>
      <c r="F63" s="14">
        <f t="shared" si="1"/>
        <v>2.0849262503930467E-2</v>
      </c>
      <c r="G63" s="15">
        <v>3442762687</v>
      </c>
    </row>
    <row r="64" spans="1:7" x14ac:dyDescent="0.2">
      <c r="A64" s="11" t="s">
        <v>60</v>
      </c>
      <c r="B64" s="12" t="str">
        <f>'Assessed Value All Property'!B64</f>
        <v>R-Prelim</v>
      </c>
      <c r="C64" s="13">
        <v>1888338344</v>
      </c>
      <c r="D64" s="14">
        <f t="shared" si="0"/>
        <v>0.10991616241026683</v>
      </c>
      <c r="E64" s="13">
        <v>1701334216</v>
      </c>
      <c r="F64" s="14">
        <f t="shared" si="1"/>
        <v>9.500110056564097E-2</v>
      </c>
      <c r="G64" s="15">
        <v>1553728316</v>
      </c>
    </row>
    <row r="65" spans="1:7" x14ac:dyDescent="0.2">
      <c r="A65" s="11" t="s">
        <v>61</v>
      </c>
      <c r="B65" s="12" t="str">
        <f>'Assessed Value All Property'!B65</f>
        <v>R-Prelim</v>
      </c>
      <c r="C65" s="13">
        <v>1127832296</v>
      </c>
      <c r="D65" s="14">
        <f t="shared" si="0"/>
        <v>6.2510858231698083E-3</v>
      </c>
      <c r="E65" s="13">
        <v>1120825917</v>
      </c>
      <c r="F65" s="14">
        <f t="shared" si="1"/>
        <v>0.13405290105145631</v>
      </c>
      <c r="G65" s="15">
        <v>988336537</v>
      </c>
    </row>
    <row r="66" spans="1:7" x14ac:dyDescent="0.2">
      <c r="A66" s="11" t="s">
        <v>62</v>
      </c>
      <c r="B66" s="12" t="str">
        <f>'Assessed Value All Property'!B66</f>
        <v>R-Prelim</v>
      </c>
      <c r="C66" s="13">
        <v>451166015</v>
      </c>
      <c r="D66" s="14">
        <f t="shared" si="0"/>
        <v>-0.10499999086483711</v>
      </c>
      <c r="E66" s="13">
        <v>504096101</v>
      </c>
      <c r="F66" s="14">
        <f t="shared" si="1"/>
        <v>-0.38164305871349846</v>
      </c>
      <c r="G66" s="15">
        <v>815218634</v>
      </c>
    </row>
    <row r="67" spans="1:7" x14ac:dyDescent="0.2">
      <c r="A67" s="11" t="s">
        <v>63</v>
      </c>
      <c r="B67" s="12" t="str">
        <f>'Assessed Value All Property'!B67</f>
        <v>R-Prelim</v>
      </c>
      <c r="C67" s="13">
        <v>107148894</v>
      </c>
      <c r="D67" s="14">
        <f t="shared" si="0"/>
        <v>-4.2834214030231778E-2</v>
      </c>
      <c r="E67" s="13">
        <v>111943924</v>
      </c>
      <c r="F67" s="14">
        <f t="shared" si="1"/>
        <v>-4.1510154417541884E-2</v>
      </c>
      <c r="G67" s="15">
        <v>116791977</v>
      </c>
    </row>
    <row r="68" spans="1:7" x14ac:dyDescent="0.2">
      <c r="A68" s="11" t="s">
        <v>64</v>
      </c>
      <c r="B68" s="12" t="str">
        <f>'Assessed Value All Property'!B68</f>
        <v>R-Prelim</v>
      </c>
      <c r="C68" s="13">
        <v>5776003349</v>
      </c>
      <c r="D68" s="14">
        <f t="shared" si="0"/>
        <v>7.192616598971123E-2</v>
      </c>
      <c r="E68" s="13">
        <v>5388433954</v>
      </c>
      <c r="F68" s="14">
        <f t="shared" si="1"/>
        <v>6.2399225461506815E-2</v>
      </c>
      <c r="G68" s="15">
        <v>5071948308</v>
      </c>
    </row>
    <row r="69" spans="1:7" x14ac:dyDescent="0.2">
      <c r="A69" s="11" t="s">
        <v>65</v>
      </c>
      <c r="B69" s="12" t="str">
        <f>'Assessed Value All Property'!B69</f>
        <v>R-Prelim</v>
      </c>
      <c r="C69" s="13">
        <v>245168457</v>
      </c>
      <c r="D69" s="14">
        <f t="shared" si="0"/>
        <v>-9.071402141043898E-2</v>
      </c>
      <c r="E69" s="13">
        <v>269627447</v>
      </c>
      <c r="F69" s="14">
        <f t="shared" si="1"/>
        <v>6.8746968269338141E-2</v>
      </c>
      <c r="G69" s="15">
        <v>252283707</v>
      </c>
    </row>
    <row r="70" spans="1:7" x14ac:dyDescent="0.2">
      <c r="A70" s="11" t="s">
        <v>66</v>
      </c>
      <c r="B70" s="12" t="str">
        <f>'Assessed Value All Property'!B70</f>
        <v>R-Prelim</v>
      </c>
      <c r="C70" s="13">
        <v>1168214847</v>
      </c>
      <c r="D70" s="14">
        <f>((C70-E70)/E70)</f>
        <v>0.10067800724528814</v>
      </c>
      <c r="E70" s="13">
        <v>1061359307</v>
      </c>
      <c r="F70" s="14">
        <f>((E70-G70)/G70)</f>
        <v>0.12107892813807763</v>
      </c>
      <c r="G70" s="15">
        <v>946730226</v>
      </c>
    </row>
    <row r="71" spans="1:7" x14ac:dyDescent="0.2">
      <c r="A71" s="11" t="s">
        <v>67</v>
      </c>
      <c r="B71" s="12" t="str">
        <f>'Assessed Value All Property'!B71</f>
        <v>R-Prelim</v>
      </c>
      <c r="C71" s="13">
        <v>378513165</v>
      </c>
      <c r="D71" s="14">
        <f>((C71-E71)/E71)</f>
        <v>0.14141862846510092</v>
      </c>
      <c r="E71" s="13">
        <v>331616425</v>
      </c>
      <c r="F71" s="14">
        <f>((E71-G71)/G71)</f>
        <v>6.1284849031194778E-2</v>
      </c>
      <c r="G71" s="15">
        <v>312466936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256224652932</v>
      </c>
      <c r="D73" s="22">
        <f>((C73-E73)/E73)</f>
        <v>5.1886512484628652E-2</v>
      </c>
      <c r="E73" s="21">
        <f>SUM(E5:E71)</f>
        <v>243585833539</v>
      </c>
      <c r="F73" s="22">
        <f>((E73-G73)/G73)</f>
        <v>4.8145852353151601E-2</v>
      </c>
      <c r="G73" s="23">
        <f>SUM(G5:G71)</f>
        <v>232396887315</v>
      </c>
    </row>
    <row r="75" spans="1:7" x14ac:dyDescent="0.2">
      <c r="A75" s="24" t="s">
        <v>89</v>
      </c>
    </row>
    <row r="77" spans="1:7" x14ac:dyDescent="0.2">
      <c r="A77" s="2" t="s">
        <v>97</v>
      </c>
    </row>
  </sheetData>
  <phoneticPr fontId="3" type="noConversion"/>
  <conditionalFormatting sqref="A75">
    <cfRule type="expression" dxfId="4" priority="8" stopIfTrue="1">
      <formula>MOD(ROW(),5)=1</formula>
    </cfRule>
  </conditionalFormatting>
  <conditionalFormatting sqref="A4:G73">
    <cfRule type="expression" dxfId="3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G73 E73 D73 F7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zoomScaleNormal="100" zoomScaleSheetLayoutView="100" workbookViewId="0">
      <pane ySplit="4" topLeftCell="A26" activePane="bottomLeft" state="frozen"/>
      <selection sqref="A1:XFD1048576"/>
      <selection pane="bottomLeft" activeCell="K41" sqref="K41"/>
    </sheetView>
  </sheetViews>
  <sheetFormatPr defaultRowHeight="14.25" x14ac:dyDescent="0.2"/>
  <cols>
    <col min="1" max="1" width="17.7109375" style="2" customWidth="1"/>
    <col min="2" max="2" width="9.28515625" style="10" bestFit="1" customWidth="1"/>
    <col min="3" max="3" width="18.7109375" style="2" customWidth="1"/>
    <col min="4" max="4" width="17.5703125" style="10" customWidth="1"/>
    <col min="5" max="5" width="18.7109375" style="2" customWidth="1"/>
    <col min="6" max="6" width="17.5703125" style="10" customWidth="1"/>
    <col min="7" max="7" width="18.7109375" style="2" customWidth="1"/>
    <col min="8" max="16384" width="9.140625" style="2"/>
  </cols>
  <sheetData>
    <row r="1" spans="1:7" ht="23.25" x14ac:dyDescent="0.35">
      <c r="A1" s="6" t="s">
        <v>73</v>
      </c>
      <c r="B1" s="7"/>
      <c r="C1" s="8"/>
      <c r="D1" s="7"/>
      <c r="E1" s="8"/>
      <c r="F1" s="7"/>
      <c r="G1" s="8"/>
    </row>
    <row r="2" spans="1:7" ht="15" x14ac:dyDescent="0.25">
      <c r="A2" s="9" t="s">
        <v>90</v>
      </c>
      <c r="B2" s="9"/>
      <c r="C2" s="9"/>
      <c r="D2" s="9"/>
      <c r="E2" s="9"/>
      <c r="F2" s="9"/>
      <c r="G2" s="9"/>
    </row>
    <row r="3" spans="1:7" s="40" customFormat="1" ht="15" thickBot="1" x14ac:dyDescent="0.25">
      <c r="B3" s="41"/>
      <c r="D3" s="41"/>
      <c r="F3" s="41"/>
    </row>
    <row r="4" spans="1:7" s="37" customFormat="1" ht="25.5" x14ac:dyDescent="0.2">
      <c r="A4" s="34" t="s">
        <v>0</v>
      </c>
      <c r="B4" s="35" t="s">
        <v>1</v>
      </c>
      <c r="C4" s="38" t="s">
        <v>91</v>
      </c>
      <c r="D4" s="38" t="s">
        <v>92</v>
      </c>
      <c r="E4" s="38" t="s">
        <v>83</v>
      </c>
      <c r="F4" s="38" t="s">
        <v>84</v>
      </c>
      <c r="G4" s="39" t="s">
        <v>82</v>
      </c>
    </row>
    <row r="5" spans="1:7" x14ac:dyDescent="0.2">
      <c r="A5" s="11" t="s">
        <v>4</v>
      </c>
      <c r="B5" s="12" t="str">
        <f>'Assessed Value All Property'!B5</f>
        <v>R-Prelim</v>
      </c>
      <c r="C5" s="13">
        <v>35914609</v>
      </c>
      <c r="D5" s="14">
        <f>((C5-E5)/E5)</f>
        <v>3.227290090595916E-3</v>
      </c>
      <c r="E5" s="13">
        <v>35799075</v>
      </c>
      <c r="F5" s="14">
        <f>((E5-G5)/G5)</f>
        <v>4.6227927929165386E-2</v>
      </c>
      <c r="G5" s="15">
        <v>34217281</v>
      </c>
    </row>
    <row r="6" spans="1:7" x14ac:dyDescent="0.2">
      <c r="A6" s="11" t="s">
        <v>5</v>
      </c>
      <c r="B6" s="12" t="str">
        <f>'Assessed Value All Property'!B6</f>
        <v>R-Prelim</v>
      </c>
      <c r="C6" s="13">
        <v>13796624</v>
      </c>
      <c r="D6" s="14">
        <f t="shared" ref="D6:D68" si="0">((C6-E6)/E6)</f>
        <v>7.7855102857616515E-2</v>
      </c>
      <c r="E6" s="13">
        <v>12800073</v>
      </c>
      <c r="F6" s="14">
        <f t="shared" ref="F6:F68" si="1">((E6-G6)/G6)</f>
        <v>-0.16899905013237834</v>
      </c>
      <c r="G6" s="15">
        <v>15403199</v>
      </c>
    </row>
    <row r="7" spans="1:7" x14ac:dyDescent="0.2">
      <c r="A7" s="11" t="s">
        <v>6</v>
      </c>
      <c r="B7" s="12" t="str">
        <f>'Assessed Value All Property'!B7</f>
        <v>R-Prelim</v>
      </c>
      <c r="C7" s="13">
        <v>30583860</v>
      </c>
      <c r="D7" s="14">
        <f t="shared" si="0"/>
        <v>8.6787005970533238E-2</v>
      </c>
      <c r="E7" s="13">
        <v>28141540</v>
      </c>
      <c r="F7" s="14">
        <f t="shared" si="1"/>
        <v>-0.19142832203205068</v>
      </c>
      <c r="G7" s="15">
        <v>34804014</v>
      </c>
    </row>
    <row r="8" spans="1:7" x14ac:dyDescent="0.2">
      <c r="A8" s="11" t="s">
        <v>7</v>
      </c>
      <c r="B8" s="12" t="str">
        <f>'Assessed Value All Property'!B8</f>
        <v>R-Prelim</v>
      </c>
      <c r="C8" s="13">
        <v>20294348</v>
      </c>
      <c r="D8" s="14">
        <f t="shared" si="0"/>
        <v>1.4772958819495367E-2</v>
      </c>
      <c r="E8" s="13">
        <v>19998905</v>
      </c>
      <c r="F8" s="14">
        <f t="shared" si="1"/>
        <v>4.6014008149732132E-2</v>
      </c>
      <c r="G8" s="15">
        <v>19119156</v>
      </c>
    </row>
    <row r="9" spans="1:7" x14ac:dyDescent="0.2">
      <c r="A9" s="11" t="s">
        <v>8</v>
      </c>
      <c r="B9" s="12" t="str">
        <f>'Assessed Value All Property'!B9</f>
        <v>R-Prelim</v>
      </c>
      <c r="C9" s="13">
        <v>134785621</v>
      </c>
      <c r="D9" s="14">
        <f t="shared" si="0"/>
        <v>-7.5901723895214698E-2</v>
      </c>
      <c r="E9" s="13">
        <v>145856371</v>
      </c>
      <c r="F9" s="14">
        <f t="shared" si="1"/>
        <v>-5.1303429337460826E-3</v>
      </c>
      <c r="G9" s="15">
        <v>146608523</v>
      </c>
    </row>
    <row r="10" spans="1:7" x14ac:dyDescent="0.2">
      <c r="A10" s="11" t="s">
        <v>9</v>
      </c>
      <c r="B10" s="12" t="str">
        <f>'Assessed Value All Property'!B10</f>
        <v>R-Prelim</v>
      </c>
      <c r="C10" s="13">
        <v>104719059</v>
      </c>
      <c r="D10" s="14">
        <f t="shared" si="0"/>
        <v>-7.9165791982087674E-2</v>
      </c>
      <c r="E10" s="13">
        <v>113721947</v>
      </c>
      <c r="F10" s="14">
        <f t="shared" si="1"/>
        <v>1.436670817691248E-2</v>
      </c>
      <c r="G10" s="15">
        <v>112111277</v>
      </c>
    </row>
    <row r="11" spans="1:7" x14ac:dyDescent="0.2">
      <c r="A11" s="11" t="s">
        <v>10</v>
      </c>
      <c r="B11" s="12" t="str">
        <f>'Assessed Value All Property'!B11</f>
        <v>R-Prelim</v>
      </c>
      <c r="C11" s="13"/>
      <c r="D11" s="14" t="s">
        <v>79</v>
      </c>
      <c r="E11" s="13"/>
      <c r="F11" s="14" t="s">
        <v>79</v>
      </c>
      <c r="G11" s="15"/>
    </row>
    <row r="12" spans="1:7" x14ac:dyDescent="0.2">
      <c r="A12" s="11" t="s">
        <v>11</v>
      </c>
      <c r="B12" s="12" t="str">
        <f>'Assessed Value All Property'!B12</f>
        <v>R-Prelim</v>
      </c>
      <c r="C12" s="13">
        <v>2958202</v>
      </c>
      <c r="D12" s="14">
        <f t="shared" si="0"/>
        <v>-7.3483002486829818E-2</v>
      </c>
      <c r="E12" s="13">
        <v>3192820</v>
      </c>
      <c r="F12" s="14">
        <f t="shared" si="1"/>
        <v>-6.866476199067155E-3</v>
      </c>
      <c r="G12" s="15">
        <v>3214895</v>
      </c>
    </row>
    <row r="13" spans="1:7" x14ac:dyDescent="0.2">
      <c r="A13" s="11" t="s">
        <v>12</v>
      </c>
      <c r="B13" s="12" t="str">
        <f>'Assessed Value All Property'!B13</f>
        <v>R-Prelim</v>
      </c>
      <c r="C13" s="13">
        <v>1459025</v>
      </c>
      <c r="D13" s="14">
        <f t="shared" si="0"/>
        <v>-0.1382161794038968</v>
      </c>
      <c r="E13" s="13">
        <v>1693029</v>
      </c>
      <c r="F13" s="14">
        <f t="shared" si="1"/>
        <v>5.1251514291621988E-2</v>
      </c>
      <c r="G13" s="15">
        <v>1610489</v>
      </c>
    </row>
    <row r="14" spans="1:7" x14ac:dyDescent="0.2">
      <c r="A14" s="11" t="s">
        <v>13</v>
      </c>
      <c r="B14" s="12" t="str">
        <f>'Assessed Value All Property'!B14</f>
        <v>R-Prelim</v>
      </c>
      <c r="C14" s="13">
        <v>36001517</v>
      </c>
      <c r="D14" s="14">
        <f t="shared" si="0"/>
        <v>4.8704259596033417E-2</v>
      </c>
      <c r="E14" s="13">
        <v>34329523</v>
      </c>
      <c r="F14" s="14">
        <f t="shared" si="1"/>
        <v>0.97579078772586947</v>
      </c>
      <c r="G14" s="15">
        <v>17375080</v>
      </c>
    </row>
    <row r="15" spans="1:7" x14ac:dyDescent="0.2">
      <c r="A15" s="11" t="s">
        <v>14</v>
      </c>
      <c r="B15" s="12" t="str">
        <f>'Assessed Value All Property'!B15</f>
        <v>R-Prelim</v>
      </c>
      <c r="C15" s="13">
        <v>224358</v>
      </c>
      <c r="D15" s="14">
        <f t="shared" si="0"/>
        <v>3.810330228619814E-2</v>
      </c>
      <c r="E15" s="13">
        <v>216123</v>
      </c>
      <c r="F15" s="14">
        <f t="shared" si="1"/>
        <v>4.4450888002899598E-2</v>
      </c>
      <c r="G15" s="15">
        <v>206925</v>
      </c>
    </row>
    <row r="16" spans="1:7" x14ac:dyDescent="0.2">
      <c r="A16" s="11" t="s">
        <v>15</v>
      </c>
      <c r="B16" s="12" t="str">
        <f>'Assessed Value All Property'!B16</f>
        <v>R-Prelim</v>
      </c>
      <c r="C16" s="13">
        <v>13665893</v>
      </c>
      <c r="D16" s="14">
        <f t="shared" si="0"/>
        <v>7.8911047642988022E-2</v>
      </c>
      <c r="E16" s="13">
        <v>12666376</v>
      </c>
      <c r="F16" s="14">
        <f t="shared" si="1"/>
        <v>-0.18426204440043364</v>
      </c>
      <c r="G16" s="15">
        <v>15527506</v>
      </c>
    </row>
    <row r="17" spans="1:14" x14ac:dyDescent="0.2">
      <c r="A17" s="11" t="s">
        <v>78</v>
      </c>
      <c r="B17" s="12" t="str">
        <f>'Assessed Value All Property'!B17</f>
        <v>R-Prelim</v>
      </c>
      <c r="C17" s="13">
        <v>195617719</v>
      </c>
      <c r="D17" s="14">
        <f t="shared" si="0"/>
        <v>-8.9132896277791904E-2</v>
      </c>
      <c r="E17" s="13">
        <v>214759890</v>
      </c>
      <c r="F17" s="14">
        <f t="shared" si="1"/>
        <v>3.3290396098305704E-3</v>
      </c>
      <c r="G17" s="15">
        <v>214047318</v>
      </c>
      <c r="J17"/>
      <c r="K17" s="40"/>
      <c r="L17" s="40"/>
      <c r="M17" s="40"/>
      <c r="N17" s="40"/>
    </row>
    <row r="18" spans="1:14" x14ac:dyDescent="0.2">
      <c r="A18" s="11" t="s">
        <v>16</v>
      </c>
      <c r="B18" s="12" t="str">
        <f>'Assessed Value All Property'!B18</f>
        <v>R-Prelim</v>
      </c>
      <c r="C18" s="13">
        <v>4733310</v>
      </c>
      <c r="D18" s="14">
        <f t="shared" si="0"/>
        <v>-2.2656651188087143E-2</v>
      </c>
      <c r="E18" s="13">
        <v>4843037</v>
      </c>
      <c r="F18" s="14">
        <f t="shared" si="1"/>
        <v>1.4442552052361007E-2</v>
      </c>
      <c r="G18" s="15">
        <v>4774087</v>
      </c>
    </row>
    <row r="19" spans="1:14" x14ac:dyDescent="0.2">
      <c r="A19" s="11" t="s">
        <v>17</v>
      </c>
      <c r="B19" s="12" t="str">
        <f>'Assessed Value All Property'!B19</f>
        <v>R-Prelim</v>
      </c>
      <c r="C19" s="13"/>
      <c r="D19" s="14" t="s">
        <v>79</v>
      </c>
      <c r="E19" s="13"/>
      <c r="F19" s="14" t="s">
        <v>79</v>
      </c>
      <c r="G19" s="15"/>
    </row>
    <row r="20" spans="1:14" x14ac:dyDescent="0.2">
      <c r="A20" s="11" t="s">
        <v>18</v>
      </c>
      <c r="B20" s="12" t="str">
        <f>'Assessed Value All Property'!B20</f>
        <v>R-Prelim</v>
      </c>
      <c r="C20" s="13">
        <v>226994435</v>
      </c>
      <c r="D20" s="14">
        <f t="shared" si="0"/>
        <v>2.0269150364103882E-2</v>
      </c>
      <c r="E20" s="13">
        <v>222484856</v>
      </c>
      <c r="F20" s="14">
        <f t="shared" si="1"/>
        <v>1.4557302695028196E-2</v>
      </c>
      <c r="G20" s="15">
        <v>219292548</v>
      </c>
    </row>
    <row r="21" spans="1:14" x14ac:dyDescent="0.2">
      <c r="A21" s="11" t="s">
        <v>19</v>
      </c>
      <c r="B21" s="12" t="str">
        <f>'Assessed Value All Property'!B21</f>
        <v>R-Prelim</v>
      </c>
      <c r="C21" s="13">
        <v>34168910</v>
      </c>
      <c r="D21" s="14">
        <f t="shared" si="0"/>
        <v>2.7582159831082823E-3</v>
      </c>
      <c r="E21" s="13">
        <v>34074924</v>
      </c>
      <c r="F21" s="14">
        <f t="shared" si="1"/>
        <v>4.2162295080463062E-2</v>
      </c>
      <c r="G21" s="15">
        <v>32696370</v>
      </c>
    </row>
    <row r="22" spans="1:14" x14ac:dyDescent="0.2">
      <c r="A22" s="11" t="s">
        <v>20</v>
      </c>
      <c r="B22" s="12" t="str">
        <f>'Assessed Value All Property'!B22</f>
        <v>R-Prelim</v>
      </c>
      <c r="C22" s="13">
        <v>23937098</v>
      </c>
      <c r="D22" s="14">
        <f t="shared" si="0"/>
        <v>-9.519079765600796E-3</v>
      </c>
      <c r="E22" s="13">
        <v>24167147</v>
      </c>
      <c r="F22" s="14">
        <f t="shared" si="1"/>
        <v>-1.8043398666551108E-2</v>
      </c>
      <c r="G22" s="15">
        <v>24611217</v>
      </c>
    </row>
    <row r="23" spans="1:14" x14ac:dyDescent="0.2">
      <c r="A23" s="11" t="s">
        <v>21</v>
      </c>
      <c r="B23" s="12" t="str">
        <f>'Assessed Value All Property'!B23</f>
        <v>R-Prelim</v>
      </c>
      <c r="C23" s="13"/>
      <c r="D23" s="14" t="s">
        <v>79</v>
      </c>
      <c r="E23" s="13">
        <v>0</v>
      </c>
      <c r="F23" s="14">
        <f t="shared" si="1"/>
        <v>-1</v>
      </c>
      <c r="G23" s="15">
        <v>689947</v>
      </c>
    </row>
    <row r="24" spans="1:14" x14ac:dyDescent="0.2">
      <c r="A24" s="11" t="s">
        <v>22</v>
      </c>
      <c r="B24" s="12" t="str">
        <f>'Assessed Value All Property'!B24</f>
        <v>R-Prelim</v>
      </c>
      <c r="C24" s="13">
        <v>10327724</v>
      </c>
      <c r="D24" s="14">
        <f t="shared" si="0"/>
        <v>7.0769179727209905E-2</v>
      </c>
      <c r="E24" s="13">
        <v>9645145</v>
      </c>
      <c r="F24" s="14">
        <f t="shared" si="1"/>
        <v>0.14157899601974258</v>
      </c>
      <c r="G24" s="15">
        <v>8448951</v>
      </c>
    </row>
    <row r="25" spans="1:14" x14ac:dyDescent="0.2">
      <c r="A25" s="11" t="s">
        <v>23</v>
      </c>
      <c r="B25" s="12" t="str">
        <f>'Assessed Value All Property'!B25</f>
        <v>R-Prelim</v>
      </c>
      <c r="C25" s="13"/>
      <c r="D25" s="14" t="s">
        <v>79</v>
      </c>
      <c r="E25" s="13"/>
      <c r="F25" s="14" t="s">
        <v>79</v>
      </c>
      <c r="G25" s="15"/>
    </row>
    <row r="26" spans="1:14" x14ac:dyDescent="0.2">
      <c r="A26" s="11" t="s">
        <v>24</v>
      </c>
      <c r="B26" s="12" t="str">
        <f>'Assessed Value All Property'!B26</f>
        <v>R-Prelim</v>
      </c>
      <c r="C26" s="13">
        <v>14421555</v>
      </c>
      <c r="D26" s="14">
        <f t="shared" si="0"/>
        <v>4.4664365320737864E-2</v>
      </c>
      <c r="E26" s="13">
        <v>13804965</v>
      </c>
      <c r="F26" s="14">
        <f t="shared" si="1"/>
        <v>-0.11513083950227473</v>
      </c>
      <c r="G26" s="15">
        <v>15601137</v>
      </c>
    </row>
    <row r="27" spans="1:14" x14ac:dyDescent="0.2">
      <c r="A27" s="11" t="s">
        <v>25</v>
      </c>
      <c r="B27" s="12" t="str">
        <f>'Assessed Value All Property'!B27</f>
        <v>R-Prelim</v>
      </c>
      <c r="C27" s="13"/>
      <c r="D27" s="14" t="s">
        <v>79</v>
      </c>
      <c r="E27" s="13"/>
      <c r="F27" s="14">
        <f t="shared" si="1"/>
        <v>-1</v>
      </c>
      <c r="G27" s="15">
        <v>593333</v>
      </c>
    </row>
    <row r="28" spans="1:14" x14ac:dyDescent="0.2">
      <c r="A28" s="11" t="s">
        <v>26</v>
      </c>
      <c r="B28" s="12" t="str">
        <f>'Assessed Value All Property'!B28</f>
        <v>R-Prelim</v>
      </c>
      <c r="C28" s="13">
        <v>22537698</v>
      </c>
      <c r="D28" s="14">
        <f t="shared" si="0"/>
        <v>8.4126047191622297E-2</v>
      </c>
      <c r="E28" s="13">
        <v>20788817</v>
      </c>
      <c r="F28" s="14">
        <f t="shared" si="1"/>
        <v>-0.25345791827085989</v>
      </c>
      <c r="G28" s="15">
        <v>27846812</v>
      </c>
    </row>
    <row r="29" spans="1:14" x14ac:dyDescent="0.2">
      <c r="A29" s="11" t="s">
        <v>27</v>
      </c>
      <c r="B29" s="12" t="str">
        <f>'Assessed Value All Property'!B29</f>
        <v>R-Prelim</v>
      </c>
      <c r="C29" s="13">
        <v>10098411</v>
      </c>
      <c r="D29" s="14">
        <f t="shared" si="0"/>
        <v>1.9193319822018828E-2</v>
      </c>
      <c r="E29" s="13">
        <v>9908239</v>
      </c>
      <c r="F29" s="14">
        <f t="shared" si="1"/>
        <v>4.5112476620549784E-2</v>
      </c>
      <c r="G29" s="15">
        <v>9480548</v>
      </c>
    </row>
    <row r="30" spans="1:14" x14ac:dyDescent="0.2">
      <c r="A30" s="11" t="s">
        <v>28</v>
      </c>
      <c r="B30" s="12" t="str">
        <f>'Assessed Value All Property'!B30</f>
        <v>R-Prelim</v>
      </c>
      <c r="C30" s="13">
        <v>4999064</v>
      </c>
      <c r="D30" s="14">
        <f t="shared" si="0"/>
        <v>4.3364939296097714E-2</v>
      </c>
      <c r="E30" s="13">
        <v>4791290</v>
      </c>
      <c r="F30" s="14">
        <f t="shared" si="1"/>
        <v>-0.10527014593615365</v>
      </c>
      <c r="G30" s="15">
        <v>5355013</v>
      </c>
    </row>
    <row r="31" spans="1:14" x14ac:dyDescent="0.2">
      <c r="A31" s="11" t="s">
        <v>29</v>
      </c>
      <c r="B31" s="12" t="str">
        <f>'Assessed Value All Property'!B31</f>
        <v>R-Prelim</v>
      </c>
      <c r="C31" s="13">
        <v>12906416</v>
      </c>
      <c r="D31" s="14">
        <f t="shared" si="0"/>
        <v>1.8286192631036216E-2</v>
      </c>
      <c r="E31" s="13">
        <v>12674645</v>
      </c>
      <c r="F31" s="14">
        <f t="shared" si="1"/>
        <v>4.6499310158056785E-2</v>
      </c>
      <c r="G31" s="15">
        <v>12111470</v>
      </c>
    </row>
    <row r="32" spans="1:14" x14ac:dyDescent="0.2">
      <c r="A32" s="11" t="s">
        <v>30</v>
      </c>
      <c r="B32" s="12" t="str">
        <f>'Assessed Value All Property'!B32</f>
        <v>R-Prelim</v>
      </c>
      <c r="C32" s="13">
        <v>35810333</v>
      </c>
      <c r="D32" s="14">
        <f t="shared" si="0"/>
        <v>3.0531507006369207E-2</v>
      </c>
      <c r="E32" s="13">
        <v>34749382</v>
      </c>
      <c r="F32" s="14">
        <f t="shared" si="1"/>
        <v>-2.9919679550111457E-2</v>
      </c>
      <c r="G32" s="15">
        <v>35821139</v>
      </c>
    </row>
    <row r="33" spans="1:7" x14ac:dyDescent="0.2">
      <c r="A33" s="11" t="s">
        <v>31</v>
      </c>
      <c r="B33" s="12" t="str">
        <f>'Assessed Value All Property'!B33</f>
        <v>R-Prelim</v>
      </c>
      <c r="C33" s="13">
        <v>137336207</v>
      </c>
      <c r="D33" s="14">
        <f t="shared" si="0"/>
        <v>1.6233795399744982E-2</v>
      </c>
      <c r="E33" s="13">
        <v>135142334</v>
      </c>
      <c r="F33" s="14">
        <f t="shared" si="1"/>
        <v>3.2621985419956416E-2</v>
      </c>
      <c r="G33" s="15">
        <v>130872997</v>
      </c>
    </row>
    <row r="34" spans="1:7" x14ac:dyDescent="0.2">
      <c r="A34" s="11" t="s">
        <v>32</v>
      </c>
      <c r="B34" s="12" t="str">
        <f>'Assessed Value All Property'!B34</f>
        <v>R-Prelim</v>
      </c>
      <c r="C34" s="13">
        <v>4431950</v>
      </c>
      <c r="D34" s="14">
        <f t="shared" si="0"/>
        <v>0.18630942789368277</v>
      </c>
      <c r="E34" s="13">
        <v>3735914</v>
      </c>
      <c r="F34" s="14">
        <f t="shared" si="1"/>
        <v>-5.8287687634699971E-2</v>
      </c>
      <c r="G34" s="15">
        <v>3967150</v>
      </c>
    </row>
    <row r="35" spans="1:7" x14ac:dyDescent="0.2">
      <c r="A35" s="11" t="s">
        <v>33</v>
      </c>
      <c r="B35" s="12" t="str">
        <f>'Assessed Value All Property'!B35</f>
        <v>R-Prelim</v>
      </c>
      <c r="C35" s="13">
        <v>46105678</v>
      </c>
      <c r="D35" s="14">
        <f t="shared" si="0"/>
        <v>-9.5302429151330803E-2</v>
      </c>
      <c r="E35" s="13">
        <v>50962531</v>
      </c>
      <c r="F35" s="14">
        <f t="shared" si="1"/>
        <v>5.0986953182547074E-4</v>
      </c>
      <c r="G35" s="15">
        <v>50936560</v>
      </c>
    </row>
    <row r="36" spans="1:7" x14ac:dyDescent="0.2">
      <c r="A36" s="11" t="s">
        <v>34</v>
      </c>
      <c r="B36" s="12" t="str">
        <f>'Assessed Value All Property'!B36</f>
        <v>R-Prelim</v>
      </c>
      <c r="C36" s="13">
        <v>27264771</v>
      </c>
      <c r="D36" s="14">
        <f t="shared" si="0"/>
        <v>8.1603665352149149E-2</v>
      </c>
      <c r="E36" s="13">
        <v>25207728</v>
      </c>
      <c r="F36" s="14">
        <f t="shared" si="1"/>
        <v>-0.11310995810095963</v>
      </c>
      <c r="G36" s="15">
        <v>28422608</v>
      </c>
    </row>
    <row r="37" spans="1:7" x14ac:dyDescent="0.2">
      <c r="A37" s="11" t="s">
        <v>35</v>
      </c>
      <c r="B37" s="12" t="str">
        <f>'Assessed Value All Property'!B37</f>
        <v>R-Prelim</v>
      </c>
      <c r="C37" s="13">
        <v>3531607</v>
      </c>
      <c r="D37" s="14">
        <f t="shared" si="0"/>
        <v>6.4816297241028928E-2</v>
      </c>
      <c r="E37" s="13">
        <v>3316635</v>
      </c>
      <c r="F37" s="14">
        <f t="shared" si="1"/>
        <v>5.4214253769699558E-2</v>
      </c>
      <c r="G37" s="15">
        <v>3146073</v>
      </c>
    </row>
    <row r="38" spans="1:7" x14ac:dyDescent="0.2">
      <c r="A38" s="11" t="s">
        <v>36</v>
      </c>
      <c r="B38" s="12" t="str">
        <f>'Assessed Value All Property'!B38</f>
        <v>R-Prelim</v>
      </c>
      <c r="C38" s="13"/>
      <c r="D38" s="14" t="s">
        <v>79</v>
      </c>
      <c r="E38" s="13">
        <v>0</v>
      </c>
      <c r="F38" s="14" t="s">
        <v>79</v>
      </c>
      <c r="G38" s="15"/>
    </row>
    <row r="39" spans="1:7" x14ac:dyDescent="0.2">
      <c r="A39" s="11" t="s">
        <v>37</v>
      </c>
      <c r="B39" s="12" t="str">
        <f>'Assessed Value All Property'!B39</f>
        <v>R-Prelim</v>
      </c>
      <c r="C39" s="13">
        <v>5784065</v>
      </c>
      <c r="D39" s="14">
        <f t="shared" si="0"/>
        <v>8.0212334788105022E-2</v>
      </c>
      <c r="E39" s="13">
        <v>5354563</v>
      </c>
      <c r="F39" s="14">
        <f t="shared" si="1"/>
        <v>-3.7885172744703834E-3</v>
      </c>
      <c r="G39" s="15">
        <v>5374926</v>
      </c>
    </row>
    <row r="40" spans="1:7" x14ac:dyDescent="0.2">
      <c r="A40" s="11" t="s">
        <v>38</v>
      </c>
      <c r="B40" s="12" t="str">
        <f>'Assessed Value All Property'!B40</f>
        <v>R-Prelim</v>
      </c>
      <c r="C40" s="13">
        <v>4978548</v>
      </c>
      <c r="D40" s="14">
        <f t="shared" si="0"/>
        <v>-6.1602643207178835E-2</v>
      </c>
      <c r="E40" s="13">
        <v>5305373</v>
      </c>
      <c r="F40" s="14">
        <f t="shared" si="1"/>
        <v>-4.112463744227271E-2</v>
      </c>
      <c r="G40" s="15">
        <v>5532912</v>
      </c>
    </row>
    <row r="41" spans="1:7" x14ac:dyDescent="0.2">
      <c r="A41" s="11" t="s">
        <v>39</v>
      </c>
      <c r="B41" s="12" t="str">
        <f>'Assessed Value All Property'!B41</f>
        <v>R-Prelim</v>
      </c>
      <c r="C41" s="13">
        <v>6677452</v>
      </c>
      <c r="D41" s="14">
        <f t="shared" si="0"/>
        <v>6.3389286086818736E-2</v>
      </c>
      <c r="E41" s="13">
        <v>6279405</v>
      </c>
      <c r="F41" s="14">
        <f t="shared" si="1"/>
        <v>5.7100092959551318E-2</v>
      </c>
      <c r="G41" s="15">
        <v>5940218</v>
      </c>
    </row>
    <row r="42" spans="1:7" x14ac:dyDescent="0.2">
      <c r="A42" s="11" t="s">
        <v>40</v>
      </c>
      <c r="B42" s="12" t="str">
        <f>'Assessed Value All Property'!B42</f>
        <v>R-Prelim</v>
      </c>
      <c r="C42" s="13">
        <v>3185083</v>
      </c>
      <c r="D42" s="14">
        <f t="shared" si="0"/>
        <v>-0.1356807469694663</v>
      </c>
      <c r="E42" s="13">
        <v>3685077</v>
      </c>
      <c r="F42" s="14">
        <f t="shared" si="1"/>
        <v>5.1910183305435224E-2</v>
      </c>
      <c r="G42" s="15">
        <v>3503224</v>
      </c>
    </row>
    <row r="43" spans="1:7" x14ac:dyDescent="0.2">
      <c r="A43" s="11" t="s">
        <v>41</v>
      </c>
      <c r="B43" s="12" t="str">
        <f>'Assessed Value All Property'!B43</f>
        <v>R-Prelim</v>
      </c>
      <c r="C43" s="28"/>
      <c r="D43" s="14" t="s">
        <v>79</v>
      </c>
      <c r="E43" s="13"/>
      <c r="F43" s="14">
        <f t="shared" si="1"/>
        <v>-1</v>
      </c>
      <c r="G43" s="15">
        <v>882753</v>
      </c>
    </row>
    <row r="44" spans="1:7" x14ac:dyDescent="0.2">
      <c r="A44" s="11" t="s">
        <v>42</v>
      </c>
      <c r="B44" s="12" t="str">
        <f>'Assessed Value All Property'!B44</f>
        <v>R-Prelim</v>
      </c>
      <c r="C44" s="13">
        <v>8280272</v>
      </c>
      <c r="D44" s="14">
        <f t="shared" si="0"/>
        <v>3.0772528673332276E-2</v>
      </c>
      <c r="E44" s="13">
        <v>8033074</v>
      </c>
      <c r="F44" s="14">
        <f t="shared" si="1"/>
        <v>-6.8319729589048472E-2</v>
      </c>
      <c r="G44" s="15">
        <v>8622136</v>
      </c>
    </row>
    <row r="45" spans="1:7" x14ac:dyDescent="0.2">
      <c r="A45" s="11" t="s">
        <v>43</v>
      </c>
      <c r="B45" s="12" t="str">
        <f>'Assessed Value All Property'!B45</f>
        <v>R-Prelim</v>
      </c>
      <c r="C45" s="13">
        <v>9083876</v>
      </c>
      <c r="D45" s="14">
        <f t="shared" si="0"/>
        <v>1.6255385645319791E-2</v>
      </c>
      <c r="E45" s="13">
        <v>8938576</v>
      </c>
      <c r="F45" s="14">
        <f t="shared" si="1"/>
        <v>4.0351224522028523E-2</v>
      </c>
      <c r="G45" s="15">
        <v>8591883</v>
      </c>
    </row>
    <row r="46" spans="1:7" x14ac:dyDescent="0.2">
      <c r="A46" s="11" t="s">
        <v>44</v>
      </c>
      <c r="B46" s="12" t="str">
        <f>'Assessed Value All Property'!B46</f>
        <v>R-Prelim</v>
      </c>
      <c r="C46" s="13">
        <v>29711175</v>
      </c>
      <c r="D46" s="14">
        <f t="shared" si="0"/>
        <v>-2.0272952833960276E-2</v>
      </c>
      <c r="E46" s="13">
        <v>30325972</v>
      </c>
      <c r="F46" s="14">
        <f t="shared" si="1"/>
        <v>4.8933814138344488E-2</v>
      </c>
      <c r="G46" s="15">
        <v>28911235</v>
      </c>
    </row>
    <row r="47" spans="1:7" x14ac:dyDescent="0.2">
      <c r="A47" s="11" t="s">
        <v>45</v>
      </c>
      <c r="B47" s="12" t="str">
        <f>'Assessed Value All Property'!B47</f>
        <v>R-Prelim</v>
      </c>
      <c r="C47" s="13">
        <v>97624340</v>
      </c>
      <c r="D47" s="14">
        <f t="shared" si="0"/>
        <v>-5.2316244066585908E-2</v>
      </c>
      <c r="E47" s="13">
        <v>103013626</v>
      </c>
      <c r="F47" s="14">
        <f t="shared" si="1"/>
        <v>-1.0132557236414286E-2</v>
      </c>
      <c r="G47" s="15">
        <v>104068102</v>
      </c>
    </row>
    <row r="48" spans="1:7" x14ac:dyDescent="0.2">
      <c r="A48" s="11" t="s">
        <v>46</v>
      </c>
      <c r="B48" s="12" t="str">
        <f>'Assessed Value All Property'!B48</f>
        <v>R-Prelim</v>
      </c>
      <c r="C48" s="13"/>
      <c r="D48" s="14" t="s">
        <v>79</v>
      </c>
      <c r="E48" s="13"/>
      <c r="F48" s="14" t="s">
        <v>79</v>
      </c>
      <c r="G48" s="15"/>
    </row>
    <row r="49" spans="1:7" x14ac:dyDescent="0.2">
      <c r="A49" s="11" t="s">
        <v>47</v>
      </c>
      <c r="B49" s="12" t="str">
        <f>'Assessed Value All Property'!B49</f>
        <v>R-Prelim</v>
      </c>
      <c r="C49" s="13">
        <v>52839185</v>
      </c>
      <c r="D49" s="14">
        <f t="shared" si="0"/>
        <v>2.6002456657475154E-2</v>
      </c>
      <c r="E49" s="13">
        <v>51500057</v>
      </c>
      <c r="F49" s="14">
        <f t="shared" si="1"/>
        <v>2.9280793670054669E-3</v>
      </c>
      <c r="G49" s="15">
        <v>51349701</v>
      </c>
    </row>
    <row r="50" spans="1:7" x14ac:dyDescent="0.2">
      <c r="A50" s="11" t="s">
        <v>48</v>
      </c>
      <c r="B50" s="12" t="str">
        <f>'Assessed Value All Property'!B50</f>
        <v>R-Prelim</v>
      </c>
      <c r="C50" s="13">
        <v>4898817</v>
      </c>
      <c r="D50" s="14">
        <f t="shared" si="0"/>
        <v>6.4597097207495971E-2</v>
      </c>
      <c r="E50" s="13">
        <v>4601569</v>
      </c>
      <c r="F50" s="14">
        <f t="shared" si="1"/>
        <v>4.2160495518765745E-2</v>
      </c>
      <c r="G50" s="15">
        <v>4415413</v>
      </c>
    </row>
    <row r="51" spans="1:7" x14ac:dyDescent="0.2">
      <c r="A51" s="11" t="s">
        <v>49</v>
      </c>
      <c r="B51" s="12" t="str">
        <f>'Assessed Value All Property'!B51</f>
        <v>R-Prelim</v>
      </c>
      <c r="C51" s="13">
        <v>13160492</v>
      </c>
      <c r="D51" s="14">
        <f t="shared" si="0"/>
        <v>1.979079572478766E-2</v>
      </c>
      <c r="E51" s="13">
        <v>12905090</v>
      </c>
      <c r="F51" s="14">
        <f t="shared" si="1"/>
        <v>4.8921248305928818E-2</v>
      </c>
      <c r="G51" s="15">
        <v>12303202</v>
      </c>
    </row>
    <row r="52" spans="1:7" x14ac:dyDescent="0.2">
      <c r="A52" s="11" t="s">
        <v>50</v>
      </c>
      <c r="B52" s="12" t="str">
        <f>'Assessed Value All Property'!B52</f>
        <v>R-Prelim</v>
      </c>
      <c r="C52" s="13">
        <v>111107383</v>
      </c>
      <c r="D52" s="14">
        <f t="shared" si="0"/>
        <v>-0.12550161270871674</v>
      </c>
      <c r="E52" s="13">
        <v>127052702</v>
      </c>
      <c r="F52" s="14">
        <f t="shared" si="1"/>
        <v>6.444251046139121E-3</v>
      </c>
      <c r="G52" s="15">
        <v>126239185</v>
      </c>
    </row>
    <row r="53" spans="1:7" x14ac:dyDescent="0.2">
      <c r="A53" s="11" t="s">
        <v>51</v>
      </c>
      <c r="B53" s="12" t="str">
        <f>'Assessed Value All Property'!B53</f>
        <v>R-Prelim</v>
      </c>
      <c r="C53" s="13">
        <v>7385033</v>
      </c>
      <c r="D53" s="14">
        <f t="shared" si="0"/>
        <v>2.0229041432442144E-2</v>
      </c>
      <c r="E53" s="13">
        <v>7238603</v>
      </c>
      <c r="F53" s="14">
        <f t="shared" si="1"/>
        <v>4.7052996747867989E-2</v>
      </c>
      <c r="G53" s="15">
        <v>6913311</v>
      </c>
    </row>
    <row r="54" spans="1:7" x14ac:dyDescent="0.2">
      <c r="A54" s="11" t="s">
        <v>52</v>
      </c>
      <c r="B54" s="12" t="str">
        <f>'Assessed Value All Property'!B54</f>
        <v>R-Prelim</v>
      </c>
      <c r="C54" s="13">
        <v>229609713</v>
      </c>
      <c r="D54" s="14">
        <f t="shared" si="0"/>
        <v>-7.1016129459625293E-2</v>
      </c>
      <c r="E54" s="13">
        <v>247162217</v>
      </c>
      <c r="F54" s="14">
        <f t="shared" si="1"/>
        <v>-7.4458363280496534E-3</v>
      </c>
      <c r="G54" s="15">
        <v>249016352</v>
      </c>
    </row>
    <row r="55" spans="1:7" x14ac:dyDescent="0.2">
      <c r="A55" s="11" t="s">
        <v>53</v>
      </c>
      <c r="B55" s="12" t="str">
        <f>'Assessed Value All Property'!B55</f>
        <v>R-Prelim</v>
      </c>
      <c r="C55" s="13">
        <v>24753439</v>
      </c>
      <c r="D55" s="14">
        <f t="shared" si="0"/>
        <v>1.8228823340699623E-2</v>
      </c>
      <c r="E55" s="13">
        <v>24310291</v>
      </c>
      <c r="F55" s="14">
        <f t="shared" si="1"/>
        <v>4.626817051462221E-2</v>
      </c>
      <c r="G55" s="15">
        <v>23235239</v>
      </c>
    </row>
    <row r="56" spans="1:7" x14ac:dyDescent="0.2">
      <c r="A56" s="11" t="s">
        <v>54</v>
      </c>
      <c r="B56" s="12" t="str">
        <f>'Assessed Value All Property'!B56</f>
        <v>R-Prelim</v>
      </c>
      <c r="C56" s="13">
        <v>14433637</v>
      </c>
      <c r="D56" s="14">
        <f t="shared" si="0"/>
        <v>1.9445814075218122E-2</v>
      </c>
      <c r="E56" s="13">
        <v>14158317</v>
      </c>
      <c r="F56" s="14">
        <f t="shared" si="1"/>
        <v>4.5206031201336962E-2</v>
      </c>
      <c r="G56" s="15">
        <v>13545958</v>
      </c>
    </row>
    <row r="57" spans="1:7" x14ac:dyDescent="0.2">
      <c r="A57" s="11" t="s">
        <v>55</v>
      </c>
      <c r="B57" s="12" t="str">
        <f>'Assessed Value All Property'!B57</f>
        <v>R-Prelim</v>
      </c>
      <c r="C57" s="13">
        <v>137411027</v>
      </c>
      <c r="D57" s="14">
        <f t="shared" si="0"/>
        <v>1.3117028430891931E-2</v>
      </c>
      <c r="E57" s="13">
        <v>135631939</v>
      </c>
      <c r="F57" s="14">
        <f t="shared" si="1"/>
        <v>4.8277468548203147E-2</v>
      </c>
      <c r="G57" s="15">
        <v>129385533</v>
      </c>
    </row>
    <row r="58" spans="1:7" x14ac:dyDescent="0.2">
      <c r="A58" s="11" t="s">
        <v>56</v>
      </c>
      <c r="B58" s="12" t="str">
        <f>'Assessed Value All Property'!B58</f>
        <v>R-Prelim</v>
      </c>
      <c r="C58" s="13">
        <v>28086280</v>
      </c>
      <c r="D58" s="14">
        <f t="shared" si="0"/>
        <v>3.7639301391902809E-2</v>
      </c>
      <c r="E58" s="13">
        <v>27067479</v>
      </c>
      <c r="F58" s="14">
        <f t="shared" si="1"/>
        <v>0.4518855457903091</v>
      </c>
      <c r="G58" s="15">
        <v>18642984</v>
      </c>
    </row>
    <row r="59" spans="1:7" x14ac:dyDescent="0.2">
      <c r="A59" s="11" t="s">
        <v>2</v>
      </c>
      <c r="B59" s="12" t="str">
        <f>'Assessed Value All Property'!B59</f>
        <v>R-Prelim</v>
      </c>
      <c r="C59" s="13">
        <v>36549040</v>
      </c>
      <c r="D59" s="14">
        <f t="shared" si="0"/>
        <v>-8.6304041538907503E-3</v>
      </c>
      <c r="E59" s="13">
        <v>36867219</v>
      </c>
      <c r="F59" s="14">
        <f t="shared" si="1"/>
        <v>-1.7128029277557803E-2</v>
      </c>
      <c r="G59" s="15">
        <v>37509686</v>
      </c>
    </row>
    <row r="60" spans="1:7" x14ac:dyDescent="0.2">
      <c r="A60" s="11" t="s">
        <v>3</v>
      </c>
      <c r="B60" s="12" t="str">
        <f>'Assessed Value All Property'!B60</f>
        <v>R-Prelim</v>
      </c>
      <c r="C60" s="13">
        <v>70927665</v>
      </c>
      <c r="D60" s="14">
        <f t="shared" si="0"/>
        <v>-6.5047632995190105E-2</v>
      </c>
      <c r="E60" s="13">
        <v>75862330</v>
      </c>
      <c r="F60" s="14">
        <f t="shared" si="1"/>
        <v>-7.0710806735441917E-2</v>
      </c>
      <c r="G60" s="15">
        <v>81634792</v>
      </c>
    </row>
    <row r="61" spans="1:7" x14ac:dyDescent="0.2">
      <c r="A61" s="11" t="s">
        <v>57</v>
      </c>
      <c r="B61" s="12" t="str">
        <f>'Assessed Value All Property'!B61</f>
        <v>R-Prelim</v>
      </c>
      <c r="C61" s="13">
        <v>4643658</v>
      </c>
      <c r="D61" s="14">
        <f t="shared" si="0"/>
        <v>6.5381232216527835E-2</v>
      </c>
      <c r="E61" s="13">
        <v>4358682</v>
      </c>
      <c r="F61" s="14">
        <f t="shared" si="1"/>
        <v>5.2483114128497786E-2</v>
      </c>
      <c r="G61" s="15">
        <v>4141332</v>
      </c>
    </row>
    <row r="62" spans="1:7" x14ac:dyDescent="0.2">
      <c r="A62" s="11" t="s">
        <v>58</v>
      </c>
      <c r="B62" s="12" t="str">
        <f>'Assessed Value All Property'!B62</f>
        <v>R-Prelim</v>
      </c>
      <c r="C62" s="13">
        <v>857737</v>
      </c>
      <c r="D62" s="14">
        <f t="shared" si="0"/>
        <v>-9.5545196009477543E-2</v>
      </c>
      <c r="E62" s="13">
        <v>948347</v>
      </c>
      <c r="F62" s="14">
        <f t="shared" si="1"/>
        <v>-8.748668624054972E-3</v>
      </c>
      <c r="G62" s="15">
        <v>956717</v>
      </c>
    </row>
    <row r="63" spans="1:7" x14ac:dyDescent="0.2">
      <c r="A63" s="11" t="s">
        <v>59</v>
      </c>
      <c r="B63" s="12" t="str">
        <f>'Assessed Value All Property'!B63</f>
        <v>R-Prelim</v>
      </c>
      <c r="C63" s="13">
        <v>13295524</v>
      </c>
      <c r="D63" s="14">
        <f t="shared" si="0"/>
        <v>2.2446330412099997E-2</v>
      </c>
      <c r="E63" s="13">
        <v>13003640</v>
      </c>
      <c r="F63" s="14">
        <f t="shared" si="1"/>
        <v>5.1038021730675287E-2</v>
      </c>
      <c r="G63" s="15">
        <v>12372188</v>
      </c>
    </row>
    <row r="64" spans="1:7" x14ac:dyDescent="0.2">
      <c r="A64" s="11" t="s">
        <v>60</v>
      </c>
      <c r="B64" s="12" t="str">
        <f>'Assessed Value All Property'!B64</f>
        <v>R-Prelim</v>
      </c>
      <c r="C64" s="13">
        <v>18580645</v>
      </c>
      <c r="D64" s="14">
        <f t="shared" si="0"/>
        <v>1.6003189854931484E-2</v>
      </c>
      <c r="E64" s="13">
        <v>18287979</v>
      </c>
      <c r="F64" s="14">
        <f t="shared" si="1"/>
        <v>4.9372974827758154E-2</v>
      </c>
      <c r="G64" s="15">
        <v>17427530</v>
      </c>
    </row>
    <row r="65" spans="1:7" x14ac:dyDescent="0.2">
      <c r="A65" s="11" t="s">
        <v>61</v>
      </c>
      <c r="B65" s="12" t="str">
        <f>'Assessed Value All Property'!B65</f>
        <v>R-Prelim</v>
      </c>
      <c r="C65" s="13">
        <v>4727745</v>
      </c>
      <c r="D65" s="14">
        <f t="shared" si="0"/>
        <v>6.4156954510238562E-2</v>
      </c>
      <c r="E65" s="13">
        <v>4442714</v>
      </c>
      <c r="F65" s="14">
        <f t="shared" si="1"/>
        <v>5.694952770846775E-2</v>
      </c>
      <c r="G65" s="15">
        <v>4203336</v>
      </c>
    </row>
    <row r="66" spans="1:7" x14ac:dyDescent="0.2">
      <c r="A66" s="11" t="s">
        <v>62</v>
      </c>
      <c r="B66" s="12" t="str">
        <f>'Assessed Value All Property'!B66</f>
        <v>R-Prelim</v>
      </c>
      <c r="C66" s="13">
        <v>1896944</v>
      </c>
      <c r="D66" s="14">
        <f t="shared" si="0"/>
        <v>0.1027936325594753</v>
      </c>
      <c r="E66" s="13">
        <v>1720126</v>
      </c>
      <c r="F66" s="14">
        <f t="shared" si="1"/>
        <v>-0.30060826360257942</v>
      </c>
      <c r="G66" s="15">
        <v>2459460</v>
      </c>
    </row>
    <row r="67" spans="1:7" x14ac:dyDescent="0.2">
      <c r="A67" s="11" t="s">
        <v>63</v>
      </c>
      <c r="B67" s="12" t="str">
        <f>'Assessed Value All Property'!B67</f>
        <v>R-Prelim</v>
      </c>
      <c r="C67" s="13"/>
      <c r="D67" s="14" t="s">
        <v>79</v>
      </c>
      <c r="E67" s="13"/>
      <c r="F67" s="14" t="s">
        <v>79</v>
      </c>
      <c r="G67" s="15"/>
    </row>
    <row r="68" spans="1:7" x14ac:dyDescent="0.2">
      <c r="A68" s="11" t="s">
        <v>64</v>
      </c>
      <c r="B68" s="12" t="str">
        <f>'Assessed Value All Property'!B68</f>
        <v>R-Prelim</v>
      </c>
      <c r="C68" s="13">
        <v>70075854</v>
      </c>
      <c r="D68" s="14">
        <f t="shared" si="0"/>
        <v>4.9025309482904752E-3</v>
      </c>
      <c r="E68" s="13">
        <v>69733981</v>
      </c>
      <c r="F68" s="14">
        <f t="shared" si="1"/>
        <v>6.5945332788524289E-4</v>
      </c>
      <c r="G68" s="15">
        <v>69688025</v>
      </c>
    </row>
    <row r="69" spans="1:7" x14ac:dyDescent="0.2">
      <c r="A69" s="11" t="s">
        <v>65</v>
      </c>
      <c r="B69" s="12" t="str">
        <f>'Assessed Value All Property'!B69</f>
        <v>R-Prelim</v>
      </c>
      <c r="C69" s="13"/>
      <c r="D69" s="14" t="s">
        <v>79</v>
      </c>
      <c r="E69" s="13"/>
      <c r="F69" s="14" t="s">
        <v>79</v>
      </c>
      <c r="G69" s="15"/>
    </row>
    <row r="70" spans="1:7" x14ac:dyDescent="0.2">
      <c r="A70" s="11" t="s">
        <v>66</v>
      </c>
      <c r="B70" s="12" t="str">
        <f>'Assessed Value All Property'!B70</f>
        <v>R-Prelim</v>
      </c>
      <c r="C70" s="13">
        <v>4007655</v>
      </c>
      <c r="D70" s="14">
        <f>((C70-E70)/E70)</f>
        <v>6.5773003252110787E-2</v>
      </c>
      <c r="E70" s="13">
        <v>3760327</v>
      </c>
      <c r="F70" s="14">
        <f>((E70-G70)/G70)</f>
        <v>5.0338690805224087E-2</v>
      </c>
      <c r="G70" s="15">
        <v>3580109</v>
      </c>
    </row>
    <row r="71" spans="1:7" x14ac:dyDescent="0.2">
      <c r="A71" s="11" t="s">
        <v>67</v>
      </c>
      <c r="B71" s="12" t="str">
        <f>'Assessed Value All Property'!B71</f>
        <v>R-Prelim</v>
      </c>
      <c r="C71" s="13">
        <v>2374718</v>
      </c>
      <c r="D71" s="14">
        <f>((C71-E71)/E71)</f>
        <v>6.3676790190257265E-2</v>
      </c>
      <c r="E71" s="13">
        <v>2232556</v>
      </c>
      <c r="F71" s="14">
        <f>((E71-G71)/G71)</f>
        <v>5.9462219552080572E-2</v>
      </c>
      <c r="G71" s="15">
        <v>2107254</v>
      </c>
    </row>
    <row r="72" spans="1:7" x14ac:dyDescent="0.2">
      <c r="A72" s="16"/>
      <c r="B72" s="17"/>
      <c r="C72" s="13"/>
      <c r="D72" s="18"/>
      <c r="E72" s="13"/>
      <c r="F72" s="18"/>
      <c r="G72" s="15"/>
    </row>
    <row r="73" spans="1:7" ht="15.75" thickBot="1" x14ac:dyDescent="0.3">
      <c r="A73" s="19" t="s">
        <v>68</v>
      </c>
      <c r="B73" s="20"/>
      <c r="C73" s="21">
        <f>SUM(C5:C71)</f>
        <v>2226573004</v>
      </c>
      <c r="D73" s="22">
        <f>((C73-E73)/E73)</f>
        <v>-2.6530529197309138E-2</v>
      </c>
      <c r="E73" s="21">
        <f>SUM(E5:E71)</f>
        <v>2287255092</v>
      </c>
      <c r="F73" s="22">
        <f>((E73-G73)/G73)</f>
        <v>6.9500300171256761E-3</v>
      </c>
      <c r="G73" s="23">
        <f>SUM(G5:G71)</f>
        <v>2271468319</v>
      </c>
    </row>
    <row r="75" spans="1:7" x14ac:dyDescent="0.2">
      <c r="A75" s="24" t="s">
        <v>89</v>
      </c>
    </row>
  </sheetData>
  <phoneticPr fontId="3" type="noConversion"/>
  <conditionalFormatting sqref="A75">
    <cfRule type="expression" dxfId="2" priority="40" stopIfTrue="1">
      <formula>MOD(ROW(),5)=1</formula>
    </cfRule>
  </conditionalFormatting>
  <conditionalFormatting sqref="A4:G42 A44:G73 A43:B43 D43:G43">
    <cfRule type="expression" dxfId="1" priority="2" stopIfTrue="1">
      <formula>MOD(ROW(),3)=1</formula>
    </cfRule>
  </conditionalFormatting>
  <conditionalFormatting sqref="C43">
    <cfRule type="expression" dxfId="0" priority="1" stopIfTrue="1">
      <formula>MOD(ROW(),3)=1</formula>
    </cfRule>
  </conditionalFormatting>
  <pageMargins left="0.7" right="0.7" top="0.5" bottom="0.5" header="0.05" footer="0.05"/>
  <pageSetup scale="78" fitToHeight="2" orientation="landscape" r:id="rId1"/>
  <rowBreaks count="1" manualBreakCount="1">
    <brk id="37" max="8" man="1"/>
  </rowBreaks>
  <ignoredErrors>
    <ignoredError sqref="G73 E73 D73 F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F317C27A-3BA5-4491-8D20-84ECC9D1AFB2}"/>
</file>

<file path=customXml/itemProps2.xml><?xml version="1.0" encoding="utf-8"?>
<ds:datastoreItem xmlns:ds="http://schemas.openxmlformats.org/officeDocument/2006/customXml" ds:itemID="{62994529-E651-46F6-85FA-B4A304B7D019}"/>
</file>

<file path=customXml/itemProps3.xml><?xml version="1.0" encoding="utf-8"?>
<ds:datastoreItem xmlns:ds="http://schemas.openxmlformats.org/officeDocument/2006/customXml" ds:itemID="{CDD895A1-C92E-445F-A765-E5C4A39C1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Report Index</vt:lpstr>
      <vt:lpstr>Assessed Value All Property</vt:lpstr>
      <vt:lpstr>All Property Assessed Value</vt:lpstr>
      <vt:lpstr>Real Property Assessed Value</vt:lpstr>
      <vt:lpstr>Personal Prop Assessed Value</vt:lpstr>
      <vt:lpstr>Centrally Prop Assessed Value </vt:lpstr>
      <vt:lpstr>'All Property Assessed Value'!Print_Area</vt:lpstr>
      <vt:lpstr>'Assessed Value All Property'!Print_Area</vt:lpstr>
      <vt:lpstr>'Centrally Prop Assessed Value '!Print_Area</vt:lpstr>
      <vt:lpstr>'Personal Prop Assessed Value'!Print_Area</vt:lpstr>
      <vt:lpstr>'Real Property Assessed Value'!Print_Area</vt:lpstr>
      <vt:lpstr>'Report Index'!Print_Area</vt:lpstr>
      <vt:lpstr>'All Property Assessed Value'!Print_Titles</vt:lpstr>
      <vt:lpstr>'Assessed Value All Property'!Print_Titles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Katylin Tucker</cp:lastModifiedBy>
  <cp:lastPrinted>2011-02-11T15:25:28Z</cp:lastPrinted>
  <dcterms:created xsi:type="dcterms:W3CDTF">2010-08-10T15:50:22Z</dcterms:created>
  <dcterms:modified xsi:type="dcterms:W3CDTF">2026-07-27T17:36:23Z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