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J:\Research &amp; Analysis\Data Book Documentation\2026 Databook\Preliminary\For Review\"/>
    </mc:Choice>
  </mc:AlternateContent>
  <xr:revisionPtr revIDLastSave="0" documentId="13_ncr:1_{8C0E8378-C888-46E6-9B00-CECD6C7082A4}" xr6:coauthVersionLast="47" xr6:coauthVersionMax="47" xr10:uidLastSave="{00000000-0000-0000-0000-000000000000}"/>
  <bookViews>
    <workbookView xWindow="-120" yWindow="-120" windowWidth="29040" windowHeight="15720" tabRatio="692" activeTab="4" xr2:uid="{00000000-000D-0000-FFFF-FFFF00000000}"/>
  </bookViews>
  <sheets>
    <sheet name="Report Index" sheetId="1" r:id="rId1"/>
    <sheet name="Total Exemption Value by Type" sheetId="2" r:id="rId2"/>
    <sheet name="Real Exemption Value by Type" sheetId="6" r:id="rId3"/>
    <sheet name="Personal Property by Type" sheetId="4" r:id="rId4"/>
    <sheet name="3-Year Homestead Comparison" sheetId="3" r:id="rId5"/>
  </sheets>
  <definedNames>
    <definedName name="_xlnm._FilterDatabase" localSheetId="0" hidden="1">'Report Index'!$A$2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73" i="6" l="1"/>
  <c r="S73" i="6"/>
  <c r="R73" i="6"/>
  <c r="Q73" i="6"/>
  <c r="S73" i="2" l="1"/>
  <c r="T73" i="2"/>
  <c r="U73" i="2"/>
  <c r="V73" i="2"/>
  <c r="E73" i="3"/>
  <c r="I73" i="4"/>
  <c r="Y73" i="2"/>
  <c r="R73" i="2"/>
  <c r="K71" i="3"/>
  <c r="K70" i="3"/>
  <c r="K69" i="3"/>
  <c r="K68" i="3"/>
  <c r="K67" i="3"/>
  <c r="K66" i="3"/>
  <c r="K65" i="3"/>
  <c r="K64" i="3"/>
  <c r="K63" i="3"/>
  <c r="K62" i="3"/>
  <c r="K61" i="3"/>
  <c r="K60" i="3"/>
  <c r="K59" i="3"/>
  <c r="K58" i="3"/>
  <c r="K57" i="3"/>
  <c r="K56" i="3"/>
  <c r="K55" i="3"/>
  <c r="K54" i="3"/>
  <c r="K53" i="3"/>
  <c r="K52" i="3"/>
  <c r="K51" i="3"/>
  <c r="K50" i="3"/>
  <c r="K49" i="3"/>
  <c r="K48" i="3"/>
  <c r="K47" i="3"/>
  <c r="K46" i="3"/>
  <c r="K45" i="3"/>
  <c r="K44" i="3"/>
  <c r="K43" i="3"/>
  <c r="K42" i="3"/>
  <c r="K41" i="3"/>
  <c r="K40" i="3"/>
  <c r="K39" i="3"/>
  <c r="K38" i="3"/>
  <c r="K37" i="3"/>
  <c r="K36" i="3"/>
  <c r="K35" i="3"/>
  <c r="K34" i="3"/>
  <c r="K33" i="3"/>
  <c r="K32" i="3"/>
  <c r="K31" i="3"/>
  <c r="K30" i="3"/>
  <c r="K29" i="3"/>
  <c r="K28" i="3"/>
  <c r="K27" i="3"/>
  <c r="K26" i="3"/>
  <c r="K25" i="3"/>
  <c r="K24" i="3"/>
  <c r="K23" i="3"/>
  <c r="K22" i="3"/>
  <c r="K21" i="3"/>
  <c r="K20" i="3"/>
  <c r="K19" i="3"/>
  <c r="K18" i="3"/>
  <c r="K17" i="3"/>
  <c r="K16" i="3"/>
  <c r="K15" i="3"/>
  <c r="K14" i="3"/>
  <c r="K13" i="3"/>
  <c r="K12" i="3"/>
  <c r="K11" i="3"/>
  <c r="K10" i="3"/>
  <c r="K9" i="3"/>
  <c r="K8" i="3"/>
  <c r="K7" i="3"/>
  <c r="K6" i="3"/>
  <c r="K5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F71" i="3"/>
  <c r="F70" i="3"/>
  <c r="F69" i="3"/>
  <c r="F68" i="3"/>
  <c r="F67" i="3"/>
  <c r="F66" i="3"/>
  <c r="F65" i="3"/>
  <c r="F64" i="3"/>
  <c r="F63" i="3"/>
  <c r="F62" i="3"/>
  <c r="F61" i="3"/>
  <c r="F60" i="3"/>
  <c r="F59" i="3"/>
  <c r="F58" i="3"/>
  <c r="F57" i="3"/>
  <c r="F56" i="3"/>
  <c r="F55" i="3"/>
  <c r="F54" i="3"/>
  <c r="F53" i="3"/>
  <c r="F52" i="3"/>
  <c r="F51" i="3"/>
  <c r="F50" i="3"/>
  <c r="F49" i="3"/>
  <c r="F48" i="3"/>
  <c r="F47" i="3"/>
  <c r="F46" i="3"/>
  <c r="F45" i="3"/>
  <c r="F44" i="3"/>
  <c r="F43" i="3"/>
  <c r="F42" i="3"/>
  <c r="F41" i="3"/>
  <c r="F40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5" i="3"/>
  <c r="O73" i="4"/>
  <c r="Q73" i="2"/>
  <c r="P73" i="6"/>
  <c r="M5" i="3"/>
  <c r="O5" i="3"/>
  <c r="Q5" i="3"/>
  <c r="M6" i="3"/>
  <c r="O6" i="3"/>
  <c r="Q6" i="3"/>
  <c r="M7" i="3"/>
  <c r="O7" i="3"/>
  <c r="Q7" i="3"/>
  <c r="M8" i="3"/>
  <c r="O8" i="3"/>
  <c r="Q8" i="3"/>
  <c r="M9" i="3"/>
  <c r="O9" i="3"/>
  <c r="Q9" i="3"/>
  <c r="M10" i="3"/>
  <c r="O10" i="3"/>
  <c r="Q10" i="3"/>
  <c r="M11" i="3"/>
  <c r="O11" i="3"/>
  <c r="Q11" i="3"/>
  <c r="M12" i="3"/>
  <c r="O12" i="3"/>
  <c r="Q12" i="3"/>
  <c r="M13" i="3"/>
  <c r="O13" i="3"/>
  <c r="Q13" i="3"/>
  <c r="M14" i="3"/>
  <c r="O14" i="3"/>
  <c r="Q14" i="3"/>
  <c r="M15" i="3"/>
  <c r="O15" i="3"/>
  <c r="Q15" i="3"/>
  <c r="M16" i="3"/>
  <c r="O16" i="3"/>
  <c r="Q16" i="3"/>
  <c r="M17" i="3"/>
  <c r="O17" i="3"/>
  <c r="Q17" i="3"/>
  <c r="M18" i="3"/>
  <c r="O18" i="3"/>
  <c r="Q18" i="3"/>
  <c r="M19" i="3"/>
  <c r="O19" i="3"/>
  <c r="Q19" i="3"/>
  <c r="M20" i="3"/>
  <c r="O20" i="3"/>
  <c r="Q20" i="3"/>
  <c r="M21" i="3"/>
  <c r="O21" i="3"/>
  <c r="Q21" i="3"/>
  <c r="M22" i="3"/>
  <c r="O22" i="3"/>
  <c r="Q22" i="3"/>
  <c r="M23" i="3"/>
  <c r="O23" i="3"/>
  <c r="Q23" i="3"/>
  <c r="M24" i="3"/>
  <c r="O24" i="3"/>
  <c r="Q24" i="3"/>
  <c r="M25" i="3"/>
  <c r="O25" i="3"/>
  <c r="Q25" i="3"/>
  <c r="M26" i="3"/>
  <c r="O26" i="3"/>
  <c r="Q26" i="3"/>
  <c r="M27" i="3"/>
  <c r="O27" i="3"/>
  <c r="Q27" i="3"/>
  <c r="M28" i="3"/>
  <c r="O28" i="3"/>
  <c r="Q28" i="3"/>
  <c r="M29" i="3"/>
  <c r="O29" i="3"/>
  <c r="Q29" i="3"/>
  <c r="M30" i="3"/>
  <c r="O30" i="3"/>
  <c r="Q30" i="3"/>
  <c r="M31" i="3"/>
  <c r="O31" i="3"/>
  <c r="Q31" i="3"/>
  <c r="M32" i="3"/>
  <c r="O32" i="3"/>
  <c r="Q32" i="3"/>
  <c r="M33" i="3"/>
  <c r="O33" i="3"/>
  <c r="Q33" i="3"/>
  <c r="M34" i="3"/>
  <c r="O34" i="3"/>
  <c r="Q34" i="3"/>
  <c r="M35" i="3"/>
  <c r="O35" i="3"/>
  <c r="Q35" i="3"/>
  <c r="M36" i="3"/>
  <c r="O36" i="3"/>
  <c r="Q36" i="3"/>
  <c r="M37" i="3"/>
  <c r="O37" i="3"/>
  <c r="Q37" i="3"/>
  <c r="M38" i="3"/>
  <c r="O38" i="3"/>
  <c r="Q38" i="3"/>
  <c r="M39" i="3"/>
  <c r="O39" i="3"/>
  <c r="Q39" i="3"/>
  <c r="M40" i="3"/>
  <c r="O40" i="3"/>
  <c r="Q40" i="3"/>
  <c r="M41" i="3"/>
  <c r="O41" i="3"/>
  <c r="Q41" i="3"/>
  <c r="M42" i="3"/>
  <c r="O42" i="3"/>
  <c r="Q42" i="3"/>
  <c r="M43" i="3"/>
  <c r="O43" i="3"/>
  <c r="Q43" i="3"/>
  <c r="M44" i="3"/>
  <c r="O44" i="3"/>
  <c r="Q44" i="3"/>
  <c r="M45" i="3"/>
  <c r="O45" i="3"/>
  <c r="Q45" i="3"/>
  <c r="M46" i="3"/>
  <c r="O46" i="3"/>
  <c r="Q46" i="3"/>
  <c r="M47" i="3"/>
  <c r="O47" i="3"/>
  <c r="Q47" i="3"/>
  <c r="M48" i="3"/>
  <c r="O48" i="3"/>
  <c r="Q48" i="3"/>
  <c r="M49" i="3"/>
  <c r="O49" i="3"/>
  <c r="Q49" i="3"/>
  <c r="M50" i="3"/>
  <c r="O50" i="3"/>
  <c r="Q50" i="3"/>
  <c r="M51" i="3"/>
  <c r="O51" i="3"/>
  <c r="Q51" i="3"/>
  <c r="M52" i="3"/>
  <c r="O52" i="3"/>
  <c r="Q52" i="3"/>
  <c r="M53" i="3"/>
  <c r="O53" i="3"/>
  <c r="Q53" i="3"/>
  <c r="M54" i="3"/>
  <c r="O54" i="3"/>
  <c r="Q54" i="3"/>
  <c r="M55" i="3"/>
  <c r="O55" i="3"/>
  <c r="Q55" i="3"/>
  <c r="M56" i="3"/>
  <c r="O56" i="3"/>
  <c r="Q56" i="3"/>
  <c r="M57" i="3"/>
  <c r="O57" i="3"/>
  <c r="Q57" i="3"/>
  <c r="M58" i="3"/>
  <c r="O58" i="3"/>
  <c r="Q58" i="3"/>
  <c r="M59" i="3"/>
  <c r="O59" i="3"/>
  <c r="Q59" i="3"/>
  <c r="M60" i="3"/>
  <c r="O60" i="3"/>
  <c r="Q60" i="3"/>
  <c r="M61" i="3"/>
  <c r="O61" i="3"/>
  <c r="Q61" i="3"/>
  <c r="M62" i="3"/>
  <c r="O62" i="3"/>
  <c r="Q62" i="3"/>
  <c r="M63" i="3"/>
  <c r="O63" i="3"/>
  <c r="Q63" i="3"/>
  <c r="M64" i="3"/>
  <c r="O64" i="3"/>
  <c r="Q64" i="3"/>
  <c r="M65" i="3"/>
  <c r="O65" i="3"/>
  <c r="Q65" i="3"/>
  <c r="M66" i="3"/>
  <c r="O66" i="3"/>
  <c r="Q66" i="3"/>
  <c r="M67" i="3"/>
  <c r="O67" i="3"/>
  <c r="Q67" i="3"/>
  <c r="M68" i="3"/>
  <c r="O68" i="3"/>
  <c r="Q68" i="3"/>
  <c r="M69" i="3"/>
  <c r="O69" i="3"/>
  <c r="Q69" i="3"/>
  <c r="M70" i="3"/>
  <c r="O70" i="3"/>
  <c r="Q70" i="3"/>
  <c r="M71" i="3"/>
  <c r="O71" i="3"/>
  <c r="Q71" i="3"/>
  <c r="C73" i="3"/>
  <c r="G73" i="3"/>
  <c r="H73" i="3"/>
  <c r="J73" i="3"/>
  <c r="L73" i="3"/>
  <c r="B73" i="4"/>
  <c r="C73" i="4"/>
  <c r="D73" i="4"/>
  <c r="E73" i="4"/>
  <c r="F73" i="4"/>
  <c r="G73" i="4"/>
  <c r="H73" i="4"/>
  <c r="B73" i="6"/>
  <c r="C73" i="6"/>
  <c r="D73" i="6"/>
  <c r="E73" i="6"/>
  <c r="F73" i="6"/>
  <c r="G73" i="6"/>
  <c r="H73" i="6"/>
  <c r="I73" i="6"/>
  <c r="J73" i="6"/>
  <c r="K73" i="6"/>
  <c r="L73" i="6"/>
  <c r="M73" i="6"/>
  <c r="N73" i="6"/>
  <c r="O73" i="6"/>
  <c r="W73" i="6"/>
  <c r="B73" i="2"/>
  <c r="C73" i="2"/>
  <c r="D73" i="2"/>
  <c r="E73" i="2"/>
  <c r="F73" i="2"/>
  <c r="G73" i="2"/>
  <c r="H73" i="2"/>
  <c r="I73" i="2"/>
  <c r="J73" i="2"/>
  <c r="K73" i="2"/>
  <c r="L73" i="2"/>
  <c r="M73" i="2"/>
  <c r="N73" i="2"/>
  <c r="O73" i="2"/>
  <c r="P73" i="2"/>
  <c r="P22" i="3" l="1"/>
  <c r="N26" i="3"/>
  <c r="N71" i="3"/>
  <c r="N39" i="3"/>
  <c r="N52" i="3"/>
  <c r="P56" i="3"/>
  <c r="P35" i="3"/>
  <c r="P43" i="3"/>
  <c r="N32" i="3"/>
  <c r="N12" i="3"/>
  <c r="P52" i="3"/>
  <c r="P30" i="3"/>
  <c r="P14" i="3"/>
  <c r="P9" i="3"/>
  <c r="N64" i="3"/>
  <c r="N48" i="3"/>
  <c r="P33" i="3"/>
  <c r="P17" i="3"/>
  <c r="P63" i="3"/>
  <c r="P39" i="3"/>
  <c r="N63" i="3"/>
  <c r="N47" i="3"/>
  <c r="P11" i="3"/>
  <c r="P10" i="3"/>
  <c r="P25" i="3"/>
  <c r="P67" i="3"/>
  <c r="P19" i="3"/>
  <c r="N65" i="3"/>
  <c r="N22" i="3"/>
  <c r="P21" i="3"/>
  <c r="N37" i="3"/>
  <c r="I73" i="3"/>
  <c r="N14" i="3"/>
  <c r="N40" i="3"/>
  <c r="P18" i="3"/>
  <c r="F73" i="3"/>
  <c r="P15" i="3"/>
  <c r="P34" i="3"/>
  <c r="P44" i="3"/>
  <c r="P23" i="3"/>
  <c r="P7" i="3"/>
  <c r="N33" i="3"/>
  <c r="N17" i="3"/>
  <c r="N38" i="3"/>
  <c r="N43" i="3"/>
  <c r="P37" i="3"/>
  <c r="N6" i="3"/>
  <c r="N10" i="3"/>
  <c r="N21" i="3"/>
  <c r="P50" i="3"/>
  <c r="N50" i="3"/>
  <c r="P26" i="3"/>
  <c r="N56" i="3"/>
  <c r="P65" i="3"/>
  <c r="N29" i="3"/>
  <c r="N13" i="3"/>
  <c r="N60" i="3"/>
  <c r="P54" i="3"/>
  <c r="P38" i="3"/>
  <c r="N36" i="3"/>
  <c r="N28" i="3"/>
  <c r="P69" i="3"/>
  <c r="P61" i="3"/>
  <c r="P57" i="3"/>
  <c r="P53" i="3"/>
  <c r="P49" i="3"/>
  <c r="P45" i="3"/>
  <c r="P41" i="3"/>
  <c r="K73" i="3"/>
  <c r="P6" i="3"/>
  <c r="P70" i="3"/>
  <c r="P66" i="3"/>
  <c r="P62" i="3"/>
  <c r="P58" i="3"/>
  <c r="P46" i="3"/>
  <c r="P42" i="3"/>
  <c r="P32" i="3"/>
  <c r="P24" i="3"/>
  <c r="P20" i="3"/>
  <c r="P16" i="3"/>
  <c r="P12" i="3"/>
  <c r="P8" i="3"/>
  <c r="P59" i="3"/>
  <c r="P55" i="3"/>
  <c r="P29" i="3"/>
  <c r="P13" i="3"/>
  <c r="Q73" i="3"/>
  <c r="N69" i="3"/>
  <c r="N57" i="3"/>
  <c r="N53" i="3"/>
  <c r="N41" i="3"/>
  <c r="N35" i="3"/>
  <c r="N27" i="3"/>
  <c r="N23" i="3"/>
  <c r="N19" i="3"/>
  <c r="N15" i="3"/>
  <c r="N11" i="3"/>
  <c r="N70" i="3"/>
  <c r="P71" i="3"/>
  <c r="N66" i="3"/>
  <c r="P60" i="3"/>
  <c r="N54" i="3"/>
  <c r="P48" i="3"/>
  <c r="N46" i="3"/>
  <c r="N67" i="3"/>
  <c r="P28" i="3"/>
  <c r="N59" i="3"/>
  <c r="N55" i="3"/>
  <c r="N51" i="3"/>
  <c r="P40" i="3"/>
  <c r="N7" i="3"/>
  <c r="N16" i="3"/>
  <c r="P27" i="3"/>
  <c r="N9" i="3"/>
  <c r="N8" i="3"/>
  <c r="N42" i="3"/>
  <c r="D73" i="3"/>
  <c r="P64" i="3"/>
  <c r="P51" i="3"/>
  <c r="N49" i="3"/>
  <c r="N45" i="3"/>
  <c r="N44" i="3"/>
  <c r="P36" i="3"/>
  <c r="N34" i="3"/>
  <c r="N30" i="3"/>
  <c r="N18" i="3"/>
  <c r="N31" i="3"/>
  <c r="N25" i="3"/>
  <c r="N68" i="3"/>
  <c r="N5" i="3"/>
  <c r="N20" i="3"/>
  <c r="P73" i="4"/>
  <c r="X73" i="6"/>
  <c r="Z73" i="2"/>
  <c r="Y73" i="6"/>
  <c r="AA73" i="2"/>
  <c r="O73" i="3"/>
  <c r="N58" i="3"/>
  <c r="N61" i="3"/>
  <c r="N24" i="3"/>
  <c r="P68" i="3"/>
  <c r="P5" i="3"/>
  <c r="P31" i="3"/>
  <c r="N62" i="3"/>
  <c r="P47" i="3"/>
  <c r="M73" i="3"/>
  <c r="Q73" i="4"/>
  <c r="P73" i="3" l="1"/>
  <c r="N73" i="3"/>
</calcChain>
</file>

<file path=xl/sharedStrings.xml><?xml version="1.0" encoding="utf-8"?>
<sst xmlns="http://schemas.openxmlformats.org/spreadsheetml/2006/main" count="445" uniqueCount="130">
  <si>
    <t>Exemption Reports</t>
  </si>
  <si>
    <t>County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</si>
  <si>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</si>
  <si>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</si>
  <si>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</si>
  <si>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</si>
  <si>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</si>
  <si>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</si>
  <si>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</si>
  <si>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</si>
  <si>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</si>
  <si>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</si>
  <si>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</si>
  <si>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</si>
  <si>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</si>
  <si>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</si>
  <si>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</si>
  <si>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</si>
  <si>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</si>
  <si>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</si>
  <si>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</si>
  <si>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</si>
  <si>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</si>
  <si>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</si>
  <si>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</si>
  <si>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</si>
  <si>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</si>
  <si>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</si>
  <si>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</si>
  <si>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</si>
  <si>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</si>
  <si>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</si>
  <si>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</si>
  <si>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</si>
  <si>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</si>
  <si>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</si>
  <si>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</si>
  <si>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</si>
  <si>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</si>
  <si>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</si>
  <si>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</si>
  <si>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</si>
  <si>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</si>
  <si>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</si>
  <si>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</si>
  <si>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</si>
  <si>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</si>
  <si>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</si>
  <si>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</si>
  <si>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</si>
  <si>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</si>
  <si>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</si>
  <si>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</si>
  <si>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</si>
  <si>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</si>
  <si>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</si>
  <si>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</si>
  <si>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</si>
  <si>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</si>
  <si>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</si>
  <si>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</si>
  <si>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</si>
  <si>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</si>
  <si>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</si>
  <si>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</si>
  <si>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</si>
  <si>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</si>
  <si>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</si>
  <si>
    <t>Statewide</t>
  </si>
  <si>
    <t>Status</t>
  </si>
  <si>
    <t>Institutional Exemptions</t>
  </si>
  <si>
    <t>Conservation Land Exemption</t>
  </si>
  <si>
    <t>Homestead Assessment Reduction for Parents or Grandparents</t>
  </si>
  <si>
    <t>Disabled Veterans' Homestead Discount</t>
  </si>
  <si>
    <t>Total Assessed Value</t>
  </si>
  <si>
    <t>Total Exempt Value</t>
  </si>
  <si>
    <t>Total Taxable Value</t>
  </si>
  <si>
    <t>Homestead Statute</t>
  </si>
  <si>
    <t>Additional Homestead Statute</t>
  </si>
  <si>
    <t>Total Homestead Exemption</t>
  </si>
  <si>
    <t xml:space="preserve">Contact Information: </t>
  </si>
  <si>
    <t xml:space="preserve">Property Tax Oversight, Research &amp; Analysis  </t>
  </si>
  <si>
    <t>$25,000 Tangible Personal Property Exemption</t>
  </si>
  <si>
    <t>Governmental Exemptions</t>
  </si>
  <si>
    <t>Widows Exemption</t>
  </si>
  <si>
    <t>Disability Exemptions</t>
  </si>
  <si>
    <t>Historic Property Exemptions</t>
  </si>
  <si>
    <t>Economic Development &amp; Child Care Exemptions</t>
  </si>
  <si>
    <t xml:space="preserve">$25,000 Homestead Exemption </t>
  </si>
  <si>
    <t xml:space="preserve">Additional $25,000 Homestead Exemption </t>
  </si>
  <si>
    <t xml:space="preserve">Additional Homestead Exemption, Age 65 &amp; Older </t>
  </si>
  <si>
    <t xml:space="preserve">Governmental Exemption </t>
  </si>
  <si>
    <t xml:space="preserve">Institutional Exemptions </t>
  </si>
  <si>
    <t xml:space="preserve">Widows / Widowers Exemption </t>
  </si>
  <si>
    <t xml:space="preserve">Disability / Blind Exemptions </t>
  </si>
  <si>
    <t xml:space="preserve">Historic Property Exemption </t>
  </si>
  <si>
    <t xml:space="preserve">Econ. Development &amp; Child Care Exemptions (blank) </t>
  </si>
  <si>
    <t>Deployed Service Member's Homestead Exemption</t>
  </si>
  <si>
    <t>Exemption Value by Type (Category)</t>
  </si>
  <si>
    <t>Personal Property Exemption Value by Type (Category)</t>
  </si>
  <si>
    <t>Real Exemption Value by Property Category</t>
  </si>
  <si>
    <t>Personal Property Exemption Value by Property Category</t>
  </si>
  <si>
    <t>Total Exemption Value by Property Category</t>
  </si>
  <si>
    <t>3- Year Homestead Comparison</t>
  </si>
  <si>
    <t>Real Property Exemption Value by Type (Category)</t>
  </si>
  <si>
    <t>Senior Age 65 &amp; 25 Year Resident Homestead Exemption</t>
  </si>
  <si>
    <t>Miami-Dade</t>
  </si>
  <si>
    <t>Econ. Development &amp; Child Care Exemptions</t>
  </si>
  <si>
    <t>Tangible Personal Property $25,000 Exemption*</t>
  </si>
  <si>
    <t>*Includes Centrally Assessed exempt values.</t>
  </si>
  <si>
    <r>
      <t>Lands Available for Taxes</t>
    </r>
    <r>
      <rPr>
        <b/>
        <sz val="10"/>
        <color indexed="10"/>
        <rFont val="Arial"/>
        <family val="2"/>
      </rPr>
      <t xml:space="preserve"> </t>
    </r>
  </si>
  <si>
    <t>PTOResearchAnalysis@floridarevenue.com</t>
  </si>
  <si>
    <t>Renewable Energy Exemption</t>
  </si>
  <si>
    <t>2025 Value</t>
  </si>
  <si>
    <t>Biblical History</t>
  </si>
  <si>
    <t xml:space="preserve">Affordable Housing  (State)                </t>
  </si>
  <si>
    <t>Affordable Housong  (Lease Land)</t>
  </si>
  <si>
    <t xml:space="preserve">Affordable Housing           (County)                </t>
  </si>
  <si>
    <t>2024 Value</t>
  </si>
  <si>
    <t>Percent Increase 2024-2025</t>
  </si>
  <si>
    <t>Affordable Housing Property (Owned by this state)</t>
  </si>
  <si>
    <t>Affordable Housing Property on Governmental Property</t>
  </si>
  <si>
    <t xml:space="preserve">Affordable Housing (State)                </t>
  </si>
  <si>
    <t>Affordable Housing  (Lease Land)</t>
  </si>
  <si>
    <t xml:space="preserve">Affordable Housing  (County)                </t>
  </si>
  <si>
    <t>Homestead Comparison 2024-2026</t>
  </si>
  <si>
    <t>2026 Value</t>
  </si>
  <si>
    <t>Percent Increase 2025-2026</t>
  </si>
  <si>
    <t>Prelim</t>
  </si>
  <si>
    <t>Data Extract: July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</si>
</sst>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0.0%"/>
  </numFmts>
  <fonts count="47" x14ac:knownFonts="1"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8"/>
      <name val="Calibri"/>
      <family val="2"/>
    </font>
    <font>
      <u/>
      <sz val="11"/>
      <color indexed="12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2"/>
      <color indexed="8"/>
      <name val="Calibri"/>
      <family val="2"/>
    </font>
    <font>
      <sz val="12"/>
      <color indexed="9"/>
      <name val="Calibri"/>
      <family val="2"/>
    </font>
    <font>
      <sz val="12"/>
      <color indexed="20"/>
      <name val="Calibri"/>
      <family val="2"/>
    </font>
    <font>
      <b/>
      <sz val="12"/>
      <color indexed="52"/>
      <name val="Calibri"/>
      <family val="2"/>
    </font>
    <font>
      <b/>
      <sz val="12"/>
      <color indexed="9"/>
      <name val="Calibri"/>
      <family val="2"/>
    </font>
    <font>
      <i/>
      <sz val="12"/>
      <color indexed="23"/>
      <name val="Calibri"/>
      <family val="2"/>
    </font>
    <font>
      <sz val="12"/>
      <color indexed="17"/>
      <name val="Calibri"/>
      <family val="2"/>
    </font>
    <font>
      <u/>
      <sz val="10"/>
      <color indexed="12"/>
      <name val="Arial"/>
      <family val="2"/>
    </font>
    <font>
      <sz val="12"/>
      <color indexed="62"/>
      <name val="Calibri"/>
      <family val="2"/>
    </font>
    <font>
      <sz val="12"/>
      <color indexed="52"/>
      <name val="Calibri"/>
      <family val="2"/>
    </font>
    <font>
      <sz val="12"/>
      <color indexed="60"/>
      <name val="Calibri"/>
      <family val="2"/>
    </font>
    <font>
      <b/>
      <sz val="12"/>
      <color indexed="63"/>
      <name val="Calibri"/>
      <family val="2"/>
    </font>
    <font>
      <b/>
      <sz val="12"/>
      <color indexed="8"/>
      <name val="Calibri"/>
      <family val="2"/>
    </font>
    <font>
      <sz val="12"/>
      <color indexed="10"/>
      <name val="Calibri"/>
      <family val="2"/>
    </font>
    <font>
      <b/>
      <sz val="11"/>
      <color indexed="8"/>
      <name val="Arial"/>
      <family val="2"/>
    </font>
    <font>
      <sz val="11"/>
      <color indexed="8"/>
      <name val="Arial"/>
      <family val="2"/>
    </font>
    <font>
      <u/>
      <sz val="11"/>
      <color indexed="12"/>
      <name val="Arial"/>
      <family val="2"/>
    </font>
    <font>
      <i/>
      <sz val="11"/>
      <name val="Arial"/>
      <family val="2"/>
    </font>
    <font>
      <sz val="11"/>
      <name val="Arial"/>
      <family val="2"/>
    </font>
    <font>
      <b/>
      <sz val="1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87">
    <xf numFmtId="0" fontId="0" fillId="0" borderId="0"/>
    <xf numFmtId="0" fontId="1" fillId="2" borderId="0" applyNumberFormat="0" applyBorder="0" applyAlignment="0" applyProtection="0"/>
    <xf numFmtId="0" fontId="23" fillId="2" borderId="0" applyNumberFormat="0" applyBorder="0" applyAlignment="0" applyProtection="0"/>
    <xf numFmtId="0" fontId="1" fillId="3" borderId="0" applyNumberFormat="0" applyBorder="0" applyAlignment="0" applyProtection="0"/>
    <xf numFmtId="0" fontId="23" fillId="3" borderId="0" applyNumberFormat="0" applyBorder="0" applyAlignment="0" applyProtection="0"/>
    <xf numFmtId="0" fontId="1" fillId="4" borderId="0" applyNumberFormat="0" applyBorder="0" applyAlignment="0" applyProtection="0"/>
    <xf numFmtId="0" fontId="23" fillId="4" borderId="0" applyNumberFormat="0" applyBorder="0" applyAlignment="0" applyProtection="0"/>
    <xf numFmtId="0" fontId="1" fillId="5" borderId="0" applyNumberFormat="0" applyBorder="0" applyAlignment="0" applyProtection="0"/>
    <xf numFmtId="0" fontId="23" fillId="5" borderId="0" applyNumberFormat="0" applyBorder="0" applyAlignment="0" applyProtection="0"/>
    <xf numFmtId="0" fontId="1" fillId="6" borderId="0" applyNumberFormat="0" applyBorder="0" applyAlignment="0" applyProtection="0"/>
    <xf numFmtId="0" fontId="23" fillId="6" borderId="0" applyNumberFormat="0" applyBorder="0" applyAlignment="0" applyProtection="0"/>
    <xf numFmtId="0" fontId="1" fillId="7" borderId="0" applyNumberFormat="0" applyBorder="0" applyAlignment="0" applyProtection="0"/>
    <xf numFmtId="0" fontId="23" fillId="7" borderId="0" applyNumberFormat="0" applyBorder="0" applyAlignment="0" applyProtection="0"/>
    <xf numFmtId="0" fontId="1" fillId="8" borderId="0" applyNumberFormat="0" applyBorder="0" applyAlignment="0" applyProtection="0"/>
    <xf numFmtId="0" fontId="23" fillId="8" borderId="0" applyNumberFormat="0" applyBorder="0" applyAlignment="0" applyProtection="0"/>
    <xf numFmtId="0" fontId="1" fillId="9" borderId="0" applyNumberFormat="0" applyBorder="0" applyAlignment="0" applyProtection="0"/>
    <xf numFmtId="0" fontId="23" fillId="9" borderId="0" applyNumberFormat="0" applyBorder="0" applyAlignment="0" applyProtection="0"/>
    <xf numFmtId="0" fontId="1" fillId="10" borderId="0" applyNumberFormat="0" applyBorder="0" applyAlignment="0" applyProtection="0"/>
    <xf numFmtId="0" fontId="23" fillId="10" borderId="0" applyNumberFormat="0" applyBorder="0" applyAlignment="0" applyProtection="0"/>
    <xf numFmtId="0" fontId="1" fillId="5" borderId="0" applyNumberFormat="0" applyBorder="0" applyAlignment="0" applyProtection="0"/>
    <xf numFmtId="0" fontId="23" fillId="5" borderId="0" applyNumberFormat="0" applyBorder="0" applyAlignment="0" applyProtection="0"/>
    <xf numFmtId="0" fontId="1" fillId="8" borderId="0" applyNumberFormat="0" applyBorder="0" applyAlignment="0" applyProtection="0"/>
    <xf numFmtId="0" fontId="23" fillId="8" borderId="0" applyNumberFormat="0" applyBorder="0" applyAlignment="0" applyProtection="0"/>
    <xf numFmtId="0" fontId="1" fillId="11" borderId="0" applyNumberFormat="0" applyBorder="0" applyAlignment="0" applyProtection="0"/>
    <xf numFmtId="0" fontId="23" fillId="11" borderId="0" applyNumberFormat="0" applyBorder="0" applyAlignment="0" applyProtection="0"/>
    <xf numFmtId="0" fontId="2" fillId="12" borderId="0" applyNumberFormat="0" applyBorder="0" applyAlignment="0" applyProtection="0"/>
    <xf numFmtId="0" fontId="24" fillId="12" borderId="0" applyNumberFormat="0" applyBorder="0" applyAlignment="0" applyProtection="0"/>
    <xf numFmtId="0" fontId="2" fillId="9" borderId="0" applyNumberFormat="0" applyBorder="0" applyAlignment="0" applyProtection="0"/>
    <xf numFmtId="0" fontId="24" fillId="9" borderId="0" applyNumberFormat="0" applyBorder="0" applyAlignment="0" applyProtection="0"/>
    <xf numFmtId="0" fontId="2" fillId="10" borderId="0" applyNumberFormat="0" applyBorder="0" applyAlignment="0" applyProtection="0"/>
    <xf numFmtId="0" fontId="24" fillId="10" borderId="0" applyNumberFormat="0" applyBorder="0" applyAlignment="0" applyProtection="0"/>
    <xf numFmtId="0" fontId="2" fillId="13" borderId="0" applyNumberFormat="0" applyBorder="0" applyAlignment="0" applyProtection="0"/>
    <xf numFmtId="0" fontId="24" fillId="13" borderId="0" applyNumberFormat="0" applyBorder="0" applyAlignment="0" applyProtection="0"/>
    <xf numFmtId="0" fontId="2" fillId="14" borderId="0" applyNumberFormat="0" applyBorder="0" applyAlignment="0" applyProtection="0"/>
    <xf numFmtId="0" fontId="24" fillId="14" borderId="0" applyNumberFormat="0" applyBorder="0" applyAlignment="0" applyProtection="0"/>
    <xf numFmtId="0" fontId="2" fillId="15" borderId="0" applyNumberFormat="0" applyBorder="0" applyAlignment="0" applyProtection="0"/>
    <xf numFmtId="0" fontId="24" fillId="15" borderId="0" applyNumberFormat="0" applyBorder="0" applyAlignment="0" applyProtection="0"/>
    <xf numFmtId="0" fontId="2" fillId="16" borderId="0" applyNumberFormat="0" applyBorder="0" applyAlignment="0" applyProtection="0"/>
    <xf numFmtId="0" fontId="24" fillId="16" borderId="0" applyNumberFormat="0" applyBorder="0" applyAlignment="0" applyProtection="0"/>
    <xf numFmtId="0" fontId="2" fillId="17" borderId="0" applyNumberFormat="0" applyBorder="0" applyAlignment="0" applyProtection="0"/>
    <xf numFmtId="0" fontId="24" fillId="17" borderId="0" applyNumberFormat="0" applyBorder="0" applyAlignment="0" applyProtection="0"/>
    <xf numFmtId="0" fontId="2" fillId="18" borderId="0" applyNumberFormat="0" applyBorder="0" applyAlignment="0" applyProtection="0"/>
    <xf numFmtId="0" fontId="24" fillId="18" borderId="0" applyNumberFormat="0" applyBorder="0" applyAlignment="0" applyProtection="0"/>
    <xf numFmtId="0" fontId="2" fillId="13" borderId="0" applyNumberFormat="0" applyBorder="0" applyAlignment="0" applyProtection="0"/>
    <xf numFmtId="0" fontId="24" fillId="13" borderId="0" applyNumberFormat="0" applyBorder="0" applyAlignment="0" applyProtection="0"/>
    <xf numFmtId="0" fontId="2" fillId="14" borderId="0" applyNumberFormat="0" applyBorder="0" applyAlignment="0" applyProtection="0"/>
    <xf numFmtId="0" fontId="24" fillId="14" borderId="0" applyNumberFormat="0" applyBorder="0" applyAlignment="0" applyProtection="0"/>
    <xf numFmtId="0" fontId="2" fillId="19" borderId="0" applyNumberFormat="0" applyBorder="0" applyAlignment="0" applyProtection="0"/>
    <xf numFmtId="0" fontId="24" fillId="19" borderId="0" applyNumberFormat="0" applyBorder="0" applyAlignment="0" applyProtection="0"/>
    <xf numFmtId="0" fontId="3" fillId="3" borderId="0" applyNumberFormat="0" applyBorder="0" applyAlignment="0" applyProtection="0"/>
    <xf numFmtId="0" fontId="25" fillId="3" borderId="0" applyNumberFormat="0" applyBorder="0" applyAlignment="0" applyProtection="0"/>
    <xf numFmtId="0" fontId="4" fillId="20" borderId="1" applyNumberFormat="0" applyAlignment="0" applyProtection="0"/>
    <xf numFmtId="0" fontId="26" fillId="20" borderId="1" applyNumberFormat="0" applyAlignment="0" applyProtection="0"/>
    <xf numFmtId="0" fontId="5" fillId="21" borderId="2" applyNumberFormat="0" applyAlignment="0" applyProtection="0"/>
    <xf numFmtId="0" fontId="27" fillId="21" borderId="2" applyNumberFormat="0" applyAlignment="0" applyProtection="0"/>
    <xf numFmtId="43" fontId="1" fillId="0" borderId="0" applyFon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7" fillId="4" borderId="0" applyNumberFormat="0" applyBorder="0" applyAlignment="0" applyProtection="0"/>
    <xf numFmtId="0" fontId="29" fillId="4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0" fontId="11" fillId="7" borderId="1" applyNumberFormat="0" applyAlignment="0" applyProtection="0"/>
    <xf numFmtId="0" fontId="31" fillId="7" borderId="1" applyNumberFormat="0" applyAlignment="0" applyProtection="0"/>
    <xf numFmtId="0" fontId="12" fillId="0" borderId="6" applyNumberFormat="0" applyFill="0" applyAlignment="0" applyProtection="0"/>
    <xf numFmtId="0" fontId="32" fillId="0" borderId="6" applyNumberFormat="0" applyFill="0" applyAlignment="0" applyProtection="0"/>
    <xf numFmtId="0" fontId="13" fillId="22" borderId="0" applyNumberFormat="0" applyBorder="0" applyAlignment="0" applyProtection="0"/>
    <xf numFmtId="0" fontId="33" fillId="22" borderId="0" applyNumberFormat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2" fillId="0" borderId="0"/>
    <xf numFmtId="0" fontId="1" fillId="23" borderId="7" applyNumberFormat="0" applyFont="0" applyAlignment="0" applyProtection="0"/>
    <xf numFmtId="0" fontId="20" fillId="23" borderId="7" applyNumberFormat="0" applyFont="0" applyAlignment="0" applyProtection="0"/>
    <xf numFmtId="0" fontId="14" fillId="20" borderId="8" applyNumberFormat="0" applyAlignment="0" applyProtection="0"/>
    <xf numFmtId="0" fontId="34" fillId="20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35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1" fillId="0" borderId="0"/>
  </cellStyleXfs>
  <cellXfs count="65">
    <xf numFmtId="0" fontId="0" fillId="0" borderId="0" xfId="0"/>
    <xf numFmtId="0" fontId="37" fillId="0" borderId="0" xfId="0" applyFont="1"/>
    <xf numFmtId="0" fontId="38" fillId="0" borderId="0" xfId="0" applyFont="1"/>
    <xf numFmtId="0" fontId="39" fillId="0" borderId="0" xfId="66" applyFont="1" applyAlignment="1" applyProtection="1"/>
    <xf numFmtId="0" fontId="40" fillId="0" borderId="0" xfId="0" applyFont="1"/>
    <xf numFmtId="0" fontId="41" fillId="0" borderId="0" xfId="0" applyFont="1"/>
    <xf numFmtId="0" fontId="42" fillId="0" borderId="0" xfId="0" applyFont="1"/>
    <xf numFmtId="0" fontId="38" fillId="0" borderId="0" xfId="0" applyFont="1" applyAlignment="1">
      <alignment horizontal="center"/>
    </xf>
    <xf numFmtId="165" fontId="38" fillId="0" borderId="0" xfId="0" applyNumberFormat="1" applyFont="1" applyAlignment="1">
      <alignment horizontal="right"/>
    </xf>
    <xf numFmtId="0" fontId="38" fillId="0" borderId="0" xfId="0" applyFont="1" applyBorder="1"/>
    <xf numFmtId="165" fontId="38" fillId="0" borderId="0" xfId="0" applyNumberFormat="1" applyFont="1"/>
    <xf numFmtId="0" fontId="37" fillId="0" borderId="0" xfId="0" applyFont="1" applyAlignment="1">
      <alignment horizontal="left"/>
    </xf>
    <xf numFmtId="0" fontId="38" fillId="25" borderId="10" xfId="0" applyFont="1" applyFill="1" applyBorder="1"/>
    <xf numFmtId="165" fontId="38" fillId="25" borderId="11" xfId="0" applyNumberFormat="1" applyFont="1" applyFill="1" applyBorder="1" applyAlignment="1">
      <alignment horizontal="right"/>
    </xf>
    <xf numFmtId="0" fontId="37" fillId="25" borderId="11" xfId="0" applyFont="1" applyFill="1" applyBorder="1" applyAlignment="1"/>
    <xf numFmtId="165" fontId="37" fillId="25" borderId="11" xfId="0" applyNumberFormat="1" applyFont="1" applyFill="1" applyBorder="1" applyAlignment="1"/>
    <xf numFmtId="0" fontId="37" fillId="25" borderId="12" xfId="0" applyFont="1" applyFill="1" applyBorder="1" applyAlignment="1"/>
    <xf numFmtId="0" fontId="37" fillId="26" borderId="10" xfId="0" applyFont="1" applyFill="1" applyBorder="1" applyAlignment="1">
      <alignment horizontal="center"/>
    </xf>
    <xf numFmtId="165" fontId="37" fillId="26" borderId="11" xfId="0" applyNumberFormat="1" applyFont="1" applyFill="1" applyBorder="1" applyAlignment="1">
      <alignment horizontal="center"/>
    </xf>
    <xf numFmtId="0" fontId="37" fillId="26" borderId="11" xfId="0" applyFont="1" applyFill="1" applyBorder="1" applyAlignment="1"/>
    <xf numFmtId="165" fontId="37" fillId="26" borderId="11" xfId="0" applyNumberFormat="1" applyFont="1" applyFill="1" applyBorder="1" applyAlignment="1"/>
    <xf numFmtId="0" fontId="37" fillId="26" borderId="12" xfId="0" applyFont="1" applyFill="1" applyBorder="1" applyAlignment="1"/>
    <xf numFmtId="0" fontId="37" fillId="25" borderId="10" xfId="0" applyFont="1" applyFill="1" applyBorder="1" applyAlignment="1"/>
    <xf numFmtId="0" fontId="38" fillId="0" borderId="13" xfId="0" applyFont="1" applyBorder="1" applyAlignment="1"/>
    <xf numFmtId="3" fontId="41" fillId="0" borderId="13" xfId="0" applyNumberFormat="1" applyFont="1" applyBorder="1" applyAlignment="1">
      <alignment horizontal="right" wrapText="1"/>
    </xf>
    <xf numFmtId="10" fontId="41" fillId="0" borderId="14" xfId="0" applyNumberFormat="1" applyFont="1" applyBorder="1" applyAlignment="1">
      <alignment horizontal="right" wrapText="1"/>
    </xf>
    <xf numFmtId="3" fontId="41" fillId="0" borderId="14" xfId="0" applyNumberFormat="1" applyFont="1" applyBorder="1" applyAlignment="1">
      <alignment horizontal="right" wrapText="1"/>
    </xf>
    <xf numFmtId="3" fontId="41" fillId="0" borderId="15" xfId="0" applyNumberFormat="1" applyFont="1" applyBorder="1" applyAlignment="1">
      <alignment horizontal="right" wrapText="1"/>
    </xf>
    <xf numFmtId="3" fontId="38" fillId="0" borderId="15" xfId="55" applyNumberFormat="1" applyFont="1" applyBorder="1" applyAlignment="1"/>
    <xf numFmtId="164" fontId="38" fillId="0" borderId="0" xfId="0" applyNumberFormat="1" applyFont="1"/>
    <xf numFmtId="165" fontId="41" fillId="0" borderId="14" xfId="0" applyNumberFormat="1" applyFont="1" applyBorder="1" applyAlignment="1">
      <alignment horizontal="center" wrapText="1"/>
    </xf>
    <xf numFmtId="0" fontId="37" fillId="24" borderId="16" xfId="0" applyFont="1" applyFill="1" applyBorder="1" applyAlignment="1"/>
    <xf numFmtId="0" fontId="37" fillId="24" borderId="17" xfId="0" applyFont="1" applyFill="1" applyBorder="1" applyAlignment="1">
      <alignment horizontal="center"/>
    </xf>
    <xf numFmtId="3" fontId="37" fillId="24" borderId="16" xfId="0" applyNumberFormat="1" applyFont="1" applyFill="1" applyBorder="1" applyAlignment="1">
      <alignment horizontal="right"/>
    </xf>
    <xf numFmtId="10" fontId="37" fillId="24" borderId="18" xfId="0" applyNumberFormat="1" applyFont="1" applyFill="1" applyBorder="1" applyAlignment="1">
      <alignment horizontal="right"/>
    </xf>
    <xf numFmtId="3" fontId="37" fillId="24" borderId="18" xfId="0" applyNumberFormat="1" applyFont="1" applyFill="1" applyBorder="1" applyAlignment="1">
      <alignment horizontal="right"/>
    </xf>
    <xf numFmtId="3" fontId="37" fillId="24" borderId="19" xfId="0" applyNumberFormat="1" applyFont="1" applyFill="1" applyBorder="1" applyAlignment="1">
      <alignment horizontal="right"/>
    </xf>
    <xf numFmtId="3" fontId="37" fillId="24" borderId="19" xfId="55" applyNumberFormat="1" applyFont="1" applyFill="1" applyBorder="1" applyAlignment="1"/>
    <xf numFmtId="0" fontId="38" fillId="0" borderId="0" xfId="0" applyFont="1" applyFill="1" applyBorder="1"/>
    <xf numFmtId="0" fontId="38" fillId="0" borderId="0" xfId="0" applyFont="1" applyAlignment="1">
      <alignment horizontal="left"/>
    </xf>
    <xf numFmtId="0" fontId="38" fillId="0" borderId="13" xfId="0" applyFont="1" applyBorder="1"/>
    <xf numFmtId="3" fontId="38" fillId="0" borderId="14" xfId="55" applyNumberFormat="1" applyFont="1" applyBorder="1"/>
    <xf numFmtId="3" fontId="38" fillId="0" borderId="20" xfId="55" applyNumberFormat="1" applyFont="1" applyBorder="1"/>
    <xf numFmtId="3" fontId="38" fillId="0" borderId="15" xfId="55" applyNumberFormat="1" applyFont="1" applyBorder="1"/>
    <xf numFmtId="0" fontId="38" fillId="0" borderId="0" xfId="0" applyFont="1" applyAlignment="1">
      <alignment wrapText="1"/>
    </xf>
    <xf numFmtId="0" fontId="37" fillId="24" borderId="16" xfId="0" applyFont="1" applyFill="1" applyBorder="1"/>
    <xf numFmtId="3" fontId="37" fillId="24" borderId="18" xfId="55" applyNumberFormat="1" applyFont="1" applyFill="1" applyBorder="1"/>
    <xf numFmtId="3" fontId="37" fillId="24" borderId="17" xfId="55" applyNumberFormat="1" applyFont="1" applyFill="1" applyBorder="1"/>
    <xf numFmtId="3" fontId="37" fillId="24" borderId="19" xfId="55" applyNumberFormat="1" applyFont="1" applyFill="1" applyBorder="1"/>
    <xf numFmtId="0" fontId="42" fillId="0" borderId="0" xfId="0" applyFont="1" applyAlignment="1">
      <alignment horizontal="left"/>
    </xf>
    <xf numFmtId="0" fontId="43" fillId="24" borderId="21" xfId="0" applyFont="1" applyFill="1" applyBorder="1" applyAlignment="1">
      <alignment horizontal="center" vertical="center" wrapText="1"/>
    </xf>
    <xf numFmtId="165" fontId="43" fillId="24" borderId="22" xfId="0" applyNumberFormat="1" applyFont="1" applyFill="1" applyBorder="1" applyAlignment="1">
      <alignment horizontal="center" vertical="center" wrapText="1"/>
    </xf>
    <xf numFmtId="0" fontId="43" fillId="24" borderId="22" xfId="0" applyFont="1" applyFill="1" applyBorder="1" applyAlignment="1">
      <alignment horizontal="center" vertical="center" wrapText="1"/>
    </xf>
    <xf numFmtId="0" fontId="43" fillId="24" borderId="23" xfId="0" applyFont="1" applyFill="1" applyBorder="1" applyAlignment="1">
      <alignment horizontal="center" vertical="center" wrapText="1"/>
    </xf>
    <xf numFmtId="0" fontId="44" fillId="0" borderId="0" xfId="0" applyFont="1" applyAlignment="1">
      <alignment horizontal="center" vertical="center"/>
    </xf>
    <xf numFmtId="3" fontId="45" fillId="24" borderId="22" xfId="0" applyNumberFormat="1" applyFont="1" applyFill="1" applyBorder="1" applyAlignment="1">
      <alignment horizontal="center" vertical="center" wrapText="1"/>
    </xf>
    <xf numFmtId="3" fontId="45" fillId="24" borderId="24" xfId="0" applyNumberFormat="1" applyFont="1" applyFill="1" applyBorder="1" applyAlignment="1">
      <alignment horizontal="center" vertical="center" wrapText="1"/>
    </xf>
    <xf numFmtId="3" fontId="45" fillId="24" borderId="23" xfId="0" applyNumberFormat="1" applyFont="1" applyFill="1" applyBorder="1" applyAlignment="1">
      <alignment horizontal="center" vertical="center" wrapText="1"/>
    </xf>
    <xf numFmtId="0" fontId="44" fillId="0" borderId="0" xfId="0" applyFont="1" applyAlignment="1">
      <alignment horizontal="center" vertical="center" wrapText="1"/>
    </xf>
    <xf numFmtId="0" fontId="43" fillId="24" borderId="24" xfId="0" applyFont="1" applyFill="1" applyBorder="1" applyAlignment="1">
      <alignment horizontal="center" vertical="center"/>
    </xf>
    <xf numFmtId="0" fontId="41" fillId="0" borderId="20" xfId="0" applyFont="1" applyBorder="1" applyAlignment="1">
      <alignment horizontal="center"/>
    </xf>
    <xf numFmtId="0" fontId="43" fillId="24" borderId="22" xfId="86" applyFont="1" applyFill="1" applyBorder="1" applyAlignment="1">
      <alignment horizontal="center" vertical="center" wrapText="1"/>
    </xf>
    <xf numFmtId="0" fontId="43" fillId="27" borderId="22" xfId="0" applyFont="1" applyFill="1" applyBorder="1" applyAlignment="1">
      <alignment horizontal="center" vertical="center" wrapText="1"/>
    </xf>
    <xf numFmtId="0" fontId="39" fillId="0" borderId="0" xfId="66" applyFont="1" applyAlignment="1" applyProtection="1">
      <alignment horizontal="left"/>
    </xf>
    <xf numFmtId="0" fontId="39" fillId="0" borderId="0" xfId="66" applyFont="1" applyAlignment="1" applyProtection="1"/>
  </cellXfs>
  <cellStyles count="87">
    <cellStyle name="20% - Accent1" xfId="1" builtinId="30" customBuiltin="1"/>
    <cellStyle name="20% - Accent1 2" xfId="2" xr:uid="{00000000-0005-0000-0000-000001000000}"/>
    <cellStyle name="20% - Accent2" xfId="3" builtinId="34" customBuiltin="1"/>
    <cellStyle name="20% - Accent2 2" xfId="4" xr:uid="{00000000-0005-0000-0000-000003000000}"/>
    <cellStyle name="20% - Accent3" xfId="5" builtinId="38" customBuiltin="1"/>
    <cellStyle name="20% - Accent3 2" xfId="6" xr:uid="{00000000-0005-0000-0000-000005000000}"/>
    <cellStyle name="20% - Accent4" xfId="7" builtinId="42" customBuiltin="1"/>
    <cellStyle name="20% - Accent4 2" xfId="8" xr:uid="{00000000-0005-0000-0000-000007000000}"/>
    <cellStyle name="20% - Accent5" xfId="9" builtinId="46" customBuiltin="1"/>
    <cellStyle name="20% - Accent5 2" xfId="10" xr:uid="{00000000-0005-0000-0000-000009000000}"/>
    <cellStyle name="20% - Accent6" xfId="11" builtinId="50" customBuiltin="1"/>
    <cellStyle name="20% - Accent6 2" xfId="12" xr:uid="{00000000-0005-0000-0000-00000B000000}"/>
    <cellStyle name="40% - Accent1" xfId="13" builtinId="31" customBuiltin="1"/>
    <cellStyle name="40% - Accent1 2" xfId="14" xr:uid="{00000000-0005-0000-0000-00000D000000}"/>
    <cellStyle name="40% - Accent2" xfId="15" builtinId="35" customBuiltin="1"/>
    <cellStyle name="40% - Accent2 2" xfId="16" xr:uid="{00000000-0005-0000-0000-00000F000000}"/>
    <cellStyle name="40% - Accent3" xfId="17" builtinId="39" customBuiltin="1"/>
    <cellStyle name="40% - Accent3 2" xfId="18" xr:uid="{00000000-0005-0000-0000-000011000000}"/>
    <cellStyle name="40% - Accent4" xfId="19" builtinId="43" customBuiltin="1"/>
    <cellStyle name="40% - Accent4 2" xfId="20" xr:uid="{00000000-0005-0000-0000-000013000000}"/>
    <cellStyle name="40% - Accent5" xfId="21" builtinId="47" customBuiltin="1"/>
    <cellStyle name="40% - Accent5 2" xfId="22" xr:uid="{00000000-0005-0000-0000-000015000000}"/>
    <cellStyle name="40% - Accent6" xfId="23" builtinId="51" customBuiltin="1"/>
    <cellStyle name="40% - Accent6 2" xfId="24" xr:uid="{00000000-0005-0000-0000-000017000000}"/>
    <cellStyle name="60% - Accent1" xfId="25" builtinId="32" customBuiltin="1"/>
    <cellStyle name="60% - Accent1 2" xfId="26" xr:uid="{00000000-0005-0000-0000-000019000000}"/>
    <cellStyle name="60% - Accent2" xfId="27" builtinId="36" customBuiltin="1"/>
    <cellStyle name="60% - Accent2 2" xfId="28" xr:uid="{00000000-0005-0000-0000-00001B000000}"/>
    <cellStyle name="60% - Accent3" xfId="29" builtinId="40" customBuiltin="1"/>
    <cellStyle name="60% - Accent3 2" xfId="30" xr:uid="{00000000-0005-0000-0000-00001D000000}"/>
    <cellStyle name="60% - Accent4" xfId="31" builtinId="44" customBuiltin="1"/>
    <cellStyle name="60% - Accent4 2" xfId="32" xr:uid="{00000000-0005-0000-0000-00001F000000}"/>
    <cellStyle name="60% - Accent5" xfId="33" builtinId="48" customBuiltin="1"/>
    <cellStyle name="60% - Accent5 2" xfId="34" xr:uid="{00000000-0005-0000-0000-000021000000}"/>
    <cellStyle name="60% - Accent6" xfId="35" builtinId="52" customBuiltin="1"/>
    <cellStyle name="60% - Accent6 2" xfId="36" xr:uid="{00000000-0005-0000-0000-000023000000}"/>
    <cellStyle name="Accent1" xfId="37" builtinId="29" customBuiltin="1"/>
    <cellStyle name="Accent1 2" xfId="38" xr:uid="{00000000-0005-0000-0000-000025000000}"/>
    <cellStyle name="Accent2" xfId="39" builtinId="33" customBuiltin="1"/>
    <cellStyle name="Accent2 2" xfId="40" xr:uid="{00000000-0005-0000-0000-000027000000}"/>
    <cellStyle name="Accent3" xfId="41" builtinId="37" customBuiltin="1"/>
    <cellStyle name="Accent3 2" xfId="42" xr:uid="{00000000-0005-0000-0000-000029000000}"/>
    <cellStyle name="Accent4" xfId="43" builtinId="41" customBuiltin="1"/>
    <cellStyle name="Accent4 2" xfId="44" xr:uid="{00000000-0005-0000-0000-00002B000000}"/>
    <cellStyle name="Accent5" xfId="45" builtinId="45" customBuiltin="1"/>
    <cellStyle name="Accent5 2" xfId="46" xr:uid="{00000000-0005-0000-0000-00002D000000}"/>
    <cellStyle name="Accent6" xfId="47" builtinId="49" customBuiltin="1"/>
    <cellStyle name="Accent6 2" xfId="48" xr:uid="{00000000-0005-0000-0000-00002F000000}"/>
    <cellStyle name="Bad" xfId="49" builtinId="27" customBuiltin="1"/>
    <cellStyle name="Bad 2" xfId="50" xr:uid="{00000000-0005-0000-0000-000031000000}"/>
    <cellStyle name="Calculation" xfId="51" builtinId="22" customBuiltin="1"/>
    <cellStyle name="Calculation 2" xfId="52" xr:uid="{00000000-0005-0000-0000-000033000000}"/>
    <cellStyle name="Check Cell" xfId="53" builtinId="23" customBuiltin="1"/>
    <cellStyle name="Check Cell 2" xfId="54" xr:uid="{00000000-0005-0000-0000-000035000000}"/>
    <cellStyle name="Comma" xfId="55" builtinId="3"/>
    <cellStyle name="Comma 2" xfId="56" xr:uid="{00000000-0005-0000-0000-000037000000}"/>
    <cellStyle name="Comma 2 2" xfId="57" xr:uid="{00000000-0005-0000-0000-000038000000}"/>
    <cellStyle name="Explanatory Text" xfId="58" builtinId="53" customBuiltin="1"/>
    <cellStyle name="Explanatory Text 2" xfId="59" xr:uid="{00000000-0005-0000-0000-00003A000000}"/>
    <cellStyle name="Good" xfId="60" builtinId="26" customBuiltin="1"/>
    <cellStyle name="Good 2" xfId="61" xr:uid="{00000000-0005-0000-0000-00003C000000}"/>
    <cellStyle name="Heading 1" xfId="62" builtinId="16" customBuiltin="1"/>
    <cellStyle name="Heading 2" xfId="63" builtinId="17" customBuiltin="1"/>
    <cellStyle name="Heading 3" xfId="64" builtinId="18" customBuiltin="1"/>
    <cellStyle name="Heading 4" xfId="65" builtinId="19" customBuiltin="1"/>
    <cellStyle name="Hyperlink" xfId="66" builtinId="8"/>
    <cellStyle name="Hyperlink 2" xfId="67" xr:uid="{00000000-0005-0000-0000-000042000000}"/>
    <cellStyle name="Input" xfId="68" builtinId="20" customBuiltin="1"/>
    <cellStyle name="Input 2" xfId="69" xr:uid="{00000000-0005-0000-0000-000044000000}"/>
    <cellStyle name="Linked Cell" xfId="70" builtinId="24" customBuiltin="1"/>
    <cellStyle name="Linked Cell 2" xfId="71" xr:uid="{00000000-0005-0000-0000-000046000000}"/>
    <cellStyle name="Neutral" xfId="72" builtinId="28" customBuiltin="1"/>
    <cellStyle name="Neutral 2" xfId="73" xr:uid="{00000000-0005-0000-0000-000048000000}"/>
    <cellStyle name="Normal" xfId="0" builtinId="0"/>
    <cellStyle name="Normal 2" xfId="74" xr:uid="{00000000-0005-0000-0000-00004A000000}"/>
    <cellStyle name="Normal 2 2" xfId="75" xr:uid="{00000000-0005-0000-0000-00004B000000}"/>
    <cellStyle name="Normal 3" xfId="76" xr:uid="{00000000-0005-0000-0000-00004C000000}"/>
    <cellStyle name="Normal 6" xfId="86" xr:uid="{3324D23A-F8D7-4379-B6A5-32503BB32854}"/>
    <cellStyle name="Note" xfId="77" builtinId="10" customBuiltin="1"/>
    <cellStyle name="Note 2" xfId="78" xr:uid="{00000000-0005-0000-0000-00004E000000}"/>
    <cellStyle name="Output" xfId="79" builtinId="21" customBuiltin="1"/>
    <cellStyle name="Output 2" xfId="80" xr:uid="{00000000-0005-0000-0000-000050000000}"/>
    <cellStyle name="Title" xfId="81" builtinId="15" customBuiltin="1"/>
    <cellStyle name="Total" xfId="82" builtinId="25" customBuiltin="1"/>
    <cellStyle name="Total 2" xfId="83" xr:uid="{00000000-0005-0000-0000-000053000000}"/>
    <cellStyle name="Warning Text" xfId="84" builtinId="11" customBuiltin="1"/>
    <cellStyle name="Warning Text 2" xfId="85" xr:uid="{00000000-0005-0000-0000-000055000000}"/>
  </cellStyles>
  <dxfs count="5"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TOResearchAnalysis@floridarevenue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17"/>
  <sheetViews>
    <sheetView workbookViewId="0"/>
  </sheetViews>
  <sheetFormatPr defaultRowHeight="14.25" x14ac:dyDescent="0.2"/>
  <cols>
    <col min="1" max="16384" width="9.140625" style="2"/>
  </cols>
  <sheetData>
    <row r="2" spans="1:8" ht="15" x14ac:dyDescent="0.25">
      <c r="A2" s="1" t="s">
        <v>0</v>
      </c>
    </row>
    <row r="3" spans="1:8" ht="15" x14ac:dyDescent="0.25">
      <c r="A3" s="1"/>
    </row>
    <row r="4" spans="1:8" ht="15" x14ac:dyDescent="0.25">
      <c r="A4" s="1"/>
      <c r="B4" s="63" t="s">
        <v>102</v>
      </c>
      <c r="C4" s="63"/>
      <c r="D4" s="63"/>
      <c r="E4" s="63"/>
      <c r="F4" s="63"/>
      <c r="G4" s="63"/>
      <c r="H4" s="63"/>
    </row>
    <row r="6" spans="1:8" x14ac:dyDescent="0.2">
      <c r="B6" s="63" t="s">
        <v>100</v>
      </c>
      <c r="C6" s="63"/>
      <c r="D6" s="63"/>
      <c r="E6" s="63"/>
      <c r="F6" s="63"/>
      <c r="G6" s="63"/>
      <c r="H6" s="63"/>
    </row>
    <row r="8" spans="1:8" x14ac:dyDescent="0.2">
      <c r="B8" s="63" t="s">
        <v>101</v>
      </c>
      <c r="C8" s="63"/>
      <c r="D8" s="63"/>
      <c r="E8" s="63"/>
      <c r="F8" s="63"/>
      <c r="G8" s="63"/>
      <c r="H8" s="63"/>
    </row>
    <row r="10" spans="1:8" x14ac:dyDescent="0.2">
      <c r="B10" s="64" t="s">
        <v>103</v>
      </c>
      <c r="C10" s="64"/>
      <c r="D10" s="64"/>
      <c r="E10" s="64"/>
      <c r="F10" s="64"/>
      <c r="G10" s="64"/>
      <c r="H10" s="64"/>
    </row>
    <row r="16" spans="1:8" x14ac:dyDescent="0.2">
      <c r="A16" s="4" t="s">
        <v>80</v>
      </c>
      <c r="B16" s="5"/>
      <c r="C16" s="5"/>
      <c r="D16" s="4" t="s">
        <v>81</v>
      </c>
      <c r="E16" s="5"/>
      <c r="F16" s="5"/>
      <c r="G16" s="5"/>
      <c r="H16" s="5"/>
    </row>
    <row r="17" spans="1:8" x14ac:dyDescent="0.2">
      <c r="A17" s="5"/>
      <c r="B17" s="5"/>
      <c r="C17" s="5"/>
      <c r="D17" s="3" t="s">
        <v>111</v>
      </c>
      <c r="E17" s="5"/>
      <c r="F17" s="5"/>
      <c r="G17" s="5"/>
      <c r="H17" s="5"/>
    </row>
  </sheetData>
  <mergeCells count="4">
    <mergeCell ref="B6:H6"/>
    <mergeCell ref="B10:H10"/>
    <mergeCell ref="B8:H8"/>
    <mergeCell ref="B4:H4"/>
  </mergeCells>
  <phoneticPr fontId="18" type="noConversion"/>
  <hyperlinks>
    <hyperlink ref="B6:H6" location="'Real Exemption Value by Type'!A1" display="Real Exemption Value by Property Category" xr:uid="{00000000-0004-0000-0000-000000000000}"/>
    <hyperlink ref="B10:H10" location="'3-Year Homestead Comparison'!A1" display="Homestead Comparison 2008 - 2010" xr:uid="{00000000-0004-0000-0000-000001000000}"/>
    <hyperlink ref="B8:H8" location="'Personal Property by Type'!A1" display="Personal Property Exemption Value by Property Type" xr:uid="{00000000-0004-0000-0000-000002000000}"/>
    <hyperlink ref="B4" location="'Total Exemption Value by Type'!A1" display="Total Exemption Value by Property Category" xr:uid="{00000000-0004-0000-0000-000003000000}"/>
    <hyperlink ref="D17" r:id="rId1" xr:uid="{00000000-0004-0000-0000-000004000000}"/>
  </hyperlinks>
  <pageMargins left="0.75" right="0.75" top="1" bottom="1" header="0.5" footer="0.5"/>
  <pageSetup orientation="portrait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A77"/>
  <sheetViews>
    <sheetView zoomScaleNormal="100" workbookViewId="0">
      <pane xSplit="1" ySplit="4" topLeftCell="Q59" activePane="bottomRight" state="frozen"/>
      <selection sqref="A1:XFD1048576"/>
      <selection pane="topRight" sqref="A1:XFD1048576"/>
      <selection pane="bottomLeft" sqref="A1:XFD1048576"/>
      <selection pane="bottomRight" activeCell="A77" sqref="A77"/>
    </sheetView>
  </sheetViews>
  <sheetFormatPr defaultRowHeight="14.25" x14ac:dyDescent="0.2"/>
  <cols>
    <col min="1" max="1" width="28" style="2" customWidth="1"/>
    <col min="2" max="2" width="23.140625" style="2" bestFit="1" customWidth="1"/>
    <col min="3" max="3" width="22" style="2" bestFit="1" customWidth="1"/>
    <col min="4" max="4" width="25.28515625" style="2" bestFit="1" customWidth="1"/>
    <col min="5" max="6" width="21.140625" style="2" bestFit="1" customWidth="1"/>
    <col min="7" max="7" width="20.140625" style="2" bestFit="1" customWidth="1"/>
    <col min="8" max="8" width="15.7109375" style="2" bestFit="1" customWidth="1"/>
    <col min="9" max="10" width="18.5703125" style="2" bestFit="1" customWidth="1"/>
    <col min="11" max="11" width="16.5703125" style="2" bestFit="1" customWidth="1"/>
    <col min="12" max="12" width="21.85546875" style="2" bestFit="1" customWidth="1"/>
    <col min="13" max="13" width="14.85546875" style="2" bestFit="1" customWidth="1"/>
    <col min="14" max="14" width="28" style="2" bestFit="1" customWidth="1"/>
    <col min="15" max="15" width="21.85546875" style="2" bestFit="1" customWidth="1"/>
    <col min="16" max="16" width="20.5703125" style="2" bestFit="1" customWidth="1"/>
    <col min="17" max="24" width="20.5703125" style="2" customWidth="1"/>
    <col min="25" max="25" width="24.85546875" style="2" bestFit="1" customWidth="1"/>
    <col min="26" max="26" width="22.28515625" style="2" bestFit="1" customWidth="1"/>
    <col min="27" max="27" width="23.140625" style="2" bestFit="1" customWidth="1"/>
    <col min="28" max="28" width="9.140625" style="2"/>
    <col min="29" max="30" width="9.140625" style="2" customWidth="1"/>
    <col min="31" max="16384" width="9.140625" style="2"/>
  </cols>
  <sheetData>
    <row r="1" spans="1:27" ht="23.25" x14ac:dyDescent="0.35">
      <c r="A1" s="49" t="s">
        <v>98</v>
      </c>
    </row>
    <row r="2" spans="1:27" ht="15" x14ac:dyDescent="0.25">
      <c r="A2" s="11">
        <v>2026</v>
      </c>
    </row>
    <row r="3" spans="1:27" ht="15" thickBot="1" x14ac:dyDescent="0.25">
      <c r="A3" s="39"/>
    </row>
    <row r="4" spans="1:27" s="58" customFormat="1" ht="51" x14ac:dyDescent="0.25">
      <c r="A4" s="50" t="s">
        <v>1</v>
      </c>
      <c r="B4" s="52" t="s">
        <v>88</v>
      </c>
      <c r="C4" s="52" t="s">
        <v>89</v>
      </c>
      <c r="D4" s="52" t="s">
        <v>90</v>
      </c>
      <c r="E4" s="52" t="s">
        <v>108</v>
      </c>
      <c r="F4" s="52" t="s">
        <v>91</v>
      </c>
      <c r="G4" s="52" t="s">
        <v>92</v>
      </c>
      <c r="H4" s="52" t="s">
        <v>93</v>
      </c>
      <c r="I4" s="52" t="s">
        <v>94</v>
      </c>
      <c r="J4" s="52" t="s">
        <v>71</v>
      </c>
      <c r="K4" s="52" t="s">
        <v>95</v>
      </c>
      <c r="L4" s="52" t="s">
        <v>96</v>
      </c>
      <c r="M4" s="52" t="s">
        <v>110</v>
      </c>
      <c r="N4" s="52" t="s">
        <v>72</v>
      </c>
      <c r="O4" s="52" t="s">
        <v>73</v>
      </c>
      <c r="P4" s="52" t="s">
        <v>97</v>
      </c>
      <c r="Q4" s="52" t="s">
        <v>105</v>
      </c>
      <c r="R4" s="52" t="s">
        <v>112</v>
      </c>
      <c r="S4" s="61" t="s">
        <v>114</v>
      </c>
      <c r="T4" s="61" t="s">
        <v>115</v>
      </c>
      <c r="U4" s="61" t="s">
        <v>116</v>
      </c>
      <c r="V4" s="61" t="s">
        <v>117</v>
      </c>
      <c r="W4" s="61" t="s">
        <v>120</v>
      </c>
      <c r="X4" s="61" t="s">
        <v>121</v>
      </c>
      <c r="Y4" s="52" t="s">
        <v>74</v>
      </c>
      <c r="Z4" s="52" t="s">
        <v>75</v>
      </c>
      <c r="AA4" s="53" t="s">
        <v>76</v>
      </c>
    </row>
    <row r="5" spans="1:27" x14ac:dyDescent="0.2">
      <c r="A5" s="40" t="s">
        <v>2</v>
      </c>
      <c r="B5" s="41">
        <v>1371980145</v>
      </c>
      <c r="C5" s="41">
        <v>1340833784</v>
      </c>
      <c r="D5" s="41">
        <v>48704222</v>
      </c>
      <c r="E5" s="41">
        <v>81366177</v>
      </c>
      <c r="F5" s="41">
        <v>8297197930</v>
      </c>
      <c r="G5" s="41">
        <v>1000148649</v>
      </c>
      <c r="H5" s="41">
        <v>19266202</v>
      </c>
      <c r="I5" s="41">
        <v>253267201</v>
      </c>
      <c r="J5" s="41">
        <v>1585828</v>
      </c>
      <c r="K5" s="41">
        <v>346683</v>
      </c>
      <c r="L5" s="41">
        <v>0</v>
      </c>
      <c r="M5" s="41">
        <v>4526</v>
      </c>
      <c r="N5" s="41">
        <v>0</v>
      </c>
      <c r="O5" s="41">
        <v>14139784</v>
      </c>
      <c r="P5" s="41">
        <v>20054</v>
      </c>
      <c r="Q5" s="41">
        <v>13355387</v>
      </c>
      <c r="R5" s="41">
        <v>0</v>
      </c>
      <c r="S5" s="41">
        <v>0</v>
      </c>
      <c r="T5" s="41">
        <v>0</v>
      </c>
      <c r="U5" s="41">
        <v>0</v>
      </c>
      <c r="V5" s="41">
        <v>0</v>
      </c>
      <c r="W5" s="41">
        <v>0</v>
      </c>
      <c r="X5" s="41">
        <v>0</v>
      </c>
      <c r="Y5" s="41">
        <v>39296370700</v>
      </c>
      <c r="Z5" s="41">
        <v>12442216572</v>
      </c>
      <c r="AA5" s="43">
        <v>26854154128</v>
      </c>
    </row>
    <row r="6" spans="1:27" x14ac:dyDescent="0.2">
      <c r="A6" s="40" t="s">
        <v>3</v>
      </c>
      <c r="B6" s="41">
        <v>164404700</v>
      </c>
      <c r="C6" s="41">
        <v>149234317</v>
      </c>
      <c r="D6" s="41">
        <v>21548662</v>
      </c>
      <c r="E6" s="41">
        <v>7594191</v>
      </c>
      <c r="F6" s="41">
        <v>311535145</v>
      </c>
      <c r="G6" s="41">
        <v>79707344</v>
      </c>
      <c r="H6" s="41">
        <v>3235000</v>
      </c>
      <c r="I6" s="41">
        <v>74954559</v>
      </c>
      <c r="J6" s="41">
        <v>1234653</v>
      </c>
      <c r="K6" s="41">
        <v>0</v>
      </c>
      <c r="L6" s="41">
        <v>0</v>
      </c>
      <c r="M6" s="41">
        <v>0</v>
      </c>
      <c r="N6" s="41">
        <v>282481</v>
      </c>
      <c r="O6" s="41">
        <v>380036</v>
      </c>
      <c r="P6" s="41">
        <v>279354</v>
      </c>
      <c r="Q6" s="41">
        <v>0</v>
      </c>
      <c r="R6" s="41">
        <v>0</v>
      </c>
      <c r="S6" s="41">
        <v>0</v>
      </c>
      <c r="T6" s="41">
        <v>6965302</v>
      </c>
      <c r="U6" s="41">
        <v>0</v>
      </c>
      <c r="V6" s="41">
        <v>0</v>
      </c>
      <c r="W6" s="41"/>
      <c r="X6" s="41"/>
      <c r="Y6" s="41">
        <v>2580011424</v>
      </c>
      <c r="Z6" s="41">
        <v>814390442</v>
      </c>
      <c r="AA6" s="43">
        <v>1765620982</v>
      </c>
    </row>
    <row r="7" spans="1:27" x14ac:dyDescent="0.2">
      <c r="A7" s="40" t="s">
        <v>4</v>
      </c>
      <c r="B7" s="41">
        <v>1156686989</v>
      </c>
      <c r="C7" s="41">
        <v>1022338746</v>
      </c>
      <c r="D7" s="41">
        <v>79684050</v>
      </c>
      <c r="E7" s="41">
        <v>92149182</v>
      </c>
      <c r="F7" s="41">
        <v>2877984582</v>
      </c>
      <c r="G7" s="41">
        <v>726073674</v>
      </c>
      <c r="H7" s="41">
        <v>17578900</v>
      </c>
      <c r="I7" s="41">
        <v>911964472</v>
      </c>
      <c r="J7" s="41">
        <v>11732</v>
      </c>
      <c r="K7" s="41">
        <v>0</v>
      </c>
      <c r="L7" s="41">
        <v>35951021</v>
      </c>
      <c r="M7" s="41">
        <v>0</v>
      </c>
      <c r="N7" s="41">
        <v>229615</v>
      </c>
      <c r="O7" s="41">
        <v>40625097</v>
      </c>
      <c r="P7" s="41">
        <v>832777</v>
      </c>
      <c r="Q7" s="41">
        <v>36531031</v>
      </c>
      <c r="R7" s="41">
        <v>0</v>
      </c>
      <c r="S7" s="41">
        <v>0</v>
      </c>
      <c r="T7" s="41">
        <v>174195026</v>
      </c>
      <c r="U7" s="41">
        <v>0</v>
      </c>
      <c r="V7" s="41">
        <v>0</v>
      </c>
      <c r="W7" s="41">
        <v>0</v>
      </c>
      <c r="X7" s="41">
        <v>0</v>
      </c>
      <c r="Y7" s="41">
        <v>40633231687</v>
      </c>
      <c r="Z7" s="41">
        <v>6998641868</v>
      </c>
      <c r="AA7" s="43">
        <v>33634589819</v>
      </c>
    </row>
    <row r="8" spans="1:27" x14ac:dyDescent="0.2">
      <c r="A8" s="40" t="s">
        <v>5</v>
      </c>
      <c r="B8" s="41">
        <v>177281584</v>
      </c>
      <c r="C8" s="41">
        <v>142690241</v>
      </c>
      <c r="D8" s="41">
        <v>10215552</v>
      </c>
      <c r="E8" s="41">
        <v>9782860</v>
      </c>
      <c r="F8" s="41">
        <v>105247235</v>
      </c>
      <c r="G8" s="41">
        <v>57503535</v>
      </c>
      <c r="H8" s="41">
        <v>4091911</v>
      </c>
      <c r="I8" s="41">
        <v>48840103</v>
      </c>
      <c r="J8" s="41">
        <v>1720080</v>
      </c>
      <c r="K8" s="41">
        <v>0</v>
      </c>
      <c r="L8" s="41">
        <v>0</v>
      </c>
      <c r="M8" s="41">
        <v>0</v>
      </c>
      <c r="N8" s="41">
        <v>28790</v>
      </c>
      <c r="O8" s="41">
        <v>2508952</v>
      </c>
      <c r="P8" s="41">
        <v>0</v>
      </c>
      <c r="Q8" s="41">
        <v>0</v>
      </c>
      <c r="R8" s="41">
        <v>0</v>
      </c>
      <c r="S8" s="41">
        <v>0</v>
      </c>
      <c r="T8" s="41">
        <v>0</v>
      </c>
      <c r="U8" s="41">
        <v>0</v>
      </c>
      <c r="V8" s="41">
        <v>0</v>
      </c>
      <c r="W8" s="41">
        <v>0</v>
      </c>
      <c r="X8" s="41">
        <v>0</v>
      </c>
      <c r="Y8" s="41">
        <v>2220114188</v>
      </c>
      <c r="Z8" s="41">
        <v>559910843</v>
      </c>
      <c r="AA8" s="43">
        <v>1660203345</v>
      </c>
    </row>
    <row r="9" spans="1:27" x14ac:dyDescent="0.2">
      <c r="A9" s="40" t="s">
        <v>6</v>
      </c>
      <c r="B9" s="41">
        <v>4341965584</v>
      </c>
      <c r="C9" s="41">
        <v>4250151046</v>
      </c>
      <c r="D9" s="41">
        <v>347615447</v>
      </c>
      <c r="E9" s="41">
        <v>168568929</v>
      </c>
      <c r="F9" s="41">
        <v>11378385630</v>
      </c>
      <c r="G9" s="41">
        <v>4746305124</v>
      </c>
      <c r="H9" s="41">
        <v>86379780</v>
      </c>
      <c r="I9" s="41">
        <v>2895148010</v>
      </c>
      <c r="J9" s="41">
        <v>1811900</v>
      </c>
      <c r="K9" s="41">
        <v>0</v>
      </c>
      <c r="L9" s="41">
        <v>103112326</v>
      </c>
      <c r="M9" s="41">
        <v>8550</v>
      </c>
      <c r="N9" s="41">
        <v>976068</v>
      </c>
      <c r="O9" s="41">
        <v>90208004</v>
      </c>
      <c r="P9" s="41">
        <v>2946751</v>
      </c>
      <c r="Q9" s="41">
        <v>0</v>
      </c>
      <c r="R9" s="41">
        <v>274185368</v>
      </c>
      <c r="S9" s="41">
        <v>0</v>
      </c>
      <c r="T9" s="41">
        <v>0</v>
      </c>
      <c r="U9" s="41">
        <v>0</v>
      </c>
      <c r="V9" s="41">
        <v>0</v>
      </c>
      <c r="W9" s="41">
        <v>0</v>
      </c>
      <c r="X9" s="41">
        <v>0</v>
      </c>
      <c r="Y9" s="41">
        <v>105090789646</v>
      </c>
      <c r="Z9" s="41">
        <v>28687768517</v>
      </c>
      <c r="AA9" s="43">
        <v>76403021129</v>
      </c>
    </row>
    <row r="10" spans="1:27" x14ac:dyDescent="0.2">
      <c r="A10" s="40" t="s">
        <v>7</v>
      </c>
      <c r="B10" s="41">
        <v>10403626210</v>
      </c>
      <c r="C10" s="41">
        <v>10258792073</v>
      </c>
      <c r="D10" s="41">
        <v>1159609646</v>
      </c>
      <c r="E10" s="41">
        <v>836969699</v>
      </c>
      <c r="F10" s="41">
        <v>22245057348</v>
      </c>
      <c r="G10" s="41">
        <v>8610484999</v>
      </c>
      <c r="H10" s="41">
        <v>191345700</v>
      </c>
      <c r="I10" s="41">
        <v>2203536210</v>
      </c>
      <c r="J10" s="41">
        <v>0</v>
      </c>
      <c r="K10" s="41">
        <v>36902930</v>
      </c>
      <c r="L10" s="41">
        <v>0</v>
      </c>
      <c r="M10" s="41">
        <v>0</v>
      </c>
      <c r="N10" s="41">
        <v>6631980</v>
      </c>
      <c r="O10" s="41">
        <v>22449937</v>
      </c>
      <c r="P10" s="41">
        <v>2227648</v>
      </c>
      <c r="Q10" s="41">
        <v>159962211</v>
      </c>
      <c r="R10" s="41">
        <v>0</v>
      </c>
      <c r="S10" s="41">
        <v>0</v>
      </c>
      <c r="T10" s="41">
        <v>664739420</v>
      </c>
      <c r="U10" s="41">
        <v>5627480</v>
      </c>
      <c r="V10" s="41">
        <v>0</v>
      </c>
      <c r="W10" s="41">
        <v>0</v>
      </c>
      <c r="X10" s="41">
        <v>39885470</v>
      </c>
      <c r="Y10" s="41">
        <v>392073552366</v>
      </c>
      <c r="Z10" s="41">
        <v>56137596591</v>
      </c>
      <c r="AA10" s="43">
        <v>335935955775</v>
      </c>
    </row>
    <row r="11" spans="1:27" x14ac:dyDescent="0.2">
      <c r="A11" s="40" t="s">
        <v>8</v>
      </c>
      <c r="B11" s="41">
        <v>81407507</v>
      </c>
      <c r="C11" s="41">
        <v>48863096</v>
      </c>
      <c r="D11" s="41">
        <v>10011671</v>
      </c>
      <c r="E11" s="41">
        <v>4500421</v>
      </c>
      <c r="F11" s="41">
        <v>45496806</v>
      </c>
      <c r="G11" s="41">
        <v>32818845</v>
      </c>
      <c r="H11" s="41">
        <v>1938135</v>
      </c>
      <c r="I11" s="41">
        <v>18475211</v>
      </c>
      <c r="J11" s="41">
        <v>520762</v>
      </c>
      <c r="K11" s="41">
        <v>0</v>
      </c>
      <c r="L11" s="41">
        <v>0</v>
      </c>
      <c r="M11" s="41">
        <v>0</v>
      </c>
      <c r="N11" s="41">
        <v>67689</v>
      </c>
      <c r="O11" s="41">
        <v>332393</v>
      </c>
      <c r="P11" s="41">
        <v>0</v>
      </c>
      <c r="Q11" s="41">
        <v>0</v>
      </c>
      <c r="R11" s="41">
        <v>545225500</v>
      </c>
      <c r="S11" s="41">
        <v>0</v>
      </c>
      <c r="T11" s="41">
        <v>0</v>
      </c>
      <c r="U11" s="41">
        <v>0</v>
      </c>
      <c r="V11" s="41">
        <v>0</v>
      </c>
      <c r="W11" s="41">
        <v>0</v>
      </c>
      <c r="X11" s="41">
        <v>0</v>
      </c>
      <c r="Y11" s="41">
        <v>1616900124</v>
      </c>
      <c r="Z11" s="41">
        <v>789658036</v>
      </c>
      <c r="AA11" s="43">
        <v>827242088</v>
      </c>
    </row>
    <row r="12" spans="1:27" x14ac:dyDescent="0.2">
      <c r="A12" s="40" t="s">
        <v>9</v>
      </c>
      <c r="B12" s="41">
        <v>1697343906</v>
      </c>
      <c r="C12" s="41">
        <v>1683835567</v>
      </c>
      <c r="D12" s="41">
        <v>251635207</v>
      </c>
      <c r="E12" s="41">
        <v>108178910</v>
      </c>
      <c r="F12" s="41">
        <v>1856891960</v>
      </c>
      <c r="G12" s="41">
        <v>641350289</v>
      </c>
      <c r="H12" s="41">
        <v>40059657</v>
      </c>
      <c r="I12" s="41">
        <v>662715148</v>
      </c>
      <c r="J12" s="41">
        <v>8645932</v>
      </c>
      <c r="K12" s="41">
        <v>0</v>
      </c>
      <c r="L12" s="41">
        <v>9417375</v>
      </c>
      <c r="M12" s="41">
        <v>42327</v>
      </c>
      <c r="N12" s="41">
        <v>0</v>
      </c>
      <c r="O12" s="41">
        <v>82727980</v>
      </c>
      <c r="P12" s="41">
        <v>125849</v>
      </c>
      <c r="Q12" s="41">
        <v>0</v>
      </c>
      <c r="R12" s="41">
        <v>132628165</v>
      </c>
      <c r="S12" s="41">
        <v>0</v>
      </c>
      <c r="T12" s="41">
        <v>38161200</v>
      </c>
      <c r="U12" s="41">
        <v>0</v>
      </c>
      <c r="V12" s="41">
        <v>0</v>
      </c>
      <c r="W12" s="41">
        <v>0</v>
      </c>
      <c r="X12" s="41">
        <v>0</v>
      </c>
      <c r="Y12" s="41">
        <v>42393066210</v>
      </c>
      <c r="Z12" s="41">
        <v>7175598272</v>
      </c>
      <c r="AA12" s="43">
        <v>35217467938</v>
      </c>
    </row>
    <row r="13" spans="1:27" x14ac:dyDescent="0.2">
      <c r="A13" s="40" t="s">
        <v>10</v>
      </c>
      <c r="B13" s="41">
        <v>1344990824</v>
      </c>
      <c r="C13" s="41">
        <v>1224626535</v>
      </c>
      <c r="D13" s="41">
        <v>0</v>
      </c>
      <c r="E13" s="41">
        <v>57705054</v>
      </c>
      <c r="F13" s="41">
        <v>1134923519</v>
      </c>
      <c r="G13" s="41">
        <v>425449950</v>
      </c>
      <c r="H13" s="41">
        <v>29647110</v>
      </c>
      <c r="I13" s="41">
        <v>565350359</v>
      </c>
      <c r="J13" s="41">
        <v>0</v>
      </c>
      <c r="K13" s="41">
        <v>0</v>
      </c>
      <c r="L13" s="41">
        <v>0</v>
      </c>
      <c r="M13" s="41">
        <v>47987</v>
      </c>
      <c r="N13" s="41">
        <v>0</v>
      </c>
      <c r="O13" s="41">
        <v>50745438</v>
      </c>
      <c r="P13" s="41">
        <v>9991</v>
      </c>
      <c r="Q13" s="41">
        <v>0</v>
      </c>
      <c r="R13" s="41">
        <v>68167820</v>
      </c>
      <c r="S13" s="41">
        <v>0</v>
      </c>
      <c r="T13" s="41">
        <v>0</v>
      </c>
      <c r="U13" s="41">
        <v>0</v>
      </c>
      <c r="V13" s="41">
        <v>0</v>
      </c>
      <c r="W13" s="41"/>
      <c r="X13" s="41"/>
      <c r="Y13" s="41">
        <v>22104395854</v>
      </c>
      <c r="Z13" s="41">
        <v>4901664587</v>
      </c>
      <c r="AA13" s="43">
        <v>17202731267</v>
      </c>
    </row>
    <row r="14" spans="1:27" x14ac:dyDescent="0.2">
      <c r="A14" s="40" t="s">
        <v>11</v>
      </c>
      <c r="B14" s="41">
        <v>1357671784</v>
      </c>
      <c r="C14" s="41">
        <v>1359796871</v>
      </c>
      <c r="D14" s="41">
        <v>90741739</v>
      </c>
      <c r="E14" s="41">
        <v>52709285</v>
      </c>
      <c r="F14" s="41">
        <v>1787612205</v>
      </c>
      <c r="G14" s="41">
        <v>843939071</v>
      </c>
      <c r="H14" s="41">
        <v>20955000</v>
      </c>
      <c r="I14" s="41">
        <v>1682947057</v>
      </c>
      <c r="J14" s="41">
        <v>4327205</v>
      </c>
      <c r="K14" s="41">
        <v>0</v>
      </c>
      <c r="L14" s="41">
        <v>0</v>
      </c>
      <c r="M14" s="41">
        <v>0</v>
      </c>
      <c r="N14" s="41">
        <v>1163011</v>
      </c>
      <c r="O14" s="41">
        <v>16950194</v>
      </c>
      <c r="P14" s="41">
        <v>9771079</v>
      </c>
      <c r="Q14" s="41">
        <v>0</v>
      </c>
      <c r="R14" s="41">
        <v>0</v>
      </c>
      <c r="S14" s="41">
        <v>0</v>
      </c>
      <c r="T14" s="41">
        <v>14760999</v>
      </c>
      <c r="U14" s="41">
        <v>0</v>
      </c>
      <c r="V14" s="41">
        <v>0</v>
      </c>
      <c r="W14" s="41">
        <v>0</v>
      </c>
      <c r="X14" s="41">
        <v>0</v>
      </c>
      <c r="Y14" s="41">
        <v>28313146780</v>
      </c>
      <c r="Z14" s="41">
        <v>7228584501</v>
      </c>
      <c r="AA14" s="43">
        <v>21084562279</v>
      </c>
    </row>
    <row r="15" spans="1:27" x14ac:dyDescent="0.2">
      <c r="A15" s="40" t="s">
        <v>12</v>
      </c>
      <c r="B15" s="41">
        <v>2756985152</v>
      </c>
      <c r="C15" s="41">
        <v>2798452472</v>
      </c>
      <c r="D15" s="41">
        <v>93557466</v>
      </c>
      <c r="E15" s="41">
        <v>156416460</v>
      </c>
      <c r="F15" s="41">
        <v>5391094441</v>
      </c>
      <c r="G15" s="41">
        <v>3268096234</v>
      </c>
      <c r="H15" s="41">
        <v>58894147</v>
      </c>
      <c r="I15" s="41">
        <v>554293334</v>
      </c>
      <c r="J15" s="41">
        <v>0</v>
      </c>
      <c r="K15" s="41">
        <v>0</v>
      </c>
      <c r="L15" s="41">
        <v>7439281</v>
      </c>
      <c r="M15" s="41">
        <v>0</v>
      </c>
      <c r="N15" s="41">
        <v>0</v>
      </c>
      <c r="O15" s="41">
        <v>76439166</v>
      </c>
      <c r="P15" s="41">
        <v>0</v>
      </c>
      <c r="Q15" s="41">
        <v>1747101</v>
      </c>
      <c r="R15" s="41">
        <v>3295305</v>
      </c>
      <c r="S15" s="41">
        <v>0</v>
      </c>
      <c r="T15" s="41">
        <v>334</v>
      </c>
      <c r="U15" s="41">
        <v>170</v>
      </c>
      <c r="V15" s="41">
        <v>350</v>
      </c>
      <c r="W15" s="41">
        <v>0</v>
      </c>
      <c r="X15" s="41">
        <v>0</v>
      </c>
      <c r="Y15" s="41">
        <v>185445826901</v>
      </c>
      <c r="Z15" s="41">
        <v>15166710559</v>
      </c>
      <c r="AA15" s="43">
        <v>170279116342</v>
      </c>
    </row>
    <row r="16" spans="1:27" x14ac:dyDescent="0.2">
      <c r="A16" s="40" t="s">
        <v>13</v>
      </c>
      <c r="B16" s="41">
        <v>422132867</v>
      </c>
      <c r="C16" s="41">
        <v>343154047</v>
      </c>
      <c r="D16" s="41">
        <v>47514422</v>
      </c>
      <c r="E16" s="41">
        <v>23454849</v>
      </c>
      <c r="F16" s="41">
        <v>535131877</v>
      </c>
      <c r="G16" s="41">
        <v>155739270</v>
      </c>
      <c r="H16" s="41">
        <v>7296803</v>
      </c>
      <c r="I16" s="41">
        <v>152972683</v>
      </c>
      <c r="J16" s="41">
        <v>4962601</v>
      </c>
      <c r="K16" s="41">
        <v>0</v>
      </c>
      <c r="L16" s="41">
        <v>22678885</v>
      </c>
      <c r="M16" s="41">
        <v>0</v>
      </c>
      <c r="N16" s="41">
        <v>0</v>
      </c>
      <c r="O16" s="41">
        <v>9358752</v>
      </c>
      <c r="P16" s="41">
        <v>0</v>
      </c>
      <c r="Q16" s="41">
        <v>1553779</v>
      </c>
      <c r="R16" s="41">
        <v>224582852</v>
      </c>
      <c r="S16" s="41">
        <v>0</v>
      </c>
      <c r="T16" s="41">
        <v>0</v>
      </c>
      <c r="U16" s="41">
        <v>0</v>
      </c>
      <c r="V16" s="41">
        <v>0</v>
      </c>
      <c r="W16" s="41">
        <v>0</v>
      </c>
      <c r="X16" s="41">
        <v>0</v>
      </c>
      <c r="Y16" s="41">
        <v>6950275090</v>
      </c>
      <c r="Z16" s="41">
        <v>1950533687</v>
      </c>
      <c r="AA16" s="43">
        <v>4999741403</v>
      </c>
    </row>
    <row r="17" spans="1:27" x14ac:dyDescent="0.2">
      <c r="A17" s="40" t="s">
        <v>106</v>
      </c>
      <c r="B17" s="41">
        <v>11398993123</v>
      </c>
      <c r="C17" s="41">
        <v>11467304966</v>
      </c>
      <c r="D17" s="41">
        <v>1552272083</v>
      </c>
      <c r="E17" s="41">
        <v>1127459503</v>
      </c>
      <c r="F17" s="41">
        <v>26145771555</v>
      </c>
      <c r="G17" s="41">
        <v>17567395914</v>
      </c>
      <c r="H17" s="41">
        <v>137980000</v>
      </c>
      <c r="I17" s="41">
        <v>1336981955</v>
      </c>
      <c r="J17" s="41">
        <v>15362639</v>
      </c>
      <c r="K17" s="41">
        <v>60564006</v>
      </c>
      <c r="L17" s="41">
        <v>0</v>
      </c>
      <c r="M17" s="41">
        <v>0</v>
      </c>
      <c r="N17" s="41">
        <v>2951218</v>
      </c>
      <c r="O17" s="41">
        <v>17208646</v>
      </c>
      <c r="P17" s="41">
        <v>92063</v>
      </c>
      <c r="Q17" s="41">
        <v>343111516</v>
      </c>
      <c r="R17" s="41">
        <v>12498293</v>
      </c>
      <c r="S17" s="41">
        <v>0</v>
      </c>
      <c r="T17" s="41">
        <v>1084758338</v>
      </c>
      <c r="U17" s="41">
        <v>0</v>
      </c>
      <c r="V17" s="41">
        <v>0</v>
      </c>
      <c r="W17" s="41">
        <v>0</v>
      </c>
      <c r="X17" s="41">
        <v>0</v>
      </c>
      <c r="Y17" s="41">
        <v>611323203625</v>
      </c>
      <c r="Z17" s="41">
        <v>71185947480</v>
      </c>
      <c r="AA17" s="43">
        <v>540137256145</v>
      </c>
    </row>
    <row r="18" spans="1:27" x14ac:dyDescent="0.2">
      <c r="A18" s="40" t="s">
        <v>14</v>
      </c>
      <c r="B18" s="41">
        <v>159836265</v>
      </c>
      <c r="C18" s="41">
        <v>135518317</v>
      </c>
      <c r="D18" s="41">
        <v>20248346</v>
      </c>
      <c r="E18" s="41">
        <v>19384683</v>
      </c>
      <c r="F18" s="41">
        <v>236289777</v>
      </c>
      <c r="G18" s="41">
        <v>157832496</v>
      </c>
      <c r="H18" s="41">
        <v>3294711</v>
      </c>
      <c r="I18" s="41">
        <v>34017173</v>
      </c>
      <c r="J18" s="41">
        <v>34451638</v>
      </c>
      <c r="K18" s="41">
        <v>0</v>
      </c>
      <c r="L18" s="41">
        <v>0</v>
      </c>
      <c r="M18" s="41">
        <v>0</v>
      </c>
      <c r="N18" s="41">
        <v>0</v>
      </c>
      <c r="O18" s="41">
        <v>2415028</v>
      </c>
      <c r="P18" s="41">
        <v>0</v>
      </c>
      <c r="Q18" s="41">
        <v>0</v>
      </c>
      <c r="R18" s="41">
        <v>93926202</v>
      </c>
      <c r="S18" s="41">
        <v>0</v>
      </c>
      <c r="T18" s="41">
        <v>0</v>
      </c>
      <c r="U18" s="41">
        <v>0</v>
      </c>
      <c r="V18" s="41">
        <v>0</v>
      </c>
      <c r="W18" s="41">
        <v>0</v>
      </c>
      <c r="X18" s="41">
        <v>0</v>
      </c>
      <c r="Y18" s="41">
        <v>3847756102</v>
      </c>
      <c r="Z18" s="41">
        <v>897214636</v>
      </c>
      <c r="AA18" s="43">
        <v>2950541466</v>
      </c>
    </row>
    <row r="19" spans="1:27" x14ac:dyDescent="0.2">
      <c r="A19" s="40" t="s">
        <v>15</v>
      </c>
      <c r="B19" s="41">
        <v>118722078</v>
      </c>
      <c r="C19" s="41">
        <v>59924526</v>
      </c>
      <c r="D19" s="41">
        <v>0</v>
      </c>
      <c r="E19" s="41">
        <v>3063418</v>
      </c>
      <c r="F19" s="41">
        <v>167306135</v>
      </c>
      <c r="G19" s="41">
        <v>17007159</v>
      </c>
      <c r="H19" s="41">
        <v>2477437</v>
      </c>
      <c r="I19" s="41">
        <v>16643171</v>
      </c>
      <c r="J19" s="41">
        <v>1749598</v>
      </c>
      <c r="K19" s="41">
        <v>0</v>
      </c>
      <c r="L19" s="41">
        <v>0</v>
      </c>
      <c r="M19" s="41">
        <v>34200</v>
      </c>
      <c r="N19" s="41">
        <v>0</v>
      </c>
      <c r="O19" s="41">
        <v>224356</v>
      </c>
      <c r="P19" s="41">
        <v>48012</v>
      </c>
      <c r="Q19" s="41">
        <v>0</v>
      </c>
      <c r="R19" s="41">
        <v>0</v>
      </c>
      <c r="S19" s="41">
        <v>0</v>
      </c>
      <c r="T19" s="41">
        <v>0</v>
      </c>
      <c r="U19" s="41">
        <v>0</v>
      </c>
      <c r="V19" s="41">
        <v>0</v>
      </c>
      <c r="W19" s="41">
        <v>0</v>
      </c>
      <c r="X19" s="41">
        <v>0</v>
      </c>
      <c r="Y19" s="41">
        <v>1280878473</v>
      </c>
      <c r="Z19" s="41">
        <v>387200090</v>
      </c>
      <c r="AA19" s="43">
        <v>893678383</v>
      </c>
    </row>
    <row r="20" spans="1:27" x14ac:dyDescent="0.2">
      <c r="A20" s="40" t="s">
        <v>16</v>
      </c>
      <c r="B20" s="41">
        <v>5346729804</v>
      </c>
      <c r="C20" s="41">
        <v>5235381540</v>
      </c>
      <c r="D20" s="41">
        <v>287796268</v>
      </c>
      <c r="E20" s="41">
        <v>290139125</v>
      </c>
      <c r="F20" s="41">
        <v>15244934242</v>
      </c>
      <c r="G20" s="41">
        <v>8361197298</v>
      </c>
      <c r="H20" s="41">
        <v>75361623</v>
      </c>
      <c r="I20" s="41">
        <v>2169544344</v>
      </c>
      <c r="J20" s="41">
        <v>524813</v>
      </c>
      <c r="K20" s="41">
        <v>70049500</v>
      </c>
      <c r="L20" s="41">
        <v>0</v>
      </c>
      <c r="M20" s="41">
        <v>1510</v>
      </c>
      <c r="N20" s="41">
        <v>1437275</v>
      </c>
      <c r="O20" s="41">
        <v>107033669</v>
      </c>
      <c r="P20" s="41">
        <v>25364007</v>
      </c>
      <c r="Q20" s="41">
        <v>26640298</v>
      </c>
      <c r="R20" s="41">
        <v>35828317</v>
      </c>
      <c r="S20" s="41">
        <v>0</v>
      </c>
      <c r="T20" s="41">
        <v>468831024</v>
      </c>
      <c r="U20" s="41">
        <v>1905963</v>
      </c>
      <c r="V20" s="41">
        <v>139131457</v>
      </c>
      <c r="W20" s="41">
        <v>0</v>
      </c>
      <c r="X20" s="41">
        <v>0</v>
      </c>
      <c r="Y20" s="41">
        <v>161560482358</v>
      </c>
      <c r="Z20" s="41">
        <v>37277963633</v>
      </c>
      <c r="AA20" s="43">
        <v>124282518725</v>
      </c>
    </row>
    <row r="21" spans="1:27" x14ac:dyDescent="0.2">
      <c r="A21" s="40" t="s">
        <v>17</v>
      </c>
      <c r="B21" s="41">
        <v>1907187043</v>
      </c>
      <c r="C21" s="41">
        <v>1807292359</v>
      </c>
      <c r="D21" s="41">
        <v>136071617</v>
      </c>
      <c r="E21" s="41">
        <v>108783254</v>
      </c>
      <c r="F21" s="41">
        <v>4190043668</v>
      </c>
      <c r="G21" s="41">
        <v>1859170034</v>
      </c>
      <c r="H21" s="41">
        <v>41522949</v>
      </c>
      <c r="I21" s="41">
        <v>969005938</v>
      </c>
      <c r="J21" s="41">
        <v>158613</v>
      </c>
      <c r="K21" s="41">
        <v>193001</v>
      </c>
      <c r="L21" s="41">
        <v>482683280</v>
      </c>
      <c r="M21" s="41">
        <v>10153</v>
      </c>
      <c r="N21" s="41">
        <v>2758660</v>
      </c>
      <c r="O21" s="41">
        <v>81871587</v>
      </c>
      <c r="P21" s="41">
        <v>962160</v>
      </c>
      <c r="Q21" s="41">
        <v>49821252</v>
      </c>
      <c r="R21" s="41">
        <v>352865985</v>
      </c>
      <c r="S21" s="41">
        <v>0</v>
      </c>
      <c r="T21" s="41">
        <v>68985688</v>
      </c>
      <c r="U21" s="41">
        <v>546856</v>
      </c>
      <c r="V21" s="41">
        <v>0</v>
      </c>
      <c r="W21" s="41">
        <v>0</v>
      </c>
      <c r="X21" s="41">
        <v>0</v>
      </c>
      <c r="Y21" s="41">
        <v>46520105247</v>
      </c>
      <c r="Z21" s="41">
        <v>11990401553</v>
      </c>
      <c r="AA21" s="43">
        <v>34529703694</v>
      </c>
    </row>
    <row r="22" spans="1:27" x14ac:dyDescent="0.2">
      <c r="A22" s="40" t="s">
        <v>18</v>
      </c>
      <c r="B22" s="41">
        <v>1105803178</v>
      </c>
      <c r="C22" s="41">
        <v>1151246159</v>
      </c>
      <c r="D22" s="41">
        <v>221237085</v>
      </c>
      <c r="E22" s="41">
        <v>31721756</v>
      </c>
      <c r="F22" s="41">
        <v>767151100</v>
      </c>
      <c r="G22" s="41">
        <v>442958274</v>
      </c>
      <c r="H22" s="41">
        <v>22605650</v>
      </c>
      <c r="I22" s="41">
        <v>481485381</v>
      </c>
      <c r="J22" s="41">
        <v>4744008</v>
      </c>
      <c r="K22" s="41">
        <v>0</v>
      </c>
      <c r="L22" s="41">
        <v>0</v>
      </c>
      <c r="M22" s="41">
        <v>55948</v>
      </c>
      <c r="N22" s="41">
        <v>797140</v>
      </c>
      <c r="O22" s="41">
        <v>72918514</v>
      </c>
      <c r="P22" s="41">
        <v>423444</v>
      </c>
      <c r="Q22" s="41">
        <v>8464004</v>
      </c>
      <c r="R22" s="41">
        <v>8739018</v>
      </c>
      <c r="S22" s="41">
        <v>0</v>
      </c>
      <c r="T22" s="41">
        <v>19108381</v>
      </c>
      <c r="U22" s="41">
        <v>0</v>
      </c>
      <c r="V22" s="41">
        <v>0</v>
      </c>
      <c r="W22" s="41"/>
      <c r="X22" s="41"/>
      <c r="Y22" s="41">
        <v>23186379582</v>
      </c>
      <c r="Z22" s="41">
        <v>4320350659</v>
      </c>
      <c r="AA22" s="43">
        <v>18866028923</v>
      </c>
    </row>
    <row r="23" spans="1:27" x14ac:dyDescent="0.2">
      <c r="A23" s="40" t="s">
        <v>19</v>
      </c>
      <c r="B23" s="41">
        <v>85978783</v>
      </c>
      <c r="C23" s="41">
        <v>69486185</v>
      </c>
      <c r="D23" s="41">
        <v>9746354</v>
      </c>
      <c r="E23" s="41">
        <v>4965231</v>
      </c>
      <c r="F23" s="41">
        <v>969379943</v>
      </c>
      <c r="G23" s="41">
        <v>39829180</v>
      </c>
      <c r="H23" s="41">
        <v>1532664</v>
      </c>
      <c r="I23" s="41">
        <v>19318738</v>
      </c>
      <c r="J23" s="41">
        <v>581953</v>
      </c>
      <c r="K23" s="41">
        <v>0</v>
      </c>
      <c r="L23" s="41">
        <v>0</v>
      </c>
      <c r="M23" s="41">
        <v>31060</v>
      </c>
      <c r="N23" s="41">
        <v>0</v>
      </c>
      <c r="O23" s="41">
        <v>16105353</v>
      </c>
      <c r="P23" s="41">
        <v>0</v>
      </c>
      <c r="Q23" s="41">
        <v>0</v>
      </c>
      <c r="R23" s="41">
        <v>0</v>
      </c>
      <c r="S23" s="41">
        <v>0</v>
      </c>
      <c r="T23" s="41">
        <v>0</v>
      </c>
      <c r="U23" s="41">
        <v>0</v>
      </c>
      <c r="V23" s="41">
        <v>0</v>
      </c>
      <c r="W23" s="41"/>
      <c r="X23" s="41"/>
      <c r="Y23" s="41">
        <v>5285476289</v>
      </c>
      <c r="Z23" s="41">
        <v>1216955444</v>
      </c>
      <c r="AA23" s="43">
        <v>4068520845</v>
      </c>
    </row>
    <row r="24" spans="1:27" x14ac:dyDescent="0.2">
      <c r="A24" s="40" t="s">
        <v>20</v>
      </c>
      <c r="B24" s="41">
        <v>249206170</v>
      </c>
      <c r="C24" s="41">
        <v>177728624</v>
      </c>
      <c r="D24" s="41">
        <v>10292395</v>
      </c>
      <c r="E24" s="41">
        <v>14626049</v>
      </c>
      <c r="F24" s="41">
        <v>433179635</v>
      </c>
      <c r="G24" s="41">
        <v>86580933</v>
      </c>
      <c r="H24" s="41">
        <v>3794078</v>
      </c>
      <c r="I24" s="41">
        <v>69646116</v>
      </c>
      <c r="J24" s="41">
        <v>2774584</v>
      </c>
      <c r="K24" s="41">
        <v>0</v>
      </c>
      <c r="L24" s="41">
        <v>0</v>
      </c>
      <c r="M24" s="41">
        <v>194646</v>
      </c>
      <c r="N24" s="41">
        <v>0</v>
      </c>
      <c r="O24" s="41">
        <v>1123609</v>
      </c>
      <c r="P24" s="41">
        <v>90644</v>
      </c>
      <c r="Q24" s="41">
        <v>0</v>
      </c>
      <c r="R24" s="41">
        <v>82549075</v>
      </c>
      <c r="S24" s="41">
        <v>0</v>
      </c>
      <c r="T24" s="41">
        <v>0</v>
      </c>
      <c r="U24" s="41">
        <v>0</v>
      </c>
      <c r="V24" s="41">
        <v>0</v>
      </c>
      <c r="W24" s="41">
        <v>0</v>
      </c>
      <c r="X24" s="41">
        <v>0</v>
      </c>
      <c r="Y24" s="41">
        <v>3733485629</v>
      </c>
      <c r="Z24" s="41">
        <v>1131786558</v>
      </c>
      <c r="AA24" s="43">
        <v>2601699071</v>
      </c>
    </row>
    <row r="25" spans="1:27" x14ac:dyDescent="0.2">
      <c r="A25" s="40" t="s">
        <v>21</v>
      </c>
      <c r="B25" s="41">
        <v>142284039</v>
      </c>
      <c r="C25" s="41">
        <v>110752112</v>
      </c>
      <c r="D25" s="41">
        <v>6814896</v>
      </c>
      <c r="E25" s="41">
        <v>6510541</v>
      </c>
      <c r="F25" s="41">
        <v>111158154</v>
      </c>
      <c r="G25" s="41">
        <v>31817535</v>
      </c>
      <c r="H25" s="41">
        <v>3009255</v>
      </c>
      <c r="I25" s="41">
        <v>36250954</v>
      </c>
      <c r="J25" s="41">
        <v>2136205</v>
      </c>
      <c r="K25" s="41">
        <v>0</v>
      </c>
      <c r="L25" s="41">
        <v>0</v>
      </c>
      <c r="M25" s="41">
        <v>1506</v>
      </c>
      <c r="N25" s="41">
        <v>0</v>
      </c>
      <c r="O25" s="41">
        <v>2207744</v>
      </c>
      <c r="P25" s="41">
        <v>0</v>
      </c>
      <c r="Q25" s="41">
        <v>6681274</v>
      </c>
      <c r="R25" s="41">
        <v>0</v>
      </c>
      <c r="S25" s="41">
        <v>0</v>
      </c>
      <c r="T25" s="41">
        <v>0</v>
      </c>
      <c r="U25" s="41">
        <v>0</v>
      </c>
      <c r="V25" s="41">
        <v>0</v>
      </c>
      <c r="W25" s="41">
        <v>0</v>
      </c>
      <c r="X25" s="41">
        <v>0</v>
      </c>
      <c r="Y25" s="41">
        <v>2039577522</v>
      </c>
      <c r="Z25" s="41">
        <v>459624215</v>
      </c>
      <c r="AA25" s="43">
        <v>1579953307</v>
      </c>
    </row>
    <row r="26" spans="1:27" x14ac:dyDescent="0.2">
      <c r="A26" s="40" t="s">
        <v>22</v>
      </c>
      <c r="B26" s="41">
        <v>68980355</v>
      </c>
      <c r="C26" s="41">
        <v>56154854</v>
      </c>
      <c r="D26" s="41">
        <v>3441509</v>
      </c>
      <c r="E26" s="41">
        <v>20275846</v>
      </c>
      <c r="F26" s="41">
        <v>1059490841</v>
      </c>
      <c r="G26" s="41">
        <v>28613679</v>
      </c>
      <c r="H26" s="41">
        <v>1727987</v>
      </c>
      <c r="I26" s="41">
        <v>15963300</v>
      </c>
      <c r="J26" s="41">
        <v>9272190</v>
      </c>
      <c r="K26" s="41">
        <v>0</v>
      </c>
      <c r="L26" s="41">
        <v>0</v>
      </c>
      <c r="M26" s="41">
        <v>0</v>
      </c>
      <c r="N26" s="41">
        <v>0</v>
      </c>
      <c r="O26" s="41">
        <v>1373027</v>
      </c>
      <c r="P26" s="41">
        <v>0</v>
      </c>
      <c r="Q26" s="41">
        <v>0</v>
      </c>
      <c r="R26" s="41">
        <v>1213518</v>
      </c>
      <c r="S26" s="41">
        <v>0</v>
      </c>
      <c r="T26" s="41">
        <v>0</v>
      </c>
      <c r="U26" s="41">
        <v>0</v>
      </c>
      <c r="V26" s="41">
        <v>0</v>
      </c>
      <c r="W26" s="41">
        <v>0</v>
      </c>
      <c r="X26" s="41">
        <v>0</v>
      </c>
      <c r="Y26" s="41">
        <v>2498525858</v>
      </c>
      <c r="Z26" s="41">
        <v>1266507106</v>
      </c>
      <c r="AA26" s="43">
        <v>1232018752</v>
      </c>
    </row>
    <row r="27" spans="1:27" x14ac:dyDescent="0.2">
      <c r="A27" s="40" t="s">
        <v>23</v>
      </c>
      <c r="B27" s="41">
        <v>105008031</v>
      </c>
      <c r="C27" s="41">
        <v>83234366</v>
      </c>
      <c r="D27" s="41">
        <v>5293489</v>
      </c>
      <c r="E27" s="41">
        <v>6001644</v>
      </c>
      <c r="F27" s="41">
        <v>597708414</v>
      </c>
      <c r="G27" s="41">
        <v>64258373</v>
      </c>
      <c r="H27" s="41">
        <v>2035413</v>
      </c>
      <c r="I27" s="41">
        <v>48280396</v>
      </c>
      <c r="J27" s="41">
        <v>731</v>
      </c>
      <c r="K27" s="41">
        <v>0</v>
      </c>
      <c r="L27" s="41">
        <v>0</v>
      </c>
      <c r="M27" s="41">
        <v>0</v>
      </c>
      <c r="N27" s="41">
        <v>374471</v>
      </c>
      <c r="O27" s="41">
        <v>9922192</v>
      </c>
      <c r="P27" s="41">
        <v>0</v>
      </c>
      <c r="Q27" s="41">
        <v>146677</v>
      </c>
      <c r="R27" s="41">
        <v>119067</v>
      </c>
      <c r="S27" s="41">
        <v>0</v>
      </c>
      <c r="T27" s="41">
        <v>0</v>
      </c>
      <c r="U27" s="41">
        <v>0</v>
      </c>
      <c r="V27" s="41">
        <v>0</v>
      </c>
      <c r="W27" s="41"/>
      <c r="X27" s="41"/>
      <c r="Y27" s="41">
        <v>5247181810</v>
      </c>
      <c r="Z27" s="41">
        <v>922383264</v>
      </c>
      <c r="AA27" s="43">
        <v>4324798546</v>
      </c>
    </row>
    <row r="28" spans="1:27" x14ac:dyDescent="0.2">
      <c r="A28" s="40" t="s">
        <v>24</v>
      </c>
      <c r="B28" s="41">
        <v>71570769</v>
      </c>
      <c r="C28" s="41">
        <v>48584580</v>
      </c>
      <c r="D28" s="41">
        <v>7848914</v>
      </c>
      <c r="E28" s="41">
        <v>7947973</v>
      </c>
      <c r="F28" s="41">
        <v>185896637</v>
      </c>
      <c r="G28" s="41">
        <v>25262427</v>
      </c>
      <c r="H28" s="41">
        <v>1679883</v>
      </c>
      <c r="I28" s="41">
        <v>18306956</v>
      </c>
      <c r="J28" s="41">
        <v>392943</v>
      </c>
      <c r="K28" s="41">
        <v>0</v>
      </c>
      <c r="L28" s="41">
        <v>0</v>
      </c>
      <c r="M28" s="41">
        <v>0</v>
      </c>
      <c r="N28" s="41">
        <v>0</v>
      </c>
      <c r="O28" s="41">
        <v>417292</v>
      </c>
      <c r="P28" s="41">
        <v>0</v>
      </c>
      <c r="Q28" s="41">
        <v>0</v>
      </c>
      <c r="R28" s="41">
        <v>0</v>
      </c>
      <c r="S28" s="41">
        <v>0</v>
      </c>
      <c r="T28" s="41">
        <v>0</v>
      </c>
      <c r="U28" s="41">
        <v>0</v>
      </c>
      <c r="V28" s="41">
        <v>0</v>
      </c>
      <c r="W28" s="41">
        <v>0</v>
      </c>
      <c r="X28" s="41">
        <v>0</v>
      </c>
      <c r="Y28" s="41">
        <v>1743818748</v>
      </c>
      <c r="Z28" s="41">
        <v>367908374</v>
      </c>
      <c r="AA28" s="43">
        <v>1375910374</v>
      </c>
    </row>
    <row r="29" spans="1:27" x14ac:dyDescent="0.2">
      <c r="A29" s="40" t="s">
        <v>25</v>
      </c>
      <c r="B29" s="41">
        <v>114816276</v>
      </c>
      <c r="C29" s="41">
        <v>89498293</v>
      </c>
      <c r="D29" s="41">
        <v>7569742</v>
      </c>
      <c r="E29" s="41">
        <v>19029560</v>
      </c>
      <c r="F29" s="41">
        <v>251012903</v>
      </c>
      <c r="G29" s="41">
        <v>99563037</v>
      </c>
      <c r="H29" s="41">
        <v>2496151</v>
      </c>
      <c r="I29" s="41">
        <v>9507813</v>
      </c>
      <c r="J29" s="41">
        <v>3235397</v>
      </c>
      <c r="K29" s="41">
        <v>0</v>
      </c>
      <c r="L29" s="41">
        <v>0</v>
      </c>
      <c r="M29" s="41">
        <v>0</v>
      </c>
      <c r="N29" s="41">
        <v>0</v>
      </c>
      <c r="O29" s="41">
        <v>197536</v>
      </c>
      <c r="P29" s="41">
        <v>0</v>
      </c>
      <c r="Q29" s="41">
        <v>0</v>
      </c>
      <c r="R29" s="41">
        <v>0</v>
      </c>
      <c r="S29" s="41">
        <v>0</v>
      </c>
      <c r="T29" s="41">
        <v>0</v>
      </c>
      <c r="U29" s="41">
        <v>0</v>
      </c>
      <c r="V29" s="41">
        <v>0</v>
      </c>
      <c r="W29" s="41">
        <v>0</v>
      </c>
      <c r="X29" s="41">
        <v>0</v>
      </c>
      <c r="Y29" s="41">
        <v>3699381213</v>
      </c>
      <c r="Z29" s="41">
        <v>596926708</v>
      </c>
      <c r="AA29" s="43">
        <v>3102454505</v>
      </c>
    </row>
    <row r="30" spans="1:27" x14ac:dyDescent="0.2">
      <c r="A30" s="40" t="s">
        <v>26</v>
      </c>
      <c r="B30" s="41">
        <v>219021662</v>
      </c>
      <c r="C30" s="41">
        <v>183106113</v>
      </c>
      <c r="D30" s="41">
        <v>21325655</v>
      </c>
      <c r="E30" s="41">
        <v>18072925</v>
      </c>
      <c r="F30" s="41">
        <v>1517218968</v>
      </c>
      <c r="G30" s="41">
        <v>133349168</v>
      </c>
      <c r="H30" s="41">
        <v>3321628</v>
      </c>
      <c r="I30" s="41">
        <v>31085322</v>
      </c>
      <c r="J30" s="41">
        <v>15410996</v>
      </c>
      <c r="K30" s="41">
        <v>0</v>
      </c>
      <c r="L30" s="41">
        <v>2285462</v>
      </c>
      <c r="M30" s="41">
        <v>0</v>
      </c>
      <c r="N30" s="41">
        <v>0</v>
      </c>
      <c r="O30" s="41">
        <v>104070</v>
      </c>
      <c r="P30" s="41">
        <v>0</v>
      </c>
      <c r="Q30" s="41">
        <v>0</v>
      </c>
      <c r="R30" s="41">
        <v>195944219</v>
      </c>
      <c r="S30" s="41">
        <v>0</v>
      </c>
      <c r="T30" s="41">
        <v>0</v>
      </c>
      <c r="U30" s="41">
        <v>0</v>
      </c>
      <c r="V30" s="41">
        <v>0</v>
      </c>
      <c r="W30" s="41"/>
      <c r="X30" s="41"/>
      <c r="Y30" s="41">
        <v>7530612407</v>
      </c>
      <c r="Z30" s="41">
        <v>2340246188</v>
      </c>
      <c r="AA30" s="43">
        <v>5190366219</v>
      </c>
    </row>
    <row r="31" spans="1:27" x14ac:dyDescent="0.2">
      <c r="A31" s="40" t="s">
        <v>27</v>
      </c>
      <c r="B31" s="41">
        <v>1505143914</v>
      </c>
      <c r="C31" s="41">
        <v>1449837180</v>
      </c>
      <c r="D31" s="41">
        <v>217668946</v>
      </c>
      <c r="E31" s="41">
        <v>62084997</v>
      </c>
      <c r="F31" s="41">
        <v>2007118327</v>
      </c>
      <c r="G31" s="41">
        <v>438229030</v>
      </c>
      <c r="H31" s="41">
        <v>32861380</v>
      </c>
      <c r="I31" s="41">
        <v>718055742</v>
      </c>
      <c r="J31" s="41">
        <v>2435806</v>
      </c>
      <c r="K31" s="41">
        <v>0</v>
      </c>
      <c r="L31" s="41">
        <v>0</v>
      </c>
      <c r="M31" s="41">
        <v>36509</v>
      </c>
      <c r="N31" s="41">
        <v>0</v>
      </c>
      <c r="O31" s="41">
        <v>7501843</v>
      </c>
      <c r="P31" s="41">
        <v>181497</v>
      </c>
      <c r="Q31" s="41">
        <v>15078137</v>
      </c>
      <c r="R31" s="41">
        <v>0</v>
      </c>
      <c r="S31" s="41">
        <v>0</v>
      </c>
      <c r="T31" s="41">
        <v>8574297</v>
      </c>
      <c r="U31" s="41">
        <v>0</v>
      </c>
      <c r="V31" s="41">
        <v>0</v>
      </c>
      <c r="W31" s="41"/>
      <c r="X31" s="41"/>
      <c r="Y31" s="41">
        <v>25904202079</v>
      </c>
      <c r="Z31" s="41">
        <v>6456233308</v>
      </c>
      <c r="AA31" s="43">
        <v>19447968771</v>
      </c>
    </row>
    <row r="32" spans="1:27" x14ac:dyDescent="0.2">
      <c r="A32" s="40" t="s">
        <v>28</v>
      </c>
      <c r="B32" s="41">
        <v>655054089</v>
      </c>
      <c r="C32" s="41">
        <v>585654721</v>
      </c>
      <c r="D32" s="41">
        <v>26685396</v>
      </c>
      <c r="E32" s="41">
        <v>106507977</v>
      </c>
      <c r="F32" s="41">
        <v>686603764</v>
      </c>
      <c r="G32" s="41">
        <v>560359890</v>
      </c>
      <c r="H32" s="41">
        <v>20007820</v>
      </c>
      <c r="I32" s="41">
        <v>183900267</v>
      </c>
      <c r="J32" s="41">
        <v>19224043</v>
      </c>
      <c r="K32" s="41">
        <v>0</v>
      </c>
      <c r="L32" s="41">
        <v>0</v>
      </c>
      <c r="M32" s="41">
        <v>40201</v>
      </c>
      <c r="N32" s="41">
        <v>0</v>
      </c>
      <c r="O32" s="41">
        <v>19719567</v>
      </c>
      <c r="P32" s="41">
        <v>149642</v>
      </c>
      <c r="Q32" s="41">
        <v>0</v>
      </c>
      <c r="R32" s="41">
        <v>0</v>
      </c>
      <c r="S32" s="41">
        <v>0</v>
      </c>
      <c r="T32" s="41">
        <v>0</v>
      </c>
      <c r="U32" s="41">
        <v>0</v>
      </c>
      <c r="V32" s="41">
        <v>0</v>
      </c>
      <c r="W32" s="41">
        <v>0</v>
      </c>
      <c r="X32" s="41">
        <v>0</v>
      </c>
      <c r="Y32" s="41">
        <v>12063582186</v>
      </c>
      <c r="Z32" s="41">
        <v>2863907377</v>
      </c>
      <c r="AA32" s="43">
        <v>9199674809</v>
      </c>
    </row>
    <row r="33" spans="1:27" x14ac:dyDescent="0.2">
      <c r="A33" s="40" t="s">
        <v>29</v>
      </c>
      <c r="B33" s="41">
        <v>7572013343</v>
      </c>
      <c r="C33" s="41">
        <v>7507669870</v>
      </c>
      <c r="D33" s="41">
        <v>306347234</v>
      </c>
      <c r="E33" s="41">
        <v>393873415</v>
      </c>
      <c r="F33" s="41">
        <v>15839845642</v>
      </c>
      <c r="G33" s="41">
        <v>9541339265</v>
      </c>
      <c r="H33" s="41">
        <v>98867500</v>
      </c>
      <c r="I33" s="41">
        <v>4700295321</v>
      </c>
      <c r="J33" s="41">
        <v>1335033</v>
      </c>
      <c r="K33" s="41">
        <v>48795081</v>
      </c>
      <c r="L33" s="41">
        <v>38965530</v>
      </c>
      <c r="M33" s="41">
        <v>172859</v>
      </c>
      <c r="N33" s="41">
        <v>4821791</v>
      </c>
      <c r="O33" s="41">
        <v>43134217</v>
      </c>
      <c r="P33" s="41">
        <v>8840481</v>
      </c>
      <c r="Q33" s="41">
        <v>125353971</v>
      </c>
      <c r="R33" s="41">
        <v>0</v>
      </c>
      <c r="S33" s="41">
        <v>0</v>
      </c>
      <c r="T33" s="41">
        <v>19618248</v>
      </c>
      <c r="U33" s="41">
        <v>0</v>
      </c>
      <c r="V33" s="41">
        <v>0</v>
      </c>
      <c r="W33" s="41">
        <v>0</v>
      </c>
      <c r="X33" s="41">
        <v>268915893</v>
      </c>
      <c r="Y33" s="41">
        <v>232723978310</v>
      </c>
      <c r="Z33" s="41">
        <v>46231670553</v>
      </c>
      <c r="AA33" s="43">
        <v>186492307757</v>
      </c>
    </row>
    <row r="34" spans="1:27" x14ac:dyDescent="0.2">
      <c r="A34" s="40" t="s">
        <v>30</v>
      </c>
      <c r="B34" s="41">
        <v>121227767</v>
      </c>
      <c r="C34" s="41">
        <v>79199518</v>
      </c>
      <c r="D34" s="41">
        <v>20935503</v>
      </c>
      <c r="E34" s="41">
        <v>12362439</v>
      </c>
      <c r="F34" s="41">
        <v>87692637</v>
      </c>
      <c r="G34" s="41">
        <v>51417457</v>
      </c>
      <c r="H34" s="41">
        <v>2399073</v>
      </c>
      <c r="I34" s="41">
        <v>35140640</v>
      </c>
      <c r="J34" s="41">
        <v>0</v>
      </c>
      <c r="K34" s="41">
        <v>0</v>
      </c>
      <c r="L34" s="41">
        <v>0</v>
      </c>
      <c r="M34" s="41">
        <v>0</v>
      </c>
      <c r="N34" s="41">
        <v>0</v>
      </c>
      <c r="O34" s="41">
        <v>581344</v>
      </c>
      <c r="P34" s="41">
        <v>32464</v>
      </c>
      <c r="Q34" s="41">
        <v>0</v>
      </c>
      <c r="R34" s="41">
        <v>0</v>
      </c>
      <c r="S34" s="41">
        <v>0</v>
      </c>
      <c r="T34" s="41">
        <v>0</v>
      </c>
      <c r="U34" s="41">
        <v>0</v>
      </c>
      <c r="V34" s="41">
        <v>0</v>
      </c>
      <c r="W34" s="41">
        <v>0</v>
      </c>
      <c r="X34" s="41">
        <v>0</v>
      </c>
      <c r="Y34" s="41">
        <v>1193763525</v>
      </c>
      <c r="Z34" s="41">
        <v>410988842</v>
      </c>
      <c r="AA34" s="43">
        <v>782774683</v>
      </c>
    </row>
    <row r="35" spans="1:27" x14ac:dyDescent="0.2">
      <c r="A35" s="40" t="s">
        <v>31</v>
      </c>
      <c r="B35" s="41">
        <v>1287641678</v>
      </c>
      <c r="C35" s="41">
        <v>1285142557</v>
      </c>
      <c r="D35" s="41">
        <v>40325719</v>
      </c>
      <c r="E35" s="41">
        <v>47383043</v>
      </c>
      <c r="F35" s="41">
        <v>1035588651</v>
      </c>
      <c r="G35" s="41">
        <v>935528626</v>
      </c>
      <c r="H35" s="41">
        <v>25090889</v>
      </c>
      <c r="I35" s="41">
        <v>361994010</v>
      </c>
      <c r="J35" s="41">
        <v>1779330</v>
      </c>
      <c r="K35" s="41">
        <v>0</v>
      </c>
      <c r="L35" s="41">
        <v>0</v>
      </c>
      <c r="M35" s="41">
        <v>214934</v>
      </c>
      <c r="N35" s="41">
        <v>60650</v>
      </c>
      <c r="O35" s="41">
        <v>54419174</v>
      </c>
      <c r="P35" s="41">
        <v>250518</v>
      </c>
      <c r="Q35" s="41">
        <v>0</v>
      </c>
      <c r="R35" s="41">
        <v>0</v>
      </c>
      <c r="S35" s="41">
        <v>0</v>
      </c>
      <c r="T35" s="41">
        <v>0</v>
      </c>
      <c r="U35" s="41">
        <v>0</v>
      </c>
      <c r="V35" s="41">
        <v>0</v>
      </c>
      <c r="W35" s="41">
        <v>0</v>
      </c>
      <c r="X35" s="41">
        <v>0</v>
      </c>
      <c r="Y35" s="41">
        <v>38959787979</v>
      </c>
      <c r="Z35" s="41">
        <v>5075419779</v>
      </c>
      <c r="AA35" s="43">
        <v>33884368200</v>
      </c>
    </row>
    <row r="36" spans="1:27" x14ac:dyDescent="0.2">
      <c r="A36" s="40" t="s">
        <v>32</v>
      </c>
      <c r="B36" s="41">
        <v>260869579</v>
      </c>
      <c r="C36" s="41">
        <v>172924277</v>
      </c>
      <c r="D36" s="41">
        <v>15092918</v>
      </c>
      <c r="E36" s="41">
        <v>18234881</v>
      </c>
      <c r="F36" s="41">
        <v>475557085</v>
      </c>
      <c r="G36" s="41">
        <v>181308194</v>
      </c>
      <c r="H36" s="41">
        <v>6458215</v>
      </c>
      <c r="I36" s="41">
        <v>71437821</v>
      </c>
      <c r="J36" s="41">
        <v>304913</v>
      </c>
      <c r="K36" s="41">
        <v>0</v>
      </c>
      <c r="L36" s="41">
        <v>0</v>
      </c>
      <c r="M36" s="41">
        <v>19875</v>
      </c>
      <c r="N36" s="41">
        <v>145405</v>
      </c>
      <c r="O36" s="41">
        <v>1648084</v>
      </c>
      <c r="P36" s="41">
        <v>0</v>
      </c>
      <c r="Q36" s="41">
        <v>3980995</v>
      </c>
      <c r="R36" s="41">
        <v>0</v>
      </c>
      <c r="S36" s="41">
        <v>0</v>
      </c>
      <c r="T36" s="41">
        <v>0</v>
      </c>
      <c r="U36" s="41">
        <v>199520</v>
      </c>
      <c r="V36" s="41">
        <v>0</v>
      </c>
      <c r="W36" s="41">
        <v>0</v>
      </c>
      <c r="X36" s="41">
        <v>0</v>
      </c>
      <c r="Y36" s="41">
        <v>3788052460</v>
      </c>
      <c r="Z36" s="41">
        <v>1207982242</v>
      </c>
      <c r="AA36" s="43">
        <v>2580070218</v>
      </c>
    </row>
    <row r="37" spans="1:27" x14ac:dyDescent="0.2">
      <c r="A37" s="40" t="s">
        <v>33</v>
      </c>
      <c r="B37" s="41">
        <v>100688938</v>
      </c>
      <c r="C37" s="41">
        <v>82672265</v>
      </c>
      <c r="D37" s="41">
        <v>2751269</v>
      </c>
      <c r="E37" s="41">
        <v>13020206</v>
      </c>
      <c r="F37" s="41">
        <v>112648466</v>
      </c>
      <c r="G37" s="41">
        <v>33845167</v>
      </c>
      <c r="H37" s="41">
        <v>2786919</v>
      </c>
      <c r="I37" s="41">
        <v>22611363</v>
      </c>
      <c r="J37" s="41">
        <v>55099483</v>
      </c>
      <c r="K37" s="41">
        <v>0</v>
      </c>
      <c r="L37" s="41">
        <v>0</v>
      </c>
      <c r="M37" s="41">
        <v>15641</v>
      </c>
      <c r="N37" s="41">
        <v>403603</v>
      </c>
      <c r="O37" s="41">
        <v>235070</v>
      </c>
      <c r="P37" s="41">
        <v>0</v>
      </c>
      <c r="Q37" s="41">
        <v>0</v>
      </c>
      <c r="R37" s="41">
        <v>0</v>
      </c>
      <c r="S37" s="41">
        <v>0</v>
      </c>
      <c r="T37" s="41">
        <v>0</v>
      </c>
      <c r="U37" s="41">
        <v>0</v>
      </c>
      <c r="V37" s="41">
        <v>0</v>
      </c>
      <c r="W37" s="41">
        <v>0</v>
      </c>
      <c r="X37" s="41">
        <v>0</v>
      </c>
      <c r="Y37" s="41">
        <v>1659339499</v>
      </c>
      <c r="Z37" s="41">
        <v>426778390</v>
      </c>
      <c r="AA37" s="43">
        <v>1232561109</v>
      </c>
    </row>
    <row r="38" spans="1:27" x14ac:dyDescent="0.2">
      <c r="A38" s="40" t="s">
        <v>34</v>
      </c>
      <c r="B38" s="41">
        <v>44424033</v>
      </c>
      <c r="C38" s="41">
        <v>32781012</v>
      </c>
      <c r="D38" s="41">
        <v>963828</v>
      </c>
      <c r="E38" s="41">
        <v>2966849</v>
      </c>
      <c r="F38" s="41">
        <v>99148787</v>
      </c>
      <c r="G38" s="41">
        <v>17656920</v>
      </c>
      <c r="H38" s="41">
        <v>1057013</v>
      </c>
      <c r="I38" s="41">
        <v>10013061</v>
      </c>
      <c r="J38" s="41">
        <v>250937</v>
      </c>
      <c r="K38" s="41">
        <v>0</v>
      </c>
      <c r="L38" s="41">
        <v>0</v>
      </c>
      <c r="M38" s="41">
        <v>0</v>
      </c>
      <c r="N38" s="41">
        <v>0</v>
      </c>
      <c r="O38" s="41">
        <v>0</v>
      </c>
      <c r="P38" s="41">
        <v>0</v>
      </c>
      <c r="Q38" s="41">
        <v>0</v>
      </c>
      <c r="R38" s="41">
        <v>0</v>
      </c>
      <c r="S38" s="41">
        <v>0</v>
      </c>
      <c r="T38" s="41">
        <v>0</v>
      </c>
      <c r="U38" s="41">
        <v>0</v>
      </c>
      <c r="V38" s="41">
        <v>0</v>
      </c>
      <c r="W38" s="41">
        <v>0</v>
      </c>
      <c r="X38" s="41">
        <v>0</v>
      </c>
      <c r="Y38" s="41">
        <v>625796383</v>
      </c>
      <c r="Z38" s="41">
        <v>209262440</v>
      </c>
      <c r="AA38" s="43">
        <v>416533943</v>
      </c>
    </row>
    <row r="39" spans="1:27" x14ac:dyDescent="0.2">
      <c r="A39" s="40" t="s">
        <v>35</v>
      </c>
      <c r="B39" s="41">
        <v>2881283421</v>
      </c>
      <c r="C39" s="41">
        <v>2860318577</v>
      </c>
      <c r="D39" s="41">
        <v>307459712</v>
      </c>
      <c r="E39" s="41">
        <v>122167412</v>
      </c>
      <c r="F39" s="41">
        <v>1275149788</v>
      </c>
      <c r="G39" s="41">
        <v>1912853632</v>
      </c>
      <c r="H39" s="41">
        <v>46173273</v>
      </c>
      <c r="I39" s="41">
        <v>1051408858</v>
      </c>
      <c r="J39" s="41">
        <v>26521488</v>
      </c>
      <c r="K39" s="41">
        <v>0</v>
      </c>
      <c r="L39" s="41">
        <v>0</v>
      </c>
      <c r="M39" s="41">
        <v>18085</v>
      </c>
      <c r="N39" s="41">
        <v>0</v>
      </c>
      <c r="O39" s="41">
        <v>37610942</v>
      </c>
      <c r="P39" s="41">
        <v>330289</v>
      </c>
      <c r="Q39" s="41">
        <v>15419859</v>
      </c>
      <c r="R39" s="41">
        <v>19599030</v>
      </c>
      <c r="S39" s="41">
        <v>0</v>
      </c>
      <c r="T39" s="41">
        <v>30706556</v>
      </c>
      <c r="U39" s="41">
        <v>1785804</v>
      </c>
      <c r="V39" s="41">
        <v>0</v>
      </c>
      <c r="W39" s="41">
        <v>0</v>
      </c>
      <c r="X39" s="41">
        <v>0</v>
      </c>
      <c r="Y39" s="41">
        <v>59250762878</v>
      </c>
      <c r="Z39" s="41">
        <v>10536715336</v>
      </c>
      <c r="AA39" s="43">
        <v>48714047542</v>
      </c>
    </row>
    <row r="40" spans="1:27" x14ac:dyDescent="0.2">
      <c r="A40" s="40" t="s">
        <v>36</v>
      </c>
      <c r="B40" s="41">
        <v>5424297534</v>
      </c>
      <c r="C40" s="41">
        <v>5434396380</v>
      </c>
      <c r="D40" s="41">
        <v>329411750</v>
      </c>
      <c r="E40" s="41">
        <v>374861490</v>
      </c>
      <c r="F40" s="41">
        <v>6769795738</v>
      </c>
      <c r="G40" s="41">
        <v>4302035714</v>
      </c>
      <c r="H40" s="41">
        <v>102057960</v>
      </c>
      <c r="I40" s="41">
        <v>1036651406</v>
      </c>
      <c r="J40" s="41">
        <v>9206412</v>
      </c>
      <c r="K40" s="41">
        <v>0</v>
      </c>
      <c r="L40" s="41">
        <v>0</v>
      </c>
      <c r="M40" s="41">
        <v>10730</v>
      </c>
      <c r="N40" s="41">
        <v>0</v>
      </c>
      <c r="O40" s="41">
        <v>131861793</v>
      </c>
      <c r="P40" s="41">
        <v>289628</v>
      </c>
      <c r="Q40" s="41">
        <v>2608735</v>
      </c>
      <c r="R40" s="41">
        <v>14263397</v>
      </c>
      <c r="S40" s="41">
        <v>0</v>
      </c>
      <c r="T40" s="41">
        <v>562237609</v>
      </c>
      <c r="U40" s="41">
        <v>0</v>
      </c>
      <c r="V40" s="41">
        <v>0</v>
      </c>
      <c r="W40" s="41"/>
      <c r="X40" s="41"/>
      <c r="Y40" s="41">
        <v>180275594336</v>
      </c>
      <c r="Z40" s="41">
        <v>23931748667</v>
      </c>
      <c r="AA40" s="43">
        <v>156343845669</v>
      </c>
    </row>
    <row r="41" spans="1:27" x14ac:dyDescent="0.2">
      <c r="A41" s="40" t="s">
        <v>37</v>
      </c>
      <c r="B41" s="41">
        <v>1449293176</v>
      </c>
      <c r="C41" s="41">
        <v>1417769793</v>
      </c>
      <c r="D41" s="41">
        <v>35934197</v>
      </c>
      <c r="E41" s="41">
        <v>121824763</v>
      </c>
      <c r="F41" s="41">
        <v>7556074546</v>
      </c>
      <c r="G41" s="41">
        <v>1464016593</v>
      </c>
      <c r="H41" s="41">
        <v>22821566</v>
      </c>
      <c r="I41" s="41">
        <v>366447092</v>
      </c>
      <c r="J41" s="41">
        <v>126937928</v>
      </c>
      <c r="K41" s="41">
        <v>8341989</v>
      </c>
      <c r="L41" s="41">
        <v>0</v>
      </c>
      <c r="M41" s="41">
        <v>0</v>
      </c>
      <c r="N41" s="41">
        <v>2224736</v>
      </c>
      <c r="O41" s="41">
        <v>29245999</v>
      </c>
      <c r="P41" s="41">
        <v>10140</v>
      </c>
      <c r="Q41" s="41">
        <v>28615805</v>
      </c>
      <c r="R41" s="41">
        <v>26906228</v>
      </c>
      <c r="S41" s="41">
        <v>0</v>
      </c>
      <c r="T41" s="41">
        <v>7244410</v>
      </c>
      <c r="U41" s="41">
        <v>0</v>
      </c>
      <c r="V41" s="41">
        <v>0</v>
      </c>
      <c r="W41" s="41">
        <v>0</v>
      </c>
      <c r="X41" s="41">
        <v>0</v>
      </c>
      <c r="Y41" s="41">
        <v>41391887025</v>
      </c>
      <c r="Z41" s="41">
        <v>12656464551</v>
      </c>
      <c r="AA41" s="43">
        <v>28735422474</v>
      </c>
    </row>
    <row r="42" spans="1:27" x14ac:dyDescent="0.2">
      <c r="A42" s="40" t="s">
        <v>38</v>
      </c>
      <c r="B42" s="41">
        <v>340230933</v>
      </c>
      <c r="C42" s="41">
        <v>267805695</v>
      </c>
      <c r="D42" s="41">
        <v>39078754</v>
      </c>
      <c r="E42" s="41">
        <v>27022319</v>
      </c>
      <c r="F42" s="41">
        <v>347754286</v>
      </c>
      <c r="G42" s="41">
        <v>118084128</v>
      </c>
      <c r="H42" s="41">
        <v>6450000</v>
      </c>
      <c r="I42" s="41">
        <v>103407173</v>
      </c>
      <c r="J42" s="41">
        <v>5482765</v>
      </c>
      <c r="K42" s="41">
        <v>884593</v>
      </c>
      <c r="L42" s="41">
        <v>0</v>
      </c>
      <c r="M42" s="41">
        <v>5544</v>
      </c>
      <c r="N42" s="41">
        <v>0</v>
      </c>
      <c r="O42" s="41">
        <v>7000847</v>
      </c>
      <c r="P42" s="41">
        <v>0</v>
      </c>
      <c r="Q42" s="41">
        <v>0</v>
      </c>
      <c r="R42" s="41">
        <v>234823143</v>
      </c>
      <c r="S42" s="41">
        <v>0</v>
      </c>
      <c r="T42" s="41">
        <v>0</v>
      </c>
      <c r="U42" s="41">
        <v>0</v>
      </c>
      <c r="V42" s="41">
        <v>0</v>
      </c>
      <c r="W42" s="41">
        <v>0</v>
      </c>
      <c r="X42" s="41">
        <v>0</v>
      </c>
      <c r="Y42" s="41">
        <v>5245472151</v>
      </c>
      <c r="Z42" s="41">
        <v>1498030180</v>
      </c>
      <c r="AA42" s="43">
        <v>3747441971</v>
      </c>
    </row>
    <row r="43" spans="1:27" x14ac:dyDescent="0.2">
      <c r="A43" s="40" t="s">
        <v>39</v>
      </c>
      <c r="B43" s="41">
        <v>38658191</v>
      </c>
      <c r="C43" s="41">
        <v>23395048</v>
      </c>
      <c r="D43" s="41">
        <v>2344804</v>
      </c>
      <c r="E43" s="41">
        <v>2281842</v>
      </c>
      <c r="F43" s="41">
        <v>348047984</v>
      </c>
      <c r="G43" s="41">
        <v>23193280</v>
      </c>
      <c r="H43" s="41">
        <v>537503</v>
      </c>
      <c r="I43" s="41">
        <v>7833607</v>
      </c>
      <c r="J43" s="41">
        <v>413982</v>
      </c>
      <c r="K43" s="41">
        <v>0</v>
      </c>
      <c r="L43" s="41">
        <v>1367</v>
      </c>
      <c r="M43" s="41">
        <v>0</v>
      </c>
      <c r="N43" s="41">
        <v>0</v>
      </c>
      <c r="O43" s="41">
        <v>0</v>
      </c>
      <c r="P43" s="41">
        <v>0</v>
      </c>
      <c r="Q43" s="41">
        <v>0</v>
      </c>
      <c r="R43" s="41">
        <v>769610</v>
      </c>
      <c r="S43" s="41">
        <v>0</v>
      </c>
      <c r="T43" s="41">
        <v>0</v>
      </c>
      <c r="U43" s="41">
        <v>0</v>
      </c>
      <c r="V43" s="41">
        <v>0</v>
      </c>
      <c r="W43" s="41">
        <v>0</v>
      </c>
      <c r="X43" s="41">
        <v>0</v>
      </c>
      <c r="Y43" s="41">
        <v>849561712</v>
      </c>
      <c r="Z43" s="41">
        <v>447477218</v>
      </c>
      <c r="AA43" s="43">
        <v>402084494</v>
      </c>
    </row>
    <row r="44" spans="1:27" x14ac:dyDescent="0.2">
      <c r="A44" s="40" t="s">
        <v>40</v>
      </c>
      <c r="B44" s="41">
        <v>106718532</v>
      </c>
      <c r="C44" s="41">
        <v>76242325</v>
      </c>
      <c r="D44" s="41">
        <v>11640357</v>
      </c>
      <c r="E44" s="41">
        <v>13388986</v>
      </c>
      <c r="F44" s="41">
        <v>96242491</v>
      </c>
      <c r="G44" s="41">
        <v>68993045</v>
      </c>
      <c r="H44" s="41">
        <v>2742220</v>
      </c>
      <c r="I44" s="41">
        <v>24864363</v>
      </c>
      <c r="J44" s="41">
        <v>18421726</v>
      </c>
      <c r="K44" s="41">
        <v>72346</v>
      </c>
      <c r="L44" s="41">
        <v>0</v>
      </c>
      <c r="M44" s="41">
        <v>0</v>
      </c>
      <c r="N44" s="41">
        <v>261854</v>
      </c>
      <c r="O44" s="41">
        <v>557211</v>
      </c>
      <c r="P44" s="41">
        <v>88669</v>
      </c>
      <c r="Q44" s="41">
        <v>1360509</v>
      </c>
      <c r="R44" s="41"/>
      <c r="S44" s="41">
        <v>0</v>
      </c>
      <c r="T44" s="41">
        <v>0</v>
      </c>
      <c r="U44" s="41">
        <v>0</v>
      </c>
      <c r="V44" s="41">
        <v>0</v>
      </c>
      <c r="W44" s="41"/>
      <c r="X44" s="41"/>
      <c r="Y44" s="41">
        <v>1863256158</v>
      </c>
      <c r="Z44" s="41">
        <v>421594634</v>
      </c>
      <c r="AA44" s="43">
        <v>1441661524</v>
      </c>
    </row>
    <row r="45" spans="1:27" x14ac:dyDescent="0.2">
      <c r="A45" s="40" t="s">
        <v>41</v>
      </c>
      <c r="B45" s="41">
        <v>2768396019</v>
      </c>
      <c r="C45" s="41">
        <v>2795268855</v>
      </c>
      <c r="D45" s="41">
        <v>67812752</v>
      </c>
      <c r="E45" s="41">
        <v>138790404</v>
      </c>
      <c r="F45" s="41">
        <v>2168413388</v>
      </c>
      <c r="G45" s="41">
        <v>1584327909</v>
      </c>
      <c r="H45" s="41">
        <v>62009222</v>
      </c>
      <c r="I45" s="41">
        <v>911585502</v>
      </c>
      <c r="J45" s="41">
        <v>0</v>
      </c>
      <c r="K45" s="41">
        <v>0</v>
      </c>
      <c r="L45" s="41">
        <v>51783608</v>
      </c>
      <c r="M45" s="41">
        <v>0</v>
      </c>
      <c r="N45" s="41">
        <v>946465</v>
      </c>
      <c r="O45" s="41">
        <v>71698862</v>
      </c>
      <c r="P45" s="41">
        <v>117538</v>
      </c>
      <c r="Q45" s="41">
        <v>0</v>
      </c>
      <c r="R45" s="41">
        <v>0</v>
      </c>
      <c r="S45" s="41">
        <v>0</v>
      </c>
      <c r="T45" s="41">
        <v>37613135</v>
      </c>
      <c r="U45" s="41">
        <v>0</v>
      </c>
      <c r="V45" s="41">
        <v>0</v>
      </c>
      <c r="W45" s="41">
        <v>0</v>
      </c>
      <c r="X45" s="41">
        <v>0</v>
      </c>
      <c r="Y45" s="41">
        <v>91191709877</v>
      </c>
      <c r="Z45" s="41">
        <v>10621150524</v>
      </c>
      <c r="AA45" s="43">
        <v>80570559353</v>
      </c>
    </row>
    <row r="46" spans="1:27" x14ac:dyDescent="0.2">
      <c r="A46" s="40" t="s">
        <v>42</v>
      </c>
      <c r="B46" s="41">
        <v>2941898950</v>
      </c>
      <c r="C46" s="41">
        <v>2723660448</v>
      </c>
      <c r="D46" s="41">
        <v>0</v>
      </c>
      <c r="E46" s="41">
        <v>132625754</v>
      </c>
      <c r="F46" s="41">
        <v>1833180851</v>
      </c>
      <c r="G46" s="41">
        <v>2163627216</v>
      </c>
      <c r="H46" s="41">
        <v>65381800</v>
      </c>
      <c r="I46" s="41">
        <v>1054284448</v>
      </c>
      <c r="J46" s="41">
        <v>25589323</v>
      </c>
      <c r="K46" s="41">
        <v>0</v>
      </c>
      <c r="L46" s="41">
        <v>0</v>
      </c>
      <c r="M46" s="41">
        <v>71080</v>
      </c>
      <c r="N46" s="41">
        <v>2848286</v>
      </c>
      <c r="O46" s="41">
        <v>72113310</v>
      </c>
      <c r="P46" s="41">
        <v>157005</v>
      </c>
      <c r="Q46" s="41">
        <v>11588457</v>
      </c>
      <c r="R46" s="41">
        <v>5462429</v>
      </c>
      <c r="S46" s="41">
        <v>0</v>
      </c>
      <c r="T46" s="41">
        <v>10644729</v>
      </c>
      <c r="U46" s="41">
        <v>1764294</v>
      </c>
      <c r="V46" s="41">
        <v>0</v>
      </c>
      <c r="W46" s="41">
        <v>0</v>
      </c>
      <c r="X46" s="41">
        <v>0</v>
      </c>
      <c r="Y46" s="41">
        <v>52908104079</v>
      </c>
      <c r="Z46" s="41">
        <v>11032489357</v>
      </c>
      <c r="AA46" s="43">
        <v>41875614722</v>
      </c>
    </row>
    <row r="47" spans="1:27" x14ac:dyDescent="0.2">
      <c r="A47" s="40" t="s">
        <v>43</v>
      </c>
      <c r="B47" s="41">
        <v>1237859172</v>
      </c>
      <c r="C47" s="41">
        <v>1234644921</v>
      </c>
      <c r="D47" s="41">
        <v>57681894</v>
      </c>
      <c r="E47" s="41">
        <v>71487293</v>
      </c>
      <c r="F47" s="41">
        <v>1154493823</v>
      </c>
      <c r="G47" s="41">
        <v>835251713</v>
      </c>
      <c r="H47" s="41">
        <v>20933096</v>
      </c>
      <c r="I47" s="41">
        <v>278684382</v>
      </c>
      <c r="J47" s="41">
        <v>3212375</v>
      </c>
      <c r="K47" s="41">
        <v>614019</v>
      </c>
      <c r="L47" s="41">
        <v>0</v>
      </c>
      <c r="M47" s="41">
        <v>0</v>
      </c>
      <c r="N47" s="41">
        <v>3683845</v>
      </c>
      <c r="O47" s="41">
        <v>33238513</v>
      </c>
      <c r="P47" s="41">
        <v>115142</v>
      </c>
      <c r="Q47" s="41">
        <v>17861435</v>
      </c>
      <c r="R47" s="41">
        <v>266847043</v>
      </c>
      <c r="S47" s="41">
        <v>0</v>
      </c>
      <c r="T47" s="41">
        <v>0</v>
      </c>
      <c r="U47" s="41">
        <v>0</v>
      </c>
      <c r="V47" s="41">
        <v>0</v>
      </c>
      <c r="W47" s="41"/>
      <c r="X47" s="41"/>
      <c r="Y47" s="41">
        <v>47038773654</v>
      </c>
      <c r="Z47" s="41">
        <v>5216608666</v>
      </c>
      <c r="AA47" s="43">
        <v>41822164988</v>
      </c>
    </row>
    <row r="48" spans="1:27" x14ac:dyDescent="0.2">
      <c r="A48" s="40" t="s">
        <v>44</v>
      </c>
      <c r="B48" s="41">
        <v>388006266</v>
      </c>
      <c r="C48" s="41">
        <v>407814213</v>
      </c>
      <c r="D48" s="41">
        <v>28730244</v>
      </c>
      <c r="E48" s="41">
        <v>86535664</v>
      </c>
      <c r="F48" s="41">
        <v>4507613981</v>
      </c>
      <c r="G48" s="41">
        <v>1038454919</v>
      </c>
      <c r="H48" s="41">
        <v>7365000</v>
      </c>
      <c r="I48" s="41">
        <v>283325027</v>
      </c>
      <c r="J48" s="41">
        <v>0</v>
      </c>
      <c r="K48" s="41">
        <v>0</v>
      </c>
      <c r="L48" s="41">
        <v>0</v>
      </c>
      <c r="M48" s="41">
        <v>0</v>
      </c>
      <c r="N48" s="41">
        <v>0</v>
      </c>
      <c r="O48" s="41">
        <v>10408828</v>
      </c>
      <c r="P48" s="41">
        <v>1052707</v>
      </c>
      <c r="Q48" s="41">
        <v>1004385</v>
      </c>
      <c r="R48" s="41">
        <v>0</v>
      </c>
      <c r="S48" s="41">
        <v>0</v>
      </c>
      <c r="T48" s="41">
        <v>0</v>
      </c>
      <c r="U48" s="41">
        <v>0</v>
      </c>
      <c r="V48" s="41">
        <v>0</v>
      </c>
      <c r="W48" s="41">
        <v>0</v>
      </c>
      <c r="X48" s="41">
        <v>0</v>
      </c>
      <c r="Y48" s="41">
        <v>59940240311</v>
      </c>
      <c r="Z48" s="41">
        <v>6760311234</v>
      </c>
      <c r="AA48" s="43">
        <v>53179929077</v>
      </c>
    </row>
    <row r="49" spans="1:27" x14ac:dyDescent="0.2">
      <c r="A49" s="40" t="s">
        <v>45</v>
      </c>
      <c r="B49" s="41">
        <v>759076083</v>
      </c>
      <c r="C49" s="41">
        <v>762841084</v>
      </c>
      <c r="D49" s="41">
        <v>34450336</v>
      </c>
      <c r="E49" s="41">
        <v>32235787</v>
      </c>
      <c r="F49" s="41">
        <v>1294803290</v>
      </c>
      <c r="G49" s="41">
        <v>441566819</v>
      </c>
      <c r="H49" s="41">
        <v>14774287</v>
      </c>
      <c r="I49" s="41">
        <v>721495483</v>
      </c>
      <c r="J49" s="41">
        <v>8982360</v>
      </c>
      <c r="K49" s="41">
        <v>0</v>
      </c>
      <c r="L49" s="41">
        <v>0</v>
      </c>
      <c r="M49" s="41">
        <v>608660</v>
      </c>
      <c r="N49" s="41">
        <v>0</v>
      </c>
      <c r="O49" s="41">
        <v>19234856</v>
      </c>
      <c r="P49" s="41">
        <v>2503300</v>
      </c>
      <c r="Q49" s="41">
        <v>12236527</v>
      </c>
      <c r="R49" s="41">
        <v>0</v>
      </c>
      <c r="S49" s="41">
        <v>0</v>
      </c>
      <c r="T49" s="41">
        <v>0</v>
      </c>
      <c r="U49" s="41">
        <v>0</v>
      </c>
      <c r="V49" s="41">
        <v>0</v>
      </c>
      <c r="W49" s="41">
        <v>0</v>
      </c>
      <c r="X49" s="41">
        <v>0</v>
      </c>
      <c r="Y49" s="41">
        <v>23849068731</v>
      </c>
      <c r="Z49" s="41">
        <v>4104808872</v>
      </c>
      <c r="AA49" s="43">
        <v>19744259859</v>
      </c>
    </row>
    <row r="50" spans="1:27" x14ac:dyDescent="0.2">
      <c r="A50" s="40" t="s">
        <v>46</v>
      </c>
      <c r="B50" s="41">
        <v>1296416399</v>
      </c>
      <c r="C50" s="41">
        <v>1155375046</v>
      </c>
      <c r="D50" s="41">
        <v>73079690</v>
      </c>
      <c r="E50" s="41">
        <v>78073688</v>
      </c>
      <c r="F50" s="41">
        <v>2387756148</v>
      </c>
      <c r="G50" s="41">
        <v>475892574</v>
      </c>
      <c r="H50" s="41">
        <v>20733051</v>
      </c>
      <c r="I50" s="41">
        <v>1925601841</v>
      </c>
      <c r="J50" s="41">
        <v>750248</v>
      </c>
      <c r="K50" s="41">
        <v>0</v>
      </c>
      <c r="L50" s="41">
        <v>6017160</v>
      </c>
      <c r="M50" s="41">
        <v>0</v>
      </c>
      <c r="N50" s="41">
        <v>0</v>
      </c>
      <c r="O50" s="41">
        <v>94385788</v>
      </c>
      <c r="P50" s="41">
        <v>21597549</v>
      </c>
      <c r="Q50" s="41">
        <v>0</v>
      </c>
      <c r="R50" s="41">
        <v>316083830</v>
      </c>
      <c r="S50" s="41">
        <v>0</v>
      </c>
      <c r="T50" s="41">
        <v>0</v>
      </c>
      <c r="U50" s="41">
        <v>0</v>
      </c>
      <c r="V50" s="41">
        <v>0</v>
      </c>
      <c r="W50" s="41">
        <v>0</v>
      </c>
      <c r="X50" s="41">
        <v>0</v>
      </c>
      <c r="Y50" s="41">
        <v>39391789554</v>
      </c>
      <c r="Z50" s="41">
        <v>7851763012</v>
      </c>
      <c r="AA50" s="43">
        <v>31540026542</v>
      </c>
    </row>
    <row r="51" spans="1:27" x14ac:dyDescent="0.2">
      <c r="A51" s="40" t="s">
        <v>47</v>
      </c>
      <c r="B51" s="41">
        <v>227986747</v>
      </c>
      <c r="C51" s="41">
        <v>184381804</v>
      </c>
      <c r="D51" s="41">
        <v>20296791</v>
      </c>
      <c r="E51" s="41">
        <v>42875674</v>
      </c>
      <c r="F51" s="41">
        <v>590252354</v>
      </c>
      <c r="G51" s="41">
        <v>116899225</v>
      </c>
      <c r="H51" s="41">
        <v>4972567</v>
      </c>
      <c r="I51" s="41">
        <v>45535180</v>
      </c>
      <c r="J51" s="41">
        <v>10556036</v>
      </c>
      <c r="K51" s="41">
        <v>0</v>
      </c>
      <c r="L51" s="41">
        <v>225883802</v>
      </c>
      <c r="M51" s="41">
        <v>47000</v>
      </c>
      <c r="N51" s="41">
        <v>0</v>
      </c>
      <c r="O51" s="41">
        <v>2218240</v>
      </c>
      <c r="P51" s="41">
        <v>0</v>
      </c>
      <c r="Q51" s="41">
        <v>0</v>
      </c>
      <c r="R51" s="41">
        <v>449644733</v>
      </c>
      <c r="S51" s="41">
        <v>0</v>
      </c>
      <c r="T51" s="41">
        <v>0</v>
      </c>
      <c r="U51" s="41">
        <v>0</v>
      </c>
      <c r="V51" s="41">
        <v>0</v>
      </c>
      <c r="W51" s="41">
        <v>0</v>
      </c>
      <c r="X51" s="41">
        <v>0</v>
      </c>
      <c r="Y51" s="41">
        <v>7023919890</v>
      </c>
      <c r="Z51" s="41">
        <v>1921550153</v>
      </c>
      <c r="AA51" s="43">
        <v>5102369737</v>
      </c>
    </row>
    <row r="52" spans="1:27" x14ac:dyDescent="0.2">
      <c r="A52" s="40" t="s">
        <v>48</v>
      </c>
      <c r="B52" s="41">
        <v>6435720102</v>
      </c>
      <c r="C52" s="41">
        <v>6244854046</v>
      </c>
      <c r="D52" s="41">
        <v>272774717</v>
      </c>
      <c r="E52" s="41">
        <v>512648555</v>
      </c>
      <c r="F52" s="41">
        <v>22246630329</v>
      </c>
      <c r="G52" s="41">
        <v>18862570699</v>
      </c>
      <c r="H52" s="41">
        <v>60677946</v>
      </c>
      <c r="I52" s="41">
        <v>254388972</v>
      </c>
      <c r="J52" s="41">
        <v>12548628</v>
      </c>
      <c r="K52" s="41">
        <v>0</v>
      </c>
      <c r="L52" s="41">
        <v>326794254</v>
      </c>
      <c r="M52" s="41">
        <v>88931</v>
      </c>
      <c r="N52" s="41">
        <v>0</v>
      </c>
      <c r="O52" s="41">
        <v>2052290448</v>
      </c>
      <c r="P52" s="41">
        <v>946635</v>
      </c>
      <c r="Q52" s="41">
        <v>15236836</v>
      </c>
      <c r="R52" s="41">
        <v>125161501</v>
      </c>
      <c r="S52" s="41">
        <v>0</v>
      </c>
      <c r="T52" s="41">
        <v>0</v>
      </c>
      <c r="U52" s="41">
        <v>0</v>
      </c>
      <c r="V52" s="41">
        <v>0</v>
      </c>
      <c r="W52" s="41">
        <v>0</v>
      </c>
      <c r="X52" s="41">
        <v>0</v>
      </c>
      <c r="Y52" s="41">
        <v>308948957943</v>
      </c>
      <c r="Z52" s="41">
        <v>57423332599</v>
      </c>
      <c r="AA52" s="43">
        <v>251525625344</v>
      </c>
    </row>
    <row r="53" spans="1:27" x14ac:dyDescent="0.2">
      <c r="A53" s="40" t="s">
        <v>49</v>
      </c>
      <c r="B53" s="41">
        <v>2199637388</v>
      </c>
      <c r="C53" s="41">
        <v>2144309971</v>
      </c>
      <c r="D53" s="41">
        <v>140088404</v>
      </c>
      <c r="E53" s="41">
        <v>145254864</v>
      </c>
      <c r="F53" s="41">
        <v>4170727295</v>
      </c>
      <c r="G53" s="41">
        <v>1834166145</v>
      </c>
      <c r="H53" s="41">
        <v>21420743</v>
      </c>
      <c r="I53" s="41">
        <v>1149935579</v>
      </c>
      <c r="J53" s="41">
        <v>3637411</v>
      </c>
      <c r="K53" s="41">
        <v>0</v>
      </c>
      <c r="L53" s="41">
        <v>0</v>
      </c>
      <c r="M53" s="41">
        <v>405100</v>
      </c>
      <c r="N53" s="41">
        <v>1399460</v>
      </c>
      <c r="O53" s="41">
        <v>6470131</v>
      </c>
      <c r="P53" s="41">
        <v>1002334</v>
      </c>
      <c r="Q53" s="41">
        <v>10836611</v>
      </c>
      <c r="R53" s="41">
        <v>0</v>
      </c>
      <c r="S53" s="41">
        <v>0</v>
      </c>
      <c r="T53" s="41">
        <v>108033155</v>
      </c>
      <c r="U53" s="41">
        <v>0</v>
      </c>
      <c r="V53" s="41">
        <v>0</v>
      </c>
      <c r="W53" s="41"/>
      <c r="X53" s="41"/>
      <c r="Y53" s="41">
        <v>73070379796</v>
      </c>
      <c r="Z53" s="41">
        <v>11829291436</v>
      </c>
      <c r="AA53" s="43">
        <v>61241088360</v>
      </c>
    </row>
    <row r="54" spans="1:27" x14ac:dyDescent="0.2">
      <c r="A54" s="40" t="s">
        <v>50</v>
      </c>
      <c r="B54" s="41">
        <v>9119699494</v>
      </c>
      <c r="C54" s="41">
        <v>9042609631</v>
      </c>
      <c r="D54" s="41">
        <v>367692905</v>
      </c>
      <c r="E54" s="41">
        <v>372121408</v>
      </c>
      <c r="F54" s="41">
        <v>17986802211</v>
      </c>
      <c r="G54" s="41">
        <v>7584286028</v>
      </c>
      <c r="H54" s="41">
        <v>184330053</v>
      </c>
      <c r="I54" s="41">
        <v>1771681228</v>
      </c>
      <c r="J54" s="41">
        <v>16517835</v>
      </c>
      <c r="K54" s="41">
        <v>96642239</v>
      </c>
      <c r="L54" s="41">
        <v>97018782</v>
      </c>
      <c r="M54" s="41">
        <v>55976</v>
      </c>
      <c r="N54" s="41">
        <v>9395954</v>
      </c>
      <c r="O54" s="41">
        <v>86077365</v>
      </c>
      <c r="P54" s="41">
        <v>366935</v>
      </c>
      <c r="Q54" s="41">
        <v>0</v>
      </c>
      <c r="R54" s="41">
        <v>267941925</v>
      </c>
      <c r="S54" s="41">
        <v>0</v>
      </c>
      <c r="T54" s="41">
        <v>331041356</v>
      </c>
      <c r="U54" s="41">
        <v>0</v>
      </c>
      <c r="V54" s="41">
        <v>0</v>
      </c>
      <c r="W54" s="41">
        <v>0</v>
      </c>
      <c r="X54" s="41">
        <v>0</v>
      </c>
      <c r="Y54" s="41">
        <v>414371400643</v>
      </c>
      <c r="Z54" s="41">
        <v>47003239969</v>
      </c>
      <c r="AA54" s="43">
        <v>367368160674</v>
      </c>
    </row>
    <row r="55" spans="1:27" x14ac:dyDescent="0.2">
      <c r="A55" s="40" t="s">
        <v>51</v>
      </c>
      <c r="B55" s="41">
        <v>4284865221</v>
      </c>
      <c r="C55" s="41">
        <v>4072399165</v>
      </c>
      <c r="D55" s="41">
        <v>88573423</v>
      </c>
      <c r="E55" s="41">
        <v>113676022</v>
      </c>
      <c r="F55" s="41">
        <v>1694687229</v>
      </c>
      <c r="G55" s="41">
        <v>2572572246</v>
      </c>
      <c r="H55" s="41">
        <v>76238933</v>
      </c>
      <c r="I55" s="41">
        <v>1813693956</v>
      </c>
      <c r="J55" s="41">
        <v>9703562</v>
      </c>
      <c r="K55" s="41">
        <v>0</v>
      </c>
      <c r="L55" s="41">
        <v>840</v>
      </c>
      <c r="M55" s="41">
        <v>408952</v>
      </c>
      <c r="N55" s="41">
        <v>525606</v>
      </c>
      <c r="O55" s="41">
        <v>50125075</v>
      </c>
      <c r="P55" s="41">
        <v>1746338</v>
      </c>
      <c r="Q55" s="41">
        <v>0</v>
      </c>
      <c r="R55" s="41">
        <v>0</v>
      </c>
      <c r="S55" s="41">
        <v>0</v>
      </c>
      <c r="T55" s="41">
        <v>0</v>
      </c>
      <c r="U55" s="41">
        <v>0</v>
      </c>
      <c r="V55" s="41">
        <v>0</v>
      </c>
      <c r="W55" s="41">
        <v>0</v>
      </c>
      <c r="X55" s="41">
        <v>0</v>
      </c>
      <c r="Y55" s="41">
        <v>79427736047</v>
      </c>
      <c r="Z55" s="41">
        <v>14779216568</v>
      </c>
      <c r="AA55" s="43">
        <v>64648519479</v>
      </c>
    </row>
    <row r="56" spans="1:27" x14ac:dyDescent="0.2">
      <c r="A56" s="40" t="s">
        <v>52</v>
      </c>
      <c r="B56" s="41">
        <v>6177730680</v>
      </c>
      <c r="C56" s="41">
        <v>6011289178</v>
      </c>
      <c r="D56" s="41">
        <v>0</v>
      </c>
      <c r="E56" s="41">
        <v>308884914</v>
      </c>
      <c r="F56" s="41">
        <v>8784054625</v>
      </c>
      <c r="G56" s="41">
        <v>6300067976</v>
      </c>
      <c r="H56" s="41">
        <v>151263459</v>
      </c>
      <c r="I56" s="41">
        <v>1810356961</v>
      </c>
      <c r="J56" s="41">
        <v>0</v>
      </c>
      <c r="K56" s="41">
        <v>2796975</v>
      </c>
      <c r="L56" s="41">
        <v>24689060</v>
      </c>
      <c r="M56" s="41">
        <v>0</v>
      </c>
      <c r="N56" s="41">
        <v>343292</v>
      </c>
      <c r="O56" s="41">
        <v>148587413</v>
      </c>
      <c r="P56" s="41">
        <v>395580</v>
      </c>
      <c r="Q56" s="41">
        <v>0</v>
      </c>
      <c r="R56" s="41">
        <v>19599030</v>
      </c>
      <c r="S56" s="41">
        <v>0</v>
      </c>
      <c r="T56" s="41">
        <v>30706556</v>
      </c>
      <c r="U56" s="41">
        <v>1785804</v>
      </c>
      <c r="V56" s="41">
        <v>0</v>
      </c>
      <c r="W56" s="41">
        <v>0</v>
      </c>
      <c r="X56" s="41">
        <v>0</v>
      </c>
      <c r="Y56" s="41">
        <v>176165542393</v>
      </c>
      <c r="Z56" s="41">
        <v>29740059143</v>
      </c>
      <c r="AA56" s="43">
        <v>146425483250</v>
      </c>
    </row>
    <row r="57" spans="1:27" x14ac:dyDescent="0.2">
      <c r="A57" s="40" t="s">
        <v>53</v>
      </c>
      <c r="B57" s="41">
        <v>4380724980</v>
      </c>
      <c r="C57" s="41">
        <v>4070880331</v>
      </c>
      <c r="D57" s="41">
        <v>365920733</v>
      </c>
      <c r="E57" s="41">
        <v>412708065</v>
      </c>
      <c r="F57" s="41">
        <v>2261092003</v>
      </c>
      <c r="G57" s="41">
        <v>3876417646</v>
      </c>
      <c r="H57" s="41">
        <v>77971184</v>
      </c>
      <c r="I57" s="41">
        <v>1121273633</v>
      </c>
      <c r="J57" s="41">
        <v>22860107</v>
      </c>
      <c r="K57" s="41">
        <v>0</v>
      </c>
      <c r="L57" s="41">
        <v>582213981</v>
      </c>
      <c r="M57" s="41">
        <v>168950</v>
      </c>
      <c r="N57" s="41">
        <v>897704</v>
      </c>
      <c r="O57" s="41">
        <v>29548857</v>
      </c>
      <c r="P57" s="41">
        <v>1453032</v>
      </c>
      <c r="Q57" s="41">
        <v>14243656</v>
      </c>
      <c r="R57" s="41">
        <v>367285707</v>
      </c>
      <c r="S57" s="41">
        <v>0</v>
      </c>
      <c r="T57" s="41">
        <v>200865041</v>
      </c>
      <c r="U57" s="41">
        <v>0</v>
      </c>
      <c r="V57" s="41">
        <v>0</v>
      </c>
      <c r="W57" s="41">
        <v>0</v>
      </c>
      <c r="X57" s="41">
        <v>0</v>
      </c>
      <c r="Y57" s="41">
        <v>93250245454</v>
      </c>
      <c r="Z57" s="41">
        <v>17585660569</v>
      </c>
      <c r="AA57" s="43">
        <v>75664584885</v>
      </c>
    </row>
    <row r="58" spans="1:27" x14ac:dyDescent="0.2">
      <c r="A58" s="40" t="s">
        <v>54</v>
      </c>
      <c r="B58" s="41">
        <v>512882828</v>
      </c>
      <c r="C58" s="41">
        <v>389095970</v>
      </c>
      <c r="D58" s="41">
        <v>46569332</v>
      </c>
      <c r="E58" s="41">
        <v>27259440</v>
      </c>
      <c r="F58" s="41">
        <v>808860175</v>
      </c>
      <c r="G58" s="41">
        <v>283730656</v>
      </c>
      <c r="H58" s="41">
        <v>12295310</v>
      </c>
      <c r="I58" s="41">
        <v>122978550</v>
      </c>
      <c r="J58" s="41">
        <v>6540288</v>
      </c>
      <c r="K58" s="41">
        <v>0</v>
      </c>
      <c r="L58" s="41">
        <v>0</v>
      </c>
      <c r="M58" s="41">
        <v>40660</v>
      </c>
      <c r="N58" s="41">
        <v>0</v>
      </c>
      <c r="O58" s="41">
        <v>4065160</v>
      </c>
      <c r="P58" s="41">
        <v>150832</v>
      </c>
      <c r="Q58" s="41">
        <v>9688703</v>
      </c>
      <c r="R58" s="41">
        <v>340950397</v>
      </c>
      <c r="S58" s="41">
        <v>0</v>
      </c>
      <c r="T58" s="41">
        <v>0</v>
      </c>
      <c r="U58" s="41">
        <v>0</v>
      </c>
      <c r="V58" s="41">
        <v>0</v>
      </c>
      <c r="W58" s="41">
        <v>0</v>
      </c>
      <c r="X58" s="41">
        <v>0</v>
      </c>
      <c r="Y58" s="41">
        <v>10740622053</v>
      </c>
      <c r="Z58" s="41">
        <v>2565108301</v>
      </c>
      <c r="AA58" s="43">
        <v>8175513752</v>
      </c>
    </row>
    <row r="59" spans="1:27" x14ac:dyDescent="0.2">
      <c r="A59" s="40" t="s">
        <v>55</v>
      </c>
      <c r="B59" s="41">
        <v>2342686000</v>
      </c>
      <c r="C59" s="41">
        <v>2433808830</v>
      </c>
      <c r="D59" s="41">
        <v>120435448</v>
      </c>
      <c r="E59" s="41">
        <v>121239594</v>
      </c>
      <c r="F59" s="41">
        <v>2240962927</v>
      </c>
      <c r="G59" s="41">
        <v>1309621236</v>
      </c>
      <c r="H59" s="41">
        <v>41162967</v>
      </c>
      <c r="I59" s="41">
        <v>1782592013</v>
      </c>
      <c r="J59" s="41">
        <v>6493738</v>
      </c>
      <c r="K59" s="41">
        <v>1605081</v>
      </c>
      <c r="L59" s="41">
        <v>0</v>
      </c>
      <c r="M59" s="41">
        <v>0</v>
      </c>
      <c r="N59" s="41">
        <v>2806253</v>
      </c>
      <c r="O59" s="41">
        <v>61873806</v>
      </c>
      <c r="P59" s="41">
        <v>11167294</v>
      </c>
      <c r="Q59" s="41">
        <v>6977627</v>
      </c>
      <c r="R59" s="41">
        <v>3538809</v>
      </c>
      <c r="S59" s="41">
        <v>0</v>
      </c>
      <c r="T59" s="41">
        <v>67493975</v>
      </c>
      <c r="U59" s="41">
        <v>0</v>
      </c>
      <c r="V59" s="41">
        <v>0</v>
      </c>
      <c r="W59" s="41">
        <v>0</v>
      </c>
      <c r="X59" s="41">
        <v>0</v>
      </c>
      <c r="Y59" s="41">
        <v>73543669865</v>
      </c>
      <c r="Z59" s="41">
        <v>10486971623</v>
      </c>
      <c r="AA59" s="43">
        <v>63056698242</v>
      </c>
    </row>
    <row r="60" spans="1:27" x14ac:dyDescent="0.2">
      <c r="A60" s="40" t="s">
        <v>56</v>
      </c>
      <c r="B60" s="41">
        <v>2679591613</v>
      </c>
      <c r="C60" s="41">
        <v>2587870265</v>
      </c>
      <c r="D60" s="41">
        <v>185233065</v>
      </c>
      <c r="E60" s="41">
        <v>95599689</v>
      </c>
      <c r="F60" s="41">
        <v>2951919004</v>
      </c>
      <c r="G60" s="41">
        <v>845095589</v>
      </c>
      <c r="H60" s="41">
        <v>46094731</v>
      </c>
      <c r="I60" s="41">
        <v>857796979</v>
      </c>
      <c r="J60" s="41">
        <v>19529889</v>
      </c>
      <c r="K60" s="41">
        <v>181600</v>
      </c>
      <c r="L60" s="41">
        <v>179673687</v>
      </c>
      <c r="M60" s="41">
        <v>0</v>
      </c>
      <c r="N60" s="41">
        <v>0</v>
      </c>
      <c r="O60" s="41">
        <v>31342977</v>
      </c>
      <c r="P60" s="41">
        <v>626753</v>
      </c>
      <c r="Q60" s="41">
        <v>0</v>
      </c>
      <c r="R60" s="41">
        <v>542322282</v>
      </c>
      <c r="S60" s="41">
        <v>0</v>
      </c>
      <c r="T60" s="41">
        <v>80182526</v>
      </c>
      <c r="U60" s="41">
        <v>613041</v>
      </c>
      <c r="V60" s="41">
        <v>7125900</v>
      </c>
      <c r="W60" s="41">
        <v>0</v>
      </c>
      <c r="X60" s="41">
        <v>0</v>
      </c>
      <c r="Y60" s="41">
        <v>58660899736</v>
      </c>
      <c r="Z60" s="41">
        <v>11022878123</v>
      </c>
      <c r="AA60" s="43">
        <v>47638021613</v>
      </c>
    </row>
    <row r="61" spans="1:27" x14ac:dyDescent="0.2">
      <c r="A61" s="40" t="s">
        <v>57</v>
      </c>
      <c r="B61" s="41">
        <v>1397408485</v>
      </c>
      <c r="C61" s="41">
        <v>1232998253</v>
      </c>
      <c r="D61" s="41">
        <v>102060636</v>
      </c>
      <c r="E61" s="41">
        <v>40944348</v>
      </c>
      <c r="F61" s="41">
        <v>3109051151</v>
      </c>
      <c r="G61" s="41">
        <v>357179300</v>
      </c>
      <c r="H61" s="41">
        <v>22673127</v>
      </c>
      <c r="I61" s="41">
        <v>1659789564</v>
      </c>
      <c r="J61" s="41">
        <v>0</v>
      </c>
      <c r="K61" s="41">
        <v>0</v>
      </c>
      <c r="L61" s="41">
        <v>0</v>
      </c>
      <c r="M61" s="41">
        <v>0</v>
      </c>
      <c r="N61" s="41">
        <v>1430601</v>
      </c>
      <c r="O61" s="41">
        <v>85422614</v>
      </c>
      <c r="P61" s="41">
        <v>6791218</v>
      </c>
      <c r="Q61" s="41">
        <v>29000214</v>
      </c>
      <c r="R61" s="41">
        <v>20445035</v>
      </c>
      <c r="S61" s="41">
        <v>0</v>
      </c>
      <c r="T61" s="41">
        <v>0</v>
      </c>
      <c r="U61" s="41">
        <v>0</v>
      </c>
      <c r="V61" s="41">
        <v>0</v>
      </c>
      <c r="W61" s="41">
        <v>0</v>
      </c>
      <c r="X61" s="41">
        <v>0</v>
      </c>
      <c r="Y61" s="41">
        <v>28479604618</v>
      </c>
      <c r="Z61" s="41">
        <v>8065194546</v>
      </c>
      <c r="AA61" s="43">
        <v>20414410072</v>
      </c>
    </row>
    <row r="62" spans="1:27" x14ac:dyDescent="0.2">
      <c r="A62" s="40" t="s">
        <v>58</v>
      </c>
      <c r="B62" s="41">
        <v>3497909593</v>
      </c>
      <c r="C62" s="41">
        <v>3532255661</v>
      </c>
      <c r="D62" s="41">
        <v>19690183</v>
      </c>
      <c r="E62" s="41">
        <v>117629549</v>
      </c>
      <c r="F62" s="41">
        <v>6450034633</v>
      </c>
      <c r="G62" s="41">
        <v>2320616508</v>
      </c>
      <c r="H62" s="41">
        <v>93981285</v>
      </c>
      <c r="I62" s="41">
        <v>862676146</v>
      </c>
      <c r="J62" s="41">
        <v>125000</v>
      </c>
      <c r="K62" s="41">
        <v>1939071</v>
      </c>
      <c r="L62" s="41">
        <v>12025473</v>
      </c>
      <c r="M62" s="41">
        <v>6848</v>
      </c>
      <c r="N62" s="41">
        <v>0</v>
      </c>
      <c r="O62" s="41">
        <v>152671926</v>
      </c>
      <c r="P62" s="41">
        <v>769121</v>
      </c>
      <c r="Q62" s="41">
        <v>0</v>
      </c>
      <c r="R62" s="41">
        <v>0</v>
      </c>
      <c r="S62" s="41">
        <v>0</v>
      </c>
      <c r="T62" s="41">
        <v>52060359</v>
      </c>
      <c r="U62" s="41">
        <v>0</v>
      </c>
      <c r="V62" s="41">
        <v>0</v>
      </c>
      <c r="W62" s="41">
        <v>0</v>
      </c>
      <c r="X62" s="41">
        <v>0</v>
      </c>
      <c r="Y62" s="41">
        <v>129752480915</v>
      </c>
      <c r="Z62" s="41">
        <v>17062330997</v>
      </c>
      <c r="AA62" s="43">
        <v>112690149918</v>
      </c>
    </row>
    <row r="63" spans="1:27" x14ac:dyDescent="0.2">
      <c r="A63" s="40" t="s">
        <v>59</v>
      </c>
      <c r="B63" s="41">
        <v>2702832456</v>
      </c>
      <c r="C63" s="41">
        <v>2772360943</v>
      </c>
      <c r="D63" s="41">
        <v>252696930</v>
      </c>
      <c r="E63" s="41">
        <v>163769217</v>
      </c>
      <c r="F63" s="41">
        <v>1707145993</v>
      </c>
      <c r="G63" s="41">
        <v>2517023557</v>
      </c>
      <c r="H63" s="41">
        <v>39466109</v>
      </c>
      <c r="I63" s="41">
        <v>675871238</v>
      </c>
      <c r="J63" s="41">
        <v>64439</v>
      </c>
      <c r="K63" s="41">
        <v>0</v>
      </c>
      <c r="L63" s="41">
        <v>0</v>
      </c>
      <c r="M63" s="41">
        <v>0</v>
      </c>
      <c r="N63" s="41">
        <v>2300162</v>
      </c>
      <c r="O63" s="41">
        <v>42908476</v>
      </c>
      <c r="P63" s="41">
        <v>969205</v>
      </c>
      <c r="Q63" s="41">
        <v>0</v>
      </c>
      <c r="R63" s="41">
        <v>8810063</v>
      </c>
      <c r="S63" s="41">
        <v>0</v>
      </c>
      <c r="T63" s="41">
        <v>28421043</v>
      </c>
      <c r="U63" s="41">
        <v>0</v>
      </c>
      <c r="V63" s="41">
        <v>0</v>
      </c>
      <c r="W63" s="41">
        <v>0</v>
      </c>
      <c r="X63" s="41">
        <v>0</v>
      </c>
      <c r="Y63" s="41">
        <v>71197930795</v>
      </c>
      <c r="Z63" s="41">
        <v>10886218788</v>
      </c>
      <c r="AA63" s="43">
        <v>60311712007</v>
      </c>
    </row>
    <row r="64" spans="1:27" x14ac:dyDescent="0.2">
      <c r="A64" s="40" t="s">
        <v>60</v>
      </c>
      <c r="B64" s="41">
        <v>1502786689</v>
      </c>
      <c r="C64" s="41">
        <v>1508557256</v>
      </c>
      <c r="D64" s="41">
        <v>28028240</v>
      </c>
      <c r="E64" s="41">
        <v>34693473</v>
      </c>
      <c r="F64" s="41">
        <v>518751420</v>
      </c>
      <c r="G64" s="41">
        <v>443968371</v>
      </c>
      <c r="H64" s="41">
        <v>43567900</v>
      </c>
      <c r="I64" s="41">
        <v>554460320</v>
      </c>
      <c r="J64" s="41">
        <v>0</v>
      </c>
      <c r="K64" s="41">
        <v>0</v>
      </c>
      <c r="L64" s="41">
        <v>0</v>
      </c>
      <c r="M64" s="41">
        <v>0</v>
      </c>
      <c r="N64" s="41">
        <v>24104</v>
      </c>
      <c r="O64" s="41">
        <v>123604663</v>
      </c>
      <c r="P64" s="41">
        <v>0</v>
      </c>
      <c r="Q64" s="41">
        <v>0</v>
      </c>
      <c r="R64" s="41">
        <v>2602056</v>
      </c>
      <c r="S64" s="41">
        <v>0</v>
      </c>
      <c r="T64" s="41">
        <v>14635000</v>
      </c>
      <c r="U64" s="41">
        <v>0</v>
      </c>
      <c r="V64" s="41">
        <v>0</v>
      </c>
      <c r="W64" s="41">
        <v>0</v>
      </c>
      <c r="X64" s="41">
        <v>0</v>
      </c>
      <c r="Y64" s="41">
        <v>31421670448</v>
      </c>
      <c r="Z64" s="41">
        <v>4761044492</v>
      </c>
      <c r="AA64" s="43">
        <v>26660625956</v>
      </c>
    </row>
    <row r="65" spans="1:27" x14ac:dyDescent="0.2">
      <c r="A65" s="40" t="s">
        <v>61</v>
      </c>
      <c r="B65" s="41">
        <v>268857314</v>
      </c>
      <c r="C65" s="41">
        <v>212574042</v>
      </c>
      <c r="D65" s="41">
        <v>17279325</v>
      </c>
      <c r="E65" s="41">
        <v>14851454</v>
      </c>
      <c r="F65" s="41">
        <v>149438856</v>
      </c>
      <c r="G65" s="41">
        <v>90756903</v>
      </c>
      <c r="H65" s="41">
        <v>5619465</v>
      </c>
      <c r="I65" s="41">
        <v>94724771</v>
      </c>
      <c r="J65" s="41">
        <v>12975991</v>
      </c>
      <c r="K65" s="41">
        <v>0</v>
      </c>
      <c r="L65" s="41">
        <v>0</v>
      </c>
      <c r="M65" s="41">
        <v>11820</v>
      </c>
      <c r="N65" s="41">
        <v>0</v>
      </c>
      <c r="O65" s="41">
        <v>252784</v>
      </c>
      <c r="P65" s="41">
        <v>84012</v>
      </c>
      <c r="Q65" s="41">
        <v>0</v>
      </c>
      <c r="R65" s="41">
        <v>0</v>
      </c>
      <c r="S65" s="41">
        <v>0</v>
      </c>
      <c r="T65" s="41">
        <v>0</v>
      </c>
      <c r="U65" s="41">
        <v>0</v>
      </c>
      <c r="V65" s="41">
        <v>0</v>
      </c>
      <c r="W65" s="41">
        <v>0</v>
      </c>
      <c r="X65" s="41">
        <v>0</v>
      </c>
      <c r="Y65" s="41">
        <v>4228527492</v>
      </c>
      <c r="Z65" s="41">
        <v>867426737</v>
      </c>
      <c r="AA65" s="43">
        <v>3361100755</v>
      </c>
    </row>
    <row r="66" spans="1:27" x14ac:dyDescent="0.2">
      <c r="A66" s="40" t="s">
        <v>62</v>
      </c>
      <c r="B66" s="41">
        <v>134897471</v>
      </c>
      <c r="C66" s="41">
        <v>87817262</v>
      </c>
      <c r="D66" s="41">
        <v>0</v>
      </c>
      <c r="E66" s="41">
        <v>6707175</v>
      </c>
      <c r="F66" s="41">
        <v>192949177</v>
      </c>
      <c r="G66" s="41">
        <v>56066838</v>
      </c>
      <c r="H66" s="41">
        <v>2116670</v>
      </c>
      <c r="I66" s="41">
        <v>29911393</v>
      </c>
      <c r="J66" s="41">
        <v>4199850</v>
      </c>
      <c r="K66" s="41">
        <v>0</v>
      </c>
      <c r="L66" s="41">
        <v>33756365</v>
      </c>
      <c r="M66" s="41">
        <v>36230</v>
      </c>
      <c r="N66" s="41">
        <v>0</v>
      </c>
      <c r="O66" s="41">
        <v>868538</v>
      </c>
      <c r="P66" s="41">
        <v>0</v>
      </c>
      <c r="Q66" s="41">
        <v>0</v>
      </c>
      <c r="R66" s="41">
        <v>0</v>
      </c>
      <c r="S66" s="41">
        <v>0</v>
      </c>
      <c r="T66" s="41">
        <v>0</v>
      </c>
      <c r="U66" s="41">
        <v>0</v>
      </c>
      <c r="V66" s="41">
        <v>0</v>
      </c>
      <c r="W66" s="41">
        <v>0</v>
      </c>
      <c r="X66" s="41">
        <v>0</v>
      </c>
      <c r="Y66" s="41">
        <v>2300984580</v>
      </c>
      <c r="Z66" s="41">
        <v>549326969</v>
      </c>
      <c r="AA66" s="43">
        <v>1751657611</v>
      </c>
    </row>
    <row r="67" spans="1:27" x14ac:dyDescent="0.2">
      <c r="A67" s="40" t="s">
        <v>63</v>
      </c>
      <c r="B67" s="41">
        <v>74430805</v>
      </c>
      <c r="C67" s="41">
        <v>52380079</v>
      </c>
      <c r="D67" s="41">
        <v>2831205</v>
      </c>
      <c r="E67" s="41">
        <v>4206643</v>
      </c>
      <c r="F67" s="41">
        <v>121351692</v>
      </c>
      <c r="G67" s="41">
        <v>17814025</v>
      </c>
      <c r="H67" s="41">
        <v>1709653</v>
      </c>
      <c r="I67" s="41">
        <v>4131539</v>
      </c>
      <c r="J67" s="41">
        <v>0</v>
      </c>
      <c r="K67" s="41">
        <v>0</v>
      </c>
      <c r="L67" s="41">
        <v>0</v>
      </c>
      <c r="M67" s="41">
        <v>0</v>
      </c>
      <c r="N67" s="41">
        <v>0</v>
      </c>
      <c r="O67" s="41">
        <v>11169361</v>
      </c>
      <c r="P67" s="41">
        <v>103948</v>
      </c>
      <c r="Q67" s="41">
        <v>0</v>
      </c>
      <c r="R67" s="41">
        <v>0</v>
      </c>
      <c r="S67" s="41">
        <v>0</v>
      </c>
      <c r="T67" s="41">
        <v>0</v>
      </c>
      <c r="U67" s="41">
        <v>0</v>
      </c>
      <c r="V67" s="41">
        <v>0</v>
      </c>
      <c r="W67" s="41">
        <v>0</v>
      </c>
      <c r="X67" s="41">
        <v>0</v>
      </c>
      <c r="Y67" s="41">
        <v>704165666</v>
      </c>
      <c r="Z67" s="41">
        <v>290128950</v>
      </c>
      <c r="AA67" s="43">
        <v>414036716</v>
      </c>
    </row>
    <row r="68" spans="1:27" x14ac:dyDescent="0.2">
      <c r="A68" s="40" t="s">
        <v>64</v>
      </c>
      <c r="B68" s="41">
        <v>3839225471</v>
      </c>
      <c r="C68" s="41">
        <v>3812696759</v>
      </c>
      <c r="D68" s="41">
        <v>507540598</v>
      </c>
      <c r="E68" s="41">
        <v>187485748</v>
      </c>
      <c r="F68" s="41">
        <v>4107198373</v>
      </c>
      <c r="G68" s="41">
        <v>3721835497</v>
      </c>
      <c r="H68" s="41">
        <v>64897744</v>
      </c>
      <c r="I68" s="41">
        <v>1882781208</v>
      </c>
      <c r="J68" s="41">
        <v>28698824</v>
      </c>
      <c r="K68" s="41">
        <v>172082</v>
      </c>
      <c r="L68" s="41">
        <v>0</v>
      </c>
      <c r="M68" s="41">
        <v>39758</v>
      </c>
      <c r="N68" s="41">
        <v>7432682</v>
      </c>
      <c r="O68" s="41">
        <v>102585583</v>
      </c>
      <c r="P68" s="41">
        <v>731522</v>
      </c>
      <c r="Q68" s="41">
        <v>30475034</v>
      </c>
      <c r="R68" s="41">
        <v>116902005</v>
      </c>
      <c r="S68" s="41">
        <v>0</v>
      </c>
      <c r="T68" s="41">
        <v>34272265</v>
      </c>
      <c r="U68" s="41">
        <v>1270839</v>
      </c>
      <c r="V68" s="41">
        <v>0</v>
      </c>
      <c r="W68" s="41">
        <v>0</v>
      </c>
      <c r="X68" s="41">
        <v>0</v>
      </c>
      <c r="Y68" s="41">
        <v>87999118665</v>
      </c>
      <c r="Z68" s="41">
        <v>18410698888</v>
      </c>
      <c r="AA68" s="43">
        <v>69588419777</v>
      </c>
    </row>
    <row r="69" spans="1:27" x14ac:dyDescent="0.2">
      <c r="A69" s="40" t="s">
        <v>65</v>
      </c>
      <c r="B69" s="41">
        <v>268576021</v>
      </c>
      <c r="C69" s="41">
        <v>231837915</v>
      </c>
      <c r="D69" s="41">
        <v>21713555</v>
      </c>
      <c r="E69" s="41">
        <v>13681532</v>
      </c>
      <c r="F69" s="41">
        <v>521955740</v>
      </c>
      <c r="G69" s="41">
        <v>61746305</v>
      </c>
      <c r="H69" s="41">
        <v>4259837</v>
      </c>
      <c r="I69" s="41">
        <v>91645583</v>
      </c>
      <c r="J69" s="41">
        <v>435171</v>
      </c>
      <c r="K69" s="41">
        <v>0</v>
      </c>
      <c r="L69" s="41">
        <v>0</v>
      </c>
      <c r="M69" s="41">
        <v>0</v>
      </c>
      <c r="N69" s="41">
        <v>355769</v>
      </c>
      <c r="O69" s="41">
        <v>3378537</v>
      </c>
      <c r="P69" s="41">
        <v>110297</v>
      </c>
      <c r="Q69" s="41">
        <v>0</v>
      </c>
      <c r="R69" s="41">
        <v>0</v>
      </c>
      <c r="S69" s="41">
        <v>0</v>
      </c>
      <c r="T69" s="41">
        <v>0</v>
      </c>
      <c r="U69" s="41">
        <v>0</v>
      </c>
      <c r="V69" s="41">
        <v>0</v>
      </c>
      <c r="W69" s="41">
        <v>0</v>
      </c>
      <c r="X69" s="41">
        <v>0</v>
      </c>
      <c r="Y69" s="41">
        <v>3871484184</v>
      </c>
      <c r="Z69" s="41">
        <v>1219696262</v>
      </c>
      <c r="AA69" s="43">
        <v>2651787922</v>
      </c>
    </row>
    <row r="70" spans="1:27" x14ac:dyDescent="0.2">
      <c r="A70" s="40" t="s">
        <v>66</v>
      </c>
      <c r="B70" s="41">
        <v>569182296</v>
      </c>
      <c r="C70" s="41">
        <v>500929452</v>
      </c>
      <c r="D70" s="41">
        <v>43884108</v>
      </c>
      <c r="E70" s="41">
        <v>65350121</v>
      </c>
      <c r="F70" s="41">
        <v>1789969693</v>
      </c>
      <c r="G70" s="41">
        <v>337144213</v>
      </c>
      <c r="H70" s="41">
        <v>8810697</v>
      </c>
      <c r="I70" s="41">
        <v>394950741</v>
      </c>
      <c r="J70" s="41">
        <v>4676586</v>
      </c>
      <c r="K70" s="41">
        <v>0</v>
      </c>
      <c r="L70" s="41">
        <v>0</v>
      </c>
      <c r="M70" s="41">
        <v>0</v>
      </c>
      <c r="N70" s="41">
        <v>0</v>
      </c>
      <c r="O70" s="41">
        <v>33781778</v>
      </c>
      <c r="P70" s="41">
        <v>1392975</v>
      </c>
      <c r="Q70" s="41">
        <v>0</v>
      </c>
      <c r="R70" s="41">
        <v>0</v>
      </c>
      <c r="S70" s="41">
        <v>0</v>
      </c>
      <c r="T70" s="41">
        <v>0</v>
      </c>
      <c r="U70" s="41">
        <v>0</v>
      </c>
      <c r="V70" s="41">
        <v>0</v>
      </c>
      <c r="W70" s="41">
        <v>0</v>
      </c>
      <c r="X70" s="41">
        <v>0</v>
      </c>
      <c r="Y70" s="41">
        <v>52848736508</v>
      </c>
      <c r="Z70" s="41">
        <v>3750072660</v>
      </c>
      <c r="AA70" s="43">
        <v>49098663848</v>
      </c>
    </row>
    <row r="71" spans="1:27" x14ac:dyDescent="0.2">
      <c r="A71" s="40" t="s">
        <v>67</v>
      </c>
      <c r="B71" s="41">
        <v>159720816</v>
      </c>
      <c r="C71" s="41">
        <v>121102486</v>
      </c>
      <c r="D71" s="41">
        <v>18731465</v>
      </c>
      <c r="E71" s="41">
        <v>10543115</v>
      </c>
      <c r="F71" s="41">
        <v>168955859</v>
      </c>
      <c r="G71" s="41">
        <v>64855942</v>
      </c>
      <c r="H71" s="41">
        <v>3421471</v>
      </c>
      <c r="I71" s="41">
        <v>44232729</v>
      </c>
      <c r="J71" s="41">
        <v>1041760</v>
      </c>
      <c r="K71" s="41">
        <v>0</v>
      </c>
      <c r="L71" s="41">
        <v>0</v>
      </c>
      <c r="M71" s="41">
        <v>0</v>
      </c>
      <c r="N71" s="41">
        <v>89529</v>
      </c>
      <c r="O71" s="41">
        <v>427834</v>
      </c>
      <c r="P71" s="41">
        <v>0</v>
      </c>
      <c r="Q71" s="41">
        <v>0</v>
      </c>
      <c r="R71" s="41">
        <v>0</v>
      </c>
      <c r="S71" s="41">
        <v>0</v>
      </c>
      <c r="T71" s="41">
        <v>0</v>
      </c>
      <c r="U71" s="41">
        <v>0</v>
      </c>
      <c r="V71" s="41">
        <v>0</v>
      </c>
      <c r="W71" s="41">
        <v>0</v>
      </c>
      <c r="X71" s="41">
        <v>0</v>
      </c>
      <c r="Y71" s="41">
        <v>2232118872</v>
      </c>
      <c r="Z71" s="41">
        <v>593123006</v>
      </c>
      <c r="AA71" s="43">
        <v>1638995866</v>
      </c>
    </row>
    <row r="72" spans="1:27" x14ac:dyDescent="0.2">
      <c r="A72" s="40"/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  <c r="AA72" s="43"/>
    </row>
    <row r="73" spans="1:27" ht="15.75" thickBot="1" x14ac:dyDescent="0.3">
      <c r="A73" s="45" t="s">
        <v>68</v>
      </c>
      <c r="B73" s="46">
        <f t="shared" ref="B73:O73" si="0">SUM(B5:B71)</f>
        <v>130327165315</v>
      </c>
      <c r="C73" s="46">
        <f t="shared" si="0"/>
        <v>126900404873</v>
      </c>
      <c r="D73" s="46">
        <f t="shared" si="0"/>
        <v>8691232803</v>
      </c>
      <c r="E73" s="46">
        <f t="shared" si="0"/>
        <v>7947237334</v>
      </c>
      <c r="F73" s="46">
        <f>SUM(F5:F71)</f>
        <v>240499421062</v>
      </c>
      <c r="G73" s="46">
        <f t="shared" si="0"/>
        <v>129264869487</v>
      </c>
      <c r="H73" s="46">
        <f t="shared" si="0"/>
        <v>2311987412</v>
      </c>
      <c r="I73" s="46">
        <f t="shared" si="0"/>
        <v>46174947594</v>
      </c>
      <c r="J73" s="46">
        <f t="shared" si="0"/>
        <v>582170268</v>
      </c>
      <c r="K73" s="46">
        <f t="shared" si="0"/>
        <v>330101196</v>
      </c>
      <c r="L73" s="46">
        <f t="shared" si="0"/>
        <v>2242391539</v>
      </c>
      <c r="M73" s="46">
        <f t="shared" si="0"/>
        <v>2956756</v>
      </c>
      <c r="N73" s="46">
        <f t="shared" si="0"/>
        <v>60096149</v>
      </c>
      <c r="O73" s="46">
        <f t="shared" si="0"/>
        <v>4384256170</v>
      </c>
      <c r="P73" s="46">
        <f t="shared" ref="P73:AA73" si="1">SUM(P5:P71)</f>
        <v>107718433</v>
      </c>
      <c r="Q73" s="46">
        <f t="shared" si="1"/>
        <v>999582026</v>
      </c>
      <c r="R73" s="46">
        <f t="shared" si="1"/>
        <v>5181726957</v>
      </c>
      <c r="S73" s="46">
        <f t="shared" si="1"/>
        <v>0</v>
      </c>
      <c r="T73" s="46">
        <f t="shared" si="1"/>
        <v>4164855972</v>
      </c>
      <c r="U73" s="46">
        <f t="shared" si="1"/>
        <v>15499771</v>
      </c>
      <c r="V73" s="46">
        <f t="shared" si="1"/>
        <v>146257707</v>
      </c>
      <c r="W73" s="46">
        <v>0</v>
      </c>
      <c r="X73" s="46">
        <v>0</v>
      </c>
      <c r="Y73" s="46">
        <f t="shared" si="1"/>
        <v>4378569465283</v>
      </c>
      <c r="Z73" s="46">
        <f t="shared" si="1"/>
        <v>705988666344</v>
      </c>
      <c r="AA73" s="48">
        <f t="shared" si="1"/>
        <v>3672580798939</v>
      </c>
    </row>
    <row r="75" spans="1:27" x14ac:dyDescent="0.2">
      <c r="A75" s="2" t="s">
        <v>109</v>
      </c>
      <c r="AA75" s="29"/>
    </row>
    <row r="76" spans="1:27" x14ac:dyDescent="0.2">
      <c r="AA76" s="29"/>
    </row>
    <row r="77" spans="1:27" x14ac:dyDescent="0.2">
      <c r="A77" s="38" t="s">
        <v>129</v>
      </c>
      <c r="AA77" s="29"/>
    </row>
  </sheetData>
  <phoneticPr fontId="18" type="noConversion"/>
  <conditionalFormatting sqref="A4:AA73">
    <cfRule type="expression" dxfId="4" priority="1" stopIfTrue="1">
      <formula>MOD(ROW(),3)=1</formula>
    </cfRule>
  </conditionalFormatting>
  <pageMargins left="0.75" right="0.75" top="1" bottom="1" header="0.5" footer="0.5"/>
  <pageSetup scale="45" fitToWidth="2" fitToHeight="2" orientation="landscape" r:id="rId1"/>
  <headerFooter alignWithMargins="0"/>
  <rowBreaks count="1" manualBreakCount="1">
    <brk id="37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Y75"/>
  <sheetViews>
    <sheetView zoomScaleNormal="100" workbookViewId="0">
      <pane xSplit="1" ySplit="4" topLeftCell="N53" activePane="bottomRight" state="frozen"/>
      <selection sqref="A1:XFD1048576"/>
      <selection pane="topRight" sqref="A1:XFD1048576"/>
      <selection pane="bottomLeft" sqref="A1:XFD1048576"/>
      <selection pane="bottomRight" activeCell="A75" sqref="A75"/>
    </sheetView>
  </sheetViews>
  <sheetFormatPr defaultRowHeight="14.25" x14ac:dyDescent="0.2"/>
  <cols>
    <col min="1" max="1" width="17.7109375" style="2" customWidth="1"/>
    <col min="2" max="2" width="23.140625" style="2" bestFit="1" customWidth="1"/>
    <col min="3" max="3" width="22" style="2" bestFit="1" customWidth="1"/>
    <col min="4" max="4" width="25.28515625" style="2" bestFit="1" customWidth="1"/>
    <col min="5" max="5" width="21.42578125" style="2" bestFit="1" customWidth="1"/>
    <col min="6" max="6" width="20.140625" style="2" bestFit="1" customWidth="1"/>
    <col min="7" max="7" width="16.85546875" style="2" bestFit="1" customWidth="1"/>
    <col min="8" max="8" width="19" style="2" bestFit="1" customWidth="1"/>
    <col min="9" max="9" width="18.5703125" style="2" bestFit="1" customWidth="1"/>
    <col min="10" max="10" width="16.5703125" style="2" bestFit="1" customWidth="1"/>
    <col min="11" max="11" width="21.85546875" style="2" bestFit="1" customWidth="1"/>
    <col min="12" max="12" width="14.85546875" style="2" bestFit="1" customWidth="1"/>
    <col min="13" max="13" width="28" style="2" bestFit="1" customWidth="1"/>
    <col min="14" max="14" width="21.85546875" style="2" bestFit="1" customWidth="1"/>
    <col min="15" max="15" width="20.5703125" style="2" bestFit="1" customWidth="1"/>
    <col min="16" max="22" width="20.5703125" style="2" customWidth="1"/>
    <col min="23" max="23" width="24.85546875" style="2" bestFit="1" customWidth="1"/>
    <col min="24" max="24" width="22.28515625" style="2" bestFit="1" customWidth="1"/>
    <col min="25" max="25" width="23" style="2" bestFit="1" customWidth="1"/>
    <col min="26" max="16384" width="9.140625" style="2"/>
  </cols>
  <sheetData>
    <row r="1" spans="1:25" ht="23.25" x14ac:dyDescent="0.35">
      <c r="A1" s="6" t="s">
        <v>104</v>
      </c>
    </row>
    <row r="2" spans="1:25" ht="15" x14ac:dyDescent="0.25">
      <c r="A2" s="11">
        <v>2026</v>
      </c>
    </row>
    <row r="3" spans="1:25" ht="15" thickBot="1" x14ac:dyDescent="0.25">
      <c r="A3" s="39"/>
    </row>
    <row r="4" spans="1:25" s="58" customFormat="1" ht="51" x14ac:dyDescent="0.25">
      <c r="A4" s="50" t="s">
        <v>1</v>
      </c>
      <c r="B4" s="52" t="s">
        <v>88</v>
      </c>
      <c r="C4" s="52" t="s">
        <v>89</v>
      </c>
      <c r="D4" s="52" t="s">
        <v>90</v>
      </c>
      <c r="E4" s="52" t="s">
        <v>91</v>
      </c>
      <c r="F4" s="52" t="s">
        <v>92</v>
      </c>
      <c r="G4" s="52" t="s">
        <v>93</v>
      </c>
      <c r="H4" s="52" t="s">
        <v>94</v>
      </c>
      <c r="I4" s="52" t="s">
        <v>71</v>
      </c>
      <c r="J4" s="52" t="s">
        <v>95</v>
      </c>
      <c r="K4" s="52" t="s">
        <v>107</v>
      </c>
      <c r="L4" s="52" t="s">
        <v>110</v>
      </c>
      <c r="M4" s="52" t="s">
        <v>72</v>
      </c>
      <c r="N4" s="52" t="s">
        <v>73</v>
      </c>
      <c r="O4" s="52" t="s">
        <v>97</v>
      </c>
      <c r="P4" s="52" t="s">
        <v>105</v>
      </c>
      <c r="Q4" s="62" t="s">
        <v>114</v>
      </c>
      <c r="R4" s="62" t="s">
        <v>122</v>
      </c>
      <c r="S4" s="62" t="s">
        <v>123</v>
      </c>
      <c r="T4" s="62" t="s">
        <v>124</v>
      </c>
      <c r="U4" s="61" t="s">
        <v>120</v>
      </c>
      <c r="V4" s="61" t="s">
        <v>121</v>
      </c>
      <c r="W4" s="52" t="s">
        <v>74</v>
      </c>
      <c r="X4" s="52" t="s">
        <v>75</v>
      </c>
      <c r="Y4" s="53" t="s">
        <v>76</v>
      </c>
    </row>
    <row r="5" spans="1:25" x14ac:dyDescent="0.2">
      <c r="A5" s="40" t="s">
        <v>2</v>
      </c>
      <c r="B5" s="41">
        <v>1371980145</v>
      </c>
      <c r="C5" s="41">
        <v>1340833784</v>
      </c>
      <c r="D5" s="41">
        <v>48704222</v>
      </c>
      <c r="E5" s="41">
        <v>5994870752</v>
      </c>
      <c r="F5" s="41">
        <v>797117193</v>
      </c>
      <c r="G5" s="41">
        <v>19266202</v>
      </c>
      <c r="H5" s="41">
        <v>253267201</v>
      </c>
      <c r="I5" s="41">
        <v>1585828</v>
      </c>
      <c r="J5" s="41">
        <v>346683</v>
      </c>
      <c r="K5" s="41"/>
      <c r="L5" s="41">
        <v>4526</v>
      </c>
      <c r="M5" s="41"/>
      <c r="N5" s="41">
        <v>14139784</v>
      </c>
      <c r="O5" s="41">
        <v>20054</v>
      </c>
      <c r="P5" s="41">
        <v>13355387</v>
      </c>
      <c r="Q5" s="41"/>
      <c r="R5" s="41">
        <v>0</v>
      </c>
      <c r="S5" s="41">
        <v>0</v>
      </c>
      <c r="T5" s="41">
        <v>0</v>
      </c>
      <c r="U5" s="41">
        <v>0</v>
      </c>
      <c r="V5" s="41">
        <v>0</v>
      </c>
      <c r="W5" s="41">
        <v>34840429609</v>
      </c>
      <c r="X5" s="41">
        <v>9855491761</v>
      </c>
      <c r="Y5" s="43">
        <v>24984937848</v>
      </c>
    </row>
    <row r="6" spans="1:25" x14ac:dyDescent="0.2">
      <c r="A6" s="40" t="s">
        <v>3</v>
      </c>
      <c r="B6" s="41">
        <v>164404700</v>
      </c>
      <c r="C6" s="41">
        <v>149234317</v>
      </c>
      <c r="D6" s="41">
        <v>21548662</v>
      </c>
      <c r="E6" s="41">
        <v>305475067</v>
      </c>
      <c r="F6" s="41">
        <v>68471996</v>
      </c>
      <c r="G6" s="41">
        <v>3235000</v>
      </c>
      <c r="H6" s="41">
        <v>74954559</v>
      </c>
      <c r="I6" s="41">
        <v>1234653</v>
      </c>
      <c r="J6" s="41"/>
      <c r="K6" s="41"/>
      <c r="L6" s="41"/>
      <c r="M6" s="41">
        <v>282481</v>
      </c>
      <c r="N6" s="41">
        <v>380036</v>
      </c>
      <c r="O6" s="41">
        <v>279354</v>
      </c>
      <c r="P6" s="41"/>
      <c r="Q6" s="41"/>
      <c r="R6" s="41">
        <v>6965302</v>
      </c>
      <c r="S6" s="41">
        <v>0</v>
      </c>
      <c r="T6" s="41">
        <v>0</v>
      </c>
      <c r="U6" s="41"/>
      <c r="V6" s="41"/>
      <c r="W6" s="41">
        <v>2280897071</v>
      </c>
      <c r="X6" s="41">
        <v>789500825</v>
      </c>
      <c r="Y6" s="43">
        <v>1491396246</v>
      </c>
    </row>
    <row r="7" spans="1:25" x14ac:dyDescent="0.2">
      <c r="A7" s="40" t="s">
        <v>4</v>
      </c>
      <c r="B7" s="41">
        <v>1156686989</v>
      </c>
      <c r="C7" s="41">
        <v>1022338746</v>
      </c>
      <c r="D7" s="41">
        <v>79684050</v>
      </c>
      <c r="E7" s="41">
        <v>2352016603</v>
      </c>
      <c r="F7" s="41">
        <v>695485954</v>
      </c>
      <c r="G7" s="41">
        <v>17578900</v>
      </c>
      <c r="H7" s="41">
        <v>911964472</v>
      </c>
      <c r="I7" s="41">
        <v>11732</v>
      </c>
      <c r="J7" s="41"/>
      <c r="K7" s="41">
        <v>18282306</v>
      </c>
      <c r="L7" s="41"/>
      <c r="M7" s="41">
        <v>229615</v>
      </c>
      <c r="N7" s="41">
        <v>40625097</v>
      </c>
      <c r="O7" s="41">
        <v>832777</v>
      </c>
      <c r="P7" s="41">
        <v>36531031</v>
      </c>
      <c r="Q7" s="41"/>
      <c r="R7" s="41">
        <v>166751554</v>
      </c>
      <c r="S7" s="41">
        <v>0</v>
      </c>
      <c r="T7" s="41">
        <v>0</v>
      </c>
      <c r="U7" s="41">
        <v>0</v>
      </c>
      <c r="V7" s="41">
        <v>0</v>
      </c>
      <c r="W7" s="41">
        <v>37915535497</v>
      </c>
      <c r="X7" s="41">
        <v>6332268272</v>
      </c>
      <c r="Y7" s="43">
        <v>31583267225</v>
      </c>
    </row>
    <row r="8" spans="1:25" x14ac:dyDescent="0.2">
      <c r="A8" s="40" t="s">
        <v>5</v>
      </c>
      <c r="B8" s="41">
        <v>177281584</v>
      </c>
      <c r="C8" s="41">
        <v>142690241</v>
      </c>
      <c r="D8" s="41">
        <v>10215552</v>
      </c>
      <c r="E8" s="41">
        <v>104267193</v>
      </c>
      <c r="F8" s="41">
        <v>57292942</v>
      </c>
      <c r="G8" s="41">
        <v>4091911</v>
      </c>
      <c r="H8" s="41">
        <v>48840103</v>
      </c>
      <c r="I8" s="41">
        <v>1720080</v>
      </c>
      <c r="J8" s="41"/>
      <c r="K8" s="41"/>
      <c r="L8" s="41"/>
      <c r="M8" s="41">
        <v>28790</v>
      </c>
      <c r="N8" s="41">
        <v>2508952</v>
      </c>
      <c r="O8" s="41"/>
      <c r="P8" s="41"/>
      <c r="Q8" s="41"/>
      <c r="R8" s="41">
        <v>0</v>
      </c>
      <c r="S8" s="41">
        <v>0</v>
      </c>
      <c r="T8" s="41">
        <v>0</v>
      </c>
      <c r="U8" s="41">
        <v>0</v>
      </c>
      <c r="V8" s="41">
        <v>0</v>
      </c>
      <c r="W8" s="41">
        <v>1851307814</v>
      </c>
      <c r="X8" s="41">
        <v>548937348</v>
      </c>
      <c r="Y8" s="43">
        <v>1302370466</v>
      </c>
    </row>
    <row r="9" spans="1:25" x14ac:dyDescent="0.2">
      <c r="A9" s="40" t="s">
        <v>6</v>
      </c>
      <c r="B9" s="41">
        <v>4341965584</v>
      </c>
      <c r="C9" s="41">
        <v>4250151046</v>
      </c>
      <c r="D9" s="41">
        <v>347615447</v>
      </c>
      <c r="E9" s="41">
        <v>5328836270</v>
      </c>
      <c r="F9" s="41">
        <v>3932646366</v>
      </c>
      <c r="G9" s="41">
        <v>86315000</v>
      </c>
      <c r="H9" s="41">
        <v>2895136710</v>
      </c>
      <c r="I9" s="41">
        <v>1811900</v>
      </c>
      <c r="J9" s="41"/>
      <c r="K9" s="41">
        <v>87648890</v>
      </c>
      <c r="L9" s="41">
        <v>8550</v>
      </c>
      <c r="M9" s="41">
        <v>976068</v>
      </c>
      <c r="N9" s="41">
        <v>90208004</v>
      </c>
      <c r="O9" s="41">
        <v>2946751</v>
      </c>
      <c r="P9" s="41"/>
      <c r="Q9" s="41"/>
      <c r="R9" s="41">
        <v>0</v>
      </c>
      <c r="S9" s="41">
        <v>0</v>
      </c>
      <c r="T9" s="41">
        <v>0</v>
      </c>
      <c r="U9" s="41">
        <v>0</v>
      </c>
      <c r="V9" s="41">
        <v>0</v>
      </c>
      <c r="W9" s="41">
        <v>92163188590</v>
      </c>
      <c r="X9" s="41">
        <v>21366266586</v>
      </c>
      <c r="Y9" s="43">
        <v>70796922004</v>
      </c>
    </row>
    <row r="10" spans="1:25" x14ac:dyDescent="0.2">
      <c r="A10" s="40" t="s">
        <v>7</v>
      </c>
      <c r="B10" s="41">
        <v>10403626210</v>
      </c>
      <c r="C10" s="41">
        <v>10258792073</v>
      </c>
      <c r="D10" s="41">
        <v>1159609646</v>
      </c>
      <c r="E10" s="41">
        <v>22225418380</v>
      </c>
      <c r="F10" s="41">
        <v>8417720310</v>
      </c>
      <c r="G10" s="41">
        <v>191345700</v>
      </c>
      <c r="H10" s="41">
        <v>2203536210</v>
      </c>
      <c r="I10" s="41"/>
      <c r="J10" s="41">
        <v>36902930</v>
      </c>
      <c r="K10" s="41"/>
      <c r="L10" s="41"/>
      <c r="M10" s="41">
        <v>6631980</v>
      </c>
      <c r="N10" s="41">
        <v>22449937</v>
      </c>
      <c r="O10" s="41">
        <v>2227648</v>
      </c>
      <c r="P10" s="41">
        <v>159962211</v>
      </c>
      <c r="Q10" s="41"/>
      <c r="R10" s="41">
        <v>654933480</v>
      </c>
      <c r="S10" s="41">
        <v>5627480</v>
      </c>
      <c r="T10" s="41">
        <v>0</v>
      </c>
      <c r="U10" s="41">
        <v>0</v>
      </c>
      <c r="V10" s="41">
        <v>39885470</v>
      </c>
      <c r="W10" s="41">
        <v>378586860070</v>
      </c>
      <c r="X10" s="41">
        <v>55088223235</v>
      </c>
      <c r="Y10" s="43">
        <v>323498636835</v>
      </c>
    </row>
    <row r="11" spans="1:25" x14ac:dyDescent="0.2">
      <c r="A11" s="40" t="s">
        <v>8</v>
      </c>
      <c r="B11" s="41">
        <v>81407507</v>
      </c>
      <c r="C11" s="41">
        <v>48863096</v>
      </c>
      <c r="D11" s="41">
        <v>10011671</v>
      </c>
      <c r="E11" s="41">
        <v>39698148</v>
      </c>
      <c r="F11" s="41">
        <v>32786263</v>
      </c>
      <c r="G11" s="41">
        <v>1938135</v>
      </c>
      <c r="H11" s="41">
        <v>18475211</v>
      </c>
      <c r="I11" s="41">
        <v>520762</v>
      </c>
      <c r="J11" s="41"/>
      <c r="K11" s="41"/>
      <c r="L11" s="41"/>
      <c r="M11" s="41">
        <v>67689</v>
      </c>
      <c r="N11" s="41">
        <v>332393</v>
      </c>
      <c r="O11" s="41"/>
      <c r="P11" s="41"/>
      <c r="Q11" s="41"/>
      <c r="R11" s="41">
        <v>0</v>
      </c>
      <c r="S11" s="41">
        <v>0</v>
      </c>
      <c r="T11" s="41">
        <v>0</v>
      </c>
      <c r="U11" s="41">
        <v>0</v>
      </c>
      <c r="V11" s="41">
        <v>0</v>
      </c>
      <c r="W11" s="41">
        <v>730395719</v>
      </c>
      <c r="X11" s="41">
        <v>234100875</v>
      </c>
      <c r="Y11" s="43">
        <v>496294844</v>
      </c>
    </row>
    <row r="12" spans="1:25" x14ac:dyDescent="0.2">
      <c r="A12" s="40" t="s">
        <v>9</v>
      </c>
      <c r="B12" s="41">
        <v>1697343906</v>
      </c>
      <c r="C12" s="41">
        <v>1683835567</v>
      </c>
      <c r="D12" s="41">
        <v>251635207</v>
      </c>
      <c r="E12" s="41">
        <v>1667961782</v>
      </c>
      <c r="F12" s="41">
        <v>551887937</v>
      </c>
      <c r="G12" s="41">
        <v>40056657</v>
      </c>
      <c r="H12" s="41">
        <v>662703148</v>
      </c>
      <c r="I12" s="41">
        <v>8645932</v>
      </c>
      <c r="J12" s="41"/>
      <c r="K12" s="41">
        <v>9286235</v>
      </c>
      <c r="L12" s="41">
        <v>42327</v>
      </c>
      <c r="M12" s="41"/>
      <c r="N12" s="41">
        <v>82727980</v>
      </c>
      <c r="O12" s="41">
        <v>125849</v>
      </c>
      <c r="P12" s="41"/>
      <c r="Q12" s="41"/>
      <c r="R12" s="41">
        <v>37311983</v>
      </c>
      <c r="S12" s="41">
        <v>0</v>
      </c>
      <c r="T12" s="41">
        <v>0</v>
      </c>
      <c r="U12" s="41">
        <v>0</v>
      </c>
      <c r="V12" s="41">
        <v>0</v>
      </c>
      <c r="W12" s="41">
        <v>40183752392</v>
      </c>
      <c r="X12" s="41">
        <v>6656252527</v>
      </c>
      <c r="Y12" s="43">
        <v>33527499865</v>
      </c>
    </row>
    <row r="13" spans="1:25" x14ac:dyDescent="0.2">
      <c r="A13" s="40" t="s">
        <v>10</v>
      </c>
      <c r="B13" s="41">
        <v>1344990824</v>
      </c>
      <c r="C13" s="41">
        <v>1224626535</v>
      </c>
      <c r="D13" s="41"/>
      <c r="E13" s="41">
        <v>1128399073</v>
      </c>
      <c r="F13" s="41">
        <v>382178391</v>
      </c>
      <c r="G13" s="41">
        <v>29647110</v>
      </c>
      <c r="H13" s="41">
        <v>565332789</v>
      </c>
      <c r="I13" s="41"/>
      <c r="J13" s="41"/>
      <c r="K13" s="41"/>
      <c r="L13" s="41">
        <v>47987</v>
      </c>
      <c r="M13" s="41"/>
      <c r="N13" s="41">
        <v>50745438</v>
      </c>
      <c r="O13" s="41">
        <v>9991</v>
      </c>
      <c r="P13" s="41"/>
      <c r="Q13" s="41"/>
      <c r="R13" s="41">
        <v>0</v>
      </c>
      <c r="S13" s="41">
        <v>0</v>
      </c>
      <c r="T13" s="41">
        <v>0</v>
      </c>
      <c r="U13" s="41"/>
      <c r="V13" s="41"/>
      <c r="W13" s="41">
        <v>19717975270</v>
      </c>
      <c r="X13" s="41">
        <v>4725978138</v>
      </c>
      <c r="Y13" s="43">
        <v>14991997132</v>
      </c>
    </row>
    <row r="14" spans="1:25" x14ac:dyDescent="0.2">
      <c r="A14" s="40" t="s">
        <v>11</v>
      </c>
      <c r="B14" s="41">
        <v>1357671784</v>
      </c>
      <c r="C14" s="41">
        <v>1359796871</v>
      </c>
      <c r="D14" s="41">
        <v>90741739</v>
      </c>
      <c r="E14" s="41">
        <v>1155995094</v>
      </c>
      <c r="F14" s="41">
        <v>758912343</v>
      </c>
      <c r="G14" s="41">
        <v>20955000</v>
      </c>
      <c r="H14" s="41">
        <v>1682947057</v>
      </c>
      <c r="I14" s="41">
        <v>4327205</v>
      </c>
      <c r="J14" s="41"/>
      <c r="K14" s="41"/>
      <c r="L14" s="41"/>
      <c r="M14" s="41">
        <v>1163011</v>
      </c>
      <c r="N14" s="41">
        <v>16950194</v>
      </c>
      <c r="O14" s="41">
        <v>9771079</v>
      </c>
      <c r="P14" s="41"/>
      <c r="Q14" s="41"/>
      <c r="R14" s="41">
        <v>14760999</v>
      </c>
      <c r="S14" s="41">
        <v>0</v>
      </c>
      <c r="T14" s="41">
        <v>0</v>
      </c>
      <c r="U14" s="41">
        <v>0</v>
      </c>
      <c r="V14" s="41">
        <v>0</v>
      </c>
      <c r="W14" s="41">
        <v>25898656441</v>
      </c>
      <c r="X14" s="41">
        <v>6459231377</v>
      </c>
      <c r="Y14" s="43">
        <v>19439425064</v>
      </c>
    </row>
    <row r="15" spans="1:25" x14ac:dyDescent="0.2">
      <c r="A15" s="40" t="s">
        <v>12</v>
      </c>
      <c r="B15" s="41">
        <v>2756985152</v>
      </c>
      <c r="C15" s="41">
        <v>2798452472</v>
      </c>
      <c r="D15" s="41">
        <v>93557466</v>
      </c>
      <c r="E15" s="41">
        <v>5206248382</v>
      </c>
      <c r="F15" s="41">
        <v>3145264715</v>
      </c>
      <c r="G15" s="41">
        <v>58894147</v>
      </c>
      <c r="H15" s="41">
        <v>554293334</v>
      </c>
      <c r="I15" s="41"/>
      <c r="J15" s="41"/>
      <c r="K15" s="41">
        <v>7439281</v>
      </c>
      <c r="L15" s="41"/>
      <c r="M15" s="41"/>
      <c r="N15" s="41">
        <v>76439166</v>
      </c>
      <c r="O15" s="41"/>
      <c r="P15" s="41">
        <v>1747101</v>
      </c>
      <c r="Q15" s="41"/>
      <c r="R15" s="41">
        <v>166</v>
      </c>
      <c r="S15" s="41">
        <v>170</v>
      </c>
      <c r="T15" s="41">
        <v>174</v>
      </c>
      <c r="U15" s="41">
        <v>0</v>
      </c>
      <c r="V15" s="41">
        <v>0</v>
      </c>
      <c r="W15" s="41">
        <v>181550237942</v>
      </c>
      <c r="X15" s="41">
        <v>14699321216</v>
      </c>
      <c r="Y15" s="43">
        <v>166850916726</v>
      </c>
    </row>
    <row r="16" spans="1:25" x14ac:dyDescent="0.2">
      <c r="A16" s="40" t="s">
        <v>13</v>
      </c>
      <c r="B16" s="41">
        <v>422132867</v>
      </c>
      <c r="C16" s="41">
        <v>343154047</v>
      </c>
      <c r="D16" s="41">
        <v>47514422</v>
      </c>
      <c r="E16" s="41">
        <v>512166224</v>
      </c>
      <c r="F16" s="41">
        <v>146744545</v>
      </c>
      <c r="G16" s="41">
        <v>7296803</v>
      </c>
      <c r="H16" s="41">
        <v>152972683</v>
      </c>
      <c r="I16" s="41">
        <v>4962601</v>
      </c>
      <c r="J16" s="41"/>
      <c r="K16" s="41">
        <v>11402991</v>
      </c>
      <c r="L16" s="41"/>
      <c r="M16" s="41"/>
      <c r="N16" s="41">
        <v>9358752</v>
      </c>
      <c r="O16" s="41"/>
      <c r="P16" s="41">
        <v>1553779</v>
      </c>
      <c r="Q16" s="41"/>
      <c r="R16" s="41">
        <v>0</v>
      </c>
      <c r="S16" s="41">
        <v>0</v>
      </c>
      <c r="T16" s="41">
        <v>0</v>
      </c>
      <c r="U16" s="41">
        <v>0</v>
      </c>
      <c r="V16" s="41">
        <v>0</v>
      </c>
      <c r="W16" s="41">
        <v>5785452953</v>
      </c>
      <c r="X16" s="41">
        <v>1659259714</v>
      </c>
      <c r="Y16" s="43">
        <v>4126193239</v>
      </c>
    </row>
    <row r="17" spans="1:25" x14ac:dyDescent="0.2">
      <c r="A17" s="40" t="s">
        <v>106</v>
      </c>
      <c r="B17" s="41">
        <v>11398993123</v>
      </c>
      <c r="C17" s="41">
        <v>11467304966</v>
      </c>
      <c r="D17" s="41">
        <v>1552272083</v>
      </c>
      <c r="E17" s="41">
        <v>26099373174</v>
      </c>
      <c r="F17" s="41">
        <v>16258137567</v>
      </c>
      <c r="G17" s="41">
        <v>137980000</v>
      </c>
      <c r="H17" s="41">
        <v>1336981955</v>
      </c>
      <c r="I17" s="41">
        <v>15362639</v>
      </c>
      <c r="J17" s="41">
        <v>60564006</v>
      </c>
      <c r="K17" s="41"/>
      <c r="L17" s="41"/>
      <c r="M17" s="41">
        <v>2951218</v>
      </c>
      <c r="N17" s="41">
        <v>17208646</v>
      </c>
      <c r="O17" s="41">
        <v>92063</v>
      </c>
      <c r="P17" s="41">
        <v>343111516</v>
      </c>
      <c r="Q17" s="41"/>
      <c r="R17" s="41">
        <v>1082736088</v>
      </c>
      <c r="S17" s="41">
        <v>0</v>
      </c>
      <c r="T17" s="41">
        <v>0</v>
      </c>
      <c r="U17" s="41">
        <v>0</v>
      </c>
      <c r="V17" s="41">
        <v>0</v>
      </c>
      <c r="W17" s="41">
        <v>586005952029</v>
      </c>
      <c r="X17" s="41">
        <v>68690332956</v>
      </c>
      <c r="Y17" s="43">
        <v>517315619073</v>
      </c>
    </row>
    <row r="18" spans="1:25" x14ac:dyDescent="0.2">
      <c r="A18" s="40" t="s">
        <v>14</v>
      </c>
      <c r="B18" s="41">
        <v>159836265</v>
      </c>
      <c r="C18" s="41">
        <v>135518317</v>
      </c>
      <c r="D18" s="41">
        <v>20248346</v>
      </c>
      <c r="E18" s="41">
        <v>235813556</v>
      </c>
      <c r="F18" s="41">
        <v>157584495</v>
      </c>
      <c r="G18" s="41">
        <v>3289711</v>
      </c>
      <c r="H18" s="41">
        <v>34017173</v>
      </c>
      <c r="I18" s="41">
        <v>34451638</v>
      </c>
      <c r="J18" s="41"/>
      <c r="K18" s="41"/>
      <c r="L18" s="41"/>
      <c r="M18" s="41"/>
      <c r="N18" s="41">
        <v>2415028</v>
      </c>
      <c r="O18" s="41"/>
      <c r="P18" s="41"/>
      <c r="Q18" s="41"/>
      <c r="R18" s="41">
        <v>0</v>
      </c>
      <c r="S18" s="41">
        <v>0</v>
      </c>
      <c r="T18" s="41">
        <v>0</v>
      </c>
      <c r="U18" s="41">
        <v>0</v>
      </c>
      <c r="V18" s="41">
        <v>0</v>
      </c>
      <c r="W18" s="41">
        <v>3012243129</v>
      </c>
      <c r="X18" s="41">
        <v>783174529</v>
      </c>
      <c r="Y18" s="43">
        <v>2229068600</v>
      </c>
    </row>
    <row r="19" spans="1:25" x14ac:dyDescent="0.2">
      <c r="A19" s="40" t="s">
        <v>15</v>
      </c>
      <c r="B19" s="41">
        <v>118722078</v>
      </c>
      <c r="C19" s="41">
        <v>59924526</v>
      </c>
      <c r="D19" s="41"/>
      <c r="E19" s="41">
        <v>167306135</v>
      </c>
      <c r="F19" s="41">
        <v>17007159</v>
      </c>
      <c r="G19" s="41">
        <v>2477437</v>
      </c>
      <c r="H19" s="41">
        <v>16643171</v>
      </c>
      <c r="I19" s="41">
        <v>1749598</v>
      </c>
      <c r="J19" s="41"/>
      <c r="K19" s="41"/>
      <c r="L19" s="41">
        <v>34200</v>
      </c>
      <c r="M19" s="41"/>
      <c r="N19" s="41">
        <v>224356</v>
      </c>
      <c r="O19" s="41">
        <v>48012</v>
      </c>
      <c r="P19" s="41"/>
      <c r="Q19" s="41"/>
      <c r="R19" s="41">
        <v>0</v>
      </c>
      <c r="S19" s="41">
        <v>0</v>
      </c>
      <c r="T19" s="41">
        <v>0</v>
      </c>
      <c r="U19" s="41">
        <v>0</v>
      </c>
      <c r="V19" s="41">
        <v>0</v>
      </c>
      <c r="W19" s="41">
        <v>1142813789</v>
      </c>
      <c r="X19" s="41">
        <v>384136672</v>
      </c>
      <c r="Y19" s="43">
        <v>758677117</v>
      </c>
    </row>
    <row r="20" spans="1:25" x14ac:dyDescent="0.2">
      <c r="A20" s="40" t="s">
        <v>16</v>
      </c>
      <c r="B20" s="41">
        <v>5346729804</v>
      </c>
      <c r="C20" s="41">
        <v>5235381540</v>
      </c>
      <c r="D20" s="41">
        <v>287796268</v>
      </c>
      <c r="E20" s="41">
        <v>7285110916</v>
      </c>
      <c r="F20" s="41">
        <v>7523928483</v>
      </c>
      <c r="G20" s="41">
        <v>75361623</v>
      </c>
      <c r="H20" s="41">
        <v>2169544344</v>
      </c>
      <c r="I20" s="41">
        <v>524813</v>
      </c>
      <c r="J20" s="41">
        <v>70049500</v>
      </c>
      <c r="K20" s="41"/>
      <c r="L20" s="41">
        <v>1510</v>
      </c>
      <c r="M20" s="41">
        <v>1437275</v>
      </c>
      <c r="N20" s="41">
        <v>107033669</v>
      </c>
      <c r="O20" s="41">
        <v>25364007</v>
      </c>
      <c r="P20" s="41">
        <v>26640298</v>
      </c>
      <c r="Q20" s="41"/>
      <c r="R20" s="41">
        <v>462393549</v>
      </c>
      <c r="S20" s="41">
        <v>1905963</v>
      </c>
      <c r="T20" s="41">
        <v>137078835</v>
      </c>
      <c r="U20" s="41">
        <v>0</v>
      </c>
      <c r="V20" s="41">
        <v>0</v>
      </c>
      <c r="W20" s="41">
        <v>142728331498</v>
      </c>
      <c r="X20" s="41">
        <v>28154904050</v>
      </c>
      <c r="Y20" s="43">
        <v>114573427448</v>
      </c>
    </row>
    <row r="21" spans="1:25" x14ac:dyDescent="0.2">
      <c r="A21" s="40" t="s">
        <v>17</v>
      </c>
      <c r="B21" s="41">
        <v>1907187043</v>
      </c>
      <c r="C21" s="41">
        <v>1807292359</v>
      </c>
      <c r="D21" s="41">
        <v>136071617</v>
      </c>
      <c r="E21" s="41">
        <v>4190043668</v>
      </c>
      <c r="F21" s="41">
        <v>1610633108</v>
      </c>
      <c r="G21" s="41">
        <v>41522949</v>
      </c>
      <c r="H21" s="41">
        <v>969005938</v>
      </c>
      <c r="I21" s="41">
        <v>158613</v>
      </c>
      <c r="J21" s="41">
        <v>193001</v>
      </c>
      <c r="K21" s="41">
        <v>462660465</v>
      </c>
      <c r="L21" s="41">
        <v>10153</v>
      </c>
      <c r="M21" s="41">
        <v>2758660</v>
      </c>
      <c r="N21" s="41">
        <v>81871587</v>
      </c>
      <c r="O21" s="41">
        <v>962160</v>
      </c>
      <c r="P21" s="41">
        <v>49821252</v>
      </c>
      <c r="Q21" s="41"/>
      <c r="R21" s="41">
        <v>67685134</v>
      </c>
      <c r="S21" s="41">
        <v>546856</v>
      </c>
      <c r="T21" s="41">
        <v>0</v>
      </c>
      <c r="U21" s="41">
        <v>0</v>
      </c>
      <c r="V21" s="41">
        <v>0</v>
      </c>
      <c r="W21" s="41">
        <v>41593775900</v>
      </c>
      <c r="X21" s="41">
        <v>11260192573</v>
      </c>
      <c r="Y21" s="43">
        <v>30333583327</v>
      </c>
    </row>
    <row r="22" spans="1:25" x14ac:dyDescent="0.2">
      <c r="A22" s="40" t="s">
        <v>18</v>
      </c>
      <c r="B22" s="41">
        <v>1105803178</v>
      </c>
      <c r="C22" s="41">
        <v>1151246159</v>
      </c>
      <c r="D22" s="41">
        <v>221237085</v>
      </c>
      <c r="E22" s="41">
        <v>489921228</v>
      </c>
      <c r="F22" s="41">
        <v>321627698</v>
      </c>
      <c r="G22" s="41">
        <v>22568697</v>
      </c>
      <c r="H22" s="41">
        <v>481435873</v>
      </c>
      <c r="I22" s="41">
        <v>4744008</v>
      </c>
      <c r="J22" s="41"/>
      <c r="K22" s="41"/>
      <c r="L22" s="41">
        <v>55948</v>
      </c>
      <c r="M22" s="41">
        <v>797140</v>
      </c>
      <c r="N22" s="41">
        <v>72918514</v>
      </c>
      <c r="O22" s="41">
        <v>423444</v>
      </c>
      <c r="P22" s="41">
        <v>8464004</v>
      </c>
      <c r="Q22" s="41"/>
      <c r="R22" s="41">
        <v>19108381</v>
      </c>
      <c r="S22" s="41">
        <v>0</v>
      </c>
      <c r="T22" s="41">
        <v>0</v>
      </c>
      <c r="U22" s="41"/>
      <c r="V22" s="41"/>
      <c r="W22" s="41">
        <v>22015828532</v>
      </c>
      <c r="X22" s="41">
        <v>3881242976</v>
      </c>
      <c r="Y22" s="43">
        <v>18134585556</v>
      </c>
    </row>
    <row r="23" spans="1:25" x14ac:dyDescent="0.2">
      <c r="A23" s="40" t="s">
        <v>19</v>
      </c>
      <c r="B23" s="41">
        <v>85978783</v>
      </c>
      <c r="C23" s="41">
        <v>69486185</v>
      </c>
      <c r="D23" s="41">
        <v>9746354</v>
      </c>
      <c r="E23" s="41">
        <v>969379943</v>
      </c>
      <c r="F23" s="41">
        <v>39829066</v>
      </c>
      <c r="G23" s="41">
        <v>1532664</v>
      </c>
      <c r="H23" s="41">
        <v>19318738</v>
      </c>
      <c r="I23" s="41">
        <v>581953</v>
      </c>
      <c r="J23" s="41"/>
      <c r="K23" s="41"/>
      <c r="L23" s="41">
        <v>31060</v>
      </c>
      <c r="M23" s="41"/>
      <c r="N23" s="41">
        <v>16105353</v>
      </c>
      <c r="O23" s="41"/>
      <c r="P23" s="41"/>
      <c r="Q23" s="41"/>
      <c r="R23" s="41">
        <v>0</v>
      </c>
      <c r="S23" s="41">
        <v>0</v>
      </c>
      <c r="T23" s="41">
        <v>0</v>
      </c>
      <c r="U23" s="41"/>
      <c r="V23" s="41"/>
      <c r="W23" s="41">
        <v>5179998053</v>
      </c>
      <c r="X23" s="41">
        <v>1211990099</v>
      </c>
      <c r="Y23" s="43">
        <v>3968007954</v>
      </c>
    </row>
    <row r="24" spans="1:25" x14ac:dyDescent="0.2">
      <c r="A24" s="40" t="s">
        <v>20</v>
      </c>
      <c r="B24" s="41">
        <v>249206170</v>
      </c>
      <c r="C24" s="41">
        <v>177728624</v>
      </c>
      <c r="D24" s="41">
        <v>10292395</v>
      </c>
      <c r="E24" s="41">
        <v>174654338</v>
      </c>
      <c r="F24" s="41">
        <v>85893179</v>
      </c>
      <c r="G24" s="41">
        <v>3787881</v>
      </c>
      <c r="H24" s="41">
        <v>69646116</v>
      </c>
      <c r="I24" s="41">
        <v>2774584</v>
      </c>
      <c r="J24" s="41"/>
      <c r="K24" s="41"/>
      <c r="L24" s="41">
        <v>194646</v>
      </c>
      <c r="M24" s="41"/>
      <c r="N24" s="41">
        <v>1123609</v>
      </c>
      <c r="O24" s="41">
        <v>90644</v>
      </c>
      <c r="P24" s="41"/>
      <c r="Q24" s="41"/>
      <c r="R24" s="41">
        <v>0</v>
      </c>
      <c r="S24" s="41">
        <v>0</v>
      </c>
      <c r="T24" s="41">
        <v>0</v>
      </c>
      <c r="U24" s="41">
        <v>0</v>
      </c>
      <c r="V24" s="41">
        <v>0</v>
      </c>
      <c r="W24" s="41">
        <v>2738232151</v>
      </c>
      <c r="X24" s="41">
        <v>775392186</v>
      </c>
      <c r="Y24" s="43">
        <v>1962839965</v>
      </c>
    </row>
    <row r="25" spans="1:25" x14ac:dyDescent="0.2">
      <c r="A25" s="40" t="s">
        <v>21</v>
      </c>
      <c r="B25" s="41">
        <v>142284039</v>
      </c>
      <c r="C25" s="41">
        <v>110752112</v>
      </c>
      <c r="D25" s="41">
        <v>6814896</v>
      </c>
      <c r="E25" s="41">
        <v>111158154</v>
      </c>
      <c r="F25" s="41">
        <v>31455403</v>
      </c>
      <c r="G25" s="41">
        <v>3009255</v>
      </c>
      <c r="H25" s="41">
        <v>36250954</v>
      </c>
      <c r="I25" s="41">
        <v>2136205</v>
      </c>
      <c r="J25" s="41"/>
      <c r="K25" s="41"/>
      <c r="L25" s="41">
        <v>1506</v>
      </c>
      <c r="M25" s="41"/>
      <c r="N25" s="41">
        <v>2207744</v>
      </c>
      <c r="O25" s="41"/>
      <c r="P25" s="41">
        <v>6681274</v>
      </c>
      <c r="Q25" s="41"/>
      <c r="R25" s="41">
        <v>0</v>
      </c>
      <c r="S25" s="41">
        <v>0</v>
      </c>
      <c r="T25" s="41">
        <v>0</v>
      </c>
      <c r="U25" s="41">
        <v>0</v>
      </c>
      <c r="V25" s="41">
        <v>0</v>
      </c>
      <c r="W25" s="41">
        <v>1548519951</v>
      </c>
      <c r="X25" s="41">
        <v>452751542</v>
      </c>
      <c r="Y25" s="43">
        <v>1095768409</v>
      </c>
    </row>
    <row r="26" spans="1:25" x14ac:dyDescent="0.2">
      <c r="A26" s="40" t="s">
        <v>22</v>
      </c>
      <c r="B26" s="41">
        <v>68980355</v>
      </c>
      <c r="C26" s="41">
        <v>56154854</v>
      </c>
      <c r="D26" s="41">
        <v>3441509</v>
      </c>
      <c r="E26" s="41">
        <v>1048075615</v>
      </c>
      <c r="F26" s="41">
        <v>26180175</v>
      </c>
      <c r="G26" s="41">
        <v>1727987</v>
      </c>
      <c r="H26" s="41">
        <v>15963300</v>
      </c>
      <c r="I26" s="41">
        <v>9272190</v>
      </c>
      <c r="J26" s="41"/>
      <c r="K26" s="41"/>
      <c r="L26" s="41"/>
      <c r="M26" s="41"/>
      <c r="N26" s="41">
        <v>1373027</v>
      </c>
      <c r="O26" s="41"/>
      <c r="P26" s="41"/>
      <c r="Q26" s="41"/>
      <c r="R26" s="41">
        <v>0</v>
      </c>
      <c r="S26" s="41">
        <v>0</v>
      </c>
      <c r="T26" s="41">
        <v>0</v>
      </c>
      <c r="U26" s="41">
        <v>0</v>
      </c>
      <c r="V26" s="41">
        <v>0</v>
      </c>
      <c r="W26" s="41">
        <v>2252578299</v>
      </c>
      <c r="X26" s="41">
        <v>1231169012</v>
      </c>
      <c r="Y26" s="43">
        <v>1021409287</v>
      </c>
    </row>
    <row r="27" spans="1:25" x14ac:dyDescent="0.2">
      <c r="A27" s="40" t="s">
        <v>23</v>
      </c>
      <c r="B27" s="41">
        <v>105008031</v>
      </c>
      <c r="C27" s="41">
        <v>83234366</v>
      </c>
      <c r="D27" s="41">
        <v>5293489</v>
      </c>
      <c r="E27" s="41">
        <v>593430997</v>
      </c>
      <c r="F27" s="41">
        <v>64182605</v>
      </c>
      <c r="G27" s="41">
        <v>2035413</v>
      </c>
      <c r="H27" s="41">
        <v>48280396</v>
      </c>
      <c r="I27" s="41">
        <v>731</v>
      </c>
      <c r="J27" s="41"/>
      <c r="K27" s="41"/>
      <c r="L27" s="41"/>
      <c r="M27" s="41">
        <v>374471</v>
      </c>
      <c r="N27" s="41">
        <v>9922192</v>
      </c>
      <c r="O27" s="41"/>
      <c r="P27" s="41">
        <v>146677</v>
      </c>
      <c r="Q27" s="41"/>
      <c r="R27" s="41">
        <v>0</v>
      </c>
      <c r="S27" s="41">
        <v>0</v>
      </c>
      <c r="T27" s="41">
        <v>0</v>
      </c>
      <c r="U27" s="41"/>
      <c r="V27" s="41"/>
      <c r="W27" s="41">
        <v>5067404628</v>
      </c>
      <c r="X27" s="41">
        <v>911909368</v>
      </c>
      <c r="Y27" s="43">
        <v>4155495260</v>
      </c>
    </row>
    <row r="28" spans="1:25" x14ac:dyDescent="0.2">
      <c r="A28" s="40" t="s">
        <v>24</v>
      </c>
      <c r="B28" s="41">
        <v>71570769</v>
      </c>
      <c r="C28" s="41">
        <v>48584580</v>
      </c>
      <c r="D28" s="41">
        <v>7848914</v>
      </c>
      <c r="E28" s="41">
        <v>185896637</v>
      </c>
      <c r="F28" s="41">
        <v>24320932</v>
      </c>
      <c r="G28" s="41">
        <v>1679883</v>
      </c>
      <c r="H28" s="41">
        <v>18306956</v>
      </c>
      <c r="I28" s="41">
        <v>392943</v>
      </c>
      <c r="J28" s="41"/>
      <c r="K28" s="41"/>
      <c r="L28" s="41"/>
      <c r="M28" s="41"/>
      <c r="N28" s="41">
        <v>417292</v>
      </c>
      <c r="O28" s="41"/>
      <c r="P28" s="41"/>
      <c r="Q28" s="41"/>
      <c r="R28" s="41">
        <v>0</v>
      </c>
      <c r="S28" s="41">
        <v>0</v>
      </c>
      <c r="T28" s="41">
        <v>0</v>
      </c>
      <c r="U28" s="41">
        <v>0</v>
      </c>
      <c r="V28" s="41">
        <v>0</v>
      </c>
      <c r="W28" s="41">
        <v>1016942777</v>
      </c>
      <c r="X28" s="41">
        <v>359018906</v>
      </c>
      <c r="Y28" s="43">
        <v>657923871</v>
      </c>
    </row>
    <row r="29" spans="1:25" x14ac:dyDescent="0.2">
      <c r="A29" s="40" t="s">
        <v>25</v>
      </c>
      <c r="B29" s="41">
        <v>114816276</v>
      </c>
      <c r="C29" s="41">
        <v>89498293</v>
      </c>
      <c r="D29" s="41">
        <v>7569742</v>
      </c>
      <c r="E29" s="41">
        <v>251012903</v>
      </c>
      <c r="F29" s="41">
        <v>93185186</v>
      </c>
      <c r="G29" s="41">
        <v>2496151</v>
      </c>
      <c r="H29" s="41">
        <v>9507813</v>
      </c>
      <c r="I29" s="41">
        <v>3235397</v>
      </c>
      <c r="J29" s="41"/>
      <c r="K29" s="41"/>
      <c r="L29" s="41"/>
      <c r="M29" s="41"/>
      <c r="N29" s="41">
        <v>197536</v>
      </c>
      <c r="O29" s="41"/>
      <c r="P29" s="41"/>
      <c r="Q29" s="41"/>
      <c r="R29" s="41">
        <v>0</v>
      </c>
      <c r="S29" s="41">
        <v>0</v>
      </c>
      <c r="T29" s="41">
        <v>0</v>
      </c>
      <c r="U29" s="41">
        <v>0</v>
      </c>
      <c r="V29" s="41">
        <v>0</v>
      </c>
      <c r="W29" s="41">
        <v>2444524955</v>
      </c>
      <c r="X29" s="41">
        <v>571519297</v>
      </c>
      <c r="Y29" s="43">
        <v>1873005658</v>
      </c>
    </row>
    <row r="30" spans="1:25" x14ac:dyDescent="0.2">
      <c r="A30" s="40" t="s">
        <v>26</v>
      </c>
      <c r="B30" s="41">
        <v>219021662</v>
      </c>
      <c r="C30" s="41">
        <v>183106113</v>
      </c>
      <c r="D30" s="41">
        <v>21325655</v>
      </c>
      <c r="E30" s="41">
        <v>1465281162</v>
      </c>
      <c r="F30" s="41">
        <v>128377022</v>
      </c>
      <c r="G30" s="41">
        <v>3316628</v>
      </c>
      <c r="H30" s="41">
        <v>31085322</v>
      </c>
      <c r="I30" s="41">
        <v>15410996</v>
      </c>
      <c r="J30" s="41"/>
      <c r="K30" s="41">
        <v>2285462</v>
      </c>
      <c r="L30" s="41"/>
      <c r="M30" s="41"/>
      <c r="N30" s="41">
        <v>104070</v>
      </c>
      <c r="O30" s="41"/>
      <c r="P30" s="41"/>
      <c r="Q30" s="41"/>
      <c r="R30" s="41">
        <v>0</v>
      </c>
      <c r="S30" s="41">
        <v>0</v>
      </c>
      <c r="T30" s="41">
        <v>0</v>
      </c>
      <c r="U30" s="41"/>
      <c r="V30" s="41"/>
      <c r="W30" s="41">
        <v>5620203574</v>
      </c>
      <c r="X30" s="41">
        <v>2069314092</v>
      </c>
      <c r="Y30" s="43">
        <v>3550889482</v>
      </c>
    </row>
    <row r="31" spans="1:25" x14ac:dyDescent="0.2">
      <c r="A31" s="40" t="s">
        <v>27</v>
      </c>
      <c r="B31" s="41">
        <v>1505143914</v>
      </c>
      <c r="C31" s="41">
        <v>1449837180</v>
      </c>
      <c r="D31" s="41">
        <v>217668946</v>
      </c>
      <c r="E31" s="41">
        <v>1408591416</v>
      </c>
      <c r="F31" s="41">
        <v>405252057</v>
      </c>
      <c r="G31" s="41">
        <v>32861380</v>
      </c>
      <c r="H31" s="41">
        <v>718055742</v>
      </c>
      <c r="I31" s="41">
        <v>2435806</v>
      </c>
      <c r="J31" s="41"/>
      <c r="K31" s="41"/>
      <c r="L31" s="41">
        <v>36509</v>
      </c>
      <c r="M31" s="41"/>
      <c r="N31" s="41">
        <v>7501843</v>
      </c>
      <c r="O31" s="41">
        <v>181497</v>
      </c>
      <c r="P31" s="41">
        <v>15078137</v>
      </c>
      <c r="Q31" s="41"/>
      <c r="R31" s="41">
        <v>8574297</v>
      </c>
      <c r="S31" s="41">
        <v>0</v>
      </c>
      <c r="T31" s="41">
        <v>0</v>
      </c>
      <c r="U31" s="41"/>
      <c r="V31" s="41"/>
      <c r="W31" s="41">
        <v>23335115777</v>
      </c>
      <c r="X31" s="41">
        <v>5762644427</v>
      </c>
      <c r="Y31" s="43">
        <v>17572471350</v>
      </c>
    </row>
    <row r="32" spans="1:25" x14ac:dyDescent="0.2">
      <c r="A32" s="40" t="s">
        <v>28</v>
      </c>
      <c r="B32" s="41">
        <v>655054089</v>
      </c>
      <c r="C32" s="41">
        <v>585654721</v>
      </c>
      <c r="D32" s="41">
        <v>26685396</v>
      </c>
      <c r="E32" s="41">
        <v>678562254</v>
      </c>
      <c r="F32" s="41">
        <v>554055961</v>
      </c>
      <c r="G32" s="41">
        <v>19924820</v>
      </c>
      <c r="H32" s="41">
        <v>183738767</v>
      </c>
      <c r="I32" s="41">
        <v>19224043</v>
      </c>
      <c r="J32" s="41"/>
      <c r="K32" s="41"/>
      <c r="L32" s="41">
        <v>40201</v>
      </c>
      <c r="M32" s="41"/>
      <c r="N32" s="41">
        <v>19719567</v>
      </c>
      <c r="O32" s="41">
        <v>149642</v>
      </c>
      <c r="P32" s="41"/>
      <c r="Q32" s="41"/>
      <c r="R32" s="41">
        <v>0</v>
      </c>
      <c r="S32" s="41">
        <v>0</v>
      </c>
      <c r="T32" s="41">
        <v>0</v>
      </c>
      <c r="U32" s="41">
        <v>0</v>
      </c>
      <c r="V32" s="41">
        <v>0</v>
      </c>
      <c r="W32" s="41">
        <v>11253952758</v>
      </c>
      <c r="X32" s="41">
        <v>2742809461</v>
      </c>
      <c r="Y32" s="43">
        <v>8511143297</v>
      </c>
    </row>
    <row r="33" spans="1:25" x14ac:dyDescent="0.2">
      <c r="A33" s="40" t="s">
        <v>29</v>
      </c>
      <c r="B33" s="41">
        <v>7572013343</v>
      </c>
      <c r="C33" s="41">
        <v>7507669870</v>
      </c>
      <c r="D33" s="41">
        <v>306347234</v>
      </c>
      <c r="E33" s="41">
        <v>14847749412</v>
      </c>
      <c r="F33" s="41">
        <v>8157028515</v>
      </c>
      <c r="G33" s="41">
        <v>98867500</v>
      </c>
      <c r="H33" s="41">
        <v>4700294321</v>
      </c>
      <c r="I33" s="41">
        <v>1335033</v>
      </c>
      <c r="J33" s="41">
        <v>48795081</v>
      </c>
      <c r="K33" s="41">
        <v>6123094</v>
      </c>
      <c r="L33" s="41">
        <v>172859</v>
      </c>
      <c r="M33" s="41">
        <v>4821791</v>
      </c>
      <c r="N33" s="41">
        <v>43134217</v>
      </c>
      <c r="O33" s="41">
        <v>8840481</v>
      </c>
      <c r="P33" s="41">
        <v>125353971</v>
      </c>
      <c r="Q33" s="41"/>
      <c r="R33" s="41">
        <v>19618248</v>
      </c>
      <c r="S33" s="41">
        <v>0</v>
      </c>
      <c r="T33" s="41">
        <v>0</v>
      </c>
      <c r="U33" s="41">
        <v>0</v>
      </c>
      <c r="V33" s="41">
        <v>268915893</v>
      </c>
      <c r="W33" s="41">
        <v>218300966173</v>
      </c>
      <c r="X33" s="41">
        <v>43428546722</v>
      </c>
      <c r="Y33" s="43">
        <v>174872419451</v>
      </c>
    </row>
    <row r="34" spans="1:25" x14ac:dyDescent="0.2">
      <c r="A34" s="40" t="s">
        <v>30</v>
      </c>
      <c r="B34" s="41">
        <v>121227767</v>
      </c>
      <c r="C34" s="41">
        <v>79199518</v>
      </c>
      <c r="D34" s="41">
        <v>20935503</v>
      </c>
      <c r="E34" s="41">
        <v>81286976</v>
      </c>
      <c r="F34" s="41">
        <v>50753111</v>
      </c>
      <c r="G34" s="41">
        <v>2399073</v>
      </c>
      <c r="H34" s="41">
        <v>35140640</v>
      </c>
      <c r="I34" s="41"/>
      <c r="J34" s="41"/>
      <c r="K34" s="41"/>
      <c r="L34" s="41"/>
      <c r="M34" s="41"/>
      <c r="N34" s="41">
        <v>581344</v>
      </c>
      <c r="O34" s="41">
        <v>32464</v>
      </c>
      <c r="P34" s="41"/>
      <c r="Q34" s="41"/>
      <c r="R34" s="41">
        <v>0</v>
      </c>
      <c r="S34" s="41">
        <v>0</v>
      </c>
      <c r="T34" s="41">
        <v>0</v>
      </c>
      <c r="U34" s="41">
        <v>0</v>
      </c>
      <c r="V34" s="41">
        <v>0</v>
      </c>
      <c r="W34" s="41">
        <v>1044471320</v>
      </c>
      <c r="X34" s="41">
        <v>391556396</v>
      </c>
      <c r="Y34" s="43">
        <v>652914924</v>
      </c>
    </row>
    <row r="35" spans="1:25" x14ac:dyDescent="0.2">
      <c r="A35" s="40" t="s">
        <v>31</v>
      </c>
      <c r="B35" s="41">
        <v>1287641678</v>
      </c>
      <c r="C35" s="41">
        <v>1285142557</v>
      </c>
      <c r="D35" s="41">
        <v>40325719</v>
      </c>
      <c r="E35" s="41">
        <v>1024367582</v>
      </c>
      <c r="F35" s="41">
        <v>853258900</v>
      </c>
      <c r="G35" s="41">
        <v>25058321</v>
      </c>
      <c r="H35" s="41">
        <v>361977688</v>
      </c>
      <c r="I35" s="41">
        <v>1779330</v>
      </c>
      <c r="J35" s="41"/>
      <c r="K35" s="41"/>
      <c r="L35" s="41">
        <v>214934</v>
      </c>
      <c r="M35" s="41">
        <v>60650</v>
      </c>
      <c r="N35" s="41">
        <v>54419174</v>
      </c>
      <c r="O35" s="41">
        <v>250518</v>
      </c>
      <c r="P35" s="41"/>
      <c r="Q35" s="41"/>
      <c r="R35" s="41">
        <v>0</v>
      </c>
      <c r="S35" s="41">
        <v>0</v>
      </c>
      <c r="T35" s="41">
        <v>0</v>
      </c>
      <c r="U35" s="41">
        <v>0</v>
      </c>
      <c r="V35" s="41">
        <v>0</v>
      </c>
      <c r="W35" s="41">
        <v>37300488983</v>
      </c>
      <c r="X35" s="41">
        <v>4934497051</v>
      </c>
      <c r="Y35" s="43">
        <v>32365991932</v>
      </c>
    </row>
    <row r="36" spans="1:25" x14ac:dyDescent="0.2">
      <c r="A36" s="40" t="s">
        <v>32</v>
      </c>
      <c r="B36" s="41">
        <v>260869579</v>
      </c>
      <c r="C36" s="41">
        <v>172924277</v>
      </c>
      <c r="D36" s="41">
        <v>15092918</v>
      </c>
      <c r="E36" s="41">
        <v>423870975</v>
      </c>
      <c r="F36" s="41">
        <v>180820325</v>
      </c>
      <c r="G36" s="41">
        <v>6458215</v>
      </c>
      <c r="H36" s="41">
        <v>71437821</v>
      </c>
      <c r="I36" s="41">
        <v>304913</v>
      </c>
      <c r="J36" s="41"/>
      <c r="K36" s="41"/>
      <c r="L36" s="41">
        <v>19875</v>
      </c>
      <c r="M36" s="41">
        <v>145405</v>
      </c>
      <c r="N36" s="41">
        <v>1648084</v>
      </c>
      <c r="O36" s="41"/>
      <c r="P36" s="41">
        <v>3980995</v>
      </c>
      <c r="Q36" s="41"/>
      <c r="R36" s="41">
        <v>0</v>
      </c>
      <c r="S36" s="41">
        <v>199520</v>
      </c>
      <c r="T36" s="41">
        <v>0</v>
      </c>
      <c r="U36" s="41">
        <v>0</v>
      </c>
      <c r="V36" s="41">
        <v>0</v>
      </c>
      <c r="W36" s="41">
        <v>3138911563</v>
      </c>
      <c r="X36" s="41">
        <v>1137573382</v>
      </c>
      <c r="Y36" s="43">
        <v>2001338181</v>
      </c>
    </row>
    <row r="37" spans="1:25" x14ac:dyDescent="0.2">
      <c r="A37" s="40" t="s">
        <v>33</v>
      </c>
      <c r="B37" s="41">
        <v>100688938</v>
      </c>
      <c r="C37" s="41">
        <v>82672265</v>
      </c>
      <c r="D37" s="41">
        <v>2751269</v>
      </c>
      <c r="E37" s="41">
        <v>106015710</v>
      </c>
      <c r="F37" s="41">
        <v>33602782</v>
      </c>
      <c r="G37" s="41">
        <v>2781919</v>
      </c>
      <c r="H37" s="41">
        <v>22606363</v>
      </c>
      <c r="I37" s="41">
        <v>55099483</v>
      </c>
      <c r="J37" s="41"/>
      <c r="K37" s="41"/>
      <c r="L37" s="41">
        <v>15641</v>
      </c>
      <c r="M37" s="41">
        <v>403603</v>
      </c>
      <c r="N37" s="41">
        <v>235070</v>
      </c>
      <c r="O37" s="41"/>
      <c r="P37" s="41"/>
      <c r="Q37" s="41"/>
      <c r="R37" s="41">
        <v>0</v>
      </c>
      <c r="S37" s="41">
        <v>0</v>
      </c>
      <c r="T37" s="41">
        <v>0</v>
      </c>
      <c r="U37" s="41">
        <v>0</v>
      </c>
      <c r="V37" s="41">
        <v>0</v>
      </c>
      <c r="W37" s="41">
        <v>1380283256</v>
      </c>
      <c r="X37" s="41">
        <v>406873043</v>
      </c>
      <c r="Y37" s="43">
        <v>973410213</v>
      </c>
    </row>
    <row r="38" spans="1:25" x14ac:dyDescent="0.2">
      <c r="A38" s="40" t="s">
        <v>34</v>
      </c>
      <c r="B38" s="41">
        <v>44424033</v>
      </c>
      <c r="C38" s="41">
        <v>32781012</v>
      </c>
      <c r="D38" s="41">
        <v>963828</v>
      </c>
      <c r="E38" s="41">
        <v>94812961</v>
      </c>
      <c r="F38" s="41">
        <v>17560736</v>
      </c>
      <c r="G38" s="41">
        <v>1057013</v>
      </c>
      <c r="H38" s="41">
        <v>10013061</v>
      </c>
      <c r="I38" s="41">
        <v>250937</v>
      </c>
      <c r="J38" s="41"/>
      <c r="K38" s="41"/>
      <c r="L38" s="41"/>
      <c r="M38" s="41"/>
      <c r="N38" s="41"/>
      <c r="O38" s="41"/>
      <c r="P38" s="41"/>
      <c r="Q38" s="41"/>
      <c r="R38" s="41">
        <v>0</v>
      </c>
      <c r="S38" s="41">
        <v>0</v>
      </c>
      <c r="T38" s="41">
        <v>0</v>
      </c>
      <c r="U38" s="41">
        <v>0</v>
      </c>
      <c r="V38" s="41">
        <v>0</v>
      </c>
      <c r="W38" s="41">
        <v>541090663</v>
      </c>
      <c r="X38" s="41">
        <v>201863581</v>
      </c>
      <c r="Y38" s="43">
        <v>339227082</v>
      </c>
    </row>
    <row r="39" spans="1:25" x14ac:dyDescent="0.2">
      <c r="A39" s="40" t="s">
        <v>35</v>
      </c>
      <c r="B39" s="41">
        <v>2881283421</v>
      </c>
      <c r="C39" s="41">
        <v>2860318577</v>
      </c>
      <c r="D39" s="41">
        <v>307459712</v>
      </c>
      <c r="E39" s="41">
        <v>1105324101</v>
      </c>
      <c r="F39" s="41">
        <v>1562569127</v>
      </c>
      <c r="G39" s="41">
        <v>46173273</v>
      </c>
      <c r="H39" s="41">
        <v>1051408858</v>
      </c>
      <c r="I39" s="41">
        <v>26521488</v>
      </c>
      <c r="J39" s="41"/>
      <c r="K39" s="41"/>
      <c r="L39" s="41">
        <v>18085</v>
      </c>
      <c r="M39" s="41"/>
      <c r="N39" s="41">
        <v>37610942</v>
      </c>
      <c r="O39" s="41">
        <v>330289</v>
      </c>
      <c r="P39" s="41">
        <v>15419859</v>
      </c>
      <c r="Q39" s="41"/>
      <c r="R39" s="41">
        <v>30318875</v>
      </c>
      <c r="S39" s="41">
        <v>1785804</v>
      </c>
      <c r="T39" s="41">
        <v>0</v>
      </c>
      <c r="U39" s="41">
        <v>0</v>
      </c>
      <c r="V39" s="41">
        <v>0</v>
      </c>
      <c r="W39" s="41">
        <v>56070531343</v>
      </c>
      <c r="X39" s="41">
        <v>9894437732</v>
      </c>
      <c r="Y39" s="43">
        <v>46176093611</v>
      </c>
    </row>
    <row r="40" spans="1:25" x14ac:dyDescent="0.2">
      <c r="A40" s="40" t="s">
        <v>36</v>
      </c>
      <c r="B40" s="41">
        <v>5424297534</v>
      </c>
      <c r="C40" s="41">
        <v>5434396380</v>
      </c>
      <c r="D40" s="41">
        <v>329411750</v>
      </c>
      <c r="E40" s="41">
        <v>6551794557</v>
      </c>
      <c r="F40" s="41">
        <v>4056408818</v>
      </c>
      <c r="G40" s="41">
        <v>101269173</v>
      </c>
      <c r="H40" s="41">
        <v>1036495598</v>
      </c>
      <c r="I40" s="41">
        <v>9206412</v>
      </c>
      <c r="J40" s="41"/>
      <c r="K40" s="41"/>
      <c r="L40" s="41">
        <v>10730</v>
      </c>
      <c r="M40" s="41"/>
      <c r="N40" s="41">
        <v>131861793</v>
      </c>
      <c r="O40" s="41">
        <v>289628</v>
      </c>
      <c r="P40" s="41">
        <v>2608735</v>
      </c>
      <c r="Q40" s="41"/>
      <c r="R40" s="41">
        <v>555729624</v>
      </c>
      <c r="S40" s="41"/>
      <c r="T40" s="41"/>
      <c r="U40" s="41"/>
      <c r="V40" s="41"/>
      <c r="W40" s="41">
        <v>172297174013</v>
      </c>
      <c r="X40" s="41">
        <v>23078051108</v>
      </c>
      <c r="Y40" s="43">
        <v>149219122905</v>
      </c>
    </row>
    <row r="41" spans="1:25" x14ac:dyDescent="0.2">
      <c r="A41" s="40" t="s">
        <v>37</v>
      </c>
      <c r="B41" s="41">
        <v>1449293176</v>
      </c>
      <c r="C41" s="41">
        <v>1417769793</v>
      </c>
      <c r="D41" s="41">
        <v>35934197</v>
      </c>
      <c r="E41" s="41">
        <v>6661350331</v>
      </c>
      <c r="F41" s="41">
        <v>1431199898</v>
      </c>
      <c r="G41" s="41">
        <v>22821566</v>
      </c>
      <c r="H41" s="41">
        <v>366446592</v>
      </c>
      <c r="I41" s="41">
        <v>126937928</v>
      </c>
      <c r="J41" s="41">
        <v>8341989</v>
      </c>
      <c r="K41" s="41"/>
      <c r="L41" s="41"/>
      <c r="M41" s="41">
        <v>2224736</v>
      </c>
      <c r="N41" s="41">
        <v>29245999</v>
      </c>
      <c r="O41" s="41">
        <v>10140</v>
      </c>
      <c r="P41" s="41">
        <v>28615805</v>
      </c>
      <c r="Q41" s="41"/>
      <c r="R41" s="41">
        <v>7244410</v>
      </c>
      <c r="S41" s="41">
        <v>0</v>
      </c>
      <c r="T41" s="41">
        <v>0</v>
      </c>
      <c r="U41" s="41">
        <v>0</v>
      </c>
      <c r="V41" s="41">
        <v>0</v>
      </c>
      <c r="W41" s="41">
        <v>38794904930</v>
      </c>
      <c r="X41" s="41">
        <v>11580192150</v>
      </c>
      <c r="Y41" s="43">
        <v>27214712780</v>
      </c>
    </row>
    <row r="42" spans="1:25" x14ac:dyDescent="0.2">
      <c r="A42" s="40" t="s">
        <v>38</v>
      </c>
      <c r="B42" s="41">
        <v>340230933</v>
      </c>
      <c r="C42" s="41">
        <v>267805695</v>
      </c>
      <c r="D42" s="41">
        <v>39078754</v>
      </c>
      <c r="E42" s="41">
        <v>347754286</v>
      </c>
      <c r="F42" s="41">
        <v>118084128</v>
      </c>
      <c r="G42" s="41">
        <v>6450000</v>
      </c>
      <c r="H42" s="41">
        <v>103407173</v>
      </c>
      <c r="I42" s="41">
        <v>5482765</v>
      </c>
      <c r="J42" s="41">
        <v>884593</v>
      </c>
      <c r="K42" s="41"/>
      <c r="L42" s="41">
        <v>5544</v>
      </c>
      <c r="M42" s="41"/>
      <c r="N42" s="41">
        <v>7000847</v>
      </c>
      <c r="O42" s="41"/>
      <c r="P42" s="41"/>
      <c r="Q42" s="41"/>
      <c r="R42" s="41">
        <v>0</v>
      </c>
      <c r="S42" s="41">
        <v>0</v>
      </c>
      <c r="T42" s="41">
        <v>0</v>
      </c>
      <c r="U42" s="41">
        <v>0</v>
      </c>
      <c r="V42" s="41">
        <v>0</v>
      </c>
      <c r="W42" s="41">
        <v>4354502970</v>
      </c>
      <c r="X42" s="41">
        <v>1236184718</v>
      </c>
      <c r="Y42" s="43">
        <v>3118318252</v>
      </c>
    </row>
    <row r="43" spans="1:25" x14ac:dyDescent="0.2">
      <c r="A43" s="40" t="s">
        <v>39</v>
      </c>
      <c r="B43" s="41">
        <v>38658191</v>
      </c>
      <c r="C43" s="41">
        <v>23395048</v>
      </c>
      <c r="D43" s="41">
        <v>2344804</v>
      </c>
      <c r="E43" s="41">
        <v>347255929</v>
      </c>
      <c r="F43" s="41">
        <v>23158888</v>
      </c>
      <c r="G43" s="41">
        <v>537503</v>
      </c>
      <c r="H43" s="41">
        <v>7833607</v>
      </c>
      <c r="I43" s="41">
        <v>413982</v>
      </c>
      <c r="J43" s="41"/>
      <c r="K43" s="41">
        <v>1367</v>
      </c>
      <c r="L43" s="41"/>
      <c r="M43" s="41"/>
      <c r="N43" s="41"/>
      <c r="O43" s="41"/>
      <c r="P43" s="41"/>
      <c r="Q43" s="41"/>
      <c r="R43" s="41">
        <v>0</v>
      </c>
      <c r="S43" s="41">
        <v>0</v>
      </c>
      <c r="T43" s="41">
        <v>0</v>
      </c>
      <c r="U43" s="41">
        <v>0</v>
      </c>
      <c r="V43" s="41">
        <v>0</v>
      </c>
      <c r="W43" s="41">
        <v>675770902</v>
      </c>
      <c r="X43" s="41">
        <v>443599319</v>
      </c>
      <c r="Y43" s="43">
        <v>232171583</v>
      </c>
    </row>
    <row r="44" spans="1:25" x14ac:dyDescent="0.2">
      <c r="A44" s="40" t="s">
        <v>40</v>
      </c>
      <c r="B44" s="41">
        <v>106718532</v>
      </c>
      <c r="C44" s="41">
        <v>76242325</v>
      </c>
      <c r="D44" s="41">
        <v>11640357</v>
      </c>
      <c r="E44" s="41">
        <v>96242491</v>
      </c>
      <c r="F44" s="41">
        <v>68205202</v>
      </c>
      <c r="G44" s="41">
        <v>2742220</v>
      </c>
      <c r="H44" s="41">
        <v>24864363</v>
      </c>
      <c r="I44" s="41">
        <v>18421726</v>
      </c>
      <c r="J44" s="41">
        <v>72346</v>
      </c>
      <c r="K44" s="41"/>
      <c r="L44" s="41"/>
      <c r="M44" s="41">
        <v>261854</v>
      </c>
      <c r="N44" s="41">
        <v>557211</v>
      </c>
      <c r="O44" s="41">
        <v>88669</v>
      </c>
      <c r="P44" s="41">
        <v>1360509</v>
      </c>
      <c r="Q44" s="41"/>
      <c r="R44" s="41">
        <v>0</v>
      </c>
      <c r="S44" s="41"/>
      <c r="T44" s="41"/>
      <c r="U44" s="41"/>
      <c r="V44" s="41"/>
      <c r="W44" s="41">
        <v>1392024826</v>
      </c>
      <c r="X44" s="41">
        <v>407417805</v>
      </c>
      <c r="Y44" s="43">
        <v>984607021</v>
      </c>
    </row>
    <row r="45" spans="1:25" x14ac:dyDescent="0.2">
      <c r="A45" s="40" t="s">
        <v>41</v>
      </c>
      <c r="B45" s="41">
        <v>2768396019</v>
      </c>
      <c r="C45" s="41">
        <v>2795268855</v>
      </c>
      <c r="D45" s="41">
        <v>67812752</v>
      </c>
      <c r="E45" s="41">
        <v>2164299603</v>
      </c>
      <c r="F45" s="41">
        <v>1535514268</v>
      </c>
      <c r="G45" s="41">
        <v>61948702</v>
      </c>
      <c r="H45" s="41">
        <v>911532856</v>
      </c>
      <c r="I45" s="41"/>
      <c r="J45" s="41"/>
      <c r="K45" s="41">
        <v>29348496</v>
      </c>
      <c r="L45" s="41"/>
      <c r="M45" s="41">
        <v>946465</v>
      </c>
      <c r="N45" s="41">
        <v>71698862</v>
      </c>
      <c r="O45" s="41">
        <v>117538</v>
      </c>
      <c r="P45" s="41"/>
      <c r="Q45" s="41"/>
      <c r="R45" s="41">
        <v>37450201</v>
      </c>
      <c r="S45" s="41">
        <v>0</v>
      </c>
      <c r="T45" s="41">
        <v>0</v>
      </c>
      <c r="U45" s="41">
        <v>0</v>
      </c>
      <c r="V45" s="41">
        <v>0</v>
      </c>
      <c r="W45" s="41">
        <v>85898335377</v>
      </c>
      <c r="X45" s="41">
        <v>10406884416</v>
      </c>
      <c r="Y45" s="43">
        <v>75491450961</v>
      </c>
    </row>
    <row r="46" spans="1:25" x14ac:dyDescent="0.2">
      <c r="A46" s="40" t="s">
        <v>42</v>
      </c>
      <c r="B46" s="41">
        <v>2941898950</v>
      </c>
      <c r="C46" s="41">
        <v>2723660448</v>
      </c>
      <c r="D46" s="41"/>
      <c r="E46" s="41">
        <v>1810731250</v>
      </c>
      <c r="F46" s="41">
        <v>2085751750</v>
      </c>
      <c r="G46" s="41">
        <v>65376800</v>
      </c>
      <c r="H46" s="41">
        <v>1054280881</v>
      </c>
      <c r="I46" s="41">
        <v>25589323</v>
      </c>
      <c r="J46" s="41"/>
      <c r="K46" s="41"/>
      <c r="L46" s="41">
        <v>71080</v>
      </c>
      <c r="M46" s="41">
        <v>2848286</v>
      </c>
      <c r="N46" s="41">
        <v>72113310</v>
      </c>
      <c r="O46" s="41">
        <v>157005</v>
      </c>
      <c r="P46" s="41">
        <v>11588457</v>
      </c>
      <c r="Q46" s="41"/>
      <c r="R46" s="41">
        <v>10542727</v>
      </c>
      <c r="S46" s="41">
        <v>1764294</v>
      </c>
      <c r="T46" s="41">
        <v>0</v>
      </c>
      <c r="U46" s="41">
        <v>0</v>
      </c>
      <c r="V46" s="41">
        <v>0</v>
      </c>
      <c r="W46" s="41">
        <v>49555237545</v>
      </c>
      <c r="X46" s="41">
        <v>10794067540</v>
      </c>
      <c r="Y46" s="43">
        <v>38761170005</v>
      </c>
    </row>
    <row r="47" spans="1:25" x14ac:dyDescent="0.2">
      <c r="A47" s="40" t="s">
        <v>43</v>
      </c>
      <c r="B47" s="41">
        <v>1237859172</v>
      </c>
      <c r="C47" s="41">
        <v>1234644921</v>
      </c>
      <c r="D47" s="41">
        <v>57681894</v>
      </c>
      <c r="E47" s="41">
        <v>1127744550</v>
      </c>
      <c r="F47" s="41">
        <v>739371433</v>
      </c>
      <c r="G47" s="41">
        <v>20933096</v>
      </c>
      <c r="H47" s="41">
        <v>278684382</v>
      </c>
      <c r="I47" s="41">
        <v>3212375</v>
      </c>
      <c r="J47" s="41">
        <v>614019</v>
      </c>
      <c r="K47" s="41"/>
      <c r="L47" s="41"/>
      <c r="M47" s="41">
        <v>3683845</v>
      </c>
      <c r="N47" s="41">
        <v>33238513</v>
      </c>
      <c r="O47" s="41">
        <v>115142</v>
      </c>
      <c r="P47" s="41">
        <v>17861435</v>
      </c>
      <c r="Q47" s="41"/>
      <c r="R47" s="41">
        <v>0</v>
      </c>
      <c r="S47" s="41">
        <v>0</v>
      </c>
      <c r="T47" s="41">
        <v>0</v>
      </c>
      <c r="U47" s="41"/>
      <c r="V47" s="41"/>
      <c r="W47" s="41">
        <v>42838818932</v>
      </c>
      <c r="X47" s="41">
        <v>4755644777</v>
      </c>
      <c r="Y47" s="43">
        <v>38083174155</v>
      </c>
    </row>
    <row r="48" spans="1:25" x14ac:dyDescent="0.2">
      <c r="A48" s="40" t="s">
        <v>44</v>
      </c>
      <c r="B48" s="41">
        <v>388006266</v>
      </c>
      <c r="C48" s="41">
        <v>407814213</v>
      </c>
      <c r="D48" s="41">
        <v>28730244</v>
      </c>
      <c r="E48" s="41">
        <v>4335599595</v>
      </c>
      <c r="F48" s="41">
        <v>991034833</v>
      </c>
      <c r="G48" s="41">
        <v>7365000</v>
      </c>
      <c r="H48" s="41">
        <v>283325027</v>
      </c>
      <c r="I48" s="41"/>
      <c r="J48" s="41"/>
      <c r="K48" s="41"/>
      <c r="L48" s="41"/>
      <c r="M48" s="41"/>
      <c r="N48" s="41">
        <v>10408828</v>
      </c>
      <c r="O48" s="41">
        <v>1052707</v>
      </c>
      <c r="P48" s="41">
        <v>1004385</v>
      </c>
      <c r="Q48" s="41"/>
      <c r="R48" s="41">
        <v>0</v>
      </c>
      <c r="S48" s="41">
        <v>0</v>
      </c>
      <c r="T48" s="41">
        <v>0</v>
      </c>
      <c r="U48" s="41">
        <v>0</v>
      </c>
      <c r="V48" s="41">
        <v>0</v>
      </c>
      <c r="W48" s="41">
        <v>58763756651</v>
      </c>
      <c r="X48" s="41">
        <v>6454341098</v>
      </c>
      <c r="Y48" s="43">
        <v>52309415553</v>
      </c>
    </row>
    <row r="49" spans="1:25" x14ac:dyDescent="0.2">
      <c r="A49" s="40" t="s">
        <v>45</v>
      </c>
      <c r="B49" s="41">
        <v>759076083</v>
      </c>
      <c r="C49" s="41">
        <v>762841084</v>
      </c>
      <c r="D49" s="41">
        <v>34450336</v>
      </c>
      <c r="E49" s="41">
        <v>885348540</v>
      </c>
      <c r="F49" s="41">
        <v>392519961</v>
      </c>
      <c r="G49" s="41">
        <v>14774287</v>
      </c>
      <c r="H49" s="41">
        <v>721495483</v>
      </c>
      <c r="I49" s="41">
        <v>8982360</v>
      </c>
      <c r="J49" s="41"/>
      <c r="K49" s="41"/>
      <c r="L49" s="41">
        <v>608660</v>
      </c>
      <c r="M49" s="41"/>
      <c r="N49" s="41">
        <v>19234856</v>
      </c>
      <c r="O49" s="41">
        <v>2503300</v>
      </c>
      <c r="P49" s="41">
        <v>12236527</v>
      </c>
      <c r="Q49" s="41"/>
      <c r="R49" s="41">
        <v>0</v>
      </c>
      <c r="S49" s="41">
        <v>0</v>
      </c>
      <c r="T49" s="41">
        <v>0</v>
      </c>
      <c r="U49" s="41">
        <v>0</v>
      </c>
      <c r="V49" s="41">
        <v>0</v>
      </c>
      <c r="W49" s="41">
        <v>22102896642</v>
      </c>
      <c r="X49" s="41">
        <v>3614071477</v>
      </c>
      <c r="Y49" s="43">
        <v>18488825165</v>
      </c>
    </row>
    <row r="50" spans="1:25" x14ac:dyDescent="0.2">
      <c r="A50" s="40" t="s">
        <v>46</v>
      </c>
      <c r="B50" s="41">
        <v>1296416399</v>
      </c>
      <c r="C50" s="41">
        <v>1155375046</v>
      </c>
      <c r="D50" s="41">
        <v>73079690</v>
      </c>
      <c r="E50" s="41">
        <v>2386705753</v>
      </c>
      <c r="F50" s="41">
        <v>474245849</v>
      </c>
      <c r="G50" s="41">
        <v>20733051</v>
      </c>
      <c r="H50" s="41">
        <v>1925601841</v>
      </c>
      <c r="I50" s="41">
        <v>750248</v>
      </c>
      <c r="J50" s="41"/>
      <c r="K50" s="41">
        <v>170000</v>
      </c>
      <c r="L50" s="41"/>
      <c r="M50" s="41"/>
      <c r="N50" s="41">
        <v>94385788</v>
      </c>
      <c r="O50" s="41">
        <v>21597549</v>
      </c>
      <c r="P50" s="41"/>
      <c r="Q50" s="41"/>
      <c r="R50" s="41">
        <v>0</v>
      </c>
      <c r="S50" s="41">
        <v>0</v>
      </c>
      <c r="T50" s="41">
        <v>0</v>
      </c>
      <c r="U50" s="41">
        <v>0</v>
      </c>
      <c r="V50" s="41">
        <v>0</v>
      </c>
      <c r="W50" s="41">
        <v>37579638543</v>
      </c>
      <c r="X50" s="41">
        <v>7449061214</v>
      </c>
      <c r="Y50" s="43">
        <v>30130577329</v>
      </c>
    </row>
    <row r="51" spans="1:25" x14ac:dyDescent="0.2">
      <c r="A51" s="40" t="s">
        <v>47</v>
      </c>
      <c r="B51" s="41">
        <v>227986747</v>
      </c>
      <c r="C51" s="41">
        <v>184381804</v>
      </c>
      <c r="D51" s="41">
        <v>20296791</v>
      </c>
      <c r="E51" s="41">
        <v>587972294</v>
      </c>
      <c r="F51" s="41">
        <v>114723304</v>
      </c>
      <c r="G51" s="41">
        <v>4972567</v>
      </c>
      <c r="H51" s="41">
        <v>45535180</v>
      </c>
      <c r="I51" s="41">
        <v>10556036</v>
      </c>
      <c r="J51" s="41"/>
      <c r="K51" s="41">
        <v>865418</v>
      </c>
      <c r="L51" s="41">
        <v>47000</v>
      </c>
      <c r="M51" s="41"/>
      <c r="N51" s="41">
        <v>2218240</v>
      </c>
      <c r="O51" s="41"/>
      <c r="P51" s="41"/>
      <c r="Q51" s="41"/>
      <c r="R51" s="41">
        <v>0</v>
      </c>
      <c r="S51" s="41">
        <v>0</v>
      </c>
      <c r="T51" s="41">
        <v>0</v>
      </c>
      <c r="U51" s="41">
        <v>0</v>
      </c>
      <c r="V51" s="41">
        <v>0</v>
      </c>
      <c r="W51" s="41">
        <v>4597823798</v>
      </c>
      <c r="X51" s="41">
        <v>1199555381</v>
      </c>
      <c r="Y51" s="43">
        <v>3398268417</v>
      </c>
    </row>
    <row r="52" spans="1:25" x14ac:dyDescent="0.2">
      <c r="A52" s="40" t="s">
        <v>48</v>
      </c>
      <c r="B52" s="41">
        <v>6435720102</v>
      </c>
      <c r="C52" s="41">
        <v>6244854046</v>
      </c>
      <c r="D52" s="41">
        <v>272774717</v>
      </c>
      <c r="E52" s="41">
        <v>18991292750</v>
      </c>
      <c r="F52" s="41">
        <v>17485774737</v>
      </c>
      <c r="G52" s="41">
        <v>60677946</v>
      </c>
      <c r="H52" s="41">
        <v>254388972</v>
      </c>
      <c r="I52" s="41">
        <v>12548628</v>
      </c>
      <c r="J52" s="41"/>
      <c r="K52" s="41">
        <v>135575266</v>
      </c>
      <c r="L52" s="41">
        <v>88931</v>
      </c>
      <c r="M52" s="41"/>
      <c r="N52" s="41">
        <v>2052290448</v>
      </c>
      <c r="O52" s="41">
        <v>946635</v>
      </c>
      <c r="P52" s="41">
        <v>15236836</v>
      </c>
      <c r="Q52" s="41"/>
      <c r="R52" s="41">
        <v>0</v>
      </c>
      <c r="S52" s="41">
        <v>0</v>
      </c>
      <c r="T52" s="41">
        <v>0</v>
      </c>
      <c r="U52" s="41">
        <v>0</v>
      </c>
      <c r="V52" s="41">
        <v>0</v>
      </c>
      <c r="W52" s="41">
        <v>287353264085</v>
      </c>
      <c r="X52" s="41">
        <v>51962170014</v>
      </c>
      <c r="Y52" s="43">
        <v>235391094071</v>
      </c>
    </row>
    <row r="53" spans="1:25" x14ac:dyDescent="0.2">
      <c r="A53" s="40" t="s">
        <v>49</v>
      </c>
      <c r="B53" s="41">
        <v>2199637388</v>
      </c>
      <c r="C53" s="41">
        <v>2144309971</v>
      </c>
      <c r="D53" s="41">
        <v>140088404</v>
      </c>
      <c r="E53" s="41">
        <v>2489838241</v>
      </c>
      <c r="F53" s="41">
        <v>1571977621</v>
      </c>
      <c r="G53" s="41">
        <v>21408577</v>
      </c>
      <c r="H53" s="41">
        <v>1149932729</v>
      </c>
      <c r="I53" s="41">
        <v>3637411</v>
      </c>
      <c r="J53" s="41"/>
      <c r="K53" s="41"/>
      <c r="L53" s="41">
        <v>405100</v>
      </c>
      <c r="M53" s="41">
        <v>1399460</v>
      </c>
      <c r="N53" s="41">
        <v>6470131</v>
      </c>
      <c r="O53" s="41">
        <v>1002334</v>
      </c>
      <c r="P53" s="41">
        <v>10836611</v>
      </c>
      <c r="Q53" s="41"/>
      <c r="R53" s="41">
        <v>108033155</v>
      </c>
      <c r="S53" s="41">
        <v>0</v>
      </c>
      <c r="T53" s="41">
        <v>0</v>
      </c>
      <c r="U53" s="41"/>
      <c r="V53" s="41"/>
      <c r="W53" s="41">
        <v>68539211613</v>
      </c>
      <c r="X53" s="41">
        <v>9740943978</v>
      </c>
      <c r="Y53" s="43">
        <v>58798267635</v>
      </c>
    </row>
    <row r="54" spans="1:25" x14ac:dyDescent="0.2">
      <c r="A54" s="40" t="s">
        <v>50</v>
      </c>
      <c r="B54" s="41">
        <v>9119699494</v>
      </c>
      <c r="C54" s="41">
        <v>9042609631</v>
      </c>
      <c r="D54" s="41">
        <v>367692905</v>
      </c>
      <c r="E54" s="41">
        <v>17335231622</v>
      </c>
      <c r="F54" s="41">
        <v>7070663457</v>
      </c>
      <c r="G54" s="41">
        <v>184330053</v>
      </c>
      <c r="H54" s="41">
        <v>1771681228</v>
      </c>
      <c r="I54" s="41">
        <v>16517835</v>
      </c>
      <c r="J54" s="41">
        <v>96642239</v>
      </c>
      <c r="K54" s="41">
        <v>93127282</v>
      </c>
      <c r="L54" s="41">
        <v>55976</v>
      </c>
      <c r="M54" s="41">
        <v>9395954</v>
      </c>
      <c r="N54" s="41">
        <v>86077365</v>
      </c>
      <c r="O54" s="41">
        <v>366935</v>
      </c>
      <c r="P54" s="41"/>
      <c r="Q54" s="41"/>
      <c r="R54" s="41">
        <v>331041356</v>
      </c>
      <c r="S54" s="41">
        <v>0</v>
      </c>
      <c r="T54" s="41">
        <v>0</v>
      </c>
      <c r="U54" s="41">
        <v>0</v>
      </c>
      <c r="V54" s="41">
        <v>0</v>
      </c>
      <c r="W54" s="41">
        <v>397623777621</v>
      </c>
      <c r="X54" s="41">
        <v>45194091976</v>
      </c>
      <c r="Y54" s="43">
        <v>352429685645</v>
      </c>
    </row>
    <row r="55" spans="1:25" x14ac:dyDescent="0.2">
      <c r="A55" s="40" t="s">
        <v>51</v>
      </c>
      <c r="B55" s="41">
        <v>4284865221</v>
      </c>
      <c r="C55" s="41">
        <v>4072399165</v>
      </c>
      <c r="D55" s="41">
        <v>88573423</v>
      </c>
      <c r="E55" s="41">
        <v>830676984</v>
      </c>
      <c r="F55" s="41">
        <v>2426664981</v>
      </c>
      <c r="G55" s="41">
        <v>76238933</v>
      </c>
      <c r="H55" s="41">
        <v>1813693956</v>
      </c>
      <c r="I55" s="41">
        <v>9703562</v>
      </c>
      <c r="J55" s="41"/>
      <c r="K55" s="41">
        <v>840</v>
      </c>
      <c r="L55" s="41">
        <v>408952</v>
      </c>
      <c r="M55" s="41">
        <v>525606</v>
      </c>
      <c r="N55" s="41">
        <v>50125075</v>
      </c>
      <c r="O55" s="41">
        <v>1746338</v>
      </c>
      <c r="P55" s="41"/>
      <c r="Q55" s="41"/>
      <c r="R55" s="41">
        <v>0</v>
      </c>
      <c r="S55" s="41">
        <v>0</v>
      </c>
      <c r="T55" s="41">
        <v>0</v>
      </c>
      <c r="U55" s="41">
        <v>0</v>
      </c>
      <c r="V55" s="41">
        <v>0</v>
      </c>
      <c r="W55" s="41">
        <v>75188688967</v>
      </c>
      <c r="X55" s="41">
        <v>13655623036</v>
      </c>
      <c r="Y55" s="43">
        <v>61533065931</v>
      </c>
    </row>
    <row r="56" spans="1:25" x14ac:dyDescent="0.2">
      <c r="A56" s="40" t="s">
        <v>52</v>
      </c>
      <c r="B56" s="41">
        <v>6177730680</v>
      </c>
      <c r="C56" s="41">
        <v>6011289178</v>
      </c>
      <c r="D56" s="41"/>
      <c r="E56" s="41">
        <v>8389511675</v>
      </c>
      <c r="F56" s="41">
        <v>5517105349</v>
      </c>
      <c r="G56" s="41">
        <v>151263459</v>
      </c>
      <c r="H56" s="41">
        <v>1810356961</v>
      </c>
      <c r="I56" s="41"/>
      <c r="J56" s="41">
        <v>2796975</v>
      </c>
      <c r="K56" s="41">
        <v>24689060</v>
      </c>
      <c r="L56" s="41"/>
      <c r="M56" s="41">
        <v>343292</v>
      </c>
      <c r="N56" s="41">
        <v>148587413</v>
      </c>
      <c r="O56" s="41">
        <v>395580</v>
      </c>
      <c r="P56" s="41"/>
      <c r="Q56" s="41"/>
      <c r="R56" s="41">
        <v>30318875</v>
      </c>
      <c r="S56" s="41">
        <v>1785804</v>
      </c>
      <c r="T56" s="41">
        <v>0</v>
      </c>
      <c r="U56" s="41">
        <v>0</v>
      </c>
      <c r="V56" s="41">
        <v>0</v>
      </c>
      <c r="W56" s="41">
        <v>168019974696</v>
      </c>
      <c r="X56" s="41">
        <v>28234069622</v>
      </c>
      <c r="Y56" s="43">
        <v>139785905074</v>
      </c>
    </row>
    <row r="57" spans="1:25" x14ac:dyDescent="0.2">
      <c r="A57" s="40" t="s">
        <v>53</v>
      </c>
      <c r="B57" s="41">
        <v>4380724980</v>
      </c>
      <c r="C57" s="41">
        <v>4070880331</v>
      </c>
      <c r="D57" s="41">
        <v>365920733</v>
      </c>
      <c r="E57" s="41">
        <v>1652704129</v>
      </c>
      <c r="F57" s="41">
        <v>3631395256</v>
      </c>
      <c r="G57" s="41">
        <v>77890057</v>
      </c>
      <c r="H57" s="41">
        <v>1121238731</v>
      </c>
      <c r="I57" s="41">
        <v>22860107</v>
      </c>
      <c r="J57" s="41"/>
      <c r="K57" s="41">
        <v>312534179</v>
      </c>
      <c r="L57" s="41">
        <v>168950</v>
      </c>
      <c r="M57" s="41">
        <v>897704</v>
      </c>
      <c r="N57" s="41">
        <v>29548857</v>
      </c>
      <c r="O57" s="41">
        <v>1453032</v>
      </c>
      <c r="P57" s="41">
        <v>14243656</v>
      </c>
      <c r="Q57" s="41"/>
      <c r="R57" s="41">
        <v>200865041</v>
      </c>
      <c r="S57" s="41">
        <v>0</v>
      </c>
      <c r="T57" s="41">
        <v>0</v>
      </c>
      <c r="U57" s="41">
        <v>0</v>
      </c>
      <c r="V57" s="41">
        <v>0</v>
      </c>
      <c r="W57" s="41">
        <v>83678601783</v>
      </c>
      <c r="X57" s="41">
        <v>15682460702</v>
      </c>
      <c r="Y57" s="43">
        <v>67996141081</v>
      </c>
    </row>
    <row r="58" spans="1:25" x14ac:dyDescent="0.2">
      <c r="A58" s="40" t="s">
        <v>54</v>
      </c>
      <c r="B58" s="41">
        <v>512882828</v>
      </c>
      <c r="C58" s="41">
        <v>389095970</v>
      </c>
      <c r="D58" s="41">
        <v>46569332</v>
      </c>
      <c r="E58" s="41">
        <v>691612605</v>
      </c>
      <c r="F58" s="41">
        <v>275844688</v>
      </c>
      <c r="G58" s="41">
        <v>12295310</v>
      </c>
      <c r="H58" s="41">
        <v>122978550</v>
      </c>
      <c r="I58" s="41">
        <v>6540288</v>
      </c>
      <c r="J58" s="41"/>
      <c r="K58" s="41"/>
      <c r="L58" s="41">
        <v>40660</v>
      </c>
      <c r="M58" s="41"/>
      <c r="N58" s="41">
        <v>4065160</v>
      </c>
      <c r="O58" s="41">
        <v>150832</v>
      </c>
      <c r="P58" s="41">
        <v>9688703</v>
      </c>
      <c r="Q58" s="41"/>
      <c r="R58" s="41">
        <v>0</v>
      </c>
      <c r="S58" s="41">
        <v>0</v>
      </c>
      <c r="T58" s="41">
        <v>0</v>
      </c>
      <c r="U58" s="41">
        <v>0</v>
      </c>
      <c r="V58" s="41">
        <v>0</v>
      </c>
      <c r="W58" s="41">
        <v>7612254499</v>
      </c>
      <c r="X58" s="41">
        <v>2071764926</v>
      </c>
      <c r="Y58" s="43">
        <v>5540489573</v>
      </c>
    </row>
    <row r="59" spans="1:25" x14ac:dyDescent="0.2">
      <c r="A59" s="40" t="s">
        <v>55</v>
      </c>
      <c r="B59" s="41">
        <v>2342686000</v>
      </c>
      <c r="C59" s="41">
        <v>2433808830</v>
      </c>
      <c r="D59" s="41">
        <v>120435448</v>
      </c>
      <c r="E59" s="41">
        <v>2239239158</v>
      </c>
      <c r="F59" s="41">
        <v>1139100694</v>
      </c>
      <c r="G59" s="41">
        <v>41162967</v>
      </c>
      <c r="H59" s="41">
        <v>1782592013</v>
      </c>
      <c r="I59" s="41">
        <v>6493738</v>
      </c>
      <c r="J59" s="41">
        <v>1605081</v>
      </c>
      <c r="K59" s="41"/>
      <c r="L59" s="41"/>
      <c r="M59" s="41">
        <v>2806253</v>
      </c>
      <c r="N59" s="41">
        <v>61873806</v>
      </c>
      <c r="O59" s="41">
        <v>11167294</v>
      </c>
      <c r="P59" s="41">
        <v>6977627</v>
      </c>
      <c r="Q59" s="41"/>
      <c r="R59" s="41">
        <v>67493975</v>
      </c>
      <c r="S59" s="41">
        <v>0</v>
      </c>
      <c r="T59" s="41">
        <v>0</v>
      </c>
      <c r="U59" s="41">
        <v>0</v>
      </c>
      <c r="V59" s="41">
        <v>0</v>
      </c>
      <c r="W59" s="41">
        <v>71051829871</v>
      </c>
      <c r="X59" s="41">
        <v>10189948909</v>
      </c>
      <c r="Y59" s="43">
        <v>60861880962</v>
      </c>
    </row>
    <row r="60" spans="1:25" x14ac:dyDescent="0.2">
      <c r="A60" s="40" t="s">
        <v>56</v>
      </c>
      <c r="B60" s="41">
        <v>2679591613</v>
      </c>
      <c r="C60" s="41">
        <v>2587870265</v>
      </c>
      <c r="D60" s="41">
        <v>185233065</v>
      </c>
      <c r="E60" s="41">
        <v>1997284408</v>
      </c>
      <c r="F60" s="41">
        <v>805160050</v>
      </c>
      <c r="G60" s="41">
        <v>46094731</v>
      </c>
      <c r="H60" s="41">
        <v>857796979</v>
      </c>
      <c r="I60" s="41">
        <v>19529889</v>
      </c>
      <c r="J60" s="41">
        <v>181600</v>
      </c>
      <c r="K60" s="41">
        <v>146733200</v>
      </c>
      <c r="L60" s="41"/>
      <c r="M60" s="41"/>
      <c r="N60" s="41">
        <v>31342977</v>
      </c>
      <c r="O60" s="41">
        <v>626753</v>
      </c>
      <c r="P60" s="41"/>
      <c r="Q60" s="41"/>
      <c r="R60" s="41">
        <v>80182526</v>
      </c>
      <c r="S60" s="41">
        <v>613041</v>
      </c>
      <c r="T60" s="41">
        <v>7125900</v>
      </c>
      <c r="U60" s="41">
        <v>0</v>
      </c>
      <c r="V60" s="41">
        <v>0</v>
      </c>
      <c r="W60" s="41">
        <v>51653621214</v>
      </c>
      <c r="X60" s="41">
        <v>9357445530</v>
      </c>
      <c r="Y60" s="43">
        <v>42296175684</v>
      </c>
    </row>
    <row r="61" spans="1:25" x14ac:dyDescent="0.2">
      <c r="A61" s="40" t="s">
        <v>57</v>
      </c>
      <c r="B61" s="41">
        <v>1397408485</v>
      </c>
      <c r="C61" s="41">
        <v>1232998253</v>
      </c>
      <c r="D61" s="41">
        <v>102060636</v>
      </c>
      <c r="E61" s="41">
        <v>3108989545</v>
      </c>
      <c r="F61" s="41">
        <v>343734152</v>
      </c>
      <c r="G61" s="41">
        <v>22673127</v>
      </c>
      <c r="H61" s="41">
        <v>1659789564</v>
      </c>
      <c r="I61" s="41"/>
      <c r="J61" s="41"/>
      <c r="K61" s="41"/>
      <c r="L61" s="41"/>
      <c r="M61" s="41">
        <v>1430601</v>
      </c>
      <c r="N61" s="41">
        <v>85422614</v>
      </c>
      <c r="O61" s="41">
        <v>6791218</v>
      </c>
      <c r="P61" s="41">
        <v>29000214</v>
      </c>
      <c r="Q61" s="41"/>
      <c r="R61" s="41">
        <v>0</v>
      </c>
      <c r="S61" s="41">
        <v>0</v>
      </c>
      <c r="T61" s="41">
        <v>0</v>
      </c>
      <c r="U61" s="41">
        <v>0</v>
      </c>
      <c r="V61" s="41">
        <v>0</v>
      </c>
      <c r="W61" s="41">
        <v>27214470673</v>
      </c>
      <c r="X61" s="41">
        <v>7990298409</v>
      </c>
      <c r="Y61" s="43">
        <v>19224172264</v>
      </c>
    </row>
    <row r="62" spans="1:25" x14ac:dyDescent="0.2">
      <c r="A62" s="40" t="s">
        <v>58</v>
      </c>
      <c r="B62" s="41">
        <v>3497909593</v>
      </c>
      <c r="C62" s="41">
        <v>3532255661</v>
      </c>
      <c r="D62" s="41">
        <v>19690183</v>
      </c>
      <c r="E62" s="41">
        <v>5785094923</v>
      </c>
      <c r="F62" s="41">
        <v>2192478271</v>
      </c>
      <c r="G62" s="41">
        <v>93981285</v>
      </c>
      <c r="H62" s="41">
        <v>862676146</v>
      </c>
      <c r="I62" s="41">
        <v>125000</v>
      </c>
      <c r="J62" s="41">
        <v>1939071</v>
      </c>
      <c r="K62" s="41">
        <v>11868800</v>
      </c>
      <c r="L62" s="41">
        <v>6848</v>
      </c>
      <c r="M62" s="41"/>
      <c r="N62" s="41">
        <v>152671926</v>
      </c>
      <c r="O62" s="41">
        <v>769121</v>
      </c>
      <c r="P62" s="41"/>
      <c r="Q62" s="41"/>
      <c r="R62" s="41">
        <v>52060359</v>
      </c>
      <c r="S62" s="41">
        <v>0</v>
      </c>
      <c r="T62" s="41">
        <v>0</v>
      </c>
      <c r="U62" s="41">
        <v>0</v>
      </c>
      <c r="V62" s="41">
        <v>0</v>
      </c>
      <c r="W62" s="41">
        <v>125351123634</v>
      </c>
      <c r="X62" s="41">
        <v>16151466828</v>
      </c>
      <c r="Y62" s="43">
        <v>109199656806</v>
      </c>
    </row>
    <row r="63" spans="1:25" x14ac:dyDescent="0.2">
      <c r="A63" s="40" t="s">
        <v>59</v>
      </c>
      <c r="B63" s="41">
        <v>2702832456</v>
      </c>
      <c r="C63" s="41">
        <v>2772360943</v>
      </c>
      <c r="D63" s="41">
        <v>252696930</v>
      </c>
      <c r="E63" s="41">
        <v>1559277450</v>
      </c>
      <c r="F63" s="41">
        <v>2101942576</v>
      </c>
      <c r="G63" s="41">
        <v>39466109</v>
      </c>
      <c r="H63" s="41">
        <v>675871238</v>
      </c>
      <c r="I63" s="41">
        <v>64439</v>
      </c>
      <c r="J63" s="41"/>
      <c r="K63" s="41"/>
      <c r="L63" s="41"/>
      <c r="M63" s="41">
        <v>2300162</v>
      </c>
      <c r="N63" s="41">
        <v>42908476</v>
      </c>
      <c r="O63" s="41">
        <v>969205</v>
      </c>
      <c r="P63" s="41"/>
      <c r="Q63" s="41"/>
      <c r="R63" s="41">
        <v>28421043</v>
      </c>
      <c r="S63" s="41">
        <v>0</v>
      </c>
      <c r="T63" s="41">
        <v>0</v>
      </c>
      <c r="U63" s="41">
        <v>0</v>
      </c>
      <c r="V63" s="41">
        <v>0</v>
      </c>
      <c r="W63" s="41">
        <v>67380074354</v>
      </c>
      <c r="X63" s="41">
        <v>10150689984</v>
      </c>
      <c r="Y63" s="43">
        <v>57229384370</v>
      </c>
    </row>
    <row r="64" spans="1:25" x14ac:dyDescent="0.2">
      <c r="A64" s="40" t="s">
        <v>60</v>
      </c>
      <c r="B64" s="41">
        <v>1502786689</v>
      </c>
      <c r="C64" s="41">
        <v>1508557256</v>
      </c>
      <c r="D64" s="41">
        <v>28028240</v>
      </c>
      <c r="E64" s="41">
        <v>516229460</v>
      </c>
      <c r="F64" s="41">
        <v>406585401</v>
      </c>
      <c r="G64" s="41">
        <v>43567900</v>
      </c>
      <c r="H64" s="41">
        <v>554460320</v>
      </c>
      <c r="I64" s="41"/>
      <c r="J64" s="41"/>
      <c r="K64" s="41"/>
      <c r="L64" s="41"/>
      <c r="M64" s="41">
        <v>24104</v>
      </c>
      <c r="N64" s="41">
        <v>123604663</v>
      </c>
      <c r="O64" s="41"/>
      <c r="P64" s="41"/>
      <c r="Q64" s="41"/>
      <c r="R64" s="41">
        <v>14635000</v>
      </c>
      <c r="S64" s="41">
        <v>0</v>
      </c>
      <c r="T64" s="41">
        <v>0</v>
      </c>
      <c r="U64" s="41">
        <v>0</v>
      </c>
      <c r="V64" s="41">
        <v>0</v>
      </c>
      <c r="W64" s="41">
        <v>29518017892</v>
      </c>
      <c r="X64" s="41">
        <v>4683844033</v>
      </c>
      <c r="Y64" s="43">
        <v>24834173859</v>
      </c>
    </row>
    <row r="65" spans="1:25" x14ac:dyDescent="0.2">
      <c r="A65" s="40" t="s">
        <v>61</v>
      </c>
      <c r="B65" s="41">
        <v>268857314</v>
      </c>
      <c r="C65" s="41">
        <v>212574042</v>
      </c>
      <c r="D65" s="41">
        <v>17279325</v>
      </c>
      <c r="E65" s="41">
        <v>148282865</v>
      </c>
      <c r="F65" s="41">
        <v>90468599</v>
      </c>
      <c r="G65" s="41">
        <v>5619465</v>
      </c>
      <c r="H65" s="41">
        <v>94724771</v>
      </c>
      <c r="I65" s="41">
        <v>12975991</v>
      </c>
      <c r="J65" s="41"/>
      <c r="K65" s="41"/>
      <c r="L65" s="41">
        <v>11820</v>
      </c>
      <c r="M65" s="41"/>
      <c r="N65" s="41">
        <v>252784</v>
      </c>
      <c r="O65" s="41">
        <v>84012</v>
      </c>
      <c r="P65" s="41"/>
      <c r="Q65" s="41"/>
      <c r="R65" s="41">
        <v>0</v>
      </c>
      <c r="S65" s="41">
        <v>0</v>
      </c>
      <c r="T65" s="41">
        <v>0</v>
      </c>
      <c r="U65" s="41">
        <v>0</v>
      </c>
      <c r="V65" s="41">
        <v>0</v>
      </c>
      <c r="W65" s="41">
        <v>3095967451</v>
      </c>
      <c r="X65" s="41">
        <v>851130988</v>
      </c>
      <c r="Y65" s="43">
        <v>2244836463</v>
      </c>
    </row>
    <row r="66" spans="1:25" x14ac:dyDescent="0.2">
      <c r="A66" s="40" t="s">
        <v>62</v>
      </c>
      <c r="B66" s="41">
        <v>134897471</v>
      </c>
      <c r="C66" s="41">
        <v>87817262</v>
      </c>
      <c r="D66" s="41"/>
      <c r="E66" s="41">
        <v>174458643</v>
      </c>
      <c r="F66" s="41">
        <v>53942550</v>
      </c>
      <c r="G66" s="41">
        <v>2116670</v>
      </c>
      <c r="H66" s="41">
        <v>29911393</v>
      </c>
      <c r="I66" s="41">
        <v>4199850</v>
      </c>
      <c r="J66" s="41"/>
      <c r="K66" s="41">
        <v>4592045</v>
      </c>
      <c r="L66" s="41">
        <v>36230</v>
      </c>
      <c r="M66" s="41"/>
      <c r="N66" s="41">
        <v>868538</v>
      </c>
      <c r="O66" s="41"/>
      <c r="P66" s="41"/>
      <c r="Q66" s="41"/>
      <c r="R66" s="41">
        <v>0</v>
      </c>
      <c r="S66" s="41">
        <v>0</v>
      </c>
      <c r="T66" s="41">
        <v>0</v>
      </c>
      <c r="U66" s="41">
        <v>0</v>
      </c>
      <c r="V66" s="41">
        <v>0</v>
      </c>
      <c r="W66" s="41">
        <v>1848263433</v>
      </c>
      <c r="X66" s="41">
        <v>492840652</v>
      </c>
      <c r="Y66" s="43">
        <v>1355422781</v>
      </c>
    </row>
    <row r="67" spans="1:25" x14ac:dyDescent="0.2">
      <c r="A67" s="40" t="s">
        <v>63</v>
      </c>
      <c r="B67" s="41">
        <v>74430805</v>
      </c>
      <c r="C67" s="41">
        <v>52380079</v>
      </c>
      <c r="D67" s="41">
        <v>2831205</v>
      </c>
      <c r="E67" s="41">
        <v>106297680</v>
      </c>
      <c r="F67" s="41">
        <v>16281885</v>
      </c>
      <c r="G67" s="41">
        <v>1709653</v>
      </c>
      <c r="H67" s="41">
        <v>4131539</v>
      </c>
      <c r="I67" s="41"/>
      <c r="J67" s="41"/>
      <c r="K67" s="41"/>
      <c r="L67" s="41"/>
      <c r="M67" s="41"/>
      <c r="N67" s="41">
        <v>11169361</v>
      </c>
      <c r="O67" s="41">
        <v>103948</v>
      </c>
      <c r="P67" s="41"/>
      <c r="Q67" s="41"/>
      <c r="R67" s="41">
        <v>0</v>
      </c>
      <c r="S67" s="41">
        <v>0</v>
      </c>
      <c r="T67" s="41">
        <v>0</v>
      </c>
      <c r="U67" s="41">
        <v>0</v>
      </c>
      <c r="V67" s="41">
        <v>0</v>
      </c>
      <c r="W67" s="41">
        <v>597016772</v>
      </c>
      <c r="X67" s="41">
        <v>269336155</v>
      </c>
      <c r="Y67" s="43">
        <v>327680617</v>
      </c>
    </row>
    <row r="68" spans="1:25" x14ac:dyDescent="0.2">
      <c r="A68" s="40" t="s">
        <v>64</v>
      </c>
      <c r="B68" s="41">
        <v>3839225471</v>
      </c>
      <c r="C68" s="41">
        <v>3812696759</v>
      </c>
      <c r="D68" s="41">
        <v>507540598</v>
      </c>
      <c r="E68" s="41">
        <v>3900502402</v>
      </c>
      <c r="F68" s="41">
        <v>3424293696</v>
      </c>
      <c r="G68" s="41">
        <v>64897744</v>
      </c>
      <c r="H68" s="41">
        <v>1882781208</v>
      </c>
      <c r="I68" s="41">
        <v>28698824</v>
      </c>
      <c r="J68" s="41">
        <v>172082</v>
      </c>
      <c r="K68" s="41"/>
      <c r="L68" s="41">
        <v>39758</v>
      </c>
      <c r="M68" s="41">
        <v>7432682</v>
      </c>
      <c r="N68" s="41">
        <v>102585583</v>
      </c>
      <c r="O68" s="41">
        <v>731522</v>
      </c>
      <c r="P68" s="41">
        <v>30475034</v>
      </c>
      <c r="Q68" s="41"/>
      <c r="R68" s="41">
        <v>34272265</v>
      </c>
      <c r="S68" s="41">
        <v>1270839</v>
      </c>
      <c r="T68" s="41">
        <v>0</v>
      </c>
      <c r="U68" s="41">
        <v>0</v>
      </c>
      <c r="V68" s="41">
        <v>0</v>
      </c>
      <c r="W68" s="41">
        <v>82153039462</v>
      </c>
      <c r="X68" s="41">
        <v>17602073363</v>
      </c>
      <c r="Y68" s="43">
        <v>64550966099</v>
      </c>
    </row>
    <row r="69" spans="1:25" x14ac:dyDescent="0.2">
      <c r="A69" s="40" t="s">
        <v>65</v>
      </c>
      <c r="B69" s="41">
        <v>268576021</v>
      </c>
      <c r="C69" s="41">
        <v>231837915</v>
      </c>
      <c r="D69" s="41">
        <v>21713555</v>
      </c>
      <c r="E69" s="41">
        <v>516500039</v>
      </c>
      <c r="F69" s="41">
        <v>53567183</v>
      </c>
      <c r="G69" s="41">
        <v>4259837</v>
      </c>
      <c r="H69" s="41">
        <v>91645583</v>
      </c>
      <c r="I69" s="41">
        <v>435171</v>
      </c>
      <c r="J69" s="41"/>
      <c r="K69" s="41"/>
      <c r="L69" s="41"/>
      <c r="M69" s="41">
        <v>355769</v>
      </c>
      <c r="N69" s="41">
        <v>3378537</v>
      </c>
      <c r="O69" s="41">
        <v>110297</v>
      </c>
      <c r="P69" s="41"/>
      <c r="Q69" s="41"/>
      <c r="R69" s="41">
        <v>0</v>
      </c>
      <c r="S69" s="41">
        <v>0</v>
      </c>
      <c r="T69" s="41">
        <v>0</v>
      </c>
      <c r="U69" s="41">
        <v>0</v>
      </c>
      <c r="V69" s="41">
        <v>0</v>
      </c>
      <c r="W69" s="41">
        <v>3626315727</v>
      </c>
      <c r="X69" s="41">
        <v>1192379907</v>
      </c>
      <c r="Y69" s="43">
        <v>2433935820</v>
      </c>
    </row>
    <row r="70" spans="1:25" x14ac:dyDescent="0.2">
      <c r="A70" s="40" t="s">
        <v>66</v>
      </c>
      <c r="B70" s="41">
        <v>569182296</v>
      </c>
      <c r="C70" s="41">
        <v>500929452</v>
      </c>
      <c r="D70" s="41">
        <v>43884108</v>
      </c>
      <c r="E70" s="41">
        <v>1788947761</v>
      </c>
      <c r="F70" s="41">
        <v>293000181</v>
      </c>
      <c r="G70" s="41">
        <v>8810697</v>
      </c>
      <c r="H70" s="41">
        <v>394950741</v>
      </c>
      <c r="I70" s="41">
        <v>4676586</v>
      </c>
      <c r="J70" s="41"/>
      <c r="K70" s="41"/>
      <c r="L70" s="41"/>
      <c r="M70" s="41"/>
      <c r="N70" s="41">
        <v>33781778</v>
      </c>
      <c r="O70" s="41">
        <v>1392975</v>
      </c>
      <c r="P70" s="41"/>
      <c r="Q70" s="41"/>
      <c r="R70" s="41">
        <v>0</v>
      </c>
      <c r="S70" s="41">
        <v>0</v>
      </c>
      <c r="T70" s="41">
        <v>0</v>
      </c>
      <c r="U70" s="41">
        <v>0</v>
      </c>
      <c r="V70" s="41">
        <v>0</v>
      </c>
      <c r="W70" s="41">
        <v>51688662281</v>
      </c>
      <c r="X70" s="41">
        <v>3639556575</v>
      </c>
      <c r="Y70" s="43">
        <v>48049105706</v>
      </c>
    </row>
    <row r="71" spans="1:25" x14ac:dyDescent="0.2">
      <c r="A71" s="40" t="s">
        <v>67</v>
      </c>
      <c r="B71" s="41">
        <v>159720816</v>
      </c>
      <c r="C71" s="41">
        <v>121102486</v>
      </c>
      <c r="D71" s="41">
        <v>18731465</v>
      </c>
      <c r="E71" s="41">
        <v>168955859</v>
      </c>
      <c r="F71" s="41">
        <v>64834433</v>
      </c>
      <c r="G71" s="41">
        <v>3421471</v>
      </c>
      <c r="H71" s="41">
        <v>44232729</v>
      </c>
      <c r="I71" s="41">
        <v>1041760</v>
      </c>
      <c r="J71" s="41"/>
      <c r="K71" s="41"/>
      <c r="L71" s="41"/>
      <c r="M71" s="41">
        <v>89529</v>
      </c>
      <c r="N71" s="41">
        <v>427834</v>
      </c>
      <c r="O71" s="41"/>
      <c r="P71" s="41"/>
      <c r="Q71" s="41"/>
      <c r="R71" s="41">
        <v>0</v>
      </c>
      <c r="S71" s="41">
        <v>0</v>
      </c>
      <c r="T71" s="41">
        <v>0</v>
      </c>
      <c r="U71" s="41">
        <v>0</v>
      </c>
      <c r="V71" s="41">
        <v>0</v>
      </c>
      <c r="W71" s="41">
        <v>1851230989</v>
      </c>
      <c r="X71" s="41">
        <v>582558382</v>
      </c>
      <c r="Y71" s="43">
        <v>1268672607</v>
      </c>
    </row>
    <row r="72" spans="1:25" x14ac:dyDescent="0.2">
      <c r="A72" s="40"/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3"/>
    </row>
    <row r="73" spans="1:25" ht="15.75" thickBot="1" x14ac:dyDescent="0.3">
      <c r="A73" s="45" t="s">
        <v>68</v>
      </c>
      <c r="B73" s="46">
        <f>SUM(B5:B71)</f>
        <v>130327165315</v>
      </c>
      <c r="C73" s="46">
        <f>SUM(C5:C71)</f>
        <v>126900404873</v>
      </c>
      <c r="D73" s="46">
        <f>SUM(D5:D71)</f>
        <v>8691232803</v>
      </c>
      <c r="E73" s="46">
        <f>SUM(E5:E71)</f>
        <v>208752120159</v>
      </c>
      <c r="F73" s="46">
        <f t="shared" ref="F73:Y73" si="0">SUM(F5:F71)</f>
        <v>118178786639</v>
      </c>
      <c r="G73" s="46">
        <f t="shared" si="0"/>
        <v>2310798314</v>
      </c>
      <c r="H73" s="46">
        <f t="shared" si="0"/>
        <v>46174423121</v>
      </c>
      <c r="I73" s="46">
        <f t="shared" si="0"/>
        <v>582170268</v>
      </c>
      <c r="J73" s="46">
        <f t="shared" si="0"/>
        <v>330101196</v>
      </c>
      <c r="K73" s="46">
        <f t="shared" si="0"/>
        <v>1364634677</v>
      </c>
      <c r="L73" s="46">
        <f t="shared" si="0"/>
        <v>2956756</v>
      </c>
      <c r="M73" s="46">
        <f t="shared" si="0"/>
        <v>60096149</v>
      </c>
      <c r="N73" s="46">
        <f t="shared" si="0"/>
        <v>4384256170</v>
      </c>
      <c r="O73" s="46">
        <f t="shared" si="0"/>
        <v>107718433</v>
      </c>
      <c r="P73" s="46">
        <f>SUM(P5:P71)</f>
        <v>999582026</v>
      </c>
      <c r="Q73" s="46">
        <f t="shared" ref="Q73:T73" si="1">SUM(Q5:Q71)</f>
        <v>0</v>
      </c>
      <c r="R73" s="46">
        <f t="shared" si="1"/>
        <v>4129448613</v>
      </c>
      <c r="S73" s="46">
        <f t="shared" si="1"/>
        <v>15499771</v>
      </c>
      <c r="T73" s="46">
        <f t="shared" si="1"/>
        <v>144204909</v>
      </c>
      <c r="U73" s="46">
        <v>0</v>
      </c>
      <c r="V73" s="46">
        <v>0</v>
      </c>
      <c r="W73" s="46">
        <f t="shared" si="0"/>
        <v>4120134142615</v>
      </c>
      <c r="X73" s="46">
        <f t="shared" si="0"/>
        <v>649166446899</v>
      </c>
      <c r="Y73" s="48">
        <f t="shared" si="0"/>
        <v>3470967695716</v>
      </c>
    </row>
    <row r="75" spans="1:25" x14ac:dyDescent="0.2">
      <c r="A75" s="38" t="s">
        <v>129</v>
      </c>
      <c r="Y75" s="29"/>
    </row>
  </sheetData>
  <phoneticPr fontId="18" type="noConversion"/>
  <conditionalFormatting sqref="A4:Y73">
    <cfRule type="expression" dxfId="3" priority="1" stopIfTrue="1">
      <formula>MOD(ROW(),3)=1</formula>
    </cfRule>
  </conditionalFormatting>
  <pageMargins left="0.75" right="0.75" top="1" bottom="1" header="0.5" footer="0.5"/>
  <pageSetup scale="59" fitToWidth="2" fitToHeight="2" orientation="landscape" r:id="rId1"/>
  <headerFooter alignWithMargins="0"/>
  <rowBreaks count="1" manualBreakCount="1">
    <brk id="37" max="16383" man="1"/>
  </rowBreaks>
  <ignoredErrors>
    <ignoredError sqref="X72:X73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75"/>
  <sheetViews>
    <sheetView zoomScaleNormal="100" workbookViewId="0">
      <pane ySplit="4" topLeftCell="A56" activePane="bottomLeft" state="frozen"/>
      <selection sqref="A1:XFD1048576"/>
      <selection pane="bottomLeft" activeCell="A75" sqref="A75"/>
    </sheetView>
  </sheetViews>
  <sheetFormatPr defaultRowHeight="14.25" x14ac:dyDescent="0.2"/>
  <cols>
    <col min="1" max="1" width="17.7109375" style="2" customWidth="1"/>
    <col min="2" max="2" width="17.5703125" style="2" customWidth="1"/>
    <col min="3" max="3" width="20.5703125" style="2" bestFit="1" customWidth="1"/>
    <col min="4" max="4" width="18.5703125" style="2" bestFit="1" customWidth="1"/>
    <col min="5" max="5" width="13.7109375" style="2" bestFit="1" customWidth="1"/>
    <col min="6" max="6" width="14" style="2" bestFit="1" customWidth="1"/>
    <col min="7" max="7" width="19.42578125" style="2" bestFit="1" customWidth="1"/>
    <col min="8" max="8" width="20.42578125" style="2" bestFit="1" customWidth="1"/>
    <col min="9" max="14" width="20.42578125" style="2" customWidth="1"/>
    <col min="15" max="15" width="23.140625" style="2" customWidth="1"/>
    <col min="16" max="16" width="22.28515625" style="2" bestFit="1" customWidth="1"/>
    <col min="17" max="17" width="22.28515625" style="2" customWidth="1"/>
    <col min="18" max="18" width="9.140625" style="2"/>
    <col min="19" max="19" width="11.28515625" style="2" bestFit="1" customWidth="1"/>
    <col min="20" max="16384" width="9.140625" style="2"/>
  </cols>
  <sheetData>
    <row r="1" spans="1:19" ht="23.25" x14ac:dyDescent="0.35">
      <c r="A1" s="6" t="s">
        <v>99</v>
      </c>
    </row>
    <row r="2" spans="1:19" ht="15" x14ac:dyDescent="0.25">
      <c r="A2" s="11">
        <v>2026</v>
      </c>
    </row>
    <row r="3" spans="1:19" ht="15" thickBot="1" x14ac:dyDescent="0.25">
      <c r="A3" s="39"/>
    </row>
    <row r="4" spans="1:19" s="58" customFormat="1" ht="51" x14ac:dyDescent="0.25">
      <c r="A4" s="50" t="s">
        <v>1</v>
      </c>
      <c r="B4" s="55" t="s">
        <v>82</v>
      </c>
      <c r="C4" s="55" t="s">
        <v>83</v>
      </c>
      <c r="D4" s="55" t="s">
        <v>70</v>
      </c>
      <c r="E4" s="55" t="s">
        <v>84</v>
      </c>
      <c r="F4" s="55" t="s">
        <v>85</v>
      </c>
      <c r="G4" s="55" t="s">
        <v>86</v>
      </c>
      <c r="H4" s="55" t="s">
        <v>87</v>
      </c>
      <c r="I4" s="56" t="s">
        <v>112</v>
      </c>
      <c r="J4" s="56" t="s">
        <v>114</v>
      </c>
      <c r="K4" s="56" t="s">
        <v>122</v>
      </c>
      <c r="L4" s="56" t="s">
        <v>124</v>
      </c>
      <c r="M4" s="56" t="s">
        <v>120</v>
      </c>
      <c r="N4" s="56" t="s">
        <v>121</v>
      </c>
      <c r="O4" s="56" t="s">
        <v>74</v>
      </c>
      <c r="P4" s="56" t="s">
        <v>75</v>
      </c>
      <c r="Q4" s="57" t="s">
        <v>76</v>
      </c>
      <c r="R4" s="54"/>
    </row>
    <row r="5" spans="1:19" x14ac:dyDescent="0.2">
      <c r="A5" s="40" t="s">
        <v>2</v>
      </c>
      <c r="B5" s="41">
        <v>79755163</v>
      </c>
      <c r="C5" s="41">
        <v>2302327178</v>
      </c>
      <c r="D5" s="41">
        <v>203031456</v>
      </c>
      <c r="E5" s="41"/>
      <c r="F5" s="41"/>
      <c r="G5" s="41"/>
      <c r="H5" s="41"/>
      <c r="I5" s="42">
        <v>0</v>
      </c>
      <c r="J5" s="42"/>
      <c r="K5" s="42">
        <v>0</v>
      </c>
      <c r="L5" s="42">
        <v>0</v>
      </c>
      <c r="M5" s="42">
        <v>0</v>
      </c>
      <c r="N5" s="42">
        <v>0</v>
      </c>
      <c r="O5" s="42">
        <v>4420026482</v>
      </c>
      <c r="P5" s="42">
        <v>2585113797</v>
      </c>
      <c r="Q5" s="43">
        <v>1834912685</v>
      </c>
      <c r="R5" s="44"/>
      <c r="S5" s="29"/>
    </row>
    <row r="6" spans="1:19" x14ac:dyDescent="0.2">
      <c r="A6" s="40" t="s">
        <v>3</v>
      </c>
      <c r="B6" s="41">
        <v>6733485</v>
      </c>
      <c r="C6" s="41">
        <v>6060078</v>
      </c>
      <c r="D6" s="41">
        <v>11235348</v>
      </c>
      <c r="E6" s="41"/>
      <c r="F6" s="41"/>
      <c r="G6" s="41"/>
      <c r="H6" s="41"/>
      <c r="I6" s="42">
        <v>0</v>
      </c>
      <c r="J6" s="42"/>
      <c r="K6" s="42">
        <v>0</v>
      </c>
      <c r="L6" s="42">
        <v>0</v>
      </c>
      <c r="M6" s="42"/>
      <c r="N6" s="42"/>
      <c r="O6" s="42">
        <v>285317729</v>
      </c>
      <c r="P6" s="42">
        <v>24028911</v>
      </c>
      <c r="Q6" s="43">
        <v>261288818</v>
      </c>
      <c r="S6" s="29"/>
    </row>
    <row r="7" spans="1:19" x14ac:dyDescent="0.2">
      <c r="A7" s="40" t="s">
        <v>4</v>
      </c>
      <c r="B7" s="41">
        <v>91613908</v>
      </c>
      <c r="C7" s="41">
        <v>525967979</v>
      </c>
      <c r="D7" s="41">
        <v>30587720</v>
      </c>
      <c r="E7" s="41"/>
      <c r="F7" s="41"/>
      <c r="G7" s="41"/>
      <c r="H7" s="41">
        <v>17668715</v>
      </c>
      <c r="I7" s="42">
        <v>0</v>
      </c>
      <c r="J7" s="42"/>
      <c r="K7" s="42">
        <v>7443472</v>
      </c>
      <c r="L7" s="42">
        <v>0</v>
      </c>
      <c r="M7" s="42">
        <v>0</v>
      </c>
      <c r="N7" s="42">
        <v>0</v>
      </c>
      <c r="O7" s="42">
        <v>2687112330</v>
      </c>
      <c r="P7" s="42">
        <v>665838322</v>
      </c>
      <c r="Q7" s="43">
        <v>2021274008</v>
      </c>
      <c r="S7" s="29"/>
    </row>
    <row r="8" spans="1:19" x14ac:dyDescent="0.2">
      <c r="A8" s="40" t="s">
        <v>5</v>
      </c>
      <c r="B8" s="41">
        <v>8499813</v>
      </c>
      <c r="C8" s="41">
        <v>980042</v>
      </c>
      <c r="D8" s="41">
        <v>210593</v>
      </c>
      <c r="E8" s="41"/>
      <c r="F8" s="41"/>
      <c r="G8" s="41"/>
      <c r="H8" s="41"/>
      <c r="I8" s="42">
        <v>0</v>
      </c>
      <c r="J8" s="42"/>
      <c r="K8" s="42">
        <v>0</v>
      </c>
      <c r="L8" s="42">
        <v>0</v>
      </c>
      <c r="M8" s="42">
        <v>0</v>
      </c>
      <c r="N8" s="42">
        <v>0</v>
      </c>
      <c r="O8" s="42">
        <v>348512026</v>
      </c>
      <c r="P8" s="42">
        <v>9690448</v>
      </c>
      <c r="Q8" s="43">
        <v>338821578</v>
      </c>
      <c r="S8" s="29"/>
    </row>
    <row r="9" spans="1:19" x14ac:dyDescent="0.2">
      <c r="A9" s="40" t="s">
        <v>6</v>
      </c>
      <c r="B9" s="41">
        <v>166953550</v>
      </c>
      <c r="C9" s="41">
        <v>6049549360</v>
      </c>
      <c r="D9" s="41">
        <v>813658758</v>
      </c>
      <c r="E9" s="41">
        <v>64780</v>
      </c>
      <c r="F9" s="41">
        <v>11300</v>
      </c>
      <c r="G9" s="41"/>
      <c r="H9" s="41">
        <v>15463436</v>
      </c>
      <c r="I9" s="42">
        <v>274185368</v>
      </c>
      <c r="J9" s="42"/>
      <c r="K9" s="42">
        <v>0</v>
      </c>
      <c r="L9" s="42">
        <v>0</v>
      </c>
      <c r="M9" s="42">
        <v>0</v>
      </c>
      <c r="N9" s="42">
        <v>0</v>
      </c>
      <c r="O9" s="42">
        <v>12792815435</v>
      </c>
      <c r="P9" s="42">
        <v>7319886552</v>
      </c>
      <c r="Q9" s="43">
        <v>5472928883</v>
      </c>
      <c r="S9" s="29"/>
    </row>
    <row r="10" spans="1:19" x14ac:dyDescent="0.2">
      <c r="A10" s="40" t="s">
        <v>7</v>
      </c>
      <c r="B10" s="41">
        <v>835248058</v>
      </c>
      <c r="C10" s="41">
        <v>19638968</v>
      </c>
      <c r="D10" s="41">
        <v>192764689</v>
      </c>
      <c r="E10" s="41"/>
      <c r="F10" s="41"/>
      <c r="G10" s="41"/>
      <c r="H10" s="41"/>
      <c r="I10" s="42">
        <v>0</v>
      </c>
      <c r="J10" s="42"/>
      <c r="K10" s="42">
        <v>9805940</v>
      </c>
      <c r="L10" s="42">
        <v>0</v>
      </c>
      <c r="M10" s="42">
        <v>0</v>
      </c>
      <c r="N10" s="42">
        <v>0</v>
      </c>
      <c r="O10" s="42">
        <v>13381973237</v>
      </c>
      <c r="P10" s="42">
        <v>1047651715</v>
      </c>
      <c r="Q10" s="43">
        <v>12334321522</v>
      </c>
      <c r="S10" s="29"/>
    </row>
    <row r="11" spans="1:19" x14ac:dyDescent="0.2">
      <c r="A11" s="40" t="s">
        <v>8</v>
      </c>
      <c r="B11" s="41">
        <v>4500421</v>
      </c>
      <c r="C11" s="41">
        <v>5798658</v>
      </c>
      <c r="D11" s="41">
        <v>32582</v>
      </c>
      <c r="E11" s="41"/>
      <c r="F11" s="41"/>
      <c r="G11" s="41"/>
      <c r="H11" s="41"/>
      <c r="I11" s="42">
        <v>545225500</v>
      </c>
      <c r="J11" s="42"/>
      <c r="K11" s="42">
        <v>0</v>
      </c>
      <c r="L11" s="42">
        <v>0</v>
      </c>
      <c r="M11" s="42">
        <v>0</v>
      </c>
      <c r="N11" s="42">
        <v>0</v>
      </c>
      <c r="O11" s="42">
        <v>886504405</v>
      </c>
      <c r="P11" s="42">
        <v>555557161</v>
      </c>
      <c r="Q11" s="43">
        <v>330947244</v>
      </c>
      <c r="S11" s="29"/>
    </row>
    <row r="12" spans="1:19" x14ac:dyDescent="0.2">
      <c r="A12" s="40" t="s">
        <v>9</v>
      </c>
      <c r="B12" s="41">
        <v>107789923</v>
      </c>
      <c r="C12" s="41">
        <v>188930178</v>
      </c>
      <c r="D12" s="41">
        <v>89462352</v>
      </c>
      <c r="E12" s="41">
        <v>3000</v>
      </c>
      <c r="F12" s="41">
        <v>12000</v>
      </c>
      <c r="G12" s="41"/>
      <c r="H12" s="41">
        <v>131140</v>
      </c>
      <c r="I12" s="42">
        <v>132628165</v>
      </c>
      <c r="J12" s="42"/>
      <c r="K12" s="42">
        <v>849217</v>
      </c>
      <c r="L12" s="42">
        <v>0</v>
      </c>
      <c r="M12" s="42">
        <v>0</v>
      </c>
      <c r="N12" s="42">
        <v>0</v>
      </c>
      <c r="O12" s="42">
        <v>2206355616</v>
      </c>
      <c r="P12" s="42">
        <v>518956758</v>
      </c>
      <c r="Q12" s="43">
        <v>1687398858</v>
      </c>
      <c r="S12" s="29"/>
    </row>
    <row r="13" spans="1:19" x14ac:dyDescent="0.2">
      <c r="A13" s="40" t="s">
        <v>10</v>
      </c>
      <c r="B13" s="41">
        <v>57198231</v>
      </c>
      <c r="C13" s="41">
        <v>6524446</v>
      </c>
      <c r="D13" s="41">
        <v>43271559</v>
      </c>
      <c r="E13" s="41"/>
      <c r="F13" s="41">
        <v>17570</v>
      </c>
      <c r="G13" s="41"/>
      <c r="H13" s="41"/>
      <c r="I13" s="42">
        <v>68167820</v>
      </c>
      <c r="J13" s="42"/>
      <c r="K13" s="42">
        <v>0</v>
      </c>
      <c r="L13" s="42">
        <v>0</v>
      </c>
      <c r="M13" s="42"/>
      <c r="N13" s="42"/>
      <c r="O13" s="42">
        <v>2384961559</v>
      </c>
      <c r="P13" s="42">
        <v>175179626</v>
      </c>
      <c r="Q13" s="43">
        <v>2209781933</v>
      </c>
      <c r="S13" s="29"/>
    </row>
    <row r="14" spans="1:19" x14ac:dyDescent="0.2">
      <c r="A14" s="40" t="s">
        <v>11</v>
      </c>
      <c r="B14" s="41">
        <v>51184588</v>
      </c>
      <c r="C14" s="41">
        <v>631617111</v>
      </c>
      <c r="D14" s="41">
        <v>85026728</v>
      </c>
      <c r="E14" s="41"/>
      <c r="F14" s="41"/>
      <c r="G14" s="41"/>
      <c r="H14" s="41"/>
      <c r="I14" s="42">
        <v>0</v>
      </c>
      <c r="J14" s="42"/>
      <c r="K14" s="42">
        <v>0</v>
      </c>
      <c r="L14" s="42">
        <v>0</v>
      </c>
      <c r="M14" s="42">
        <v>0</v>
      </c>
      <c r="N14" s="42">
        <v>0</v>
      </c>
      <c r="O14" s="42">
        <v>2378488822</v>
      </c>
      <c r="P14" s="42">
        <v>767828427</v>
      </c>
      <c r="Q14" s="43">
        <v>1610660395</v>
      </c>
      <c r="S14" s="29"/>
    </row>
    <row r="15" spans="1:19" x14ac:dyDescent="0.2">
      <c r="A15" s="40" t="s">
        <v>12</v>
      </c>
      <c r="B15" s="41">
        <v>156282017</v>
      </c>
      <c r="C15" s="41">
        <v>184846059</v>
      </c>
      <c r="D15" s="41">
        <v>122831519</v>
      </c>
      <c r="E15" s="41"/>
      <c r="F15" s="41"/>
      <c r="G15" s="41"/>
      <c r="H15" s="41"/>
      <c r="I15" s="42">
        <v>3295305</v>
      </c>
      <c r="J15" s="42"/>
      <c r="K15" s="42">
        <v>168</v>
      </c>
      <c r="L15" s="42">
        <v>176</v>
      </c>
      <c r="M15" s="42">
        <v>0</v>
      </c>
      <c r="N15" s="42">
        <v>0</v>
      </c>
      <c r="O15" s="42">
        <v>3895364601</v>
      </c>
      <c r="P15" s="42">
        <v>467254900</v>
      </c>
      <c r="Q15" s="43">
        <v>3428109701</v>
      </c>
      <c r="S15" s="29"/>
    </row>
    <row r="16" spans="1:19" x14ac:dyDescent="0.2">
      <c r="A16" s="40" t="s">
        <v>13</v>
      </c>
      <c r="B16" s="41">
        <v>22600565</v>
      </c>
      <c r="C16" s="41">
        <v>22965653</v>
      </c>
      <c r="D16" s="41">
        <v>8994725</v>
      </c>
      <c r="E16" s="41"/>
      <c r="F16" s="41"/>
      <c r="G16" s="41"/>
      <c r="H16" s="41">
        <v>11275894</v>
      </c>
      <c r="I16" s="42">
        <v>224582852</v>
      </c>
      <c r="J16" s="42"/>
      <c r="K16" s="42">
        <v>0</v>
      </c>
      <c r="L16" s="42">
        <v>0</v>
      </c>
      <c r="M16" s="42">
        <v>0</v>
      </c>
      <c r="N16" s="42">
        <v>0</v>
      </c>
      <c r="O16" s="42">
        <v>1151156244</v>
      </c>
      <c r="P16" s="42">
        <v>290419689</v>
      </c>
      <c r="Q16" s="43">
        <v>860736555</v>
      </c>
      <c r="S16" s="29"/>
    </row>
    <row r="17" spans="1:19" x14ac:dyDescent="0.2">
      <c r="A17" s="40" t="s">
        <v>106</v>
      </c>
      <c r="B17" s="41">
        <v>1125788782</v>
      </c>
      <c r="C17" s="41">
        <v>46398381</v>
      </c>
      <c r="D17" s="41">
        <v>1309258347</v>
      </c>
      <c r="E17" s="41"/>
      <c r="F17" s="41"/>
      <c r="G17" s="41"/>
      <c r="H17" s="41"/>
      <c r="I17" s="42">
        <v>12498293</v>
      </c>
      <c r="J17" s="42"/>
      <c r="K17" s="42">
        <v>2022250</v>
      </c>
      <c r="L17" s="42">
        <v>0</v>
      </c>
      <c r="M17" s="42">
        <v>0</v>
      </c>
      <c r="N17" s="42">
        <v>0</v>
      </c>
      <c r="O17" s="42">
        <v>25121633877</v>
      </c>
      <c r="P17" s="42">
        <v>2493943803</v>
      </c>
      <c r="Q17" s="43">
        <v>22627690074</v>
      </c>
      <c r="S17" s="29"/>
    </row>
    <row r="18" spans="1:19" x14ac:dyDescent="0.2">
      <c r="A18" s="40" t="s">
        <v>14</v>
      </c>
      <c r="B18" s="41">
        <v>18839867</v>
      </c>
      <c r="C18" s="41">
        <v>476221</v>
      </c>
      <c r="D18" s="41">
        <v>248001</v>
      </c>
      <c r="E18" s="41">
        <v>5000</v>
      </c>
      <c r="F18" s="41"/>
      <c r="G18" s="41"/>
      <c r="H18" s="41"/>
      <c r="I18" s="42">
        <v>93926202</v>
      </c>
      <c r="J18" s="42"/>
      <c r="K18" s="42">
        <v>0</v>
      </c>
      <c r="L18" s="42">
        <v>0</v>
      </c>
      <c r="M18" s="42">
        <v>0</v>
      </c>
      <c r="N18" s="42">
        <v>0</v>
      </c>
      <c r="O18" s="42">
        <v>830779663</v>
      </c>
      <c r="P18" s="42">
        <v>113495291</v>
      </c>
      <c r="Q18" s="43">
        <v>717284372</v>
      </c>
      <c r="S18" s="29"/>
    </row>
    <row r="19" spans="1:19" x14ac:dyDescent="0.2">
      <c r="A19" s="40" t="s">
        <v>15</v>
      </c>
      <c r="B19" s="41">
        <v>3063418</v>
      </c>
      <c r="C19" s="41"/>
      <c r="D19" s="41"/>
      <c r="E19" s="41"/>
      <c r="F19" s="41"/>
      <c r="G19" s="41"/>
      <c r="H19" s="41"/>
      <c r="I19" s="42">
        <v>0</v>
      </c>
      <c r="J19" s="42"/>
      <c r="K19" s="42">
        <v>0</v>
      </c>
      <c r="L19" s="42">
        <v>0</v>
      </c>
      <c r="M19" s="42">
        <v>0</v>
      </c>
      <c r="N19" s="42">
        <v>0</v>
      </c>
      <c r="O19" s="42">
        <v>138064684</v>
      </c>
      <c r="P19" s="42">
        <v>3063418</v>
      </c>
      <c r="Q19" s="43">
        <v>135001266</v>
      </c>
      <c r="S19" s="29"/>
    </row>
    <row r="20" spans="1:19" x14ac:dyDescent="0.2">
      <c r="A20" s="40" t="s">
        <v>16</v>
      </c>
      <c r="B20" s="41">
        <v>288022699</v>
      </c>
      <c r="C20" s="41">
        <v>7959823326</v>
      </c>
      <c r="D20" s="41">
        <v>837268815</v>
      </c>
      <c r="E20" s="41"/>
      <c r="F20" s="41"/>
      <c r="G20" s="41"/>
      <c r="H20" s="41"/>
      <c r="I20" s="42">
        <v>35828317</v>
      </c>
      <c r="J20" s="42"/>
      <c r="K20" s="42">
        <v>6437475</v>
      </c>
      <c r="L20" s="42">
        <v>2052622</v>
      </c>
      <c r="M20" s="42">
        <v>0</v>
      </c>
      <c r="N20" s="42">
        <v>0</v>
      </c>
      <c r="O20" s="42">
        <v>18605156425</v>
      </c>
      <c r="P20" s="42">
        <v>9120943157</v>
      </c>
      <c r="Q20" s="43">
        <v>9484213268</v>
      </c>
      <c r="S20" s="29"/>
    </row>
    <row r="21" spans="1:19" x14ac:dyDescent="0.2">
      <c r="A21" s="40" t="s">
        <v>17</v>
      </c>
      <c r="B21" s="41">
        <v>107392323</v>
      </c>
      <c r="C21" s="41"/>
      <c r="D21" s="41">
        <v>248536926</v>
      </c>
      <c r="E21" s="41"/>
      <c r="F21" s="41"/>
      <c r="G21" s="41"/>
      <c r="H21" s="41">
        <v>20022815</v>
      </c>
      <c r="I21" s="42">
        <v>352865985</v>
      </c>
      <c r="J21" s="42"/>
      <c r="K21" s="42">
        <v>1300554</v>
      </c>
      <c r="L21" s="42">
        <v>0</v>
      </c>
      <c r="M21" s="42">
        <v>0</v>
      </c>
      <c r="N21" s="42">
        <v>0</v>
      </c>
      <c r="O21" s="42">
        <v>4892160437</v>
      </c>
      <c r="P21" s="42">
        <v>728818049</v>
      </c>
      <c r="Q21" s="43">
        <v>4163342388</v>
      </c>
      <c r="S21" s="29"/>
    </row>
    <row r="22" spans="1:19" x14ac:dyDescent="0.2">
      <c r="A22" s="40" t="s">
        <v>18</v>
      </c>
      <c r="B22" s="41">
        <v>30769816</v>
      </c>
      <c r="C22" s="41">
        <v>277229872</v>
      </c>
      <c r="D22" s="41">
        <v>121330576</v>
      </c>
      <c r="E22" s="41">
        <v>36953</v>
      </c>
      <c r="F22" s="41">
        <v>49508</v>
      </c>
      <c r="G22" s="41"/>
      <c r="H22" s="41"/>
      <c r="I22" s="42">
        <v>8739018</v>
      </c>
      <c r="J22" s="42"/>
      <c r="K22" s="42">
        <v>0</v>
      </c>
      <c r="L22" s="42">
        <v>0</v>
      </c>
      <c r="M22" s="42"/>
      <c r="N22" s="42"/>
      <c r="O22" s="42">
        <v>1146613952</v>
      </c>
      <c r="P22" s="42">
        <v>438155743</v>
      </c>
      <c r="Q22" s="43">
        <v>708458209</v>
      </c>
      <c r="S22" s="29"/>
    </row>
    <row r="23" spans="1:19" x14ac:dyDescent="0.2">
      <c r="A23" s="40" t="s">
        <v>19</v>
      </c>
      <c r="B23" s="41">
        <v>4965231</v>
      </c>
      <c r="C23" s="41"/>
      <c r="D23" s="41">
        <v>114</v>
      </c>
      <c r="E23" s="41"/>
      <c r="F23" s="41"/>
      <c r="G23" s="41"/>
      <c r="H23" s="41"/>
      <c r="I23" s="42">
        <v>0</v>
      </c>
      <c r="J23" s="42"/>
      <c r="K23" s="42">
        <v>0</v>
      </c>
      <c r="L23" s="42">
        <v>0</v>
      </c>
      <c r="M23" s="42"/>
      <c r="N23" s="42"/>
      <c r="O23" s="42">
        <v>105478236</v>
      </c>
      <c r="P23" s="42">
        <v>4965345</v>
      </c>
      <c r="Q23" s="43">
        <v>100512891</v>
      </c>
      <c r="S23" s="29"/>
    </row>
    <row r="24" spans="1:19" x14ac:dyDescent="0.2">
      <c r="A24" s="40" t="s">
        <v>20</v>
      </c>
      <c r="B24" s="41">
        <v>14016341</v>
      </c>
      <c r="C24" s="41">
        <v>258525297</v>
      </c>
      <c r="D24" s="41">
        <v>687754</v>
      </c>
      <c r="E24" s="41">
        <v>6197</v>
      </c>
      <c r="F24" s="41"/>
      <c r="G24" s="41"/>
      <c r="H24" s="41"/>
      <c r="I24" s="42">
        <v>82549075</v>
      </c>
      <c r="J24" s="42"/>
      <c r="K24" s="42">
        <v>0</v>
      </c>
      <c r="L24" s="42">
        <v>0</v>
      </c>
      <c r="M24" s="42">
        <v>0</v>
      </c>
      <c r="N24" s="42">
        <v>0</v>
      </c>
      <c r="O24" s="42">
        <v>984925754</v>
      </c>
      <c r="P24" s="42">
        <v>355784664</v>
      </c>
      <c r="Q24" s="43">
        <v>629141090</v>
      </c>
      <c r="S24" s="29"/>
    </row>
    <row r="25" spans="1:19" x14ac:dyDescent="0.2">
      <c r="A25" s="40" t="s">
        <v>21</v>
      </c>
      <c r="B25" s="41">
        <v>6510541</v>
      </c>
      <c r="C25" s="41"/>
      <c r="D25" s="41">
        <v>362132</v>
      </c>
      <c r="E25" s="41"/>
      <c r="F25" s="41"/>
      <c r="G25" s="41"/>
      <c r="H25" s="41"/>
      <c r="I25" s="42">
        <v>0</v>
      </c>
      <c r="J25" s="42"/>
      <c r="K25" s="42">
        <v>0</v>
      </c>
      <c r="L25" s="42">
        <v>0</v>
      </c>
      <c r="M25" s="42">
        <v>0</v>
      </c>
      <c r="N25" s="42">
        <v>0</v>
      </c>
      <c r="O25" s="42">
        <v>491057571</v>
      </c>
      <c r="P25" s="42">
        <v>6872673</v>
      </c>
      <c r="Q25" s="43">
        <v>484184898</v>
      </c>
      <c r="S25" s="29"/>
    </row>
    <row r="26" spans="1:19" x14ac:dyDescent="0.2">
      <c r="A26" s="40" t="s">
        <v>22</v>
      </c>
      <c r="B26" s="41">
        <v>19858842</v>
      </c>
      <c r="C26" s="41">
        <v>11415226</v>
      </c>
      <c r="D26" s="41">
        <v>2433504</v>
      </c>
      <c r="E26" s="41"/>
      <c r="F26" s="41"/>
      <c r="G26" s="41"/>
      <c r="H26" s="41"/>
      <c r="I26" s="42">
        <v>1213518</v>
      </c>
      <c r="J26" s="42"/>
      <c r="K26" s="42">
        <v>0</v>
      </c>
      <c r="L26" s="42">
        <v>0</v>
      </c>
      <c r="M26" s="42">
        <v>0</v>
      </c>
      <c r="N26" s="42">
        <v>0</v>
      </c>
      <c r="O26" s="42">
        <v>231526004</v>
      </c>
      <c r="P26" s="42">
        <v>34921090</v>
      </c>
      <c r="Q26" s="43">
        <v>196604914</v>
      </c>
      <c r="S26" s="29"/>
    </row>
    <row r="27" spans="1:19" x14ac:dyDescent="0.2">
      <c r="A27" s="40" t="s">
        <v>23</v>
      </c>
      <c r="B27" s="41">
        <v>6001644</v>
      </c>
      <c r="C27" s="41">
        <v>4277417</v>
      </c>
      <c r="D27" s="41">
        <v>75768</v>
      </c>
      <c r="E27" s="41"/>
      <c r="F27" s="41"/>
      <c r="G27" s="41"/>
      <c r="H27" s="41"/>
      <c r="I27" s="42">
        <v>119067</v>
      </c>
      <c r="J27" s="42"/>
      <c r="K27" s="42">
        <v>0</v>
      </c>
      <c r="L27" s="42">
        <v>0</v>
      </c>
      <c r="M27" s="42"/>
      <c r="N27" s="42"/>
      <c r="O27" s="42">
        <v>179777182</v>
      </c>
      <c r="P27" s="42">
        <v>10473896</v>
      </c>
      <c r="Q27" s="43">
        <v>169303286</v>
      </c>
      <c r="S27" s="29"/>
    </row>
    <row r="28" spans="1:19" x14ac:dyDescent="0.2">
      <c r="A28" s="40" t="s">
        <v>24</v>
      </c>
      <c r="B28" s="41">
        <v>6997194</v>
      </c>
      <c r="C28" s="41"/>
      <c r="D28" s="41">
        <v>941495</v>
      </c>
      <c r="E28" s="41"/>
      <c r="F28" s="41"/>
      <c r="G28" s="41"/>
      <c r="H28" s="41"/>
      <c r="I28" s="42">
        <v>0</v>
      </c>
      <c r="J28" s="42"/>
      <c r="K28" s="42">
        <v>0</v>
      </c>
      <c r="L28" s="42">
        <v>0</v>
      </c>
      <c r="M28" s="42">
        <v>0</v>
      </c>
      <c r="N28" s="42">
        <v>0</v>
      </c>
      <c r="O28" s="42">
        <v>704338273</v>
      </c>
      <c r="P28" s="42">
        <v>7938689</v>
      </c>
      <c r="Q28" s="43">
        <v>696399584</v>
      </c>
      <c r="S28" s="29"/>
    </row>
    <row r="29" spans="1:19" x14ac:dyDescent="0.2">
      <c r="A29" s="40" t="s">
        <v>25</v>
      </c>
      <c r="B29" s="41">
        <v>18162794</v>
      </c>
      <c r="C29" s="41"/>
      <c r="D29" s="41">
        <v>6377851</v>
      </c>
      <c r="E29" s="41"/>
      <c r="F29" s="41"/>
      <c r="G29" s="41"/>
      <c r="H29" s="41"/>
      <c r="I29" s="42">
        <v>0</v>
      </c>
      <c r="J29" s="42"/>
      <c r="K29" s="42">
        <v>0</v>
      </c>
      <c r="L29" s="42">
        <v>0</v>
      </c>
      <c r="M29" s="42">
        <v>0</v>
      </c>
      <c r="N29" s="42">
        <v>0</v>
      </c>
      <c r="O29" s="42">
        <v>1244757847</v>
      </c>
      <c r="P29" s="42">
        <v>24540645</v>
      </c>
      <c r="Q29" s="43">
        <v>1220217202</v>
      </c>
      <c r="S29" s="29"/>
    </row>
    <row r="30" spans="1:19" x14ac:dyDescent="0.2">
      <c r="A30" s="40" t="s">
        <v>26</v>
      </c>
      <c r="B30" s="41">
        <v>17792852</v>
      </c>
      <c r="C30" s="41">
        <v>51937806</v>
      </c>
      <c r="D30" s="41">
        <v>4972146</v>
      </c>
      <c r="E30" s="41">
        <v>5000</v>
      </c>
      <c r="F30" s="41"/>
      <c r="G30" s="41"/>
      <c r="H30" s="41"/>
      <c r="I30" s="42">
        <v>195944219</v>
      </c>
      <c r="J30" s="42"/>
      <c r="K30" s="42">
        <v>0</v>
      </c>
      <c r="L30" s="42">
        <v>0</v>
      </c>
      <c r="M30" s="42"/>
      <c r="N30" s="42"/>
      <c r="O30" s="42">
        <v>1905409769</v>
      </c>
      <c r="P30" s="42">
        <v>270652023</v>
      </c>
      <c r="Q30" s="43">
        <v>1634757746</v>
      </c>
      <c r="S30" s="29"/>
    </row>
    <row r="31" spans="1:19" x14ac:dyDescent="0.2">
      <c r="A31" s="40" t="s">
        <v>27</v>
      </c>
      <c r="B31" s="41">
        <v>61151350</v>
      </c>
      <c r="C31" s="41">
        <v>598526911</v>
      </c>
      <c r="D31" s="41">
        <v>32976973</v>
      </c>
      <c r="E31" s="41"/>
      <c r="F31" s="41"/>
      <c r="G31" s="41"/>
      <c r="H31" s="41"/>
      <c r="I31" s="42">
        <v>0</v>
      </c>
      <c r="J31" s="42"/>
      <c r="K31" s="42">
        <v>0</v>
      </c>
      <c r="L31" s="42">
        <v>0</v>
      </c>
      <c r="M31" s="42"/>
      <c r="N31" s="42"/>
      <c r="O31" s="42">
        <v>2556179886</v>
      </c>
      <c r="P31" s="42">
        <v>692655234</v>
      </c>
      <c r="Q31" s="43">
        <v>1863524652</v>
      </c>
      <c r="S31" s="29"/>
    </row>
    <row r="32" spans="1:19" x14ac:dyDescent="0.2">
      <c r="A32" s="40" t="s">
        <v>28</v>
      </c>
      <c r="B32" s="41">
        <v>105221855</v>
      </c>
      <c r="C32" s="41">
        <v>8041510</v>
      </c>
      <c r="D32" s="41">
        <v>6303929</v>
      </c>
      <c r="E32" s="41">
        <v>83000</v>
      </c>
      <c r="F32" s="41">
        <v>161500</v>
      </c>
      <c r="G32" s="41"/>
      <c r="H32" s="41"/>
      <c r="I32" s="42">
        <v>0</v>
      </c>
      <c r="J32" s="42"/>
      <c r="K32" s="42">
        <v>0</v>
      </c>
      <c r="L32" s="42">
        <v>0</v>
      </c>
      <c r="M32" s="42">
        <v>0</v>
      </c>
      <c r="N32" s="42">
        <v>0</v>
      </c>
      <c r="O32" s="42">
        <v>773819095</v>
      </c>
      <c r="P32" s="42">
        <v>119811794</v>
      </c>
      <c r="Q32" s="43">
        <v>654007301</v>
      </c>
      <c r="S32" s="29"/>
    </row>
    <row r="33" spans="1:19" x14ac:dyDescent="0.2">
      <c r="A33" s="40" t="s">
        <v>29</v>
      </c>
      <c r="B33" s="41">
        <v>391976879</v>
      </c>
      <c r="C33" s="41">
        <v>992096230</v>
      </c>
      <c r="D33" s="41">
        <v>1384310750</v>
      </c>
      <c r="E33" s="41"/>
      <c r="F33" s="41">
        <v>1000</v>
      </c>
      <c r="G33" s="41"/>
      <c r="H33" s="41">
        <v>32842436</v>
      </c>
      <c r="I33" s="42">
        <v>0</v>
      </c>
      <c r="J33" s="42"/>
      <c r="K33" s="42">
        <v>0</v>
      </c>
      <c r="L33" s="42">
        <v>0</v>
      </c>
      <c r="M33" s="42">
        <v>0</v>
      </c>
      <c r="N33" s="42">
        <v>0</v>
      </c>
      <c r="O33" s="42">
        <v>14285675930</v>
      </c>
      <c r="P33" s="42">
        <v>2801227295</v>
      </c>
      <c r="Q33" s="43">
        <v>11484448635</v>
      </c>
      <c r="S33" s="29"/>
    </row>
    <row r="34" spans="1:19" x14ac:dyDescent="0.2">
      <c r="A34" s="40" t="s">
        <v>30</v>
      </c>
      <c r="B34" s="41">
        <v>11853648</v>
      </c>
      <c r="C34" s="41">
        <v>6405661</v>
      </c>
      <c r="D34" s="41">
        <v>664346</v>
      </c>
      <c r="E34" s="41"/>
      <c r="F34" s="41"/>
      <c r="G34" s="41"/>
      <c r="H34" s="41"/>
      <c r="I34" s="42">
        <v>0</v>
      </c>
      <c r="J34" s="42"/>
      <c r="K34" s="42">
        <v>0</v>
      </c>
      <c r="L34" s="42">
        <v>0</v>
      </c>
      <c r="M34" s="42">
        <v>0</v>
      </c>
      <c r="N34" s="42">
        <v>0</v>
      </c>
      <c r="O34" s="42">
        <v>144860255</v>
      </c>
      <c r="P34" s="42">
        <v>18923655</v>
      </c>
      <c r="Q34" s="43">
        <v>125936600</v>
      </c>
      <c r="S34" s="29"/>
    </row>
    <row r="35" spans="1:19" x14ac:dyDescent="0.2">
      <c r="A35" s="40" t="s">
        <v>31</v>
      </c>
      <c r="B35" s="41">
        <v>46221896</v>
      </c>
      <c r="C35" s="41">
        <v>11221069</v>
      </c>
      <c r="D35" s="41">
        <v>82269726</v>
      </c>
      <c r="E35" s="41">
        <v>32568</v>
      </c>
      <c r="F35" s="41">
        <v>16322</v>
      </c>
      <c r="G35" s="41"/>
      <c r="H35" s="41"/>
      <c r="I35" s="42">
        <v>0</v>
      </c>
      <c r="J35" s="42"/>
      <c r="K35" s="42">
        <v>0</v>
      </c>
      <c r="L35" s="42">
        <v>0</v>
      </c>
      <c r="M35" s="42">
        <v>0</v>
      </c>
      <c r="N35" s="42">
        <v>0</v>
      </c>
      <c r="O35" s="42">
        <v>1613193318</v>
      </c>
      <c r="P35" s="42">
        <v>139761581</v>
      </c>
      <c r="Q35" s="43">
        <v>1473431737</v>
      </c>
      <c r="S35" s="29"/>
    </row>
    <row r="36" spans="1:19" x14ac:dyDescent="0.2">
      <c r="A36" s="40" t="s">
        <v>32</v>
      </c>
      <c r="B36" s="41">
        <v>17531592</v>
      </c>
      <c r="C36" s="41">
        <v>51686110</v>
      </c>
      <c r="D36" s="41">
        <v>487869</v>
      </c>
      <c r="E36" s="41"/>
      <c r="F36" s="41"/>
      <c r="G36" s="41"/>
      <c r="H36" s="41"/>
      <c r="I36" s="42">
        <v>0</v>
      </c>
      <c r="J36" s="42"/>
      <c r="K36" s="42">
        <v>0</v>
      </c>
      <c r="L36" s="42">
        <v>0</v>
      </c>
      <c r="M36" s="42">
        <v>0</v>
      </c>
      <c r="N36" s="42">
        <v>0</v>
      </c>
      <c r="O36" s="42">
        <v>621876126</v>
      </c>
      <c r="P36" s="42">
        <v>69705571</v>
      </c>
      <c r="Q36" s="43">
        <v>552170555</v>
      </c>
      <c r="S36" s="29"/>
    </row>
    <row r="37" spans="1:19" x14ac:dyDescent="0.2">
      <c r="A37" s="40" t="s">
        <v>33</v>
      </c>
      <c r="B37" s="41">
        <v>12625916</v>
      </c>
      <c r="C37" s="41">
        <v>6632756</v>
      </c>
      <c r="D37" s="41">
        <v>242385</v>
      </c>
      <c r="E37" s="41">
        <v>5000</v>
      </c>
      <c r="F37" s="41">
        <v>5000</v>
      </c>
      <c r="G37" s="41"/>
      <c r="H37" s="41"/>
      <c r="I37" s="42">
        <v>0</v>
      </c>
      <c r="J37" s="42"/>
      <c r="K37" s="42">
        <v>0</v>
      </c>
      <c r="L37" s="42">
        <v>0</v>
      </c>
      <c r="M37" s="42">
        <v>0</v>
      </c>
      <c r="N37" s="42">
        <v>0</v>
      </c>
      <c r="O37" s="42">
        <v>275524636</v>
      </c>
      <c r="P37" s="42">
        <v>19511057</v>
      </c>
      <c r="Q37" s="43">
        <v>256013579</v>
      </c>
      <c r="S37" s="29"/>
    </row>
    <row r="38" spans="1:19" x14ac:dyDescent="0.2">
      <c r="A38" s="40" t="s">
        <v>34</v>
      </c>
      <c r="B38" s="41">
        <v>2966849</v>
      </c>
      <c r="C38" s="41">
        <v>4335826</v>
      </c>
      <c r="D38" s="41">
        <v>96184</v>
      </c>
      <c r="E38" s="41"/>
      <c r="F38" s="41"/>
      <c r="G38" s="41"/>
      <c r="H38" s="41"/>
      <c r="I38" s="42">
        <v>0</v>
      </c>
      <c r="J38" s="42"/>
      <c r="K38" s="42">
        <v>0</v>
      </c>
      <c r="L38" s="42">
        <v>0</v>
      </c>
      <c r="M38" s="42">
        <v>0</v>
      </c>
      <c r="N38" s="42">
        <v>0</v>
      </c>
      <c r="O38" s="42">
        <v>84705720</v>
      </c>
      <c r="P38" s="42">
        <v>7398859</v>
      </c>
      <c r="Q38" s="43">
        <v>77306861</v>
      </c>
      <c r="S38" s="29"/>
    </row>
    <row r="39" spans="1:19" x14ac:dyDescent="0.2">
      <c r="A39" s="40" t="s">
        <v>35</v>
      </c>
      <c r="B39" s="41">
        <v>121323527</v>
      </c>
      <c r="C39" s="41">
        <v>169825687</v>
      </c>
      <c r="D39" s="41">
        <v>350284505</v>
      </c>
      <c r="E39" s="41"/>
      <c r="F39" s="41"/>
      <c r="G39" s="41"/>
      <c r="H39" s="41"/>
      <c r="I39" s="42">
        <v>19599030</v>
      </c>
      <c r="J39" s="42"/>
      <c r="K39" s="42">
        <v>387681</v>
      </c>
      <c r="L39" s="42">
        <v>0</v>
      </c>
      <c r="M39" s="42">
        <v>0</v>
      </c>
      <c r="N39" s="42">
        <v>0</v>
      </c>
      <c r="O39" s="42">
        <v>3174447470</v>
      </c>
      <c r="P39" s="42">
        <v>641433719</v>
      </c>
      <c r="Q39" s="43">
        <v>2533013751</v>
      </c>
      <c r="S39" s="29"/>
    </row>
    <row r="40" spans="1:19" x14ac:dyDescent="0.2">
      <c r="A40" s="40" t="s">
        <v>36</v>
      </c>
      <c r="B40" s="41">
        <v>374425826</v>
      </c>
      <c r="C40" s="41">
        <v>218001181</v>
      </c>
      <c r="D40" s="41">
        <v>245626896</v>
      </c>
      <c r="E40" s="41">
        <v>788787</v>
      </c>
      <c r="F40" s="41">
        <v>155808</v>
      </c>
      <c r="G40" s="41"/>
      <c r="H40" s="41"/>
      <c r="I40" s="42">
        <v>14263397</v>
      </c>
      <c r="J40" s="42"/>
      <c r="K40" s="42">
        <v>6507985</v>
      </c>
      <c r="L40" s="42"/>
      <c r="M40" s="42"/>
      <c r="N40" s="42"/>
      <c r="O40" s="42">
        <v>7973441775</v>
      </c>
      <c r="P40" s="42">
        <v>853261895</v>
      </c>
      <c r="Q40" s="43">
        <v>7120179880</v>
      </c>
      <c r="S40" s="29"/>
    </row>
    <row r="41" spans="1:19" x14ac:dyDescent="0.2">
      <c r="A41" s="40" t="s">
        <v>37</v>
      </c>
      <c r="B41" s="41">
        <v>121319996</v>
      </c>
      <c r="C41" s="41">
        <v>894724215</v>
      </c>
      <c r="D41" s="41">
        <v>32816695</v>
      </c>
      <c r="E41" s="41"/>
      <c r="F41" s="41">
        <v>500</v>
      </c>
      <c r="G41" s="41"/>
      <c r="H41" s="41"/>
      <c r="I41" s="42">
        <v>26906228</v>
      </c>
      <c r="J41" s="42"/>
      <c r="K41" s="42">
        <v>0</v>
      </c>
      <c r="L41" s="42">
        <v>0</v>
      </c>
      <c r="M41" s="42">
        <v>0</v>
      </c>
      <c r="N41" s="42">
        <v>0</v>
      </c>
      <c r="O41" s="42">
        <v>2590304643</v>
      </c>
      <c r="P41" s="42">
        <v>1075767634</v>
      </c>
      <c r="Q41" s="43">
        <v>1514537009</v>
      </c>
      <c r="S41" s="29"/>
    </row>
    <row r="42" spans="1:19" x14ac:dyDescent="0.2">
      <c r="A42" s="40" t="s">
        <v>38</v>
      </c>
      <c r="B42" s="41">
        <v>26261259</v>
      </c>
      <c r="C42" s="41"/>
      <c r="D42" s="41"/>
      <c r="E42" s="41"/>
      <c r="F42" s="41"/>
      <c r="G42" s="41"/>
      <c r="H42" s="41"/>
      <c r="I42" s="42">
        <v>234823143</v>
      </c>
      <c r="J42" s="42"/>
      <c r="K42" s="42">
        <v>0</v>
      </c>
      <c r="L42" s="42">
        <v>0</v>
      </c>
      <c r="M42" s="42">
        <v>0</v>
      </c>
      <c r="N42" s="42">
        <v>0</v>
      </c>
      <c r="O42" s="42">
        <v>887784098</v>
      </c>
      <c r="P42" s="42">
        <v>261084402</v>
      </c>
      <c r="Q42" s="43">
        <v>626699696</v>
      </c>
      <c r="S42" s="29"/>
    </row>
    <row r="43" spans="1:19" x14ac:dyDescent="0.2">
      <c r="A43" s="40" t="s">
        <v>39</v>
      </c>
      <c r="B43" s="41">
        <v>2281842</v>
      </c>
      <c r="C43" s="41">
        <v>792055</v>
      </c>
      <c r="D43" s="41">
        <v>34392</v>
      </c>
      <c r="E43" s="41"/>
      <c r="F43" s="41"/>
      <c r="G43" s="41"/>
      <c r="H43" s="41"/>
      <c r="I43" s="42">
        <v>769610</v>
      </c>
      <c r="J43" s="42"/>
      <c r="K43" s="42">
        <v>0</v>
      </c>
      <c r="L43" s="42">
        <v>0</v>
      </c>
      <c r="M43" s="42">
        <v>0</v>
      </c>
      <c r="N43" s="42">
        <v>0</v>
      </c>
      <c r="O43" s="42">
        <v>173662484</v>
      </c>
      <c r="P43" s="42">
        <v>3877899</v>
      </c>
      <c r="Q43" s="43">
        <v>169784585</v>
      </c>
      <c r="S43" s="29"/>
    </row>
    <row r="44" spans="1:19" x14ac:dyDescent="0.2">
      <c r="A44" s="40" t="s">
        <v>40</v>
      </c>
      <c r="B44" s="41">
        <v>12837167</v>
      </c>
      <c r="C44" s="41"/>
      <c r="D44" s="41">
        <v>787843</v>
      </c>
      <c r="E44" s="41"/>
      <c r="F44" s="41"/>
      <c r="G44" s="41"/>
      <c r="H44" s="41"/>
      <c r="I44" s="42"/>
      <c r="J44" s="42"/>
      <c r="K44" s="42">
        <v>0</v>
      </c>
      <c r="L44" s="42"/>
      <c r="M44" s="42"/>
      <c r="N44" s="42"/>
      <c r="O44" s="42">
        <v>462951060</v>
      </c>
      <c r="P44" s="42">
        <v>13625010</v>
      </c>
      <c r="Q44" s="43">
        <v>449326050</v>
      </c>
      <c r="S44" s="29"/>
    </row>
    <row r="45" spans="1:19" x14ac:dyDescent="0.2">
      <c r="A45" s="40" t="s">
        <v>41</v>
      </c>
      <c r="B45" s="41">
        <v>138109872</v>
      </c>
      <c r="C45" s="41">
        <v>4113785</v>
      </c>
      <c r="D45" s="41">
        <v>48813641</v>
      </c>
      <c r="E45" s="41">
        <v>60520</v>
      </c>
      <c r="F45" s="41">
        <v>52646</v>
      </c>
      <c r="G45" s="41"/>
      <c r="H45" s="41">
        <v>22435112</v>
      </c>
      <c r="I45" s="42">
        <v>0</v>
      </c>
      <c r="J45" s="42"/>
      <c r="K45" s="42">
        <v>162934</v>
      </c>
      <c r="L45" s="42">
        <v>0</v>
      </c>
      <c r="M45" s="42">
        <v>0</v>
      </c>
      <c r="N45" s="42">
        <v>0</v>
      </c>
      <c r="O45" s="42">
        <v>5284290624</v>
      </c>
      <c r="P45" s="42">
        <v>213585576</v>
      </c>
      <c r="Q45" s="43">
        <v>5070705048</v>
      </c>
      <c r="S45" s="29"/>
    </row>
    <row r="46" spans="1:19" x14ac:dyDescent="0.2">
      <c r="A46" s="40" t="s">
        <v>42</v>
      </c>
      <c r="B46" s="41">
        <v>131043811</v>
      </c>
      <c r="C46" s="41">
        <v>22449601</v>
      </c>
      <c r="D46" s="41">
        <v>77875466</v>
      </c>
      <c r="E46" s="41">
        <v>5000</v>
      </c>
      <c r="F46" s="41">
        <v>3567</v>
      </c>
      <c r="G46" s="41"/>
      <c r="H46" s="41"/>
      <c r="I46" s="42">
        <v>5462429</v>
      </c>
      <c r="J46" s="42"/>
      <c r="K46" s="42">
        <v>102002</v>
      </c>
      <c r="L46" s="42">
        <v>0</v>
      </c>
      <c r="M46" s="42">
        <v>0</v>
      </c>
      <c r="N46" s="42">
        <v>0</v>
      </c>
      <c r="O46" s="42">
        <v>3323155359</v>
      </c>
      <c r="P46" s="42">
        <v>236839874</v>
      </c>
      <c r="Q46" s="43">
        <v>3086315485</v>
      </c>
      <c r="S46" s="29"/>
    </row>
    <row r="47" spans="1:19" x14ac:dyDescent="0.2">
      <c r="A47" s="40" t="s">
        <v>43</v>
      </c>
      <c r="B47" s="41">
        <v>69771516</v>
      </c>
      <c r="C47" s="41">
        <v>26749273</v>
      </c>
      <c r="D47" s="41">
        <v>95880280</v>
      </c>
      <c r="E47" s="41"/>
      <c r="F47" s="41"/>
      <c r="G47" s="41"/>
      <c r="H47" s="41"/>
      <c r="I47" s="42">
        <v>266847043</v>
      </c>
      <c r="J47" s="42"/>
      <c r="K47" s="42">
        <v>0</v>
      </c>
      <c r="L47" s="42">
        <v>0</v>
      </c>
      <c r="M47" s="42"/>
      <c r="N47" s="42"/>
      <c r="O47" s="42">
        <v>4102330382</v>
      </c>
      <c r="P47" s="42">
        <v>459248112</v>
      </c>
      <c r="Q47" s="43">
        <v>3643082270</v>
      </c>
      <c r="S47" s="29"/>
    </row>
    <row r="48" spans="1:19" x14ac:dyDescent="0.2">
      <c r="A48" s="40" t="s">
        <v>44</v>
      </c>
      <c r="B48" s="41">
        <v>86535664</v>
      </c>
      <c r="C48" s="41">
        <v>172014386</v>
      </c>
      <c r="D48" s="41">
        <v>47420086</v>
      </c>
      <c r="E48" s="41"/>
      <c r="F48" s="41"/>
      <c r="G48" s="41"/>
      <c r="H48" s="41"/>
      <c r="I48" s="42">
        <v>0</v>
      </c>
      <c r="J48" s="42"/>
      <c r="K48" s="42">
        <v>0</v>
      </c>
      <c r="L48" s="42">
        <v>0</v>
      </c>
      <c r="M48" s="42">
        <v>0</v>
      </c>
      <c r="N48" s="42">
        <v>0</v>
      </c>
      <c r="O48" s="42">
        <v>1176483660</v>
      </c>
      <c r="P48" s="42">
        <v>305970136</v>
      </c>
      <c r="Q48" s="43">
        <v>870513524</v>
      </c>
      <c r="S48" s="29"/>
    </row>
    <row r="49" spans="1:19" x14ac:dyDescent="0.2">
      <c r="A49" s="40" t="s">
        <v>45</v>
      </c>
      <c r="B49" s="41">
        <v>30597680</v>
      </c>
      <c r="C49" s="41">
        <v>409454750</v>
      </c>
      <c r="D49" s="41">
        <v>49046858</v>
      </c>
      <c r="E49" s="41"/>
      <c r="F49" s="41"/>
      <c r="G49" s="41"/>
      <c r="H49" s="41"/>
      <c r="I49" s="42">
        <v>0</v>
      </c>
      <c r="J49" s="42"/>
      <c r="K49" s="42">
        <v>0</v>
      </c>
      <c r="L49" s="42">
        <v>0</v>
      </c>
      <c r="M49" s="42">
        <v>0</v>
      </c>
      <c r="N49" s="42">
        <v>0</v>
      </c>
      <c r="O49" s="42">
        <v>1693332904</v>
      </c>
      <c r="P49" s="42">
        <v>489099288</v>
      </c>
      <c r="Q49" s="43">
        <v>1204233616</v>
      </c>
      <c r="S49" s="29"/>
    </row>
    <row r="50" spans="1:19" x14ac:dyDescent="0.2">
      <c r="A50" s="40" t="s">
        <v>46</v>
      </c>
      <c r="B50" s="41">
        <v>77629070</v>
      </c>
      <c r="C50" s="41">
        <v>1050395</v>
      </c>
      <c r="D50" s="41">
        <v>1646725</v>
      </c>
      <c r="E50" s="41"/>
      <c r="F50" s="41"/>
      <c r="G50" s="41"/>
      <c r="H50" s="41">
        <v>5847160</v>
      </c>
      <c r="I50" s="42">
        <v>316083830</v>
      </c>
      <c r="J50" s="42"/>
      <c r="K50" s="42">
        <v>0</v>
      </c>
      <c r="L50" s="42">
        <v>0</v>
      </c>
      <c r="M50" s="42">
        <v>0</v>
      </c>
      <c r="N50" s="42">
        <v>0</v>
      </c>
      <c r="O50" s="42">
        <v>1807252194</v>
      </c>
      <c r="P50" s="42">
        <v>402257180</v>
      </c>
      <c r="Q50" s="43">
        <v>1404995014</v>
      </c>
      <c r="S50" s="29"/>
    </row>
    <row r="51" spans="1:19" x14ac:dyDescent="0.2">
      <c r="A51" s="40" t="s">
        <v>47</v>
      </c>
      <c r="B51" s="41">
        <v>41920487</v>
      </c>
      <c r="C51" s="41">
        <v>2280060</v>
      </c>
      <c r="D51" s="41">
        <v>2175921</v>
      </c>
      <c r="E51" s="41"/>
      <c r="F51" s="41"/>
      <c r="G51" s="41"/>
      <c r="H51" s="41">
        <v>225018384</v>
      </c>
      <c r="I51" s="42">
        <v>449644733</v>
      </c>
      <c r="J51" s="42"/>
      <c r="K51" s="42">
        <v>0</v>
      </c>
      <c r="L51" s="42">
        <v>0</v>
      </c>
      <c r="M51" s="42">
        <v>0</v>
      </c>
      <c r="N51" s="42">
        <v>0</v>
      </c>
      <c r="O51" s="42">
        <v>2412935600</v>
      </c>
      <c r="P51" s="42">
        <v>721039585</v>
      </c>
      <c r="Q51" s="43">
        <v>1691896015</v>
      </c>
      <c r="S51" s="29"/>
    </row>
    <row r="52" spans="1:19" x14ac:dyDescent="0.2">
      <c r="A52" s="40" t="s">
        <v>48</v>
      </c>
      <c r="B52" s="41">
        <v>510994124</v>
      </c>
      <c r="C52" s="41">
        <v>3255337579</v>
      </c>
      <c r="D52" s="41">
        <v>1376795962</v>
      </c>
      <c r="E52" s="41"/>
      <c r="F52" s="41"/>
      <c r="G52" s="41"/>
      <c r="H52" s="41">
        <v>191218988</v>
      </c>
      <c r="I52" s="42">
        <v>125161501</v>
      </c>
      <c r="J52" s="42"/>
      <c r="K52" s="42">
        <v>0</v>
      </c>
      <c r="L52" s="42">
        <v>0</v>
      </c>
      <c r="M52" s="42">
        <v>0</v>
      </c>
      <c r="N52" s="42">
        <v>0</v>
      </c>
      <c r="O52" s="42">
        <v>21484586475</v>
      </c>
      <c r="P52" s="42">
        <v>5459508154</v>
      </c>
      <c r="Q52" s="43">
        <v>16025078321</v>
      </c>
      <c r="S52" s="29"/>
    </row>
    <row r="53" spans="1:19" x14ac:dyDescent="0.2">
      <c r="A53" s="40" t="s">
        <v>49</v>
      </c>
      <c r="B53" s="41">
        <v>144562063</v>
      </c>
      <c r="C53" s="41">
        <v>1680889054</v>
      </c>
      <c r="D53" s="41">
        <v>262188524</v>
      </c>
      <c r="E53" s="41">
        <v>12166</v>
      </c>
      <c r="F53" s="41">
        <v>2850</v>
      </c>
      <c r="G53" s="41"/>
      <c r="H53" s="41"/>
      <c r="I53" s="42">
        <v>0</v>
      </c>
      <c r="J53" s="42"/>
      <c r="K53" s="42">
        <v>0</v>
      </c>
      <c r="L53" s="42">
        <v>0</v>
      </c>
      <c r="M53" s="42"/>
      <c r="N53" s="42"/>
      <c r="O53" s="42">
        <v>4523783150</v>
      </c>
      <c r="P53" s="42">
        <v>2087654657</v>
      </c>
      <c r="Q53" s="43">
        <v>2436128493</v>
      </c>
      <c r="S53" s="29"/>
    </row>
    <row r="54" spans="1:19" x14ac:dyDescent="0.2">
      <c r="A54" s="40" t="s">
        <v>50</v>
      </c>
      <c r="B54" s="41">
        <v>369973191</v>
      </c>
      <c r="C54" s="41">
        <v>651570589</v>
      </c>
      <c r="D54" s="41">
        <v>513622571</v>
      </c>
      <c r="E54" s="41"/>
      <c r="F54" s="41"/>
      <c r="G54" s="41"/>
      <c r="H54" s="41">
        <v>3891500</v>
      </c>
      <c r="I54" s="42">
        <v>267941925</v>
      </c>
      <c r="J54" s="42"/>
      <c r="K54" s="42">
        <v>0</v>
      </c>
      <c r="L54" s="42">
        <v>0</v>
      </c>
      <c r="M54" s="42">
        <v>0</v>
      </c>
      <c r="N54" s="42">
        <v>0</v>
      </c>
      <c r="O54" s="42">
        <v>16518013309</v>
      </c>
      <c r="P54" s="42">
        <v>1806999776</v>
      </c>
      <c r="Q54" s="43">
        <v>14711013533</v>
      </c>
      <c r="S54" s="29"/>
    </row>
    <row r="55" spans="1:19" x14ac:dyDescent="0.2">
      <c r="A55" s="40" t="s">
        <v>51</v>
      </c>
      <c r="B55" s="41">
        <v>112341440</v>
      </c>
      <c r="C55" s="41">
        <v>864010245</v>
      </c>
      <c r="D55" s="41">
        <v>145907265</v>
      </c>
      <c r="E55" s="41"/>
      <c r="F55" s="41"/>
      <c r="G55" s="41"/>
      <c r="H55" s="41"/>
      <c r="I55" s="42">
        <v>0</v>
      </c>
      <c r="J55" s="42"/>
      <c r="K55" s="42">
        <v>0</v>
      </c>
      <c r="L55" s="42">
        <v>0</v>
      </c>
      <c r="M55" s="42">
        <v>0</v>
      </c>
      <c r="N55" s="42">
        <v>0</v>
      </c>
      <c r="O55" s="42">
        <v>4214293641</v>
      </c>
      <c r="P55" s="42">
        <v>1122258950</v>
      </c>
      <c r="Q55" s="43">
        <v>3092034691</v>
      </c>
      <c r="S55" s="29"/>
    </row>
    <row r="56" spans="1:19" x14ac:dyDescent="0.2">
      <c r="A56" s="40" t="s">
        <v>52</v>
      </c>
      <c r="B56" s="41">
        <v>307882108</v>
      </c>
      <c r="C56" s="41">
        <v>394542950</v>
      </c>
      <c r="D56" s="41">
        <v>782962627</v>
      </c>
      <c r="E56" s="41"/>
      <c r="F56" s="41"/>
      <c r="G56" s="41"/>
      <c r="H56" s="41"/>
      <c r="I56" s="42">
        <v>19599030</v>
      </c>
      <c r="J56" s="42"/>
      <c r="K56" s="42">
        <v>387681</v>
      </c>
      <c r="L56" s="42">
        <v>0</v>
      </c>
      <c r="M56" s="42">
        <v>0</v>
      </c>
      <c r="N56" s="42">
        <v>0</v>
      </c>
      <c r="O56" s="42">
        <v>8131134060</v>
      </c>
      <c r="P56" s="42">
        <v>1504986715</v>
      </c>
      <c r="Q56" s="43">
        <v>6626147345</v>
      </c>
      <c r="S56" s="29"/>
    </row>
    <row r="57" spans="1:19" x14ac:dyDescent="0.2">
      <c r="A57" s="40" t="s">
        <v>53</v>
      </c>
      <c r="B57" s="41">
        <v>410555355</v>
      </c>
      <c r="C57" s="41">
        <v>608387874</v>
      </c>
      <c r="D57" s="41">
        <v>245022390</v>
      </c>
      <c r="E57" s="41">
        <v>81127</v>
      </c>
      <c r="F57" s="41">
        <v>34902</v>
      </c>
      <c r="G57" s="41"/>
      <c r="H57" s="41">
        <v>269679802</v>
      </c>
      <c r="I57" s="42">
        <v>367285707</v>
      </c>
      <c r="J57" s="42"/>
      <c r="K57" s="42">
        <v>0</v>
      </c>
      <c r="L57" s="42">
        <v>0</v>
      </c>
      <c r="M57" s="42">
        <v>0</v>
      </c>
      <c r="N57" s="42">
        <v>0</v>
      </c>
      <c r="O57" s="42">
        <v>9434232644</v>
      </c>
      <c r="P57" s="42">
        <v>1901047157</v>
      </c>
      <c r="Q57" s="43">
        <v>7533185487</v>
      </c>
      <c r="S57" s="29"/>
    </row>
    <row r="58" spans="1:19" x14ac:dyDescent="0.2">
      <c r="A58" s="40" t="s">
        <v>54</v>
      </c>
      <c r="B58" s="41">
        <v>25857093</v>
      </c>
      <c r="C58" s="41">
        <v>117247570</v>
      </c>
      <c r="D58" s="41">
        <v>7885968</v>
      </c>
      <c r="E58" s="41"/>
      <c r="F58" s="41"/>
      <c r="G58" s="41"/>
      <c r="H58" s="41"/>
      <c r="I58" s="42">
        <v>340950397</v>
      </c>
      <c r="J58" s="42"/>
      <c r="K58" s="42">
        <v>0</v>
      </c>
      <c r="L58" s="42">
        <v>0</v>
      </c>
      <c r="M58" s="42">
        <v>0</v>
      </c>
      <c r="N58" s="42">
        <v>0</v>
      </c>
      <c r="O58" s="42">
        <v>3100281274</v>
      </c>
      <c r="P58" s="42">
        <v>491941028</v>
      </c>
      <c r="Q58" s="43">
        <v>2608340246</v>
      </c>
      <c r="S58" s="29"/>
    </row>
    <row r="59" spans="1:19" x14ac:dyDescent="0.2">
      <c r="A59" s="40" t="s">
        <v>55</v>
      </c>
      <c r="B59" s="41">
        <v>120131472</v>
      </c>
      <c r="C59" s="41">
        <v>1723769</v>
      </c>
      <c r="D59" s="41">
        <v>170520542</v>
      </c>
      <c r="E59" s="41"/>
      <c r="F59" s="41"/>
      <c r="G59" s="41"/>
      <c r="H59" s="41"/>
      <c r="I59" s="42">
        <v>3538809</v>
      </c>
      <c r="J59" s="42"/>
      <c r="K59" s="42">
        <v>0</v>
      </c>
      <c r="L59" s="42">
        <v>0</v>
      </c>
      <c r="M59" s="42">
        <v>0</v>
      </c>
      <c r="N59" s="42">
        <v>0</v>
      </c>
      <c r="O59" s="42">
        <v>2455290954</v>
      </c>
      <c r="P59" s="42">
        <v>295914592</v>
      </c>
      <c r="Q59" s="43">
        <v>2159376362</v>
      </c>
      <c r="S59" s="29"/>
    </row>
    <row r="60" spans="1:19" x14ac:dyDescent="0.2">
      <c r="A60" s="40" t="s">
        <v>56</v>
      </c>
      <c r="B60" s="41">
        <v>94268913</v>
      </c>
      <c r="C60" s="41">
        <v>954634596</v>
      </c>
      <c r="D60" s="41">
        <v>39935539</v>
      </c>
      <c r="E60" s="41"/>
      <c r="F60" s="41"/>
      <c r="G60" s="41"/>
      <c r="H60" s="41">
        <v>32940487</v>
      </c>
      <c r="I60" s="42">
        <v>542322282</v>
      </c>
      <c r="J60" s="42"/>
      <c r="K60" s="42">
        <v>0</v>
      </c>
      <c r="L60" s="42">
        <v>0</v>
      </c>
      <c r="M60" s="42">
        <v>0</v>
      </c>
      <c r="N60" s="42">
        <v>0</v>
      </c>
      <c r="O60" s="42">
        <v>6936350857</v>
      </c>
      <c r="P60" s="42">
        <v>1664101817</v>
      </c>
      <c r="Q60" s="43">
        <v>5272249040</v>
      </c>
      <c r="S60" s="29"/>
    </row>
    <row r="61" spans="1:19" x14ac:dyDescent="0.2">
      <c r="A61" s="40" t="s">
        <v>57</v>
      </c>
      <c r="B61" s="41">
        <v>40500542</v>
      </c>
      <c r="C61" s="41">
        <v>61606</v>
      </c>
      <c r="D61" s="41">
        <v>13445148</v>
      </c>
      <c r="E61" s="41"/>
      <c r="F61" s="41"/>
      <c r="G61" s="41"/>
      <c r="H61" s="41"/>
      <c r="I61" s="42">
        <v>20445035</v>
      </c>
      <c r="J61" s="42"/>
      <c r="K61" s="42">
        <v>0</v>
      </c>
      <c r="L61" s="42">
        <v>0</v>
      </c>
      <c r="M61" s="42">
        <v>0</v>
      </c>
      <c r="N61" s="42">
        <v>0</v>
      </c>
      <c r="O61" s="42">
        <v>1260490287</v>
      </c>
      <c r="P61" s="42">
        <v>74452331</v>
      </c>
      <c r="Q61" s="43">
        <v>1186037956</v>
      </c>
      <c r="S61" s="29"/>
    </row>
    <row r="62" spans="1:19" x14ac:dyDescent="0.2">
      <c r="A62" s="40" t="s">
        <v>58</v>
      </c>
      <c r="B62" s="41">
        <v>117372739</v>
      </c>
      <c r="C62" s="41">
        <v>664939710</v>
      </c>
      <c r="D62" s="41">
        <v>128138237</v>
      </c>
      <c r="E62" s="41"/>
      <c r="F62" s="41"/>
      <c r="G62" s="41"/>
      <c r="H62" s="41">
        <v>156673</v>
      </c>
      <c r="I62" s="42">
        <v>0</v>
      </c>
      <c r="J62" s="42"/>
      <c r="K62" s="42">
        <v>0</v>
      </c>
      <c r="L62" s="42">
        <v>0</v>
      </c>
      <c r="M62" s="42">
        <v>0</v>
      </c>
      <c r="N62" s="42">
        <v>0</v>
      </c>
      <c r="O62" s="42">
        <v>4400499544</v>
      </c>
      <c r="P62" s="42">
        <v>910607359</v>
      </c>
      <c r="Q62" s="43">
        <v>3489892185</v>
      </c>
      <c r="S62" s="29"/>
    </row>
    <row r="63" spans="1:19" x14ac:dyDescent="0.2">
      <c r="A63" s="40" t="s">
        <v>59</v>
      </c>
      <c r="B63" s="41">
        <v>162997546</v>
      </c>
      <c r="C63" s="41">
        <v>147868543</v>
      </c>
      <c r="D63" s="41">
        <v>415080981</v>
      </c>
      <c r="E63" s="41"/>
      <c r="F63" s="41"/>
      <c r="G63" s="41"/>
      <c r="H63" s="41"/>
      <c r="I63" s="42">
        <v>8810063</v>
      </c>
      <c r="J63" s="42"/>
      <c r="K63" s="42">
        <v>0</v>
      </c>
      <c r="L63" s="42">
        <v>0</v>
      </c>
      <c r="M63" s="42">
        <v>0</v>
      </c>
      <c r="N63" s="42">
        <v>0</v>
      </c>
      <c r="O63" s="42">
        <v>3804560917</v>
      </c>
      <c r="P63" s="42">
        <v>734757133</v>
      </c>
      <c r="Q63" s="43">
        <v>3069803784</v>
      </c>
      <c r="S63" s="29"/>
    </row>
    <row r="64" spans="1:19" x14ac:dyDescent="0.2">
      <c r="A64" s="40" t="s">
        <v>60</v>
      </c>
      <c r="B64" s="41">
        <v>33530070</v>
      </c>
      <c r="C64" s="41">
        <v>2521960</v>
      </c>
      <c r="D64" s="41">
        <v>37382970</v>
      </c>
      <c r="E64" s="41"/>
      <c r="F64" s="41"/>
      <c r="G64" s="41"/>
      <c r="H64" s="41"/>
      <c r="I64" s="42">
        <v>2602056</v>
      </c>
      <c r="J64" s="42"/>
      <c r="K64" s="42">
        <v>0</v>
      </c>
      <c r="L64" s="42">
        <v>0</v>
      </c>
      <c r="M64" s="42">
        <v>0</v>
      </c>
      <c r="N64" s="42">
        <v>0</v>
      </c>
      <c r="O64" s="42">
        <v>1885071911</v>
      </c>
      <c r="P64" s="42">
        <v>76037056</v>
      </c>
      <c r="Q64" s="43">
        <v>1809034855</v>
      </c>
      <c r="S64" s="29"/>
    </row>
    <row r="65" spans="1:19" x14ac:dyDescent="0.2">
      <c r="A65" s="40" t="s">
        <v>61</v>
      </c>
      <c r="B65" s="41">
        <v>14410388</v>
      </c>
      <c r="C65" s="41">
        <v>1155991</v>
      </c>
      <c r="D65" s="41">
        <v>288304</v>
      </c>
      <c r="E65" s="41"/>
      <c r="F65" s="41"/>
      <c r="G65" s="41"/>
      <c r="H65" s="41"/>
      <c r="I65" s="42">
        <v>0</v>
      </c>
      <c r="J65" s="42"/>
      <c r="K65" s="42">
        <v>0</v>
      </c>
      <c r="L65" s="42">
        <v>0</v>
      </c>
      <c r="M65" s="42">
        <v>0</v>
      </c>
      <c r="N65" s="42">
        <v>0</v>
      </c>
      <c r="O65" s="42">
        <v>1127832296</v>
      </c>
      <c r="P65" s="42">
        <v>15854683</v>
      </c>
      <c r="Q65" s="43">
        <v>1111977613</v>
      </c>
      <c r="S65" s="29"/>
    </row>
    <row r="66" spans="1:19" x14ac:dyDescent="0.2">
      <c r="A66" s="40" t="s">
        <v>62</v>
      </c>
      <c r="B66" s="41">
        <v>6461529</v>
      </c>
      <c r="C66" s="41">
        <v>18490534</v>
      </c>
      <c r="D66" s="41">
        <v>2124288</v>
      </c>
      <c r="E66" s="41"/>
      <c r="F66" s="41"/>
      <c r="G66" s="41"/>
      <c r="H66" s="41">
        <v>29164320</v>
      </c>
      <c r="I66" s="42">
        <v>0</v>
      </c>
      <c r="J66" s="42"/>
      <c r="K66" s="42">
        <v>0</v>
      </c>
      <c r="L66" s="42">
        <v>0</v>
      </c>
      <c r="M66" s="42">
        <v>0</v>
      </c>
      <c r="N66" s="42">
        <v>0</v>
      </c>
      <c r="O66" s="42">
        <v>450824203</v>
      </c>
      <c r="P66" s="42">
        <v>56240671</v>
      </c>
      <c r="Q66" s="43">
        <v>394583532</v>
      </c>
      <c r="S66" s="29"/>
    </row>
    <row r="67" spans="1:19" x14ac:dyDescent="0.2">
      <c r="A67" s="40" t="s">
        <v>63</v>
      </c>
      <c r="B67" s="41">
        <v>4206643</v>
      </c>
      <c r="C67" s="41">
        <v>15054012</v>
      </c>
      <c r="D67" s="41">
        <v>1532140</v>
      </c>
      <c r="E67" s="41"/>
      <c r="F67" s="41"/>
      <c r="G67" s="41"/>
      <c r="H67" s="41"/>
      <c r="I67" s="42">
        <v>0</v>
      </c>
      <c r="J67" s="42"/>
      <c r="K67" s="42">
        <v>0</v>
      </c>
      <c r="L67" s="42">
        <v>0</v>
      </c>
      <c r="M67" s="42">
        <v>0</v>
      </c>
      <c r="N67" s="42">
        <v>0</v>
      </c>
      <c r="O67" s="42">
        <v>107148894</v>
      </c>
      <c r="P67" s="42">
        <v>20792795</v>
      </c>
      <c r="Q67" s="43">
        <v>86356099</v>
      </c>
      <c r="S67" s="29"/>
    </row>
    <row r="68" spans="1:19" x14ac:dyDescent="0.2">
      <c r="A68" s="40" t="s">
        <v>64</v>
      </c>
      <c r="B68" s="41">
        <v>185810786</v>
      </c>
      <c r="C68" s="41">
        <v>206695971</v>
      </c>
      <c r="D68" s="41">
        <v>297541801</v>
      </c>
      <c r="E68" s="41"/>
      <c r="F68" s="41"/>
      <c r="G68" s="41"/>
      <c r="H68" s="41"/>
      <c r="I68" s="42">
        <v>116902005</v>
      </c>
      <c r="J68" s="42"/>
      <c r="K68" s="42">
        <v>0</v>
      </c>
      <c r="L68" s="42">
        <v>0</v>
      </c>
      <c r="M68" s="42">
        <v>0</v>
      </c>
      <c r="N68" s="42">
        <v>0</v>
      </c>
      <c r="O68" s="42">
        <v>5776003349</v>
      </c>
      <c r="P68" s="42">
        <v>806950563</v>
      </c>
      <c r="Q68" s="43">
        <v>4969052786</v>
      </c>
      <c r="S68" s="29"/>
    </row>
    <row r="69" spans="1:19" x14ac:dyDescent="0.2">
      <c r="A69" s="40" t="s">
        <v>65</v>
      </c>
      <c r="B69" s="41">
        <v>13681532</v>
      </c>
      <c r="C69" s="41">
        <v>5455701</v>
      </c>
      <c r="D69" s="41">
        <v>8179122</v>
      </c>
      <c r="E69" s="41"/>
      <c r="F69" s="41"/>
      <c r="G69" s="41"/>
      <c r="H69" s="41"/>
      <c r="I69" s="42">
        <v>0</v>
      </c>
      <c r="J69" s="42"/>
      <c r="K69" s="42">
        <v>0</v>
      </c>
      <c r="L69" s="42">
        <v>0</v>
      </c>
      <c r="M69" s="42">
        <v>0</v>
      </c>
      <c r="N69" s="42">
        <v>0</v>
      </c>
      <c r="O69" s="42">
        <v>245168457</v>
      </c>
      <c r="P69" s="42">
        <v>27316355</v>
      </c>
      <c r="Q69" s="43">
        <v>217852102</v>
      </c>
      <c r="S69" s="29"/>
    </row>
    <row r="70" spans="1:19" x14ac:dyDescent="0.2">
      <c r="A70" s="40" t="s">
        <v>66</v>
      </c>
      <c r="B70" s="41">
        <v>64932566</v>
      </c>
      <c r="C70" s="41">
        <v>1021932</v>
      </c>
      <c r="D70" s="41">
        <v>44144032</v>
      </c>
      <c r="E70" s="41"/>
      <c r="F70" s="41"/>
      <c r="G70" s="41"/>
      <c r="H70" s="41"/>
      <c r="I70" s="42">
        <v>0</v>
      </c>
      <c r="J70" s="42"/>
      <c r="K70" s="42">
        <v>0</v>
      </c>
      <c r="L70" s="42">
        <v>0</v>
      </c>
      <c r="M70" s="42">
        <v>0</v>
      </c>
      <c r="N70" s="42">
        <v>0</v>
      </c>
      <c r="O70" s="42">
        <v>1156066572</v>
      </c>
      <c r="P70" s="42">
        <v>110098530</v>
      </c>
      <c r="Q70" s="43">
        <v>1045968042</v>
      </c>
      <c r="S70" s="29"/>
    </row>
    <row r="71" spans="1:19" x14ac:dyDescent="0.2">
      <c r="A71" s="40" t="s">
        <v>67</v>
      </c>
      <c r="B71" s="41">
        <v>10198113</v>
      </c>
      <c r="C71" s="41"/>
      <c r="D71" s="41">
        <v>21509</v>
      </c>
      <c r="E71" s="41"/>
      <c r="F71" s="41"/>
      <c r="G71" s="41"/>
      <c r="H71" s="41"/>
      <c r="I71" s="42">
        <v>0</v>
      </c>
      <c r="J71" s="42"/>
      <c r="K71" s="42">
        <v>0</v>
      </c>
      <c r="L71" s="42">
        <v>0</v>
      </c>
      <c r="M71" s="42">
        <v>0</v>
      </c>
      <c r="N71" s="42">
        <v>0</v>
      </c>
      <c r="O71" s="42">
        <v>378513165</v>
      </c>
      <c r="P71" s="42">
        <v>10219622</v>
      </c>
      <c r="Q71" s="43">
        <v>368293543</v>
      </c>
      <c r="S71" s="29"/>
    </row>
    <row r="72" spans="1:19" x14ac:dyDescent="0.2">
      <c r="A72" s="40"/>
      <c r="B72" s="41"/>
      <c r="C72" s="41"/>
      <c r="D72" s="41"/>
      <c r="E72" s="41"/>
      <c r="F72" s="41"/>
      <c r="G72" s="41"/>
      <c r="H72" s="41"/>
      <c r="I72" s="42"/>
      <c r="J72" s="42"/>
      <c r="K72" s="42"/>
      <c r="L72" s="42"/>
      <c r="M72" s="42"/>
      <c r="N72" s="42"/>
      <c r="O72" s="42"/>
      <c r="P72" s="42"/>
      <c r="Q72" s="43"/>
      <c r="S72" s="29"/>
    </row>
    <row r="73" spans="1:19" ht="15.75" thickBot="1" x14ac:dyDescent="0.3">
      <c r="A73" s="45" t="s">
        <v>68</v>
      </c>
      <c r="B73" s="46">
        <f>SUM(B5:B71)</f>
        <v>7890817981</v>
      </c>
      <c r="C73" s="46">
        <f t="shared" ref="C73:O73" si="0">SUM(C5:C71)</f>
        <v>31747300903</v>
      </c>
      <c r="D73" s="46">
        <f t="shared" si="0"/>
        <v>11086082848</v>
      </c>
      <c r="E73" s="46">
        <f>SUM(E5:E71)</f>
        <v>1189098</v>
      </c>
      <c r="F73" s="46">
        <f t="shared" si="0"/>
        <v>524473</v>
      </c>
      <c r="G73" s="46">
        <f t="shared" si="0"/>
        <v>0</v>
      </c>
      <c r="H73" s="46">
        <f>SUM(H5:H71)</f>
        <v>877756862</v>
      </c>
      <c r="I73" s="46">
        <f>SUM(I5:I71)</f>
        <v>5181726957</v>
      </c>
      <c r="J73" s="46">
        <v>0</v>
      </c>
      <c r="K73" s="46">
        <v>16765063</v>
      </c>
      <c r="L73" s="46">
        <v>176</v>
      </c>
      <c r="M73" s="46">
        <v>0</v>
      </c>
      <c r="N73" s="46">
        <v>0</v>
      </c>
      <c r="O73" s="46">
        <f t="shared" si="0"/>
        <v>256208621338</v>
      </c>
      <c r="P73" s="47">
        <f>SUM(P5:P71)</f>
        <v>56765800092</v>
      </c>
      <c r="Q73" s="48">
        <f>SUM(Q5:Q71)</f>
        <v>199442821246</v>
      </c>
      <c r="S73" s="29"/>
    </row>
    <row r="75" spans="1:19" x14ac:dyDescent="0.2">
      <c r="A75" s="38" t="s">
        <v>129</v>
      </c>
    </row>
  </sheetData>
  <phoneticPr fontId="18" type="noConversion"/>
  <conditionalFormatting sqref="A4:Q73">
    <cfRule type="expression" dxfId="2" priority="1" stopIfTrue="1">
      <formula>MOD(ROW(),3)=1</formula>
    </cfRule>
  </conditionalFormatting>
  <pageMargins left="0.75" right="0.75" top="1" bottom="1" header="0.5" footer="0.5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1048576"/>
  <sheetViews>
    <sheetView tabSelected="1" zoomScaleNormal="100" workbookViewId="0">
      <pane ySplit="4" topLeftCell="A56" activePane="bottomLeft" state="frozen"/>
      <selection sqref="A1:XFD1048576"/>
      <selection pane="bottomLeft" activeCell="C76" sqref="C76"/>
    </sheetView>
  </sheetViews>
  <sheetFormatPr defaultRowHeight="14.25" x14ac:dyDescent="0.2"/>
  <cols>
    <col min="1" max="1" width="17.7109375" style="2" customWidth="1"/>
    <col min="2" max="2" width="9.28515625" style="7" bestFit="1" customWidth="1"/>
    <col min="3" max="3" width="19.7109375" style="2" bestFit="1" customWidth="1"/>
    <col min="4" max="4" width="16.42578125" style="8" bestFit="1" customWidth="1"/>
    <col min="5" max="5" width="21.42578125" style="2" bestFit="1" customWidth="1"/>
    <col min="6" max="6" width="16.42578125" style="10" customWidth="1"/>
    <col min="7" max="7" width="21.140625" style="2" bestFit="1" customWidth="1"/>
    <col min="8" max="8" width="19.7109375" style="2" customWidth="1"/>
    <col min="9" max="9" width="16.42578125" style="10" customWidth="1"/>
    <col min="10" max="10" width="19.140625" style="2" bestFit="1" customWidth="1"/>
    <col min="11" max="11" width="16.42578125" style="10" customWidth="1"/>
    <col min="12" max="12" width="20.5703125" style="2" bestFit="1" customWidth="1"/>
    <col min="13" max="13" width="20.5703125" style="2" customWidth="1"/>
    <col min="14" max="14" width="16.42578125" style="10" customWidth="1"/>
    <col min="15" max="15" width="20.7109375" style="2" bestFit="1" customWidth="1"/>
    <col min="16" max="16" width="16.42578125" style="10" customWidth="1"/>
    <col min="17" max="17" width="20.28515625" style="2" bestFit="1" customWidth="1"/>
    <col min="18" max="18" width="14" style="2" bestFit="1" customWidth="1"/>
    <col min="19" max="16384" width="9.140625" style="2"/>
  </cols>
  <sheetData>
    <row r="1" spans="1:18" ht="23.25" x14ac:dyDescent="0.35">
      <c r="A1" s="6" t="s">
        <v>125</v>
      </c>
      <c r="E1" s="9"/>
    </row>
    <row r="2" spans="1:18" ht="15.75" thickBot="1" x14ac:dyDescent="0.3">
      <c r="A2" s="11">
        <v>2026</v>
      </c>
    </row>
    <row r="3" spans="1:18" ht="15.75" thickBot="1" x14ac:dyDescent="0.3">
      <c r="C3" s="12"/>
      <c r="D3" s="13"/>
      <c r="E3" s="14" t="s">
        <v>77</v>
      </c>
      <c r="F3" s="15"/>
      <c r="G3" s="16"/>
      <c r="H3" s="17"/>
      <c r="I3" s="18"/>
      <c r="J3" s="19" t="s">
        <v>78</v>
      </c>
      <c r="K3" s="20"/>
      <c r="L3" s="21"/>
      <c r="M3" s="22"/>
      <c r="N3" s="15"/>
      <c r="O3" s="14" t="s">
        <v>79</v>
      </c>
      <c r="P3" s="15"/>
      <c r="Q3" s="16"/>
    </row>
    <row r="4" spans="1:18" s="54" customFormat="1" ht="25.5" x14ac:dyDescent="0.25">
      <c r="A4" s="50" t="s">
        <v>1</v>
      </c>
      <c r="B4" s="59" t="s">
        <v>69</v>
      </c>
      <c r="C4" s="50" t="s">
        <v>126</v>
      </c>
      <c r="D4" s="51" t="s">
        <v>127</v>
      </c>
      <c r="E4" s="52" t="s">
        <v>113</v>
      </c>
      <c r="F4" s="51" t="s">
        <v>119</v>
      </c>
      <c r="G4" s="53" t="s">
        <v>118</v>
      </c>
      <c r="H4" s="50" t="s">
        <v>126</v>
      </c>
      <c r="I4" s="51" t="s">
        <v>127</v>
      </c>
      <c r="J4" s="52" t="s">
        <v>113</v>
      </c>
      <c r="K4" s="51" t="s">
        <v>119</v>
      </c>
      <c r="L4" s="53" t="s">
        <v>118</v>
      </c>
      <c r="M4" s="50" t="s">
        <v>126</v>
      </c>
      <c r="N4" s="51" t="s">
        <v>127</v>
      </c>
      <c r="O4" s="52" t="s">
        <v>113</v>
      </c>
      <c r="P4" s="51" t="s">
        <v>119</v>
      </c>
      <c r="Q4" s="53" t="s">
        <v>118</v>
      </c>
    </row>
    <row r="5" spans="1:18" x14ac:dyDescent="0.2">
      <c r="A5" s="23" t="s">
        <v>2</v>
      </c>
      <c r="B5" s="60" t="s">
        <v>128</v>
      </c>
      <c r="C5" s="24">
        <v>1371980145</v>
      </c>
      <c r="D5" s="25">
        <f>((C5-E5)/E5)</f>
        <v>2.9395428410111286E-3</v>
      </c>
      <c r="E5" s="26">
        <v>1367958971</v>
      </c>
      <c r="F5" s="25">
        <f>((E5-G5)/G5)</f>
        <v>1.055172339721455E-2</v>
      </c>
      <c r="G5" s="27">
        <v>1353675363</v>
      </c>
      <c r="H5" s="24">
        <v>1340833784</v>
      </c>
      <c r="I5" s="25">
        <f t="shared" ref="I5:I36" si="0">((H5-J5)/J5)</f>
        <v>3.847333773293226E-2</v>
      </c>
      <c r="J5" s="26">
        <v>1291158603</v>
      </c>
      <c r="K5" s="25">
        <f t="shared" ref="K5:K36" si="1">((J5-L5)/L5)</f>
        <v>4.9310624579582171E-2</v>
      </c>
      <c r="L5" s="27">
        <v>1230482731</v>
      </c>
      <c r="M5" s="24">
        <f t="shared" ref="M5:M36" si="2">C5+H5</f>
        <v>2712813929</v>
      </c>
      <c r="N5" s="25">
        <f t="shared" ref="N5:N36" si="3">((M5-O5)/O5)</f>
        <v>2.0193298530695205E-2</v>
      </c>
      <c r="O5" s="26">
        <f t="shared" ref="O5:O36" si="4">E5+J5</f>
        <v>2659117574</v>
      </c>
      <c r="P5" s="25">
        <f t="shared" ref="P5:P36" si="5">((O5-Q5)/Q5)</f>
        <v>2.9007311965178861E-2</v>
      </c>
      <c r="Q5" s="28">
        <f t="shared" ref="Q5:Q36" si="6">G5+L5</f>
        <v>2584158094</v>
      </c>
      <c r="R5" s="29"/>
    </row>
    <row r="6" spans="1:18" x14ac:dyDescent="0.2">
      <c r="A6" s="23" t="s">
        <v>3</v>
      </c>
      <c r="B6" s="60" t="s">
        <v>128</v>
      </c>
      <c r="C6" s="24">
        <v>164404700</v>
      </c>
      <c r="D6" s="25">
        <f t="shared" ref="D6:F69" si="7">((C6-E6)/E6)</f>
        <v>7.0854713483116459E-4</v>
      </c>
      <c r="E6" s="26">
        <v>164288294</v>
      </c>
      <c r="F6" s="25">
        <f t="shared" si="7"/>
        <v>8.2542754208725904E-3</v>
      </c>
      <c r="G6" s="27">
        <v>162943315</v>
      </c>
      <c r="H6" s="24">
        <v>149234317</v>
      </c>
      <c r="I6" s="25">
        <f t="shared" si="0"/>
        <v>4.4441239366164634E-2</v>
      </c>
      <c r="J6" s="26">
        <v>142884359</v>
      </c>
      <c r="K6" s="25">
        <f t="shared" si="1"/>
        <v>5.6797470011734914E-2</v>
      </c>
      <c r="L6" s="27">
        <v>135205054</v>
      </c>
      <c r="M6" s="24">
        <f t="shared" si="2"/>
        <v>313639017</v>
      </c>
      <c r="N6" s="25">
        <f t="shared" si="3"/>
        <v>2.1051235964029649E-2</v>
      </c>
      <c r="O6" s="26">
        <f t="shared" si="4"/>
        <v>307172653</v>
      </c>
      <c r="P6" s="25">
        <f t="shared" si="5"/>
        <v>3.0267762424016482E-2</v>
      </c>
      <c r="Q6" s="28">
        <f t="shared" si="6"/>
        <v>298148369</v>
      </c>
    </row>
    <row r="7" spans="1:18" x14ac:dyDescent="0.2">
      <c r="A7" s="23" t="s">
        <v>4</v>
      </c>
      <c r="B7" s="60" t="s">
        <v>128</v>
      </c>
      <c r="C7" s="24">
        <v>1156686989</v>
      </c>
      <c r="D7" s="25">
        <f t="shared" si="7"/>
        <v>2.5865001192569282E-2</v>
      </c>
      <c r="E7" s="26">
        <v>1127523590</v>
      </c>
      <c r="F7" s="25">
        <f t="shared" si="7"/>
        <v>2.7145882880185681E-2</v>
      </c>
      <c r="G7" s="27">
        <v>1097724879</v>
      </c>
      <c r="H7" s="24">
        <v>1022338746</v>
      </c>
      <c r="I7" s="25">
        <f t="shared" si="0"/>
        <v>5.4046957603146942E-2</v>
      </c>
      <c r="J7" s="26">
        <v>969917648</v>
      </c>
      <c r="K7" s="25">
        <f t="shared" si="1"/>
        <v>5.6447040500683568E-2</v>
      </c>
      <c r="L7" s="27">
        <v>918093961</v>
      </c>
      <c r="M7" s="24">
        <f t="shared" si="2"/>
        <v>2179025735</v>
      </c>
      <c r="N7" s="25">
        <f t="shared" si="3"/>
        <v>3.8897155029618047E-2</v>
      </c>
      <c r="O7" s="26">
        <f t="shared" si="4"/>
        <v>2097441238</v>
      </c>
      <c r="P7" s="25">
        <f t="shared" si="5"/>
        <v>4.0490939156020589E-2</v>
      </c>
      <c r="Q7" s="28">
        <f t="shared" si="6"/>
        <v>2015818840</v>
      </c>
    </row>
    <row r="8" spans="1:18" x14ac:dyDescent="0.2">
      <c r="A8" s="23" t="s">
        <v>5</v>
      </c>
      <c r="B8" s="60" t="s">
        <v>128</v>
      </c>
      <c r="C8" s="24">
        <v>177281584</v>
      </c>
      <c r="D8" s="25">
        <f t="shared" si="7"/>
        <v>1.8885940824394237E-2</v>
      </c>
      <c r="E8" s="26">
        <v>173995515</v>
      </c>
      <c r="F8" s="25">
        <f t="shared" si="7"/>
        <v>1.0662420675331116E-2</v>
      </c>
      <c r="G8" s="27">
        <v>172159874</v>
      </c>
      <c r="H8" s="24">
        <v>142690241</v>
      </c>
      <c r="I8" s="25">
        <f t="shared" si="0"/>
        <v>7.3389039590295718E-2</v>
      </c>
      <c r="J8" s="26">
        <v>132934319</v>
      </c>
      <c r="K8" s="25">
        <f t="shared" si="1"/>
        <v>6.0756647373885912E-2</v>
      </c>
      <c r="L8" s="27">
        <v>125320279</v>
      </c>
      <c r="M8" s="24">
        <f t="shared" si="2"/>
        <v>319971825</v>
      </c>
      <c r="N8" s="25">
        <f t="shared" si="3"/>
        <v>4.2491767027117995E-2</v>
      </c>
      <c r="O8" s="26">
        <f t="shared" si="4"/>
        <v>306929834</v>
      </c>
      <c r="P8" s="25">
        <f t="shared" si="5"/>
        <v>3.1765752789565088E-2</v>
      </c>
      <c r="Q8" s="28">
        <f t="shared" si="6"/>
        <v>297480153</v>
      </c>
    </row>
    <row r="9" spans="1:18" x14ac:dyDescent="0.2">
      <c r="A9" s="23" t="s">
        <v>6</v>
      </c>
      <c r="B9" s="60" t="s">
        <v>128</v>
      </c>
      <c r="C9" s="24">
        <v>4341965584</v>
      </c>
      <c r="D9" s="25">
        <f t="shared" si="7"/>
        <v>4.8642780309589495E-3</v>
      </c>
      <c r="E9" s="26">
        <v>4320947295</v>
      </c>
      <c r="F9" s="25">
        <f t="shared" si="7"/>
        <v>1.0453864370443482E-2</v>
      </c>
      <c r="G9" s="27">
        <v>4276244020</v>
      </c>
      <c r="H9" s="24">
        <v>4250151046</v>
      </c>
      <c r="I9" s="25">
        <f t="shared" si="0"/>
        <v>4.1020713093514127E-2</v>
      </c>
      <c r="J9" s="26">
        <v>4082676735</v>
      </c>
      <c r="K9" s="25">
        <f t="shared" si="1"/>
        <v>5.1009835527955391E-2</v>
      </c>
      <c r="L9" s="27">
        <v>3884527620</v>
      </c>
      <c r="M9" s="24">
        <f t="shared" si="2"/>
        <v>8592116630</v>
      </c>
      <c r="N9" s="25">
        <f t="shared" si="3"/>
        <v>2.2429918250400357E-2</v>
      </c>
      <c r="O9" s="26">
        <f t="shared" si="4"/>
        <v>8403624030</v>
      </c>
      <c r="P9" s="25">
        <f t="shared" si="5"/>
        <v>2.975850822851845E-2</v>
      </c>
      <c r="Q9" s="28">
        <f t="shared" si="6"/>
        <v>8160771640</v>
      </c>
    </row>
    <row r="10" spans="1:18" x14ac:dyDescent="0.2">
      <c r="A10" s="23" t="s">
        <v>7</v>
      </c>
      <c r="B10" s="60" t="s">
        <v>128</v>
      </c>
      <c r="C10" s="24">
        <v>10403626210</v>
      </c>
      <c r="D10" s="25">
        <f t="shared" si="7"/>
        <v>-6.0048312556955719E-3</v>
      </c>
      <c r="E10" s="26">
        <v>10466475630</v>
      </c>
      <c r="F10" s="25">
        <f t="shared" si="7"/>
        <v>-2.9704633543929312E-3</v>
      </c>
      <c r="G10" s="27">
        <v>10497658540</v>
      </c>
      <c r="H10" s="24">
        <v>10258792073</v>
      </c>
      <c r="I10" s="25">
        <f t="shared" si="0"/>
        <v>2.6702451001053038E-2</v>
      </c>
      <c r="J10" s="26">
        <v>9991981672</v>
      </c>
      <c r="K10" s="25">
        <f t="shared" si="1"/>
        <v>3.4144094752016067E-2</v>
      </c>
      <c r="L10" s="27">
        <v>9662078740</v>
      </c>
      <c r="M10" s="24">
        <f t="shared" si="2"/>
        <v>20662418283</v>
      </c>
      <c r="N10" s="25">
        <f t="shared" si="3"/>
        <v>9.9695191083670302E-3</v>
      </c>
      <c r="O10" s="26">
        <f t="shared" si="4"/>
        <v>20458457302</v>
      </c>
      <c r="P10" s="25">
        <f t="shared" si="5"/>
        <v>1.4817654508640501E-2</v>
      </c>
      <c r="Q10" s="28">
        <f t="shared" si="6"/>
        <v>20159737280</v>
      </c>
    </row>
    <row r="11" spans="1:18" x14ac:dyDescent="0.2">
      <c r="A11" s="23" t="s">
        <v>8</v>
      </c>
      <c r="B11" s="60" t="s">
        <v>128</v>
      </c>
      <c r="C11" s="24">
        <v>81407507</v>
      </c>
      <c r="D11" s="25">
        <f t="shared" si="7"/>
        <v>-6.1049926141120659E-3</v>
      </c>
      <c r="E11" s="26">
        <v>81907552</v>
      </c>
      <c r="F11" s="25">
        <f t="shared" si="7"/>
        <v>5.4905154834147237E-3</v>
      </c>
      <c r="G11" s="27">
        <v>81460293</v>
      </c>
      <c r="H11" s="24">
        <v>48863096</v>
      </c>
      <c r="I11" s="25">
        <f t="shared" si="0"/>
        <v>5.4955533937222203E-2</v>
      </c>
      <c r="J11" s="26">
        <v>46317683</v>
      </c>
      <c r="K11" s="25">
        <f t="shared" si="1"/>
        <v>6.0430578788930905E-2</v>
      </c>
      <c r="L11" s="27">
        <v>43678185</v>
      </c>
      <c r="M11" s="24">
        <f t="shared" si="2"/>
        <v>130270603</v>
      </c>
      <c r="N11" s="25">
        <f t="shared" si="3"/>
        <v>1.5951368698992829E-2</v>
      </c>
      <c r="O11" s="26">
        <f t="shared" si="4"/>
        <v>128225235</v>
      </c>
      <c r="P11" s="25">
        <f t="shared" si="5"/>
        <v>2.4666729604942133E-2</v>
      </c>
      <c r="Q11" s="28">
        <f t="shared" si="6"/>
        <v>125138478</v>
      </c>
    </row>
    <row r="12" spans="1:18" x14ac:dyDescent="0.2">
      <c r="A12" s="23" t="s">
        <v>9</v>
      </c>
      <c r="B12" s="60" t="s">
        <v>128</v>
      </c>
      <c r="C12" s="24">
        <v>1697343906</v>
      </c>
      <c r="D12" s="25">
        <f t="shared" si="7"/>
        <v>2.1156986179292809E-2</v>
      </c>
      <c r="E12" s="26">
        <v>1662177245</v>
      </c>
      <c r="F12" s="25">
        <f t="shared" si="7"/>
        <v>2.8483191807470148E-2</v>
      </c>
      <c r="G12" s="27">
        <v>1616144297</v>
      </c>
      <c r="H12" s="24">
        <v>1683835567</v>
      </c>
      <c r="I12" s="25">
        <f t="shared" si="0"/>
        <v>5.9346893255044247E-2</v>
      </c>
      <c r="J12" s="26">
        <v>1589503474</v>
      </c>
      <c r="K12" s="25">
        <f t="shared" si="1"/>
        <v>6.9227027604095479E-2</v>
      </c>
      <c r="L12" s="27">
        <v>1486591185</v>
      </c>
      <c r="M12" s="24">
        <f t="shared" si="2"/>
        <v>3381179473</v>
      </c>
      <c r="N12" s="25">
        <f t="shared" si="3"/>
        <v>3.9825175098933199E-2</v>
      </c>
      <c r="O12" s="26">
        <f t="shared" si="4"/>
        <v>3251680719</v>
      </c>
      <c r="P12" s="25">
        <f t="shared" si="5"/>
        <v>4.8004490832067648E-2</v>
      </c>
      <c r="Q12" s="28">
        <f t="shared" si="6"/>
        <v>3102735482</v>
      </c>
    </row>
    <row r="13" spans="1:18" x14ac:dyDescent="0.2">
      <c r="A13" s="23" t="s">
        <v>10</v>
      </c>
      <c r="B13" s="60" t="s">
        <v>128</v>
      </c>
      <c r="C13" s="24">
        <v>1344990824</v>
      </c>
      <c r="D13" s="25">
        <f t="shared" si="7"/>
        <v>1.4186411896717306E-2</v>
      </c>
      <c r="E13" s="26">
        <v>1326177129</v>
      </c>
      <c r="F13" s="25">
        <f t="shared" si="7"/>
        <v>1.8287989096553596E-2</v>
      </c>
      <c r="G13" s="27">
        <v>1302359591</v>
      </c>
      <c r="H13" s="24">
        <v>1224626535</v>
      </c>
      <c r="I13" s="25">
        <f t="shared" si="0"/>
        <v>6.1297181154455288E-2</v>
      </c>
      <c r="J13" s="26">
        <v>1153895965</v>
      </c>
      <c r="K13" s="25">
        <f t="shared" si="1"/>
        <v>6.8375502794579268E-2</v>
      </c>
      <c r="L13" s="27">
        <v>1080047195</v>
      </c>
      <c r="M13" s="24">
        <f t="shared" si="2"/>
        <v>2569617359</v>
      </c>
      <c r="N13" s="25">
        <f t="shared" si="3"/>
        <v>3.6105494316531622E-2</v>
      </c>
      <c r="O13" s="26">
        <f t="shared" si="4"/>
        <v>2480073094</v>
      </c>
      <c r="P13" s="25">
        <f t="shared" si="5"/>
        <v>4.099480767681124E-2</v>
      </c>
      <c r="Q13" s="28">
        <f t="shared" si="6"/>
        <v>2382406786</v>
      </c>
    </row>
    <row r="14" spans="1:18" x14ac:dyDescent="0.2">
      <c r="A14" s="23" t="s">
        <v>11</v>
      </c>
      <c r="B14" s="60" t="s">
        <v>128</v>
      </c>
      <c r="C14" s="24">
        <v>1357671784</v>
      </c>
      <c r="D14" s="25">
        <f t="shared" si="7"/>
        <v>1.4442325319723192E-3</v>
      </c>
      <c r="E14" s="26">
        <v>1355713818</v>
      </c>
      <c r="F14" s="25">
        <f t="shared" si="7"/>
        <v>4.8085621618340303E-3</v>
      </c>
      <c r="G14" s="27">
        <v>1349225981</v>
      </c>
      <c r="H14" s="24">
        <v>1359796871</v>
      </c>
      <c r="I14" s="25">
        <f t="shared" si="0"/>
        <v>3.4242832966275158E-2</v>
      </c>
      <c r="J14" s="26">
        <v>1314775242</v>
      </c>
      <c r="K14" s="25">
        <f t="shared" si="1"/>
        <v>4.0872991771892103E-2</v>
      </c>
      <c r="L14" s="27">
        <v>1263146659</v>
      </c>
      <c r="M14" s="24">
        <f t="shared" si="2"/>
        <v>2717468655</v>
      </c>
      <c r="N14" s="25">
        <f t="shared" si="3"/>
        <v>1.7592131607534089E-2</v>
      </c>
      <c r="O14" s="26">
        <f t="shared" si="4"/>
        <v>2670489060</v>
      </c>
      <c r="P14" s="25">
        <f t="shared" si="5"/>
        <v>2.2246604144499079E-2</v>
      </c>
      <c r="Q14" s="28">
        <f t="shared" si="6"/>
        <v>2612372640</v>
      </c>
    </row>
    <row r="15" spans="1:18" x14ac:dyDescent="0.2">
      <c r="A15" s="23" t="s">
        <v>12</v>
      </c>
      <c r="B15" s="60" t="s">
        <v>128</v>
      </c>
      <c r="C15" s="24">
        <v>2756985152</v>
      </c>
      <c r="D15" s="25">
        <f t="shared" si="7"/>
        <v>9.9084372042301042E-3</v>
      </c>
      <c r="E15" s="26">
        <v>2729935755</v>
      </c>
      <c r="F15" s="25">
        <f t="shared" si="7"/>
        <v>1.483028815633265E-2</v>
      </c>
      <c r="G15" s="27">
        <v>2690041662</v>
      </c>
      <c r="H15" s="24">
        <v>2798452472</v>
      </c>
      <c r="I15" s="25">
        <f t="shared" si="0"/>
        <v>3.9440456011301521E-2</v>
      </c>
      <c r="J15" s="26">
        <v>2692268187</v>
      </c>
      <c r="K15" s="25">
        <f t="shared" si="1"/>
        <v>4.3489743657527689E-2</v>
      </c>
      <c r="L15" s="27">
        <v>2580061954</v>
      </c>
      <c r="M15" s="24">
        <f t="shared" si="2"/>
        <v>5555437624</v>
      </c>
      <c r="N15" s="25">
        <f t="shared" si="3"/>
        <v>2.4571868455183239E-2</v>
      </c>
      <c r="O15" s="26">
        <f t="shared" si="4"/>
        <v>5422203942</v>
      </c>
      <c r="P15" s="25">
        <f t="shared" si="5"/>
        <v>2.8860974486009043E-2</v>
      </c>
      <c r="Q15" s="28">
        <f t="shared" si="6"/>
        <v>5270103616</v>
      </c>
    </row>
    <row r="16" spans="1:18" x14ac:dyDescent="0.2">
      <c r="A16" s="23" t="s">
        <v>13</v>
      </c>
      <c r="B16" s="60" t="s">
        <v>128</v>
      </c>
      <c r="C16" s="24">
        <v>422132867</v>
      </c>
      <c r="D16" s="25">
        <f t="shared" si="7"/>
        <v>7.4728017245751363E-3</v>
      </c>
      <c r="E16" s="26">
        <v>419001750</v>
      </c>
      <c r="F16" s="25">
        <f t="shared" si="7"/>
        <v>8.2508115976060569E-3</v>
      </c>
      <c r="G16" s="27">
        <v>415572936</v>
      </c>
      <c r="H16" s="24">
        <v>343154047</v>
      </c>
      <c r="I16" s="25">
        <f t="shared" si="0"/>
        <v>5.161910887831412E-2</v>
      </c>
      <c r="J16" s="26">
        <v>326310205</v>
      </c>
      <c r="K16" s="25">
        <f t="shared" si="1"/>
        <v>5.4872297914189266E-2</v>
      </c>
      <c r="L16" s="27">
        <v>309336216</v>
      </c>
      <c r="M16" s="24">
        <f t="shared" si="2"/>
        <v>765286914</v>
      </c>
      <c r="N16" s="25">
        <f t="shared" si="3"/>
        <v>2.6800803161677447E-2</v>
      </c>
      <c r="O16" s="26">
        <f t="shared" si="4"/>
        <v>745311955</v>
      </c>
      <c r="P16" s="25">
        <f t="shared" si="5"/>
        <v>2.814532406400078E-2</v>
      </c>
      <c r="Q16" s="28">
        <f t="shared" si="6"/>
        <v>724909152</v>
      </c>
    </row>
    <row r="17" spans="1:17" x14ac:dyDescent="0.2">
      <c r="A17" s="23" t="s">
        <v>106</v>
      </c>
      <c r="B17" s="60" t="s">
        <v>128</v>
      </c>
      <c r="C17" s="24">
        <v>11398993123</v>
      </c>
      <c r="D17" s="25">
        <f t="shared" si="7"/>
        <v>2.7966511144802884E-3</v>
      </c>
      <c r="E17" s="26">
        <v>11367203022</v>
      </c>
      <c r="F17" s="25">
        <f t="shared" si="7"/>
        <v>5.9751943318008226E-3</v>
      </c>
      <c r="G17" s="27">
        <v>11299685207</v>
      </c>
      <c r="H17" s="24">
        <v>11467304966</v>
      </c>
      <c r="I17" s="25">
        <f t="shared" si="0"/>
        <v>3.2921890924505842E-2</v>
      </c>
      <c r="J17" s="26">
        <v>11101812312</v>
      </c>
      <c r="K17" s="25">
        <f t="shared" si="1"/>
        <v>4.0090553204719784E-2</v>
      </c>
      <c r="L17" s="27">
        <v>10673890151</v>
      </c>
      <c r="M17" s="24">
        <f t="shared" si="2"/>
        <v>22866298089</v>
      </c>
      <c r="N17" s="25">
        <f t="shared" si="3"/>
        <v>1.7681360268548739E-2</v>
      </c>
      <c r="O17" s="26">
        <f t="shared" si="4"/>
        <v>22469015334</v>
      </c>
      <c r="P17" s="25">
        <f t="shared" si="5"/>
        <v>2.2547080660663781E-2</v>
      </c>
      <c r="Q17" s="28">
        <f t="shared" si="6"/>
        <v>21973575358</v>
      </c>
    </row>
    <row r="18" spans="1:17" x14ac:dyDescent="0.2">
      <c r="A18" s="23" t="s">
        <v>14</v>
      </c>
      <c r="B18" s="60" t="s">
        <v>128</v>
      </c>
      <c r="C18" s="24">
        <v>159836265</v>
      </c>
      <c r="D18" s="25">
        <f t="shared" si="7"/>
        <v>3.3798633578630624E-3</v>
      </c>
      <c r="E18" s="26">
        <v>159297860</v>
      </c>
      <c r="F18" s="25">
        <f t="shared" si="7"/>
        <v>1.3440520348196375E-2</v>
      </c>
      <c r="G18" s="27">
        <v>157185209</v>
      </c>
      <c r="H18" s="24">
        <v>135518317</v>
      </c>
      <c r="I18" s="25">
        <f t="shared" si="0"/>
        <v>5.6463894254883143E-2</v>
      </c>
      <c r="J18" s="26">
        <v>128275389</v>
      </c>
      <c r="K18" s="25">
        <f t="shared" si="1"/>
        <v>7.3432259345334414E-2</v>
      </c>
      <c r="L18" s="27">
        <v>119500218</v>
      </c>
      <c r="M18" s="24">
        <f t="shared" si="2"/>
        <v>295354582</v>
      </c>
      <c r="N18" s="25">
        <f t="shared" si="3"/>
        <v>2.7058612117290506E-2</v>
      </c>
      <c r="O18" s="26">
        <f t="shared" si="4"/>
        <v>287573249</v>
      </c>
      <c r="P18" s="25">
        <f t="shared" si="5"/>
        <v>3.9350905170730227E-2</v>
      </c>
      <c r="Q18" s="28">
        <f t="shared" si="6"/>
        <v>276685427</v>
      </c>
    </row>
    <row r="19" spans="1:17" x14ac:dyDescent="0.2">
      <c r="A19" s="23" t="s">
        <v>15</v>
      </c>
      <c r="B19" s="60" t="s">
        <v>128</v>
      </c>
      <c r="C19" s="24">
        <v>118722078</v>
      </c>
      <c r="D19" s="25">
        <f t="shared" si="7"/>
        <v>1.2460326952102254E-2</v>
      </c>
      <c r="E19" s="26">
        <v>117260968</v>
      </c>
      <c r="F19" s="25">
        <f t="shared" si="7"/>
        <v>1.8451600693316104E-2</v>
      </c>
      <c r="G19" s="27">
        <v>115136515</v>
      </c>
      <c r="H19" s="24">
        <v>59924526</v>
      </c>
      <c r="I19" s="25">
        <f t="shared" si="0"/>
        <v>0.10125310822763778</v>
      </c>
      <c r="J19" s="26">
        <v>54414853</v>
      </c>
      <c r="K19" s="25">
        <f t="shared" si="1"/>
        <v>0.12042458513241255</v>
      </c>
      <c r="L19" s="27">
        <v>48566279</v>
      </c>
      <c r="M19" s="24">
        <f t="shared" si="2"/>
        <v>178646604</v>
      </c>
      <c r="N19" s="25">
        <f t="shared" si="3"/>
        <v>4.0604337637039759E-2</v>
      </c>
      <c r="O19" s="26">
        <f t="shared" si="4"/>
        <v>171675821</v>
      </c>
      <c r="P19" s="25">
        <f t="shared" si="5"/>
        <v>4.8704281736327605E-2</v>
      </c>
      <c r="Q19" s="28">
        <f t="shared" si="6"/>
        <v>163702794</v>
      </c>
    </row>
    <row r="20" spans="1:17" x14ac:dyDescent="0.2">
      <c r="A20" s="23" t="s">
        <v>16</v>
      </c>
      <c r="B20" s="60" t="s">
        <v>128</v>
      </c>
      <c r="C20" s="24">
        <v>5346729804</v>
      </c>
      <c r="D20" s="25">
        <f t="shared" si="7"/>
        <v>7.7707934526220108E-3</v>
      </c>
      <c r="E20" s="26">
        <v>5305501845</v>
      </c>
      <c r="F20" s="25">
        <f t="shared" si="7"/>
        <v>1.2131047306564618E-2</v>
      </c>
      <c r="G20" s="27">
        <v>5241911963</v>
      </c>
      <c r="H20" s="24">
        <v>5235381540</v>
      </c>
      <c r="I20" s="25">
        <f t="shared" si="0"/>
        <v>4.3414515501352155E-2</v>
      </c>
      <c r="J20" s="26">
        <v>5017547161</v>
      </c>
      <c r="K20" s="25">
        <f t="shared" si="1"/>
        <v>5.2367407146719017E-2</v>
      </c>
      <c r="L20" s="27">
        <v>4767866362</v>
      </c>
      <c r="M20" s="24">
        <f t="shared" si="2"/>
        <v>10582111344</v>
      </c>
      <c r="N20" s="25">
        <f t="shared" si="3"/>
        <v>2.5095525348124072E-2</v>
      </c>
      <c r="O20" s="26">
        <f t="shared" si="4"/>
        <v>10323049006</v>
      </c>
      <c r="P20" s="25">
        <f t="shared" si="5"/>
        <v>3.1296465398997733E-2</v>
      </c>
      <c r="Q20" s="28">
        <f t="shared" si="6"/>
        <v>10009778325</v>
      </c>
    </row>
    <row r="21" spans="1:17" x14ac:dyDescent="0.2">
      <c r="A21" s="23" t="s">
        <v>17</v>
      </c>
      <c r="B21" s="60" t="s">
        <v>128</v>
      </c>
      <c r="C21" s="24">
        <v>1907187043</v>
      </c>
      <c r="D21" s="25">
        <f t="shared" si="7"/>
        <v>1.1381555078803356E-2</v>
      </c>
      <c r="E21" s="26">
        <v>1885724565</v>
      </c>
      <c r="F21" s="25">
        <f t="shared" si="7"/>
        <v>1.1067115397753692E-2</v>
      </c>
      <c r="G21" s="27">
        <v>1865083471</v>
      </c>
      <c r="H21" s="24">
        <v>1807292359</v>
      </c>
      <c r="I21" s="25">
        <f t="shared" si="0"/>
        <v>5.1128693712118548E-2</v>
      </c>
      <c r="J21" s="26">
        <v>1719382574</v>
      </c>
      <c r="K21" s="25">
        <f t="shared" si="1"/>
        <v>5.5539397581918164E-2</v>
      </c>
      <c r="L21" s="27">
        <v>1628913689</v>
      </c>
      <c r="M21" s="24">
        <f t="shared" si="2"/>
        <v>3714479402</v>
      </c>
      <c r="N21" s="25">
        <f t="shared" si="3"/>
        <v>3.0338144965738285E-2</v>
      </c>
      <c r="O21" s="26">
        <f t="shared" si="4"/>
        <v>3605107139</v>
      </c>
      <c r="P21" s="25">
        <f t="shared" si="5"/>
        <v>3.1800248801576017E-2</v>
      </c>
      <c r="Q21" s="28">
        <f t="shared" si="6"/>
        <v>3493997160</v>
      </c>
    </row>
    <row r="22" spans="1:17" x14ac:dyDescent="0.2">
      <c r="A22" s="23" t="s">
        <v>18</v>
      </c>
      <c r="B22" s="60" t="s">
        <v>128</v>
      </c>
      <c r="C22" s="24">
        <v>1105803178</v>
      </c>
      <c r="D22" s="25">
        <f t="shared" si="7"/>
        <v>3.3531936015132074E-2</v>
      </c>
      <c r="E22" s="26">
        <v>1069926472</v>
      </c>
      <c r="F22" s="25">
        <f t="shared" si="7"/>
        <v>3.8887526520288221E-2</v>
      </c>
      <c r="G22" s="27">
        <v>1029877099</v>
      </c>
      <c r="H22" s="24">
        <v>1151246159</v>
      </c>
      <c r="I22" s="25">
        <f t="shared" si="0"/>
        <v>6.3254497952806424E-2</v>
      </c>
      <c r="J22" s="26">
        <v>1082756914</v>
      </c>
      <c r="K22" s="25">
        <f t="shared" si="1"/>
        <v>7.1321287751725998E-2</v>
      </c>
      <c r="L22" s="27">
        <v>1010674320</v>
      </c>
      <c r="M22" s="24">
        <f t="shared" si="2"/>
        <v>2257049337</v>
      </c>
      <c r="N22" s="25">
        <f t="shared" si="3"/>
        <v>4.8481793318397449E-2</v>
      </c>
      <c r="O22" s="26">
        <f t="shared" si="4"/>
        <v>2152683386</v>
      </c>
      <c r="P22" s="25">
        <f t="shared" si="5"/>
        <v>5.4951796830952582E-2</v>
      </c>
      <c r="Q22" s="28">
        <f t="shared" si="6"/>
        <v>2040551419</v>
      </c>
    </row>
    <row r="23" spans="1:17" x14ac:dyDescent="0.2">
      <c r="A23" s="23" t="s">
        <v>19</v>
      </c>
      <c r="B23" s="60" t="s">
        <v>128</v>
      </c>
      <c r="C23" s="24">
        <v>85978783</v>
      </c>
      <c r="D23" s="25">
        <f t="shared" si="7"/>
        <v>8.757175734651481E-3</v>
      </c>
      <c r="E23" s="26">
        <v>85232388</v>
      </c>
      <c r="F23" s="25">
        <f t="shared" si="7"/>
        <v>1.8691588449945871E-2</v>
      </c>
      <c r="G23" s="27">
        <v>83668491</v>
      </c>
      <c r="H23" s="24">
        <v>69486185</v>
      </c>
      <c r="I23" s="25">
        <f t="shared" si="0"/>
        <v>5.5791261600951561E-2</v>
      </c>
      <c r="J23" s="26">
        <v>65814321</v>
      </c>
      <c r="K23" s="25">
        <f t="shared" si="1"/>
        <v>6.7586246699982491E-2</v>
      </c>
      <c r="L23" s="27">
        <v>61647779</v>
      </c>
      <c r="M23" s="24">
        <f t="shared" si="2"/>
        <v>155464968</v>
      </c>
      <c r="N23" s="25">
        <f t="shared" si="3"/>
        <v>2.9250945149688762E-2</v>
      </c>
      <c r="O23" s="26">
        <f t="shared" si="4"/>
        <v>151046709</v>
      </c>
      <c r="P23" s="25">
        <f t="shared" si="5"/>
        <v>3.9434256054053686E-2</v>
      </c>
      <c r="Q23" s="28">
        <f t="shared" si="6"/>
        <v>145316270</v>
      </c>
    </row>
    <row r="24" spans="1:17" x14ac:dyDescent="0.2">
      <c r="A24" s="23" t="s">
        <v>20</v>
      </c>
      <c r="B24" s="60" t="s">
        <v>128</v>
      </c>
      <c r="C24" s="24">
        <v>249206170</v>
      </c>
      <c r="D24" s="25">
        <f t="shared" si="7"/>
        <v>-8.2257084224175245E-3</v>
      </c>
      <c r="E24" s="26">
        <v>251273069</v>
      </c>
      <c r="F24" s="25">
        <f t="shared" si="7"/>
        <v>-3.3390846527588439E-3</v>
      </c>
      <c r="G24" s="27">
        <v>252114902</v>
      </c>
      <c r="H24" s="24">
        <v>177728624</v>
      </c>
      <c r="I24" s="25">
        <f t="shared" si="0"/>
        <v>1.3029704554521741E-2</v>
      </c>
      <c r="J24" s="26">
        <v>175442658</v>
      </c>
      <c r="K24" s="25">
        <f t="shared" si="1"/>
        <v>5.6069398744147604E-2</v>
      </c>
      <c r="L24" s="27">
        <v>166127963</v>
      </c>
      <c r="M24" s="24">
        <f t="shared" si="2"/>
        <v>426934794</v>
      </c>
      <c r="N24" s="25">
        <f t="shared" si="3"/>
        <v>5.1337925025669374E-4</v>
      </c>
      <c r="O24" s="26">
        <f t="shared" si="4"/>
        <v>426715727</v>
      </c>
      <c r="P24" s="25">
        <f t="shared" si="5"/>
        <v>2.0258234411243334E-2</v>
      </c>
      <c r="Q24" s="28">
        <f t="shared" si="6"/>
        <v>418242865</v>
      </c>
    </row>
    <row r="25" spans="1:17" x14ac:dyDescent="0.2">
      <c r="A25" s="23" t="s">
        <v>21</v>
      </c>
      <c r="B25" s="60" t="s">
        <v>128</v>
      </c>
      <c r="C25" s="24">
        <v>142284039</v>
      </c>
      <c r="D25" s="25">
        <f t="shared" si="7"/>
        <v>1.4322022858853048E-2</v>
      </c>
      <c r="E25" s="26">
        <v>140275017</v>
      </c>
      <c r="F25" s="25">
        <f t="shared" si="7"/>
        <v>2.1280602066155795E-2</v>
      </c>
      <c r="G25" s="27">
        <v>137352082</v>
      </c>
      <c r="H25" s="24">
        <v>110752112</v>
      </c>
      <c r="I25" s="25">
        <f t="shared" si="0"/>
        <v>6.3434006718911987E-2</v>
      </c>
      <c r="J25" s="26">
        <v>104145731</v>
      </c>
      <c r="K25" s="25">
        <f t="shared" si="1"/>
        <v>8.7576957055908441E-2</v>
      </c>
      <c r="L25" s="27">
        <v>95759413</v>
      </c>
      <c r="M25" s="24">
        <f t="shared" si="2"/>
        <v>253036151</v>
      </c>
      <c r="N25" s="25">
        <f t="shared" si="3"/>
        <v>3.5248247419650318E-2</v>
      </c>
      <c r="O25" s="26">
        <f t="shared" si="4"/>
        <v>244420748</v>
      </c>
      <c r="P25" s="25">
        <f t="shared" si="5"/>
        <v>4.8514351469454563E-2</v>
      </c>
      <c r="Q25" s="28">
        <f t="shared" si="6"/>
        <v>233111495</v>
      </c>
    </row>
    <row r="26" spans="1:17" x14ac:dyDescent="0.2">
      <c r="A26" s="23" t="s">
        <v>22</v>
      </c>
      <c r="B26" s="60" t="s">
        <v>128</v>
      </c>
      <c r="C26" s="24">
        <v>68980355</v>
      </c>
      <c r="D26" s="25">
        <f t="shared" si="7"/>
        <v>7.8703044451059641E-3</v>
      </c>
      <c r="E26" s="26">
        <v>68441698</v>
      </c>
      <c r="F26" s="25">
        <f t="shared" si="7"/>
        <v>3.6914662693023053E-3</v>
      </c>
      <c r="G26" s="27">
        <v>68189977</v>
      </c>
      <c r="H26" s="24">
        <v>56154854</v>
      </c>
      <c r="I26" s="25">
        <f t="shared" si="0"/>
        <v>5.8802724524929038E-2</v>
      </c>
      <c r="J26" s="26">
        <v>53036182</v>
      </c>
      <c r="K26" s="25">
        <f t="shared" si="1"/>
        <v>6.4736803369789278E-2</v>
      </c>
      <c r="L26" s="27">
        <v>49811542</v>
      </c>
      <c r="M26" s="24">
        <f t="shared" si="2"/>
        <v>125135209</v>
      </c>
      <c r="N26" s="25">
        <f t="shared" si="3"/>
        <v>3.0106954451295988E-2</v>
      </c>
      <c r="O26" s="26">
        <f t="shared" si="4"/>
        <v>121477880</v>
      </c>
      <c r="P26" s="25">
        <f t="shared" si="5"/>
        <v>2.9460307201638652E-2</v>
      </c>
      <c r="Q26" s="28">
        <f t="shared" si="6"/>
        <v>118001519</v>
      </c>
    </row>
    <row r="27" spans="1:17" x14ac:dyDescent="0.2">
      <c r="A27" s="23" t="s">
        <v>23</v>
      </c>
      <c r="B27" s="60" t="s">
        <v>128</v>
      </c>
      <c r="C27" s="24">
        <v>105008031</v>
      </c>
      <c r="D27" s="25">
        <f t="shared" si="7"/>
        <v>2.8123277474478497E-2</v>
      </c>
      <c r="E27" s="26">
        <v>102135642</v>
      </c>
      <c r="F27" s="25">
        <f t="shared" si="7"/>
        <v>3.1057339500733951E-2</v>
      </c>
      <c r="G27" s="27">
        <v>99059129</v>
      </c>
      <c r="H27" s="24">
        <v>83234366</v>
      </c>
      <c r="I27" s="25">
        <f t="shared" si="0"/>
        <v>8.2616881371600392E-2</v>
      </c>
      <c r="J27" s="26">
        <v>76882568</v>
      </c>
      <c r="K27" s="25">
        <f t="shared" si="1"/>
        <v>8.3681201280815395E-2</v>
      </c>
      <c r="L27" s="27">
        <v>70945743</v>
      </c>
      <c r="M27" s="24">
        <f t="shared" si="2"/>
        <v>188242397</v>
      </c>
      <c r="N27" s="25">
        <f t="shared" si="3"/>
        <v>5.1526529060926259E-2</v>
      </c>
      <c r="O27" s="26">
        <f t="shared" si="4"/>
        <v>179018210</v>
      </c>
      <c r="P27" s="25">
        <f t="shared" si="5"/>
        <v>5.301811585729143E-2</v>
      </c>
      <c r="Q27" s="28">
        <f t="shared" si="6"/>
        <v>170004872</v>
      </c>
    </row>
    <row r="28" spans="1:17" x14ac:dyDescent="0.2">
      <c r="A28" s="23" t="s">
        <v>24</v>
      </c>
      <c r="B28" s="60" t="s">
        <v>128</v>
      </c>
      <c r="C28" s="24">
        <v>71570769</v>
      </c>
      <c r="D28" s="25">
        <f t="shared" si="7"/>
        <v>1.5239089924889428E-2</v>
      </c>
      <c r="E28" s="26">
        <v>70496467</v>
      </c>
      <c r="F28" s="25">
        <f t="shared" si="7"/>
        <v>3.1883920988565483E-3</v>
      </c>
      <c r="G28" s="27">
        <v>70272411</v>
      </c>
      <c r="H28" s="24">
        <v>48584580</v>
      </c>
      <c r="I28" s="25">
        <f t="shared" si="0"/>
        <v>9.3515897711388851E-2</v>
      </c>
      <c r="J28" s="26">
        <v>44429697</v>
      </c>
      <c r="K28" s="25">
        <f t="shared" si="1"/>
        <v>8.8494282181143788E-2</v>
      </c>
      <c r="L28" s="27">
        <v>40817575</v>
      </c>
      <c r="M28" s="24">
        <f t="shared" si="2"/>
        <v>120155349</v>
      </c>
      <c r="N28" s="25">
        <f t="shared" si="3"/>
        <v>4.5500387535774706E-2</v>
      </c>
      <c r="O28" s="26">
        <f t="shared" si="4"/>
        <v>114926164</v>
      </c>
      <c r="P28" s="25">
        <f t="shared" si="5"/>
        <v>3.4532167462871043E-2</v>
      </c>
      <c r="Q28" s="28">
        <f t="shared" si="6"/>
        <v>111089986</v>
      </c>
    </row>
    <row r="29" spans="1:17" x14ac:dyDescent="0.2">
      <c r="A29" s="23" t="s">
        <v>25</v>
      </c>
      <c r="B29" s="60" t="s">
        <v>128</v>
      </c>
      <c r="C29" s="24">
        <v>114816276</v>
      </c>
      <c r="D29" s="25">
        <f t="shared" si="7"/>
        <v>1.3732342566331209E-2</v>
      </c>
      <c r="E29" s="26">
        <v>113260938</v>
      </c>
      <c r="F29" s="25">
        <f t="shared" si="7"/>
        <v>1.655133087106643E-2</v>
      </c>
      <c r="G29" s="27">
        <v>111416841</v>
      </c>
      <c r="H29" s="24">
        <v>89498293</v>
      </c>
      <c r="I29" s="25">
        <f t="shared" si="0"/>
        <v>7.8995203624142751E-2</v>
      </c>
      <c r="J29" s="26">
        <v>82945960</v>
      </c>
      <c r="K29" s="25">
        <f t="shared" si="1"/>
        <v>9.9490540593670032E-2</v>
      </c>
      <c r="L29" s="27">
        <v>75440358</v>
      </c>
      <c r="M29" s="24">
        <f t="shared" si="2"/>
        <v>204314569</v>
      </c>
      <c r="N29" s="25">
        <f t="shared" si="3"/>
        <v>4.1322048728378552E-2</v>
      </c>
      <c r="O29" s="26">
        <f t="shared" si="4"/>
        <v>196206898</v>
      </c>
      <c r="P29" s="25">
        <f t="shared" si="5"/>
        <v>5.0036600409492385E-2</v>
      </c>
      <c r="Q29" s="28">
        <f t="shared" si="6"/>
        <v>186857199</v>
      </c>
    </row>
    <row r="30" spans="1:17" x14ac:dyDescent="0.2">
      <c r="A30" s="23" t="s">
        <v>26</v>
      </c>
      <c r="B30" s="60" t="s">
        <v>128</v>
      </c>
      <c r="C30" s="24">
        <v>219021662</v>
      </c>
      <c r="D30" s="25">
        <f t="shared" si="7"/>
        <v>3.4664400418301315E-2</v>
      </c>
      <c r="E30" s="26">
        <v>211683771</v>
      </c>
      <c r="F30" s="25">
        <f t="shared" si="7"/>
        <v>5.0888925834165086E-2</v>
      </c>
      <c r="G30" s="27">
        <v>201433059</v>
      </c>
      <c r="H30" s="24">
        <v>183106113</v>
      </c>
      <c r="I30" s="25">
        <f t="shared" si="0"/>
        <v>9.2794426335292168E-2</v>
      </c>
      <c r="J30" s="26">
        <v>167557693</v>
      </c>
      <c r="K30" s="25">
        <f t="shared" si="1"/>
        <v>0.1222541166047994</v>
      </c>
      <c r="L30" s="27">
        <v>149304592</v>
      </c>
      <c r="M30" s="24">
        <f t="shared" si="2"/>
        <v>402127775</v>
      </c>
      <c r="N30" s="25">
        <f t="shared" si="3"/>
        <v>6.0347596907283321E-2</v>
      </c>
      <c r="O30" s="26">
        <f t="shared" si="4"/>
        <v>379241464</v>
      </c>
      <c r="P30" s="25">
        <f t="shared" si="5"/>
        <v>8.1268186973174436E-2</v>
      </c>
      <c r="Q30" s="28">
        <f t="shared" si="6"/>
        <v>350737651</v>
      </c>
    </row>
    <row r="31" spans="1:17" x14ac:dyDescent="0.2">
      <c r="A31" s="23" t="s">
        <v>27</v>
      </c>
      <c r="B31" s="60" t="s">
        <v>128</v>
      </c>
      <c r="C31" s="24">
        <v>1505143914</v>
      </c>
      <c r="D31" s="25">
        <f t="shared" si="7"/>
        <v>1.5360619567372462E-2</v>
      </c>
      <c r="E31" s="26">
        <v>1482373735</v>
      </c>
      <c r="F31" s="25">
        <f t="shared" si="7"/>
        <v>1.7811560620450657E-2</v>
      </c>
      <c r="G31" s="27">
        <v>1456432401</v>
      </c>
      <c r="H31" s="24">
        <v>1449837180</v>
      </c>
      <c r="I31" s="25">
        <f t="shared" si="0"/>
        <v>5.6041317045716861E-2</v>
      </c>
      <c r="J31" s="26">
        <v>1372898159</v>
      </c>
      <c r="K31" s="25">
        <f t="shared" si="1"/>
        <v>6.1152046887595908E-2</v>
      </c>
      <c r="L31" s="27">
        <v>1293780814</v>
      </c>
      <c r="M31" s="24">
        <f t="shared" si="2"/>
        <v>2954981094</v>
      </c>
      <c r="N31" s="25">
        <f t="shared" si="3"/>
        <v>3.4921087623748383E-2</v>
      </c>
      <c r="O31" s="26">
        <f t="shared" si="4"/>
        <v>2855271894</v>
      </c>
      <c r="P31" s="25">
        <f t="shared" si="5"/>
        <v>3.8200194234758629E-2</v>
      </c>
      <c r="Q31" s="28">
        <f t="shared" si="6"/>
        <v>2750213215</v>
      </c>
    </row>
    <row r="32" spans="1:17" x14ac:dyDescent="0.2">
      <c r="A32" s="23" t="s">
        <v>28</v>
      </c>
      <c r="B32" s="60" t="s">
        <v>128</v>
      </c>
      <c r="C32" s="24">
        <v>655054089</v>
      </c>
      <c r="D32" s="25">
        <f t="shared" si="7"/>
        <v>9.5118150773051986E-3</v>
      </c>
      <c r="E32" s="26">
        <v>648882043</v>
      </c>
      <c r="F32" s="25">
        <f t="shared" si="7"/>
        <v>3.9778598389802085E-3</v>
      </c>
      <c r="G32" s="27">
        <v>646311108</v>
      </c>
      <c r="H32" s="24">
        <v>585654721</v>
      </c>
      <c r="I32" s="25">
        <f t="shared" si="0"/>
        <v>5.4332881022502631E-2</v>
      </c>
      <c r="J32" s="26">
        <v>555474207</v>
      </c>
      <c r="K32" s="25">
        <f t="shared" si="1"/>
        <v>5.6906913904941028E-2</v>
      </c>
      <c r="L32" s="27">
        <v>525565875</v>
      </c>
      <c r="M32" s="24">
        <f t="shared" si="2"/>
        <v>1240708810</v>
      </c>
      <c r="N32" s="25">
        <f t="shared" si="3"/>
        <v>3.0184224974960691E-2</v>
      </c>
      <c r="O32" s="26">
        <f t="shared" si="4"/>
        <v>1204356250</v>
      </c>
      <c r="P32" s="25">
        <f t="shared" si="5"/>
        <v>2.7715594274113325E-2</v>
      </c>
      <c r="Q32" s="28">
        <f t="shared" si="6"/>
        <v>1171876983</v>
      </c>
    </row>
    <row r="33" spans="1:17" x14ac:dyDescent="0.2">
      <c r="A33" s="23" t="s">
        <v>29</v>
      </c>
      <c r="B33" s="60" t="s">
        <v>128</v>
      </c>
      <c r="C33" s="24">
        <v>7572013343</v>
      </c>
      <c r="D33" s="25">
        <f t="shared" si="7"/>
        <v>9.0833302206465283E-4</v>
      </c>
      <c r="E33" s="26">
        <v>7565141675</v>
      </c>
      <c r="F33" s="25">
        <f t="shared" si="7"/>
        <v>4.0644028654531284E-3</v>
      </c>
      <c r="G33" s="27">
        <v>7534518357</v>
      </c>
      <c r="H33" s="24">
        <v>7507669870</v>
      </c>
      <c r="I33" s="25">
        <f t="shared" si="0"/>
        <v>3.5805156355806972E-2</v>
      </c>
      <c r="J33" s="26">
        <v>7248148770</v>
      </c>
      <c r="K33" s="25">
        <f t="shared" si="1"/>
        <v>3.9794689430532826E-2</v>
      </c>
      <c r="L33" s="27">
        <v>6970749941</v>
      </c>
      <c r="M33" s="24">
        <f t="shared" si="2"/>
        <v>15079683213</v>
      </c>
      <c r="N33" s="25">
        <f t="shared" si="3"/>
        <v>1.798336223738304E-2</v>
      </c>
      <c r="O33" s="26">
        <f t="shared" si="4"/>
        <v>14813290445</v>
      </c>
      <c r="P33" s="25">
        <f t="shared" si="5"/>
        <v>2.1235191288565849E-2</v>
      </c>
      <c r="Q33" s="28">
        <f t="shared" si="6"/>
        <v>14505268298</v>
      </c>
    </row>
    <row r="34" spans="1:17" x14ac:dyDescent="0.2">
      <c r="A34" s="23" t="s">
        <v>30</v>
      </c>
      <c r="B34" s="60" t="s">
        <v>128</v>
      </c>
      <c r="C34" s="24">
        <v>121227767</v>
      </c>
      <c r="D34" s="25">
        <f t="shared" si="7"/>
        <v>-2.0737212664089784E-3</v>
      </c>
      <c r="E34" s="26">
        <v>121479682</v>
      </c>
      <c r="F34" s="25">
        <f t="shared" si="7"/>
        <v>1.1403807598954461E-2</v>
      </c>
      <c r="G34" s="27">
        <v>120109971</v>
      </c>
      <c r="H34" s="24">
        <v>79199518</v>
      </c>
      <c r="I34" s="25">
        <f t="shared" si="0"/>
        <v>5.6996042473295573E-2</v>
      </c>
      <c r="J34" s="26">
        <v>74928869</v>
      </c>
      <c r="K34" s="25">
        <f t="shared" si="1"/>
        <v>8.8455318263807814E-2</v>
      </c>
      <c r="L34" s="27">
        <v>68839637</v>
      </c>
      <c r="M34" s="24">
        <f t="shared" si="2"/>
        <v>200427285</v>
      </c>
      <c r="N34" s="25">
        <f t="shared" si="3"/>
        <v>2.0461094893979438E-2</v>
      </c>
      <c r="O34" s="26">
        <f t="shared" si="4"/>
        <v>196408551</v>
      </c>
      <c r="P34" s="25">
        <f t="shared" si="5"/>
        <v>3.9475832095931099E-2</v>
      </c>
      <c r="Q34" s="28">
        <f t="shared" si="6"/>
        <v>188949608</v>
      </c>
    </row>
    <row r="35" spans="1:17" x14ac:dyDescent="0.2">
      <c r="A35" s="23" t="s">
        <v>31</v>
      </c>
      <c r="B35" s="60" t="s">
        <v>128</v>
      </c>
      <c r="C35" s="24">
        <v>1287641678</v>
      </c>
      <c r="D35" s="25">
        <f t="shared" si="7"/>
        <v>1.4328204587693578E-2</v>
      </c>
      <c r="E35" s="26">
        <v>1269452700</v>
      </c>
      <c r="F35" s="25">
        <f t="shared" si="7"/>
        <v>1.2729806697842043E-2</v>
      </c>
      <c r="G35" s="27">
        <v>1253495939</v>
      </c>
      <c r="H35" s="24">
        <v>1285142557</v>
      </c>
      <c r="I35" s="25">
        <f t="shared" si="0"/>
        <v>4.9139965399887658E-2</v>
      </c>
      <c r="J35" s="26">
        <v>1224948624</v>
      </c>
      <c r="K35" s="25">
        <f t="shared" si="1"/>
        <v>5.0588585551078702E-2</v>
      </c>
      <c r="L35" s="27">
        <v>1165964147</v>
      </c>
      <c r="M35" s="24">
        <f t="shared" si="2"/>
        <v>2572784235</v>
      </c>
      <c r="N35" s="25">
        <f t="shared" si="3"/>
        <v>3.1423536479809853E-2</v>
      </c>
      <c r="O35" s="26">
        <f t="shared" si="4"/>
        <v>2494401324</v>
      </c>
      <c r="P35" s="25">
        <f t="shared" si="5"/>
        <v>3.0974364253265056E-2</v>
      </c>
      <c r="Q35" s="28">
        <f t="shared" si="6"/>
        <v>2419460086</v>
      </c>
    </row>
    <row r="36" spans="1:17" x14ac:dyDescent="0.2">
      <c r="A36" s="23" t="s">
        <v>32</v>
      </c>
      <c r="B36" s="60" t="s">
        <v>128</v>
      </c>
      <c r="C36" s="24">
        <v>260869579</v>
      </c>
      <c r="D36" s="25">
        <f t="shared" si="7"/>
        <v>3.1592048106004909E-3</v>
      </c>
      <c r="E36" s="26">
        <v>260048034</v>
      </c>
      <c r="F36" s="25">
        <f t="shared" si="7"/>
        <v>1.1790693663653828E-2</v>
      </c>
      <c r="G36" s="27">
        <v>257017618</v>
      </c>
      <c r="H36" s="24">
        <v>172924277</v>
      </c>
      <c r="I36" s="25">
        <f t="shared" si="0"/>
        <v>5.8252067486196081E-2</v>
      </c>
      <c r="J36" s="26">
        <v>163405565</v>
      </c>
      <c r="K36" s="25">
        <f t="shared" si="1"/>
        <v>7.5586788636950814E-2</v>
      </c>
      <c r="L36" s="27">
        <v>151922250</v>
      </c>
      <c r="M36" s="24">
        <f t="shared" si="2"/>
        <v>433793856</v>
      </c>
      <c r="N36" s="25">
        <f t="shared" si="3"/>
        <v>2.4418866729244638E-2</v>
      </c>
      <c r="O36" s="26">
        <f t="shared" si="4"/>
        <v>423453599</v>
      </c>
      <c r="P36" s="25">
        <f t="shared" si="5"/>
        <v>3.5491112840091196E-2</v>
      </c>
      <c r="Q36" s="28">
        <f t="shared" si="6"/>
        <v>408939868</v>
      </c>
    </row>
    <row r="37" spans="1:17" x14ac:dyDescent="0.2">
      <c r="A37" s="23" t="s">
        <v>33</v>
      </c>
      <c r="B37" s="60" t="s">
        <v>128</v>
      </c>
      <c r="C37" s="24">
        <v>100688938</v>
      </c>
      <c r="D37" s="25">
        <f t="shared" si="7"/>
        <v>6.0386535937480548E-3</v>
      </c>
      <c r="E37" s="26">
        <v>100084562</v>
      </c>
      <c r="F37" s="25">
        <f t="shared" si="7"/>
        <v>9.950383302494991E-3</v>
      </c>
      <c r="G37" s="27">
        <v>99098494</v>
      </c>
      <c r="H37" s="24">
        <v>82672265</v>
      </c>
      <c r="I37" s="25">
        <f t="shared" ref="I37:I68" si="8">((H37-J37)/J37)</f>
        <v>5.8654078141487195E-2</v>
      </c>
      <c r="J37" s="26">
        <v>78091859</v>
      </c>
      <c r="K37" s="25">
        <f t="shared" ref="K37:K68" si="9">((J37-L37)/L37)</f>
        <v>6.671952555674289E-2</v>
      </c>
      <c r="L37" s="27">
        <v>73207490</v>
      </c>
      <c r="M37" s="24">
        <f t="shared" ref="M37:M71" si="10">C37+H37</f>
        <v>183361203</v>
      </c>
      <c r="N37" s="25">
        <f t="shared" ref="N37:N68" si="11">((M37-O37)/O37)</f>
        <v>2.9099147748623821E-2</v>
      </c>
      <c r="O37" s="26">
        <f t="shared" ref="O37:O71" si="12">E37+J37</f>
        <v>178176421</v>
      </c>
      <c r="P37" s="25">
        <f t="shared" ref="P37:P68" si="13">((O37-Q37)/Q37)</f>
        <v>3.4069838224538969E-2</v>
      </c>
      <c r="Q37" s="28">
        <f t="shared" ref="Q37:Q71" si="14">G37+L37</f>
        <v>172305984</v>
      </c>
    </row>
    <row r="38" spans="1:17" x14ac:dyDescent="0.2">
      <c r="A38" s="23" t="s">
        <v>34</v>
      </c>
      <c r="B38" s="60" t="s">
        <v>128</v>
      </c>
      <c r="C38" s="24">
        <v>44424033</v>
      </c>
      <c r="D38" s="25">
        <f t="shared" si="7"/>
        <v>1.641675197431669E-2</v>
      </c>
      <c r="E38" s="26">
        <v>43706514</v>
      </c>
      <c r="F38" s="25">
        <f t="shared" si="7"/>
        <v>2.6566373161765872E-2</v>
      </c>
      <c r="G38" s="27">
        <v>42575439</v>
      </c>
      <c r="H38" s="24">
        <v>32781012</v>
      </c>
      <c r="I38" s="25">
        <f t="shared" si="8"/>
        <v>6.4590249329861446E-2</v>
      </c>
      <c r="J38" s="26">
        <v>30792140</v>
      </c>
      <c r="K38" s="25">
        <f t="shared" si="9"/>
        <v>9.2112565678255848E-2</v>
      </c>
      <c r="L38" s="27">
        <v>28195024</v>
      </c>
      <c r="M38" s="24">
        <f t="shared" si="10"/>
        <v>77205045</v>
      </c>
      <c r="N38" s="25">
        <f t="shared" si="11"/>
        <v>3.6328052316220369E-2</v>
      </c>
      <c r="O38" s="26">
        <f t="shared" si="12"/>
        <v>74498654</v>
      </c>
      <c r="P38" s="25">
        <f t="shared" si="13"/>
        <v>5.2680042519998777E-2</v>
      </c>
      <c r="Q38" s="28">
        <f t="shared" si="14"/>
        <v>70770463</v>
      </c>
    </row>
    <row r="39" spans="1:17" x14ac:dyDescent="0.2">
      <c r="A39" s="23" t="s">
        <v>35</v>
      </c>
      <c r="B39" s="60" t="s">
        <v>128</v>
      </c>
      <c r="C39" s="24">
        <v>2881283421</v>
      </c>
      <c r="D39" s="25">
        <f t="shared" si="7"/>
        <v>2.8341811975238041E-2</v>
      </c>
      <c r="E39" s="26">
        <v>2801873256</v>
      </c>
      <c r="F39" s="25">
        <f t="shared" si="7"/>
        <v>2.6964079861938731E-2</v>
      </c>
      <c r="G39" s="27">
        <v>2728306969</v>
      </c>
      <c r="H39" s="24">
        <v>2860318577</v>
      </c>
      <c r="I39" s="25">
        <f t="shared" si="8"/>
        <v>6.2901855338414733E-2</v>
      </c>
      <c r="J39" s="26">
        <v>2691046744</v>
      </c>
      <c r="K39" s="25">
        <f t="shared" si="9"/>
        <v>6.4815264257914409E-2</v>
      </c>
      <c r="L39" s="27">
        <v>2527242832</v>
      </c>
      <c r="M39" s="24">
        <f t="shared" si="10"/>
        <v>5741601998</v>
      </c>
      <c r="N39" s="25">
        <f t="shared" si="11"/>
        <v>4.5273187667033199E-2</v>
      </c>
      <c r="O39" s="26">
        <f t="shared" si="12"/>
        <v>5492920000</v>
      </c>
      <c r="P39" s="25">
        <f t="shared" si="13"/>
        <v>4.5165626430717941E-2</v>
      </c>
      <c r="Q39" s="28">
        <f t="shared" si="14"/>
        <v>5255549801</v>
      </c>
    </row>
    <row r="40" spans="1:17" x14ac:dyDescent="0.2">
      <c r="A40" s="23" t="s">
        <v>36</v>
      </c>
      <c r="B40" s="60" t="s">
        <v>128</v>
      </c>
      <c r="C40" s="24">
        <v>5424297534</v>
      </c>
      <c r="D40" s="25">
        <f t="shared" si="7"/>
        <v>8.0687666790605801E-3</v>
      </c>
      <c r="E40" s="26">
        <v>5380880465</v>
      </c>
      <c r="F40" s="25">
        <f t="shared" si="7"/>
        <v>1.7657351149371888E-2</v>
      </c>
      <c r="G40" s="27">
        <v>5287516922</v>
      </c>
      <c r="H40" s="24">
        <v>5434396380</v>
      </c>
      <c r="I40" s="25">
        <f t="shared" si="8"/>
        <v>4.3714830187165196E-2</v>
      </c>
      <c r="J40" s="26">
        <v>5206782756</v>
      </c>
      <c r="K40" s="25">
        <f t="shared" si="9"/>
        <v>5.7291341508812571E-2</v>
      </c>
      <c r="L40" s="27">
        <v>4924643333</v>
      </c>
      <c r="M40" s="24">
        <f t="shared" si="10"/>
        <v>10858693914</v>
      </c>
      <c r="N40" s="25">
        <f t="shared" si="11"/>
        <v>2.5598726304632238E-2</v>
      </c>
      <c r="O40" s="26">
        <f t="shared" si="12"/>
        <v>10587663221</v>
      </c>
      <c r="P40" s="25">
        <f t="shared" si="13"/>
        <v>3.6770179533380229E-2</v>
      </c>
      <c r="Q40" s="28">
        <f t="shared" si="14"/>
        <v>10212160255</v>
      </c>
    </row>
    <row r="41" spans="1:17" x14ac:dyDescent="0.2">
      <c r="A41" s="23" t="s">
        <v>37</v>
      </c>
      <c r="B41" s="60" t="s">
        <v>128</v>
      </c>
      <c r="C41" s="24">
        <v>1449293176</v>
      </c>
      <c r="D41" s="25">
        <f t="shared" si="7"/>
        <v>-1.0358499869102546E-3</v>
      </c>
      <c r="E41" s="26">
        <v>1450795983</v>
      </c>
      <c r="F41" s="25">
        <f t="shared" si="7"/>
        <v>-6.8642383865471991E-4</v>
      </c>
      <c r="G41" s="27">
        <v>1451792528</v>
      </c>
      <c r="H41" s="24">
        <v>1417769793</v>
      </c>
      <c r="I41" s="25">
        <f t="shared" si="8"/>
        <v>3.1546027726608257E-2</v>
      </c>
      <c r="J41" s="26">
        <v>1374412537</v>
      </c>
      <c r="K41" s="25">
        <f t="shared" si="9"/>
        <v>3.4402000111216767E-2</v>
      </c>
      <c r="L41" s="27">
        <v>1328702513</v>
      </c>
      <c r="M41" s="24">
        <f t="shared" si="10"/>
        <v>2867062969</v>
      </c>
      <c r="N41" s="25">
        <f t="shared" si="11"/>
        <v>1.4814640655267455E-2</v>
      </c>
      <c r="O41" s="26">
        <f t="shared" si="12"/>
        <v>2825208520</v>
      </c>
      <c r="P41" s="25">
        <f t="shared" si="13"/>
        <v>1.6081121649445158E-2</v>
      </c>
      <c r="Q41" s="28">
        <f t="shared" si="14"/>
        <v>2780495041</v>
      </c>
    </row>
    <row r="42" spans="1:17" x14ac:dyDescent="0.2">
      <c r="A42" s="23" t="s">
        <v>38</v>
      </c>
      <c r="B42" s="60" t="s">
        <v>128</v>
      </c>
      <c r="C42" s="24">
        <v>340230933</v>
      </c>
      <c r="D42" s="25">
        <f t="shared" si="7"/>
        <v>1.7522126791325102E-2</v>
      </c>
      <c r="E42" s="26">
        <v>334372024</v>
      </c>
      <c r="F42" s="25">
        <f t="shared" si="7"/>
        <v>2.1961666482632973E-2</v>
      </c>
      <c r="G42" s="27">
        <v>327186464</v>
      </c>
      <c r="H42" s="24">
        <v>267805695</v>
      </c>
      <c r="I42" s="25">
        <f t="shared" si="8"/>
        <v>8.070111233376781E-2</v>
      </c>
      <c r="J42" s="26">
        <v>247807365</v>
      </c>
      <c r="K42" s="25">
        <f t="shared" si="9"/>
        <v>9.0618227615584232E-2</v>
      </c>
      <c r="L42" s="27">
        <v>227217333</v>
      </c>
      <c r="M42" s="24">
        <f t="shared" si="10"/>
        <v>608036628</v>
      </c>
      <c r="N42" s="25">
        <f t="shared" si="11"/>
        <v>4.4414555871540827E-2</v>
      </c>
      <c r="O42" s="26">
        <f t="shared" si="12"/>
        <v>582179389</v>
      </c>
      <c r="P42" s="25">
        <f t="shared" si="13"/>
        <v>5.0099931043581937E-2</v>
      </c>
      <c r="Q42" s="28">
        <f t="shared" si="14"/>
        <v>554403797</v>
      </c>
    </row>
    <row r="43" spans="1:17" x14ac:dyDescent="0.2">
      <c r="A43" s="23" t="s">
        <v>39</v>
      </c>
      <c r="B43" s="60" t="s">
        <v>128</v>
      </c>
      <c r="C43" s="24">
        <v>38658191</v>
      </c>
      <c r="D43" s="25">
        <f t="shared" si="7"/>
        <v>2.2152071352197284E-2</v>
      </c>
      <c r="E43" s="26">
        <v>37820391</v>
      </c>
      <c r="F43" s="25">
        <f t="shared" si="7"/>
        <v>1.4841248136072481E-3</v>
      </c>
      <c r="G43" s="27">
        <v>37764344</v>
      </c>
      <c r="H43" s="24">
        <v>23395048</v>
      </c>
      <c r="I43" s="25">
        <f t="shared" si="8"/>
        <v>7.1891591777969208E-2</v>
      </c>
      <c r="J43" s="26">
        <v>21825946</v>
      </c>
      <c r="K43" s="25">
        <f t="shared" si="9"/>
        <v>5.4081274088274914E-2</v>
      </c>
      <c r="L43" s="27">
        <v>20706132</v>
      </c>
      <c r="M43" s="24">
        <f t="shared" si="10"/>
        <v>62053239</v>
      </c>
      <c r="N43" s="25">
        <f t="shared" si="11"/>
        <v>4.0352888728104122E-2</v>
      </c>
      <c r="O43" s="26">
        <f t="shared" si="12"/>
        <v>59646337</v>
      </c>
      <c r="P43" s="25">
        <f t="shared" si="13"/>
        <v>2.0110337394893107E-2</v>
      </c>
      <c r="Q43" s="28">
        <f t="shared" si="14"/>
        <v>58470476</v>
      </c>
    </row>
    <row r="44" spans="1:17" x14ac:dyDescent="0.2">
      <c r="A44" s="23" t="s">
        <v>40</v>
      </c>
      <c r="B44" s="60" t="s">
        <v>128</v>
      </c>
      <c r="C44" s="24">
        <v>106718532</v>
      </c>
      <c r="D44" s="25">
        <f t="shared" si="7"/>
        <v>6.8339131497761425E-3</v>
      </c>
      <c r="E44" s="26">
        <v>105994177</v>
      </c>
      <c r="F44" s="25">
        <f t="shared" si="7"/>
        <v>2.0314961193846407E-2</v>
      </c>
      <c r="G44" s="27">
        <v>103883782</v>
      </c>
      <c r="H44" s="24">
        <v>76242325</v>
      </c>
      <c r="I44" s="25">
        <f t="shared" si="8"/>
        <v>7.6817589781730755E-2</v>
      </c>
      <c r="J44" s="26">
        <v>70803380</v>
      </c>
      <c r="K44" s="25">
        <f t="shared" si="9"/>
        <v>8.9806144440074481E-2</v>
      </c>
      <c r="L44" s="27">
        <v>64968784</v>
      </c>
      <c r="M44" s="24">
        <f t="shared" si="10"/>
        <v>182960857</v>
      </c>
      <c r="N44" s="25">
        <f t="shared" si="11"/>
        <v>3.4860775819430583E-2</v>
      </c>
      <c r="O44" s="26">
        <f t="shared" si="12"/>
        <v>176797557</v>
      </c>
      <c r="P44" s="25">
        <f t="shared" si="13"/>
        <v>4.7052829508081033E-2</v>
      </c>
      <c r="Q44" s="28">
        <f t="shared" si="14"/>
        <v>168852566</v>
      </c>
    </row>
    <row r="45" spans="1:17" x14ac:dyDescent="0.2">
      <c r="A45" s="23" t="s">
        <v>41</v>
      </c>
      <c r="B45" s="60" t="s">
        <v>128</v>
      </c>
      <c r="C45" s="24">
        <v>2768396019</v>
      </c>
      <c r="D45" s="25">
        <f t="shared" si="7"/>
        <v>1.7823507193379266E-2</v>
      </c>
      <c r="E45" s="26">
        <v>2719917549</v>
      </c>
      <c r="F45" s="25">
        <f t="shared" si="7"/>
        <v>2.9605865389990986E-2</v>
      </c>
      <c r="G45" s="27">
        <v>2641707512</v>
      </c>
      <c r="H45" s="24">
        <v>2795268855</v>
      </c>
      <c r="I45" s="25">
        <f t="shared" si="8"/>
        <v>5.0773089907383585E-2</v>
      </c>
      <c r="J45" s="26">
        <v>2660202171</v>
      </c>
      <c r="K45" s="25">
        <f t="shared" si="9"/>
        <v>6.667985135136717E-2</v>
      </c>
      <c r="L45" s="27">
        <v>2493908709</v>
      </c>
      <c r="M45" s="24">
        <f t="shared" si="10"/>
        <v>5563664874</v>
      </c>
      <c r="N45" s="25">
        <f t="shared" si="11"/>
        <v>3.4115440464585055E-2</v>
      </c>
      <c r="O45" s="26">
        <f t="shared" si="12"/>
        <v>5380119720</v>
      </c>
      <c r="P45" s="25">
        <f t="shared" si="13"/>
        <v>4.7609378987511379E-2</v>
      </c>
      <c r="Q45" s="28">
        <f t="shared" si="14"/>
        <v>5135616221</v>
      </c>
    </row>
    <row r="46" spans="1:17" x14ac:dyDescent="0.2">
      <c r="A46" s="23" t="s">
        <v>42</v>
      </c>
      <c r="B46" s="60" t="s">
        <v>128</v>
      </c>
      <c r="C46" s="24">
        <v>2941898950</v>
      </c>
      <c r="D46" s="25">
        <f t="shared" si="7"/>
        <v>2.3254659106400767E-2</v>
      </c>
      <c r="E46" s="26">
        <v>2875040855</v>
      </c>
      <c r="F46" s="25">
        <f t="shared" si="7"/>
        <v>3.1632432246689837E-2</v>
      </c>
      <c r="G46" s="27">
        <v>2786884907</v>
      </c>
      <c r="H46" s="24">
        <v>2723660448</v>
      </c>
      <c r="I46" s="25">
        <f t="shared" si="8"/>
        <v>6.7104116674427311E-2</v>
      </c>
      <c r="J46" s="26">
        <v>2552384913</v>
      </c>
      <c r="K46" s="25">
        <f t="shared" si="9"/>
        <v>8.1534706311283636E-2</v>
      </c>
      <c r="L46" s="27">
        <v>2359965795</v>
      </c>
      <c r="M46" s="24">
        <f t="shared" si="10"/>
        <v>5665559398</v>
      </c>
      <c r="N46" s="25">
        <f t="shared" si="11"/>
        <v>4.3875981022906178E-2</v>
      </c>
      <c r="O46" s="26">
        <f t="shared" si="12"/>
        <v>5427425768</v>
      </c>
      <c r="P46" s="25">
        <f t="shared" si="13"/>
        <v>5.4513931381567397E-2</v>
      </c>
      <c r="Q46" s="28">
        <f t="shared" si="14"/>
        <v>5146850702</v>
      </c>
    </row>
    <row r="47" spans="1:17" x14ac:dyDescent="0.2">
      <c r="A47" s="23" t="s">
        <v>43</v>
      </c>
      <c r="B47" s="60" t="s">
        <v>128</v>
      </c>
      <c r="C47" s="24">
        <v>1237859172</v>
      </c>
      <c r="D47" s="25">
        <f t="shared" si="7"/>
        <v>5.0077496252508248E-3</v>
      </c>
      <c r="E47" s="26">
        <v>1231691171</v>
      </c>
      <c r="F47" s="25">
        <f t="shared" si="7"/>
        <v>3.7166982246574763E-3</v>
      </c>
      <c r="G47" s="27">
        <v>1227130298</v>
      </c>
      <c r="H47" s="24">
        <v>1234644921</v>
      </c>
      <c r="I47" s="25">
        <f t="shared" si="8"/>
        <v>3.7453940372150614E-2</v>
      </c>
      <c r="J47" s="26">
        <v>1190072034</v>
      </c>
      <c r="K47" s="25">
        <f t="shared" si="9"/>
        <v>4.0892256211560736E-2</v>
      </c>
      <c r="L47" s="27">
        <v>1143319135</v>
      </c>
      <c r="M47" s="24">
        <f t="shared" si="10"/>
        <v>2472504093</v>
      </c>
      <c r="N47" s="25">
        <f t="shared" si="11"/>
        <v>2.0952043492625447E-2</v>
      </c>
      <c r="O47" s="26">
        <f t="shared" si="12"/>
        <v>2421763205</v>
      </c>
      <c r="P47" s="25">
        <f t="shared" si="13"/>
        <v>2.1647275527433705E-2</v>
      </c>
      <c r="Q47" s="28">
        <f t="shared" si="14"/>
        <v>2370449433</v>
      </c>
    </row>
    <row r="48" spans="1:17" x14ac:dyDescent="0.2">
      <c r="A48" s="23" t="s">
        <v>44</v>
      </c>
      <c r="B48" s="60" t="s">
        <v>128</v>
      </c>
      <c r="C48" s="24">
        <v>388006266</v>
      </c>
      <c r="D48" s="25">
        <f t="shared" si="7"/>
        <v>-1.9881154779502801E-2</v>
      </c>
      <c r="E48" s="26">
        <v>395876753</v>
      </c>
      <c r="F48" s="25">
        <f t="shared" si="7"/>
        <v>-1.1666747101928261E-2</v>
      </c>
      <c r="G48" s="27">
        <v>400549867</v>
      </c>
      <c r="H48" s="24">
        <v>407814213</v>
      </c>
      <c r="I48" s="25">
        <f t="shared" si="8"/>
        <v>7.1167705665598968E-3</v>
      </c>
      <c r="J48" s="26">
        <v>404932402</v>
      </c>
      <c r="K48" s="25">
        <f t="shared" si="9"/>
        <v>1.7783356954792162E-2</v>
      </c>
      <c r="L48" s="27">
        <v>397857166</v>
      </c>
      <c r="M48" s="24">
        <f t="shared" si="10"/>
        <v>795820479</v>
      </c>
      <c r="N48" s="25">
        <f t="shared" si="11"/>
        <v>-6.2295441664874576E-3</v>
      </c>
      <c r="O48" s="26">
        <f t="shared" si="12"/>
        <v>800809155</v>
      </c>
      <c r="P48" s="25">
        <f t="shared" si="13"/>
        <v>3.0086433369381402E-3</v>
      </c>
      <c r="Q48" s="28">
        <f t="shared" si="14"/>
        <v>798407033</v>
      </c>
    </row>
    <row r="49" spans="1:17" x14ac:dyDescent="0.2">
      <c r="A49" s="23" t="s">
        <v>45</v>
      </c>
      <c r="B49" s="60" t="s">
        <v>128</v>
      </c>
      <c r="C49" s="24">
        <v>759076083</v>
      </c>
      <c r="D49" s="25">
        <f t="shared" si="7"/>
        <v>1.6479505258119153E-2</v>
      </c>
      <c r="E49" s="26">
        <v>746769688</v>
      </c>
      <c r="F49" s="25">
        <f t="shared" si="7"/>
        <v>2.2688931135909602E-2</v>
      </c>
      <c r="G49" s="27">
        <v>730202181</v>
      </c>
      <c r="H49" s="24">
        <v>762841084</v>
      </c>
      <c r="I49" s="25">
        <f t="shared" si="8"/>
        <v>5.0627680904256019E-2</v>
      </c>
      <c r="J49" s="26">
        <v>726081273</v>
      </c>
      <c r="K49" s="25">
        <f t="shared" si="9"/>
        <v>6.1841311355458166E-2</v>
      </c>
      <c r="L49" s="27">
        <v>683794523</v>
      </c>
      <c r="M49" s="24">
        <f t="shared" si="10"/>
        <v>1521917167</v>
      </c>
      <c r="N49" s="25">
        <f t="shared" si="11"/>
        <v>3.3313761744559842E-2</v>
      </c>
      <c r="O49" s="26">
        <f t="shared" si="12"/>
        <v>1472850961</v>
      </c>
      <c r="P49" s="25">
        <f t="shared" si="13"/>
        <v>4.1622626724312363E-2</v>
      </c>
      <c r="Q49" s="28">
        <f t="shared" si="14"/>
        <v>1413996704</v>
      </c>
    </row>
    <row r="50" spans="1:17" x14ac:dyDescent="0.2">
      <c r="A50" s="23" t="s">
        <v>46</v>
      </c>
      <c r="B50" s="60" t="s">
        <v>128</v>
      </c>
      <c r="C50" s="24">
        <v>1296416399</v>
      </c>
      <c r="D50" s="25">
        <f t="shared" si="7"/>
        <v>9.8320126359762519E-3</v>
      </c>
      <c r="E50" s="26">
        <v>1283794119</v>
      </c>
      <c r="F50" s="25">
        <f t="shared" si="7"/>
        <v>9.3705294149369497E-2</v>
      </c>
      <c r="G50" s="27">
        <v>1173802601</v>
      </c>
      <c r="H50" s="24">
        <v>1155375046</v>
      </c>
      <c r="I50" s="25">
        <f t="shared" si="8"/>
        <v>1.6630204059414296E-2</v>
      </c>
      <c r="J50" s="26">
        <v>1136475231</v>
      </c>
      <c r="K50" s="25">
        <f t="shared" si="9"/>
        <v>2.4074068612426915E-2</v>
      </c>
      <c r="L50" s="27">
        <v>1109758821</v>
      </c>
      <c r="M50" s="24">
        <f t="shared" si="10"/>
        <v>2451791445</v>
      </c>
      <c r="N50" s="25">
        <f t="shared" si="11"/>
        <v>1.3024209474866918E-2</v>
      </c>
      <c r="O50" s="26">
        <f t="shared" si="12"/>
        <v>2420269350</v>
      </c>
      <c r="P50" s="25">
        <f t="shared" si="13"/>
        <v>5.9866105059818271E-2</v>
      </c>
      <c r="Q50" s="28">
        <f t="shared" si="14"/>
        <v>2283561422</v>
      </c>
    </row>
    <row r="51" spans="1:17" x14ac:dyDescent="0.2">
      <c r="A51" s="23" t="s">
        <v>47</v>
      </c>
      <c r="B51" s="60" t="s">
        <v>128</v>
      </c>
      <c r="C51" s="24">
        <v>227986747</v>
      </c>
      <c r="D51" s="25">
        <f t="shared" si="7"/>
        <v>5.8362896308251965E-3</v>
      </c>
      <c r="E51" s="26">
        <v>226663871</v>
      </c>
      <c r="F51" s="25">
        <f t="shared" si="7"/>
        <v>2.2502861919310474E-2</v>
      </c>
      <c r="G51" s="27">
        <v>221675537</v>
      </c>
      <c r="H51" s="24">
        <v>184381804</v>
      </c>
      <c r="I51" s="25">
        <f t="shared" si="8"/>
        <v>5.8849319538044148E-2</v>
      </c>
      <c r="J51" s="26">
        <v>174134129</v>
      </c>
      <c r="K51" s="25">
        <f t="shared" si="9"/>
        <v>8.4914850658030769E-2</v>
      </c>
      <c r="L51" s="27">
        <v>160504881</v>
      </c>
      <c r="M51" s="24">
        <f t="shared" si="10"/>
        <v>412368551</v>
      </c>
      <c r="N51" s="25">
        <f t="shared" si="11"/>
        <v>2.8868784275370634E-2</v>
      </c>
      <c r="O51" s="26">
        <f t="shared" si="12"/>
        <v>400798000</v>
      </c>
      <c r="P51" s="25">
        <f t="shared" si="13"/>
        <v>4.8714118053008147E-2</v>
      </c>
      <c r="Q51" s="28">
        <f t="shared" si="14"/>
        <v>382180418</v>
      </c>
    </row>
    <row r="52" spans="1:17" x14ac:dyDescent="0.2">
      <c r="A52" s="23" t="s">
        <v>48</v>
      </c>
      <c r="B52" s="60" t="s">
        <v>128</v>
      </c>
      <c r="C52" s="24">
        <v>6435720102</v>
      </c>
      <c r="D52" s="25">
        <f t="shared" si="7"/>
        <v>-3.0685172334793836E-3</v>
      </c>
      <c r="E52" s="26">
        <v>6455529004</v>
      </c>
      <c r="F52" s="25">
        <f t="shared" si="7"/>
        <v>4.2585713371117266E-2</v>
      </c>
      <c r="G52" s="27">
        <v>6191844873</v>
      </c>
      <c r="H52" s="24">
        <v>6244854046</v>
      </c>
      <c r="I52" s="25">
        <f t="shared" si="8"/>
        <v>2.2950565494211865E-2</v>
      </c>
      <c r="J52" s="26">
        <v>6104746658</v>
      </c>
      <c r="K52" s="25">
        <f t="shared" si="9"/>
        <v>5.7424319867457614E-2</v>
      </c>
      <c r="L52" s="27">
        <v>5773223240</v>
      </c>
      <c r="M52" s="24">
        <f t="shared" si="10"/>
        <v>12680574148</v>
      </c>
      <c r="N52" s="25">
        <f t="shared" si="11"/>
        <v>9.5776947287830958E-3</v>
      </c>
      <c r="O52" s="26">
        <f t="shared" si="12"/>
        <v>12560275662</v>
      </c>
      <c r="P52" s="25">
        <f t="shared" si="13"/>
        <v>4.9745437583703291E-2</v>
      </c>
      <c r="Q52" s="28">
        <f t="shared" si="14"/>
        <v>11965068113</v>
      </c>
    </row>
    <row r="53" spans="1:17" x14ac:dyDescent="0.2">
      <c r="A53" s="23" t="s">
        <v>49</v>
      </c>
      <c r="B53" s="60" t="s">
        <v>128</v>
      </c>
      <c r="C53" s="24">
        <v>2199637388</v>
      </c>
      <c r="D53" s="25">
        <f t="shared" si="7"/>
        <v>1.7463120817449319E-2</v>
      </c>
      <c r="E53" s="26">
        <v>2161884144</v>
      </c>
      <c r="F53" s="25">
        <f t="shared" si="7"/>
        <v>4.3519149805547719E-2</v>
      </c>
      <c r="G53" s="27">
        <v>2071724457</v>
      </c>
      <c r="H53" s="24">
        <v>2144309971</v>
      </c>
      <c r="I53" s="25">
        <f t="shared" si="8"/>
        <v>4.5912144556125696E-2</v>
      </c>
      <c r="J53" s="26">
        <v>2050181731</v>
      </c>
      <c r="K53" s="25">
        <f t="shared" si="9"/>
        <v>7.620898647907684E-2</v>
      </c>
      <c r="L53" s="27">
        <v>1905003356</v>
      </c>
      <c r="M53" s="24">
        <f t="shared" si="10"/>
        <v>4343947359</v>
      </c>
      <c r="N53" s="25">
        <f t="shared" si="11"/>
        <v>3.131040394756409E-2</v>
      </c>
      <c r="O53" s="26">
        <f t="shared" si="12"/>
        <v>4212065875</v>
      </c>
      <c r="P53" s="25">
        <f t="shared" si="13"/>
        <v>5.9178820645123191E-2</v>
      </c>
      <c r="Q53" s="28">
        <f t="shared" si="14"/>
        <v>3976727813</v>
      </c>
    </row>
    <row r="54" spans="1:17" x14ac:dyDescent="0.2">
      <c r="A54" s="23" t="s">
        <v>50</v>
      </c>
      <c r="B54" s="60" t="s">
        <v>128</v>
      </c>
      <c r="C54" s="24">
        <v>9119699494</v>
      </c>
      <c r="D54" s="25">
        <f t="shared" si="7"/>
        <v>1.2585069271555489E-3</v>
      </c>
      <c r="E54" s="26">
        <v>9108236715</v>
      </c>
      <c r="F54" s="25">
        <f t="shared" si="7"/>
        <v>7.033974648631347E-5</v>
      </c>
      <c r="G54" s="27">
        <v>9107596089</v>
      </c>
      <c r="H54" s="24">
        <v>9042609631</v>
      </c>
      <c r="I54" s="25">
        <f t="shared" si="8"/>
        <v>3.3568732722037115E-2</v>
      </c>
      <c r="J54" s="26">
        <v>8748919491</v>
      </c>
      <c r="K54" s="25">
        <f t="shared" si="9"/>
        <v>3.6486795953547785E-2</v>
      </c>
      <c r="L54" s="27">
        <v>8440936754</v>
      </c>
      <c r="M54" s="24">
        <f t="shared" si="10"/>
        <v>18162309125</v>
      </c>
      <c r="N54" s="25">
        <f t="shared" si="11"/>
        <v>1.7088550689693172E-2</v>
      </c>
      <c r="O54" s="26">
        <f t="shared" si="12"/>
        <v>17857156206</v>
      </c>
      <c r="P54" s="25">
        <f t="shared" si="13"/>
        <v>1.7586847046481606E-2</v>
      </c>
      <c r="Q54" s="28">
        <f t="shared" si="14"/>
        <v>17548532843</v>
      </c>
    </row>
    <row r="55" spans="1:17" x14ac:dyDescent="0.2">
      <c r="A55" s="23" t="s">
        <v>51</v>
      </c>
      <c r="B55" s="60" t="s">
        <v>128</v>
      </c>
      <c r="C55" s="24">
        <v>4284865221</v>
      </c>
      <c r="D55" s="25">
        <f t="shared" si="7"/>
        <v>2.6322123176499092E-2</v>
      </c>
      <c r="E55" s="26">
        <v>4174971117</v>
      </c>
      <c r="F55" s="25">
        <f t="shared" si="7"/>
        <v>3.2211532879902756E-2</v>
      </c>
      <c r="G55" s="27">
        <v>4044685594</v>
      </c>
      <c r="H55" s="24">
        <v>4072399165</v>
      </c>
      <c r="I55" s="25">
        <f t="shared" si="8"/>
        <v>6.8981603046484583E-2</v>
      </c>
      <c r="J55" s="26">
        <v>3809606408</v>
      </c>
      <c r="K55" s="25">
        <f t="shared" si="9"/>
        <v>7.966647777844231E-2</v>
      </c>
      <c r="L55" s="27">
        <v>3528503002</v>
      </c>
      <c r="M55" s="24">
        <f t="shared" si="10"/>
        <v>8357264386</v>
      </c>
      <c r="N55" s="25">
        <f t="shared" si="11"/>
        <v>4.6675839746449205E-2</v>
      </c>
      <c r="O55" s="26">
        <f t="shared" si="12"/>
        <v>7984577525</v>
      </c>
      <c r="P55" s="25">
        <f t="shared" si="13"/>
        <v>5.4321759426047708E-2</v>
      </c>
      <c r="Q55" s="28">
        <f t="shared" si="14"/>
        <v>7573188596</v>
      </c>
    </row>
    <row r="56" spans="1:17" x14ac:dyDescent="0.2">
      <c r="A56" s="23" t="s">
        <v>52</v>
      </c>
      <c r="B56" s="60" t="s">
        <v>128</v>
      </c>
      <c r="C56" s="24">
        <v>6177730680</v>
      </c>
      <c r="D56" s="25">
        <f t="shared" si="7"/>
        <v>-6.5284412060784211E-3</v>
      </c>
      <c r="E56" s="26">
        <v>6218326660</v>
      </c>
      <c r="F56" s="25">
        <f t="shared" si="7"/>
        <v>-5.1657142758263453E-3</v>
      </c>
      <c r="G56" s="27">
        <v>6250615554</v>
      </c>
      <c r="H56" s="24">
        <v>6011289178</v>
      </c>
      <c r="I56" s="25">
        <f t="shared" si="8"/>
        <v>2.73972441638267E-2</v>
      </c>
      <c r="J56" s="26">
        <v>5850988225</v>
      </c>
      <c r="K56" s="25">
        <f t="shared" si="9"/>
        <v>3.172791807799908E-2</v>
      </c>
      <c r="L56" s="27">
        <v>5671057381</v>
      </c>
      <c r="M56" s="24">
        <f t="shared" si="10"/>
        <v>12189019858</v>
      </c>
      <c r="N56" s="25">
        <f t="shared" si="11"/>
        <v>9.9181249425161558E-3</v>
      </c>
      <c r="O56" s="26">
        <f t="shared" si="12"/>
        <v>12069314885</v>
      </c>
      <c r="P56" s="25">
        <f t="shared" si="13"/>
        <v>1.2384331528383773E-2</v>
      </c>
      <c r="Q56" s="28">
        <f t="shared" si="14"/>
        <v>11921672935</v>
      </c>
    </row>
    <row r="57" spans="1:17" x14ac:dyDescent="0.2">
      <c r="A57" s="23" t="s">
        <v>53</v>
      </c>
      <c r="B57" s="60" t="s">
        <v>128</v>
      </c>
      <c r="C57" s="24">
        <v>4380724980</v>
      </c>
      <c r="D57" s="25">
        <f t="shared" si="7"/>
        <v>2.9808255887932917E-2</v>
      </c>
      <c r="E57" s="26">
        <v>4253922956</v>
      </c>
      <c r="F57" s="25">
        <f t="shared" si="7"/>
        <v>3.4063835768981032E-2</v>
      </c>
      <c r="G57" s="27">
        <v>4113791440</v>
      </c>
      <c r="H57" s="24">
        <v>4070880331</v>
      </c>
      <c r="I57" s="25">
        <f t="shared" si="8"/>
        <v>7.5190431080200987E-2</v>
      </c>
      <c r="J57" s="26">
        <v>3786194718</v>
      </c>
      <c r="K57" s="25">
        <f t="shared" si="9"/>
        <v>8.5012915461605693E-2</v>
      </c>
      <c r="L57" s="27">
        <v>3489538847</v>
      </c>
      <c r="M57" s="24">
        <f t="shared" si="10"/>
        <v>8451605311</v>
      </c>
      <c r="N57" s="25">
        <f t="shared" si="11"/>
        <v>5.1179305289356887E-2</v>
      </c>
      <c r="O57" s="26">
        <f t="shared" si="12"/>
        <v>8040117674</v>
      </c>
      <c r="P57" s="25">
        <f t="shared" si="13"/>
        <v>5.7446851644312895E-2</v>
      </c>
      <c r="Q57" s="28">
        <f t="shared" si="14"/>
        <v>7603330287</v>
      </c>
    </row>
    <row r="58" spans="1:17" x14ac:dyDescent="0.2">
      <c r="A58" s="23" t="s">
        <v>54</v>
      </c>
      <c r="B58" s="60" t="s">
        <v>128</v>
      </c>
      <c r="C58" s="24">
        <v>512882828</v>
      </c>
      <c r="D58" s="25">
        <f t="shared" si="7"/>
        <v>1.5892159466459107E-2</v>
      </c>
      <c r="E58" s="26">
        <v>504859520</v>
      </c>
      <c r="F58" s="25">
        <f t="shared" si="7"/>
        <v>1.5095289180084482E-2</v>
      </c>
      <c r="G58" s="27">
        <v>497351850</v>
      </c>
      <c r="H58" s="24">
        <v>389095970</v>
      </c>
      <c r="I58" s="25">
        <f t="shared" si="8"/>
        <v>7.8262714606015901E-2</v>
      </c>
      <c r="J58" s="26">
        <v>360854516</v>
      </c>
      <c r="K58" s="25">
        <f t="shared" si="9"/>
        <v>7.9974102733668312E-2</v>
      </c>
      <c r="L58" s="27">
        <v>334132564</v>
      </c>
      <c r="M58" s="24">
        <f t="shared" si="10"/>
        <v>901978798</v>
      </c>
      <c r="N58" s="25">
        <f t="shared" si="11"/>
        <v>4.1890001192033344E-2</v>
      </c>
      <c r="O58" s="26">
        <f t="shared" si="12"/>
        <v>865714036</v>
      </c>
      <c r="P58" s="25">
        <f t="shared" si="13"/>
        <v>4.116688349614693E-2</v>
      </c>
      <c r="Q58" s="28">
        <f t="shared" si="14"/>
        <v>831484414</v>
      </c>
    </row>
    <row r="59" spans="1:17" x14ac:dyDescent="0.2">
      <c r="A59" s="23" t="s">
        <v>55</v>
      </c>
      <c r="B59" s="60" t="s">
        <v>128</v>
      </c>
      <c r="C59" s="24">
        <v>2342686000</v>
      </c>
      <c r="D59" s="25">
        <f t="shared" si="7"/>
        <v>3.2945208050579412E-2</v>
      </c>
      <c r="E59" s="26">
        <v>2267967344</v>
      </c>
      <c r="F59" s="25">
        <f t="shared" si="7"/>
        <v>3.1046085680506947E-2</v>
      </c>
      <c r="G59" s="27">
        <v>2199676014</v>
      </c>
      <c r="H59" s="24">
        <v>2433808830</v>
      </c>
      <c r="I59" s="25">
        <f t="shared" si="8"/>
        <v>6.3223019528205068E-2</v>
      </c>
      <c r="J59" s="26">
        <v>2289085907</v>
      </c>
      <c r="K59" s="25">
        <f t="shared" si="9"/>
        <v>6.3954901836969391E-2</v>
      </c>
      <c r="L59" s="27">
        <v>2151487721</v>
      </c>
      <c r="M59" s="24">
        <f t="shared" si="10"/>
        <v>4776494830</v>
      </c>
      <c r="N59" s="25">
        <f t="shared" si="11"/>
        <v>4.8154271392779037E-2</v>
      </c>
      <c r="O59" s="26">
        <f t="shared" si="12"/>
        <v>4557053251</v>
      </c>
      <c r="P59" s="25">
        <f t="shared" si="13"/>
        <v>4.7318264386113709E-2</v>
      </c>
      <c r="Q59" s="28">
        <f t="shared" si="14"/>
        <v>4351163735</v>
      </c>
    </row>
    <row r="60" spans="1:17" x14ac:dyDescent="0.2">
      <c r="A60" s="23" t="s">
        <v>56</v>
      </c>
      <c r="B60" s="60" t="s">
        <v>128</v>
      </c>
      <c r="C60" s="24">
        <v>2679591613</v>
      </c>
      <c r="D60" s="25">
        <f t="shared" si="7"/>
        <v>2.5970200867966156E-2</v>
      </c>
      <c r="E60" s="26">
        <v>2611763588</v>
      </c>
      <c r="F60" s="25">
        <f t="shared" si="7"/>
        <v>3.480093531888323E-2</v>
      </c>
      <c r="G60" s="27">
        <v>2523928515</v>
      </c>
      <c r="H60" s="24">
        <v>2587870265</v>
      </c>
      <c r="I60" s="25">
        <f t="shared" si="8"/>
        <v>5.7669934552014669E-2</v>
      </c>
      <c r="J60" s="26">
        <v>2446765461</v>
      </c>
      <c r="K60" s="25">
        <f t="shared" si="9"/>
        <v>7.2399609340363061E-2</v>
      </c>
      <c r="L60" s="27">
        <v>2281579963</v>
      </c>
      <c r="M60" s="24">
        <f t="shared" si="10"/>
        <v>5267461878</v>
      </c>
      <c r="N60" s="25">
        <f t="shared" si="11"/>
        <v>4.1303079803664086E-2</v>
      </c>
      <c r="O60" s="26">
        <f t="shared" si="12"/>
        <v>5058529049</v>
      </c>
      <c r="P60" s="25">
        <f t="shared" si="13"/>
        <v>5.2652195320921462E-2</v>
      </c>
      <c r="Q60" s="28">
        <f t="shared" si="14"/>
        <v>4805508478</v>
      </c>
    </row>
    <row r="61" spans="1:17" x14ac:dyDescent="0.2">
      <c r="A61" s="23" t="s">
        <v>57</v>
      </c>
      <c r="B61" s="60" t="s">
        <v>128</v>
      </c>
      <c r="C61" s="24">
        <v>1397408485</v>
      </c>
      <c r="D61" s="25">
        <f t="shared" si="7"/>
        <v>1.9855874119015252E-2</v>
      </c>
      <c r="E61" s="26">
        <v>1370201928</v>
      </c>
      <c r="F61" s="25">
        <f t="shared" si="7"/>
        <v>2.2961090886023855E-2</v>
      </c>
      <c r="G61" s="27">
        <v>1339446769</v>
      </c>
      <c r="H61" s="24">
        <v>1232998253</v>
      </c>
      <c r="I61" s="25">
        <f t="shared" si="8"/>
        <v>3.7282669728772068E-2</v>
      </c>
      <c r="J61" s="26">
        <v>1188681050</v>
      </c>
      <c r="K61" s="25">
        <f t="shared" si="9"/>
        <v>4.2611279585085281E-2</v>
      </c>
      <c r="L61" s="27">
        <v>1140099933</v>
      </c>
      <c r="M61" s="24">
        <f t="shared" si="10"/>
        <v>2630406738</v>
      </c>
      <c r="N61" s="25">
        <f t="shared" si="11"/>
        <v>2.7951164869564425E-2</v>
      </c>
      <c r="O61" s="26">
        <f t="shared" si="12"/>
        <v>2558882978</v>
      </c>
      <c r="P61" s="25">
        <f t="shared" si="13"/>
        <v>3.1996282197874086E-2</v>
      </c>
      <c r="Q61" s="28">
        <f t="shared" si="14"/>
        <v>2479546702</v>
      </c>
    </row>
    <row r="62" spans="1:17" x14ac:dyDescent="0.2">
      <c r="A62" s="23" t="s">
        <v>58</v>
      </c>
      <c r="B62" s="60" t="s">
        <v>128</v>
      </c>
      <c r="C62" s="24">
        <v>3497909593</v>
      </c>
      <c r="D62" s="25">
        <f t="shared" si="7"/>
        <v>9.7577313818898066E-3</v>
      </c>
      <c r="E62" s="26">
        <v>3464107760</v>
      </c>
      <c r="F62" s="25">
        <f t="shared" si="7"/>
        <v>1.3147281369431505E-2</v>
      </c>
      <c r="G62" s="27">
        <v>3419155165</v>
      </c>
      <c r="H62" s="24">
        <v>3532255661</v>
      </c>
      <c r="I62" s="25">
        <f t="shared" si="8"/>
        <v>3.692629878183773E-2</v>
      </c>
      <c r="J62" s="26">
        <v>3406467427</v>
      </c>
      <c r="K62" s="25">
        <f t="shared" si="9"/>
        <v>4.4665729042941353E-2</v>
      </c>
      <c r="L62" s="27">
        <v>3260820502</v>
      </c>
      <c r="M62" s="24">
        <f t="shared" si="10"/>
        <v>7030165254</v>
      </c>
      <c r="N62" s="25">
        <f t="shared" si="11"/>
        <v>2.3228050440662472E-2</v>
      </c>
      <c r="O62" s="26">
        <f t="shared" si="12"/>
        <v>6870575187</v>
      </c>
      <c r="P62" s="25">
        <f t="shared" si="13"/>
        <v>2.8532966211477068E-2</v>
      </c>
      <c r="Q62" s="28">
        <f t="shared" si="14"/>
        <v>6679975667</v>
      </c>
    </row>
    <row r="63" spans="1:17" x14ac:dyDescent="0.2">
      <c r="A63" s="23" t="s">
        <v>59</v>
      </c>
      <c r="B63" s="60" t="s">
        <v>128</v>
      </c>
      <c r="C63" s="24">
        <v>2702832456</v>
      </c>
      <c r="D63" s="25">
        <f t="shared" si="7"/>
        <v>1.1974437676631109E-3</v>
      </c>
      <c r="E63" s="26">
        <v>2699599837</v>
      </c>
      <c r="F63" s="25">
        <f t="shared" si="7"/>
        <v>5.9781960875631215E-3</v>
      </c>
      <c r="G63" s="27">
        <v>2683557007</v>
      </c>
      <c r="H63" s="24">
        <v>2772360943</v>
      </c>
      <c r="I63" s="25">
        <f t="shared" si="8"/>
        <v>3.2040179318189574E-2</v>
      </c>
      <c r="J63" s="26">
        <v>2686291676</v>
      </c>
      <c r="K63" s="25">
        <f t="shared" si="9"/>
        <v>4.0180776862142609E-2</v>
      </c>
      <c r="L63" s="27">
        <v>2582523861</v>
      </c>
      <c r="M63" s="24">
        <f t="shared" si="10"/>
        <v>5475193399</v>
      </c>
      <c r="N63" s="25">
        <f t="shared" si="11"/>
        <v>1.6580706422409514E-2</v>
      </c>
      <c r="O63" s="26">
        <f t="shared" si="12"/>
        <v>5385891513</v>
      </c>
      <c r="P63" s="25">
        <f t="shared" si="13"/>
        <v>2.2751387227652426E-2</v>
      </c>
      <c r="Q63" s="28">
        <f t="shared" si="14"/>
        <v>5266080868</v>
      </c>
    </row>
    <row r="64" spans="1:17" x14ac:dyDescent="0.2">
      <c r="A64" s="23" t="s">
        <v>60</v>
      </c>
      <c r="B64" s="60" t="s">
        <v>128</v>
      </c>
      <c r="C64" s="24">
        <v>1502786689</v>
      </c>
      <c r="D64" s="25">
        <f t="shared" si="7"/>
        <v>4.2149921655089316E-2</v>
      </c>
      <c r="E64" s="26">
        <v>1442006239</v>
      </c>
      <c r="F64" s="25">
        <f t="shared" si="7"/>
        <v>2.5953608315984814E-2</v>
      </c>
      <c r="G64" s="27">
        <v>1405527723</v>
      </c>
      <c r="H64" s="24">
        <v>1508557256</v>
      </c>
      <c r="I64" s="25">
        <f t="shared" si="8"/>
        <v>7.5874363910750947E-2</v>
      </c>
      <c r="J64" s="26">
        <v>1402168605</v>
      </c>
      <c r="K64" s="25">
        <f t="shared" si="9"/>
        <v>6.0319003547511178E-2</v>
      </c>
      <c r="L64" s="27">
        <v>1322402598</v>
      </c>
      <c r="M64" s="24">
        <f t="shared" si="10"/>
        <v>3011343945</v>
      </c>
      <c r="N64" s="25">
        <f t="shared" si="11"/>
        <v>5.8775957938259578E-2</v>
      </c>
      <c r="O64" s="26">
        <f t="shared" si="12"/>
        <v>2844174844</v>
      </c>
      <c r="P64" s="25">
        <f t="shared" si="13"/>
        <v>4.2612717086332061E-2</v>
      </c>
      <c r="Q64" s="28">
        <f t="shared" si="14"/>
        <v>2727930321</v>
      </c>
    </row>
    <row r="65" spans="1:17" x14ac:dyDescent="0.2">
      <c r="A65" s="23" t="s">
        <v>61</v>
      </c>
      <c r="B65" s="60" t="s">
        <v>128</v>
      </c>
      <c r="C65" s="24">
        <v>268857314</v>
      </c>
      <c r="D65" s="25">
        <f t="shared" si="7"/>
        <v>9.0458906653439076E-3</v>
      </c>
      <c r="E65" s="26">
        <v>266447063</v>
      </c>
      <c r="F65" s="25">
        <f t="shared" si="7"/>
        <v>6.762153407161936E-3</v>
      </c>
      <c r="G65" s="27">
        <v>264657409</v>
      </c>
      <c r="H65" s="24">
        <v>212574042</v>
      </c>
      <c r="I65" s="25">
        <f t="shared" si="8"/>
        <v>7.1842588228421295E-2</v>
      </c>
      <c r="J65" s="26">
        <v>198325803</v>
      </c>
      <c r="K65" s="25">
        <f t="shared" si="9"/>
        <v>7.4607235964300564E-2</v>
      </c>
      <c r="L65" s="27">
        <v>184556549</v>
      </c>
      <c r="M65" s="24">
        <f t="shared" si="10"/>
        <v>481431356</v>
      </c>
      <c r="N65" s="25">
        <f t="shared" si="11"/>
        <v>3.5842217174528429E-2</v>
      </c>
      <c r="O65" s="26">
        <f t="shared" si="12"/>
        <v>464772866</v>
      </c>
      <c r="P65" s="25">
        <f t="shared" si="13"/>
        <v>3.4635851631306613E-2</v>
      </c>
      <c r="Q65" s="28">
        <f t="shared" si="14"/>
        <v>449213958</v>
      </c>
    </row>
    <row r="66" spans="1:17" x14ac:dyDescent="0.2">
      <c r="A66" s="23" t="s">
        <v>62</v>
      </c>
      <c r="B66" s="60" t="s">
        <v>128</v>
      </c>
      <c r="C66" s="24">
        <v>134897471</v>
      </c>
      <c r="D66" s="25">
        <f t="shared" si="7"/>
        <v>-1.014055533843628E-2</v>
      </c>
      <c r="E66" s="26">
        <v>136279420</v>
      </c>
      <c r="F66" s="25">
        <f t="shared" si="7"/>
        <v>7.5510759150529396E-3</v>
      </c>
      <c r="G66" s="27">
        <v>135258076</v>
      </c>
      <c r="H66" s="24">
        <v>87817262</v>
      </c>
      <c r="I66" s="25">
        <f t="shared" si="8"/>
        <v>4.3294359177505806E-2</v>
      </c>
      <c r="J66" s="26">
        <v>84173044</v>
      </c>
      <c r="K66" s="25">
        <f t="shared" si="9"/>
        <v>4.5211531019209168E-2</v>
      </c>
      <c r="L66" s="27">
        <v>80532066</v>
      </c>
      <c r="M66" s="24">
        <f t="shared" si="10"/>
        <v>222714733</v>
      </c>
      <c r="N66" s="25">
        <f t="shared" si="11"/>
        <v>1.0261935652486062E-2</v>
      </c>
      <c r="O66" s="26">
        <f t="shared" si="12"/>
        <v>220452464</v>
      </c>
      <c r="P66" s="25">
        <f t="shared" si="13"/>
        <v>2.16058155242328E-2</v>
      </c>
      <c r="Q66" s="28">
        <f t="shared" si="14"/>
        <v>215790142</v>
      </c>
    </row>
    <row r="67" spans="1:17" x14ac:dyDescent="0.2">
      <c r="A67" s="23" t="s">
        <v>63</v>
      </c>
      <c r="B67" s="60" t="s">
        <v>128</v>
      </c>
      <c r="C67" s="24">
        <v>74430805</v>
      </c>
      <c r="D67" s="25">
        <f t="shared" si="7"/>
        <v>2.3083991826852789E-2</v>
      </c>
      <c r="E67" s="26">
        <v>72751412</v>
      </c>
      <c r="F67" s="25">
        <f t="shared" si="7"/>
        <v>1.6330074690777973E-2</v>
      </c>
      <c r="G67" s="27">
        <v>71582465</v>
      </c>
      <c r="H67" s="24">
        <v>52380079</v>
      </c>
      <c r="I67" s="25">
        <f t="shared" si="8"/>
        <v>9.0188779909720102E-2</v>
      </c>
      <c r="J67" s="26">
        <v>48046797</v>
      </c>
      <c r="K67" s="25">
        <f t="shared" si="9"/>
        <v>8.2136213072117437E-2</v>
      </c>
      <c r="L67" s="27">
        <v>44399953</v>
      </c>
      <c r="M67" s="24">
        <f t="shared" si="10"/>
        <v>126810884</v>
      </c>
      <c r="N67" s="25">
        <f t="shared" si="11"/>
        <v>4.9774537634080317E-2</v>
      </c>
      <c r="O67" s="26">
        <f t="shared" si="12"/>
        <v>120798209</v>
      </c>
      <c r="P67" s="25">
        <f t="shared" si="13"/>
        <v>4.1521733061298999E-2</v>
      </c>
      <c r="Q67" s="28">
        <f t="shared" si="14"/>
        <v>115982418</v>
      </c>
    </row>
    <row r="68" spans="1:17" x14ac:dyDescent="0.2">
      <c r="A68" s="23" t="s">
        <v>64</v>
      </c>
      <c r="B68" s="60" t="s">
        <v>128</v>
      </c>
      <c r="C68" s="24">
        <v>3839225471</v>
      </c>
      <c r="D68" s="25">
        <f t="shared" si="7"/>
        <v>7.4671433074972957E-3</v>
      </c>
      <c r="E68" s="26">
        <v>3810769906</v>
      </c>
      <c r="F68" s="25">
        <f t="shared" si="7"/>
        <v>1.3730242626802976E-2</v>
      </c>
      <c r="G68" s="27">
        <v>3759155785</v>
      </c>
      <c r="H68" s="24">
        <v>3812696759</v>
      </c>
      <c r="I68" s="25">
        <f t="shared" si="8"/>
        <v>4.3019973557578736E-2</v>
      </c>
      <c r="J68" s="26">
        <v>3655439834</v>
      </c>
      <c r="K68" s="25">
        <f t="shared" si="9"/>
        <v>5.3963351017173637E-2</v>
      </c>
      <c r="L68" s="27">
        <v>3468279832</v>
      </c>
      <c r="M68" s="24">
        <f t="shared" si="10"/>
        <v>7651922230</v>
      </c>
      <c r="N68" s="25">
        <f t="shared" si="11"/>
        <v>2.4873730643414794E-2</v>
      </c>
      <c r="O68" s="26">
        <f t="shared" si="12"/>
        <v>7466209740</v>
      </c>
      <c r="P68" s="25">
        <f t="shared" si="13"/>
        <v>3.3037184369843139E-2</v>
      </c>
      <c r="Q68" s="28">
        <f t="shared" si="14"/>
        <v>7227435617</v>
      </c>
    </row>
    <row r="69" spans="1:17" x14ac:dyDescent="0.2">
      <c r="A69" s="23" t="s">
        <v>65</v>
      </c>
      <c r="B69" s="60" t="s">
        <v>128</v>
      </c>
      <c r="C69" s="24">
        <v>268576021</v>
      </c>
      <c r="D69" s="25">
        <f t="shared" si="7"/>
        <v>2.3153688520835259E-2</v>
      </c>
      <c r="E69" s="26">
        <v>262498219</v>
      </c>
      <c r="F69" s="25">
        <f t="shared" si="7"/>
        <v>2.998274208064439E-2</v>
      </c>
      <c r="G69" s="27">
        <v>254856910</v>
      </c>
      <c r="H69" s="24">
        <v>231837915</v>
      </c>
      <c r="I69" s="25">
        <f>((H69-J69)/J69)</f>
        <v>5.840802624539506E-2</v>
      </c>
      <c r="J69" s="26">
        <v>219043988</v>
      </c>
      <c r="K69" s="25">
        <f>((J69-L69)/L69)</f>
        <v>7.1914304164846607E-2</v>
      </c>
      <c r="L69" s="27">
        <v>204348414</v>
      </c>
      <c r="M69" s="24">
        <f t="shared" si="10"/>
        <v>500413936</v>
      </c>
      <c r="N69" s="25">
        <f>((M69-O69)/O69)</f>
        <v>3.9190186707766618E-2</v>
      </c>
      <c r="O69" s="26">
        <f t="shared" si="12"/>
        <v>481542207</v>
      </c>
      <c r="P69" s="25">
        <f>((O69-Q69)/Q69)</f>
        <v>4.8642473927414658E-2</v>
      </c>
      <c r="Q69" s="28">
        <f t="shared" si="14"/>
        <v>459205324</v>
      </c>
    </row>
    <row r="70" spans="1:17" x14ac:dyDescent="0.2">
      <c r="A70" s="23" t="s">
        <v>66</v>
      </c>
      <c r="B70" s="60" t="s">
        <v>128</v>
      </c>
      <c r="C70" s="24">
        <v>569182296</v>
      </c>
      <c r="D70" s="25">
        <f t="shared" ref="D70:F73" si="15">((C70-E70)/E70)</f>
        <v>4.2173816328370285E-2</v>
      </c>
      <c r="E70" s="26">
        <v>546149104</v>
      </c>
      <c r="F70" s="25">
        <f t="shared" si="15"/>
        <v>4.4891281576612763E-2</v>
      </c>
      <c r="G70" s="27">
        <v>522685100</v>
      </c>
      <c r="H70" s="24">
        <v>500929452</v>
      </c>
      <c r="I70" s="25">
        <f>((H70-J70)/J70)</f>
        <v>7.4130595262028406E-2</v>
      </c>
      <c r="J70" s="26">
        <v>466358052</v>
      </c>
      <c r="K70" s="25">
        <f>((J70-L70)/L70)</f>
        <v>8.4140667685776174E-2</v>
      </c>
      <c r="L70" s="27">
        <v>430163784</v>
      </c>
      <c r="M70" s="24">
        <f t="shared" si="10"/>
        <v>1070111748</v>
      </c>
      <c r="N70" s="25">
        <f>((M70-O70)/O70)</f>
        <v>5.6893022097317406E-2</v>
      </c>
      <c r="O70" s="26">
        <f t="shared" si="12"/>
        <v>1012507156</v>
      </c>
      <c r="P70" s="25">
        <f>((O70-Q70)/Q70)</f>
        <v>6.261042333340236E-2</v>
      </c>
      <c r="Q70" s="28">
        <f t="shared" si="14"/>
        <v>952848884</v>
      </c>
    </row>
    <row r="71" spans="1:17" x14ac:dyDescent="0.2">
      <c r="A71" s="23" t="s">
        <v>67</v>
      </c>
      <c r="B71" s="60" t="s">
        <v>128</v>
      </c>
      <c r="C71" s="24">
        <v>159720816</v>
      </c>
      <c r="D71" s="25">
        <f t="shared" si="15"/>
        <v>2.0278109067658121E-2</v>
      </c>
      <c r="E71" s="26">
        <v>156546352</v>
      </c>
      <c r="F71" s="25">
        <f t="shared" si="15"/>
        <v>2.4340574304184012E-2</v>
      </c>
      <c r="G71" s="27">
        <v>152826468</v>
      </c>
      <c r="H71" s="24">
        <v>121102486</v>
      </c>
      <c r="I71" s="25">
        <f>((H71-J71)/J71)</f>
        <v>7.5623005197719348E-2</v>
      </c>
      <c r="J71" s="26">
        <v>112588226</v>
      </c>
      <c r="K71" s="25">
        <f>((J71-L71)/L71)</f>
        <v>9.4416494375248253E-2</v>
      </c>
      <c r="L71" s="27">
        <v>102875118</v>
      </c>
      <c r="M71" s="24">
        <f t="shared" si="10"/>
        <v>280823302</v>
      </c>
      <c r="N71" s="25">
        <f>((M71-O71)/O71)</f>
        <v>4.3430777594100155E-2</v>
      </c>
      <c r="O71" s="26">
        <f t="shared" si="12"/>
        <v>269134578</v>
      </c>
      <c r="P71" s="25">
        <f>((O71-Q71)/Q71)</f>
        <v>5.2533862656604716E-2</v>
      </c>
      <c r="Q71" s="28">
        <f t="shared" si="14"/>
        <v>255701586</v>
      </c>
    </row>
    <row r="72" spans="1:17" x14ac:dyDescent="0.2">
      <c r="A72" s="23"/>
      <c r="B72" s="60"/>
      <c r="C72" s="24"/>
      <c r="D72" s="30"/>
      <c r="E72" s="26"/>
      <c r="F72" s="30"/>
      <c r="G72" s="27"/>
      <c r="H72" s="24"/>
      <c r="I72" s="30"/>
      <c r="J72" s="26"/>
      <c r="K72" s="30"/>
      <c r="L72" s="27"/>
      <c r="M72" s="24"/>
      <c r="N72" s="30"/>
      <c r="O72" s="26"/>
      <c r="P72" s="30"/>
      <c r="Q72" s="28"/>
    </row>
    <row r="73" spans="1:17" ht="15.75" thickBot="1" x14ac:dyDescent="0.3">
      <c r="A73" s="31" t="s">
        <v>68</v>
      </c>
      <c r="B73" s="32"/>
      <c r="C73" s="33">
        <f>SUM(C5:C71)</f>
        <v>130327165315</v>
      </c>
      <c r="D73" s="34">
        <f t="shared" si="15"/>
        <v>8.6360215208321368E-3</v>
      </c>
      <c r="E73" s="33">
        <f>SUM(E5:E71)</f>
        <v>129211293801</v>
      </c>
      <c r="F73" s="34">
        <f t="shared" si="15"/>
        <v>1.5129849354351915E-2</v>
      </c>
      <c r="G73" s="36">
        <f>SUM(G5:G71)</f>
        <v>127285483609</v>
      </c>
      <c r="H73" s="33">
        <f>SUM(H5:H71)</f>
        <v>126900404873</v>
      </c>
      <c r="I73" s="34">
        <f>((H73-J73)/J73)</f>
        <v>4.2477410376621012E-2</v>
      </c>
      <c r="J73" s="35">
        <f>SUM(J5:J71)</f>
        <v>121729644796</v>
      </c>
      <c r="K73" s="34">
        <f>((J73-L73)/L73)</f>
        <v>5.125024826418341E-2</v>
      </c>
      <c r="L73" s="36">
        <f>SUM(L5:L71)</f>
        <v>115795116336</v>
      </c>
      <c r="M73" s="33">
        <f>SUM(M5:M71)</f>
        <v>257227570188</v>
      </c>
      <c r="N73" s="34">
        <f>((M73-O73)/O73)</f>
        <v>2.5052235901197657E-2</v>
      </c>
      <c r="O73" s="35">
        <f>SUM(O5:O71)</f>
        <v>250940938597</v>
      </c>
      <c r="P73" s="34">
        <f>((O73-Q73)/Q73)</f>
        <v>3.2336347095483962E-2</v>
      </c>
      <c r="Q73" s="37">
        <f>SUM(Q5:Q71)</f>
        <v>243080599945</v>
      </c>
    </row>
    <row r="75" spans="1:17" x14ac:dyDescent="0.2">
      <c r="A75" s="38" t="s">
        <v>129</v>
      </c>
    </row>
    <row r="1048576" spans="2:2" x14ac:dyDescent="0.2">
      <c r="B1048576" s="60"/>
    </row>
  </sheetData>
  <phoneticPr fontId="0" type="noConversion"/>
  <conditionalFormatting sqref="A4:Q73">
    <cfRule type="expression" dxfId="1" priority="6" stopIfTrue="1">
      <formula>MOD(ROW(),3)=1</formula>
    </cfRule>
  </conditionalFormatting>
  <conditionalFormatting sqref="B1048576">
    <cfRule type="expression" dxfId="0" priority="1" stopIfTrue="1">
      <formula>MOD(ROW(),3)=1</formula>
    </cfRule>
  </conditionalFormatting>
  <pageMargins left="0.7" right="0.7" top="0.75" bottom="0.75" header="0.3" footer="0.3"/>
  <pageSetup scale="65" fitToWidth="3" orientation="landscape" r:id="rId1"/>
  <headerFooter alignWithMargins="0"/>
  <rowBreaks count="1" manualBreakCount="1">
    <brk id="37" max="16383" man="1"/>
  </rowBreaks>
  <ignoredErrors>
    <ignoredError sqref="Q5:Q16 J73 O72:O73 O5:O28 O66:O71 O29:O65 G73 L73 N5:N73 P5:P73" formula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E8CCF48F7F21843AAD247617866AB0F" ma:contentTypeVersion="26" ma:contentTypeDescription="Create a new document." ma:contentTypeScope="" ma:versionID="035bff02668bf00af84ba8f60763016b">
  <xsd:schema xmlns:xsd="http://www.w3.org/2001/XMLSchema" xmlns:xs="http://www.w3.org/2001/XMLSchema" xmlns:p="http://schemas.microsoft.com/office/2006/metadata/properties" xmlns:ns1="http://schemas.microsoft.com/sharepoint/v3" xmlns:ns2="971ecb86-dbcb-4cad-aa0a-8e3edd121c88" targetNamespace="http://schemas.microsoft.com/office/2006/metadata/properties" ma:root="true" ma:fieldsID="4eb80cc09e6d4e7765fe98acf63822e8" ns1:_="" ns2:_="">
    <xsd:import namespace="http://schemas.microsoft.com/sharepoint/v3"/>
    <xsd:import namespace="971ecb86-dbcb-4cad-aa0a-8e3edd121c88"/>
    <xsd:element name="properties">
      <xsd:complexType>
        <xsd:sequence>
          <xsd:element name="documentManagement">
            <xsd:complexType>
              <xsd:all>
                <xsd:element ref="ns2:DocumentName" minOccurs="0"/>
                <xsd:element ref="ns2:Web_x0020_Category" minOccurs="0"/>
                <xsd:element ref="ns2:DocumentDescription" minOccurs="0"/>
                <xsd:element ref="ns2:Forms_Description" minOccurs="0"/>
                <xsd:element ref="ns2:Review_x0020_Frequency_x0020_Period" minOccurs="0"/>
                <xsd:element ref="ns2:Review_x0020_Frequency_x0020_by_x0020_Month" minOccurs="0"/>
                <xsd:element ref="ns2:Legal_x0020_Review_x0020_Date" minOccurs="0"/>
                <xsd:element ref="ns2:Language_x0020_Review_x0020_Date" minOccurs="0"/>
                <xsd:element ref="ns2:Date_x0020_last_x0020_reviewed" minOccurs="0"/>
                <xsd:element ref="ns2:Is_x0020_this_x0020_Legally_x0020_required_x003f_" minOccurs="0"/>
                <xsd:element ref="ns2:Notes0" minOccurs="0"/>
                <xsd:element ref="ns2:Automated_x0020_Content" minOccurs="0"/>
                <xsd:element ref="ns2:statutesRulesPolicies" minOccurs="0"/>
                <xsd:element ref="ns2:Historical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16" nillable="true" ma:displayName="Scheduling Start Date" ma:description="Scheduling Start Date is a site column created by the Publishing feature. It is used to specify the date and time on which this page will first appear to site visitors." ma:internalName="PublishingStartDate" ma:readOnly="false">
      <xsd:simpleType>
        <xsd:restriction base="dms:Unknown"/>
      </xsd:simpleType>
    </xsd:element>
    <xsd:element name="PublishingExpirationDate" ma:index="17" nillable="true" ma:displayName="Scheduling End Date" ma:description="Scheduling End Date is a site column created by the Publishing feature. It is used to specify the date and time on which this page will no longer appear to site visitors." ma:internalName="PublishingExpirationDate" ma:readOnly="fals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1ecb86-dbcb-4cad-aa0a-8e3edd121c88" elementFormDefault="qualified">
    <xsd:import namespace="http://schemas.microsoft.com/office/2006/documentManagement/types"/>
    <xsd:import namespace="http://schemas.microsoft.com/office/infopath/2007/PartnerControls"/>
    <xsd:element name="DocumentName" ma:index="2" nillable="true" ma:displayName="Document" ma:description="This is the formatted name of the document and MUST be filled out for all documents." ma:internalName="DocumentName" ma:readOnly="false">
      <xsd:simpleType>
        <xsd:restriction base="dms:Text">
          <xsd:maxLength value="255"/>
        </xsd:restriction>
      </xsd:simpleType>
    </xsd:element>
    <xsd:element name="Web_x0020_Category" ma:index="3" nillable="true" ma:displayName="Web Category" ma:list="{68a30688-8426-42e5-bc98-ed9a40a81362}" ma:internalName="Web_x0020_Category" ma:readOnly="false" ma:showField="Title">
      <xsd:simpleType>
        <xsd:restriction base="dms:Lookup"/>
      </xsd:simpleType>
    </xsd:element>
    <xsd:element name="DocumentDescription" ma:index="4" nillable="true" ma:displayName="Description" ma:description="If this document is meant to appear on the forms page you MUST fill in the &quot;Forms Description&quot; field as well as this one." ma:internalName="DocumentDescription" ma:readOnly="false">
      <xsd:simpleType>
        <xsd:restriction base="dms:Text">
          <xsd:maxLength value="255"/>
        </xsd:restriction>
      </xsd:simpleType>
    </xsd:element>
    <xsd:element name="Forms_Description" ma:index="5" nillable="true" ma:displayName="Forms_Description" ma:internalName="Forms_Description" ma:readOnly="false">
      <xsd:simpleType>
        <xsd:restriction base="dms:Text">
          <xsd:maxLength value="255"/>
        </xsd:restriction>
      </xsd:simpleType>
    </xsd:element>
    <xsd:element name="Review_x0020_Frequency_x0020_Period" ma:index="6" nillable="true" ma:displayName="Review Frequency Period" ma:default="Annually" ma:description="How often should this content be reviewed by the Content Owner?" ma:format="Dropdown" ma:internalName="Review_x0020_Frequency_x0020_Period" ma:readOnly="false">
      <xsd:simpleType>
        <xsd:restriction base="dms:Choice">
          <xsd:enumeration value="Monthly"/>
          <xsd:enumeration value="Quarterly"/>
          <xsd:enumeration value="Semi-Annually"/>
          <xsd:enumeration value="Annually"/>
          <xsd:enumeration value="None"/>
        </xsd:restriction>
      </xsd:simpleType>
    </xsd:element>
    <xsd:element name="Review_x0020_Frequency_x0020_by_x0020_Month" ma:index="7" nillable="true" ma:displayName="Review Frequency by Month" ma:internalName="Review_x0020_Frequency_x0020_by_x0020_Month" ma:readOnly="false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January"/>
                    <xsd:enumeration value="February"/>
                    <xsd:enumeration value="March"/>
                    <xsd:enumeration value="April"/>
                    <xsd:enumeration value="May"/>
                    <xsd:enumeration value="June"/>
                    <xsd:enumeration value="July"/>
                    <xsd:enumeration value="August"/>
                    <xsd:enumeration value="September"/>
                    <xsd:enumeration value="October"/>
                    <xsd:enumeration value="November"/>
                    <xsd:enumeration value="December"/>
                  </xsd:restriction>
                </xsd:simpleType>
              </xsd:element>
            </xsd:sequence>
          </xsd:extension>
        </xsd:complexContent>
      </xsd:complexType>
    </xsd:element>
    <xsd:element name="Legal_x0020_Review_x0020_Date" ma:index="8" nillable="true" ma:displayName="Legal Review Date" ma:format="DateOnly" ma:internalName="Legal_x0020_Review_x0020_Date" ma:readOnly="false">
      <xsd:simpleType>
        <xsd:restriction base="dms:DateTime"/>
      </xsd:simpleType>
    </xsd:element>
    <xsd:element name="Language_x0020_Review_x0020_Date" ma:index="9" nillable="true" ma:displayName="Language Review Date" ma:description="Date of last Language Review" ma:format="DateOnly" ma:internalName="Language_x0020_Review_x0020_Date" ma:readOnly="false">
      <xsd:simpleType>
        <xsd:restriction base="dms:DateTime"/>
      </xsd:simpleType>
    </xsd:element>
    <xsd:element name="Date_x0020_last_x0020_reviewed" ma:index="10" nillable="true" ma:displayName="Date last reviewed" ma:description="The date the document was last reviewed by content owner." ma:format="DateOnly" ma:internalName="Date_x0020_last_x0020_reviewed" ma:readOnly="false">
      <xsd:simpleType>
        <xsd:restriction base="dms:DateTime"/>
      </xsd:simpleType>
    </xsd:element>
    <xsd:element name="Is_x0020_this_x0020_Legally_x0020_required_x003f_" ma:index="11" nillable="true" ma:displayName="Is this Legally required?" ma:default="No" ma:format="Dropdown" ma:internalName="Is_x0020_this_x0020_Legally_x0020_required_x003f_" ma:readOnly="false">
      <xsd:simpleType>
        <xsd:restriction base="dms:Choice">
          <xsd:enumeration value="Yes"/>
          <xsd:enumeration value="No"/>
        </xsd:restriction>
      </xsd:simpleType>
    </xsd:element>
    <xsd:element name="Notes0" ma:index="12" nillable="true" ma:displayName="Notes" ma:internalName="Notes0" ma:readOnly="false">
      <xsd:simpleType>
        <xsd:restriction base="dms:Note">
          <xsd:maxLength value="255"/>
        </xsd:restriction>
      </xsd:simpleType>
    </xsd:element>
    <xsd:element name="Automated_x0020_Content" ma:index="13" nillable="true" ma:displayName="Automated Content" ma:default="No" ma:format="Dropdown" ma:internalName="Automated_x0020_Content" ma:readOnly="false">
      <xsd:simpleType>
        <xsd:restriction base="dms:Choice">
          <xsd:enumeration value="Yes"/>
          <xsd:enumeration value="No"/>
        </xsd:restriction>
      </xsd:simpleType>
    </xsd:element>
    <xsd:element name="statutesRulesPolicies" ma:index="14" nillable="true" ma:displayName="statutesRulesPolicies" ma:description="This column contains the statutes, rules, or policy that governs" ma:list="{17a373b7-8334-4f0f-90d4-3ea48205243f}" ma:internalName="statutesRulesPolicies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istorical" ma:index="15" nillable="true" ma:displayName="Historical" ma:default="No" ma:description="If this is checked as yes, it doesn't need to be reviewed annually." ma:format="Dropdown" ma:internalName="Historical" ma:readOnly="false">
      <xsd:simpleType>
        <xsd:restriction base="dms:Choice">
          <xsd:enumeration value="Yes"/>
          <xsd:enumeration value="No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9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Historical xmlns="971ecb86-dbcb-4cad-aa0a-8e3edd121c88">No</Historical>
    <Forms_Description xmlns="971ecb86-dbcb-4cad-aa0a-8e3edd121c88" xsi:nil="true"/>
    <Review_x0020_Frequency_x0020_Period xmlns="971ecb86-dbcb-4cad-aa0a-8e3edd121c88">Annually</Review_x0020_Frequency_x0020_Period>
    <Language_x0020_Review_x0020_Date xmlns="971ecb86-dbcb-4cad-aa0a-8e3edd121c88" xsi:nil="true"/>
    <statutesRulesPolicies xmlns="971ecb86-dbcb-4cad-aa0a-8e3edd121c88"/>
    <Is_x0020_this_x0020_Legally_x0020_required_x003f_ xmlns="971ecb86-dbcb-4cad-aa0a-8e3edd121c88">No</Is_x0020_this_x0020_Legally_x0020_required_x003f_>
    <DocumentName xmlns="971ecb86-dbcb-4cad-aa0a-8e3edd121c88" xsi:nil="true"/>
    <Web_x0020_Category xmlns="971ecb86-dbcb-4cad-aa0a-8e3edd121c88" xsi:nil="true"/>
    <PublishingExpirationDate xmlns="http://schemas.microsoft.com/sharepoint/v3" xsi:nil="true"/>
    <Notes0 xmlns="971ecb86-dbcb-4cad-aa0a-8e3edd121c88" xsi:nil="true"/>
    <PublishingStartDate xmlns="http://schemas.microsoft.com/sharepoint/v3" xsi:nil="true"/>
    <DocumentDescription xmlns="971ecb86-dbcb-4cad-aa0a-8e3edd121c88" xsi:nil="true"/>
    <Review_x0020_Frequency_x0020_by_x0020_Month xmlns="971ecb86-dbcb-4cad-aa0a-8e3edd121c88"/>
    <Date_x0020_last_x0020_reviewed xmlns="971ecb86-dbcb-4cad-aa0a-8e3edd121c88" xsi:nil="true"/>
    <Legal_x0020_Review_x0020_Date xmlns="971ecb86-dbcb-4cad-aa0a-8e3edd121c88" xsi:nil="true"/>
    <Automated_x0020_Content xmlns="971ecb86-dbcb-4cad-aa0a-8e3edd121c88">No</Automated_x0020_Content>
  </documentManagement>
</p:properties>
</file>

<file path=customXml/itemProps1.xml><?xml version="1.0" encoding="utf-8"?>
<ds:datastoreItem xmlns:ds="http://schemas.openxmlformats.org/officeDocument/2006/customXml" ds:itemID="{53A82812-C041-4BE2-9D8F-B3C06E6EE7EE}"/>
</file>

<file path=customXml/itemProps2.xml><?xml version="1.0" encoding="utf-8"?>
<ds:datastoreItem xmlns:ds="http://schemas.openxmlformats.org/officeDocument/2006/customXml" ds:itemID="{FA617F3B-4CCE-43A1-9E44-048EA328F1EE}"/>
</file>

<file path=customXml/itemProps3.xml><?xml version="1.0" encoding="utf-8"?>
<ds:datastoreItem xmlns:ds="http://schemas.openxmlformats.org/officeDocument/2006/customXml" ds:itemID="{0D9B7669-91C9-4ADC-9270-DDB89A8BCE5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Report Index</vt:lpstr>
      <vt:lpstr>Total Exemption Value by Type</vt:lpstr>
      <vt:lpstr>Real Exemption Value by Type</vt:lpstr>
      <vt:lpstr>Personal Property by Type</vt:lpstr>
      <vt:lpstr>3-Year Homestead Comparison</vt:lpstr>
    </vt:vector>
  </TitlesOfParts>
  <Company>Florida Dept. of Revenue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Florida Dept. of Revenue</dc:creator>
  <cp:lastModifiedBy>Brendan Savage</cp:lastModifiedBy>
  <cp:lastPrinted>2011-08-03T19:54:02Z</cp:lastPrinted>
  <dcterms:created xsi:type="dcterms:W3CDTF">2011-02-09T19:53:54Z</dcterms:created>
  <dcterms:modified xsi:type="dcterms:W3CDTF">2026-07-20T14:37:07Z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0x010100FE8CCF48F7F21843AAD247617866AB0F</vt:lpwstr>
  </property>
</Properties>
</file>