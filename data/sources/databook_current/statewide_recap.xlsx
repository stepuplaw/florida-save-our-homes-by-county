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For Review\"/>
    </mc:Choice>
  </mc:AlternateContent>
  <xr:revisionPtr revIDLastSave="0" documentId="13_ncr:1_{E2EB0B4F-7670-4C0F-9F8E-8BBA3D408915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DR-489V" sheetId="5" r:id="rId1"/>
  </sheets>
  <definedNames>
    <definedName name="_xlnm.Print_Area" localSheetId="0">'DR-489V'!$A$1:$H$58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5" l="1"/>
  <c r="D23" i="5" l="1"/>
  <c r="D22" i="5"/>
  <c r="F23" i="5"/>
  <c r="G10" i="5" l="1"/>
  <c r="G22" i="5"/>
  <c r="D56" i="5"/>
  <c r="F56" i="5"/>
  <c r="G21" i="5"/>
  <c r="E36" i="5"/>
  <c r="E56" i="5"/>
  <c r="G54" i="5"/>
  <c r="G12" i="5"/>
  <c r="G8" i="5"/>
  <c r="G23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B38" i="5"/>
  <c r="F36" i="5"/>
  <c r="G34" i="5"/>
  <c r="G33" i="5"/>
  <c r="G32" i="5"/>
  <c r="G31" i="5"/>
  <c r="G30" i="5"/>
  <c r="G29" i="5"/>
  <c r="G28" i="5"/>
  <c r="G27" i="5"/>
  <c r="G26" i="5"/>
  <c r="B26" i="5"/>
  <c r="B27" i="5"/>
  <c r="B28" i="5"/>
  <c r="B29" i="5"/>
  <c r="B30" i="5"/>
  <c r="B31" i="5"/>
  <c r="B32" i="5"/>
  <c r="B33" i="5"/>
  <c r="B34" i="5"/>
  <c r="G25" i="5"/>
  <c r="G19" i="5"/>
  <c r="G18" i="5"/>
  <c r="G17" i="5"/>
  <c r="G16" i="5"/>
  <c r="G15" i="5"/>
  <c r="G14" i="5"/>
  <c r="G13" i="5"/>
  <c r="G11" i="5"/>
  <c r="D36" i="5"/>
  <c r="F58" i="5" l="1"/>
  <c r="D58" i="5"/>
  <c r="G36" i="5"/>
  <c r="E58" i="5"/>
  <c r="G56" i="5"/>
  <c r="G58" i="5" l="1"/>
</calcChain>
</file>

<file path=xl/sharedStrings.xml><?xml version="1.0" encoding="utf-8"?>
<sst xmlns="http://schemas.openxmlformats.org/spreadsheetml/2006/main" count="70" uniqueCount="68">
  <si>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</si>
  <si>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</si>
  <si>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</si>
  <si>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</si>
  <si>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</si>
  <si>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</si>
  <si>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</si>
  <si>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</si>
  <si>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</si>
  <si>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</si>
  <si>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</si>
  <si>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</si>
  <si>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</si>
  <si>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</si>
  <si>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</si>
  <si>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</si>
  <si>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</si>
  <si>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</si>
  <si>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</si>
  <si>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</si>
  <si>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</si>
  <si>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</si>
  <si>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</si>
  <si>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</si>
  <si>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</si>
  <si>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</si>
  <si>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</si>
  <si>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</si>
  <si>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</si>
  <si>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</si>
  <si>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</si>
  <si>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</si>
  <si>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</si>
  <si>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</si>
  <si>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</si>
  <si>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</si>
  <si>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</si>
  <si>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</si>
  <si>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</si>
  <si>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</si>
  <si>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</si>
  <si>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</si>
  <si>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</si>
  <si>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</si>
  <si>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</si>
  <si>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</si>
  <si>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</si>
  <si>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</si>
  <si>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</si>
  <si>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</si>
  <si>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</si>
  <si>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</si>
  <si>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</si>
  <si>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</si>
  <si>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</si>
  <si>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</si>
  <si>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</si>
  <si>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</si>
  <si>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</si>
  <si>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</si>
  <si>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</si>
  <si>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</si>
  <si>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</si>
  <si>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</si>
  <si>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t>**Data is as reported by the Property Appraiser</t>
  </si>
  <si>
    <t>The 2026 Preliminary Recapitulation of the Ad Valorem Assessment Roll</t>
  </si>
  <si>
    <r>
      <t>Econ. Dev. Exemption (196.1995, F.S.),</t>
    </r>
    <r>
      <rPr>
        <sz val="8"/>
        <color rgb="FFFF0000"/>
        <rFont val="Arial"/>
        <family val="2"/>
      </rPr>
      <t xml:space="preserve"> Licensed Child Care Facility in Ent. Zone (196.095, F.S.)</t>
    </r>
    <r>
      <rPr>
        <sz val="8"/>
        <rFont val="Arial"/>
        <family val="2"/>
        <charset val="186"/>
      </rPr>
      <t xml:space="preserve">   *                     </t>
    </r>
  </si>
  <si>
    <t>Date Certified:  07-13-2026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</si>
</sst>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u/>
      <sz val="9"/>
      <name val="Arial"/>
      <family val="2"/>
    </font>
    <font>
      <b/>
      <sz val="10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1" fillId="2" borderId="0" xfId="1" applyFill="1" applyAlignment="1">
      <alignment wrapText="1"/>
    </xf>
    <xf numFmtId="1" fontId="0" fillId="0" borderId="0" xfId="0" applyNumberFormat="1"/>
    <xf numFmtId="0" fontId="5" fillId="0" borderId="0" xfId="1" applyFont="1" applyFill="1" applyAlignment="1">
      <alignment vertical="center"/>
    </xf>
    <xf numFmtId="0" fontId="13" fillId="0" borderId="0" xfId="1" applyFont="1" applyFill="1" applyAlignment="1">
      <alignment horizontal="right" vertical="center"/>
    </xf>
    <xf numFmtId="0" fontId="0" fillId="0" borderId="0" xfId="0" applyFill="1"/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9" fillId="7" borderId="1" xfId="1" applyNumberFormat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2 3" xfId="2" xr:uid="{00000000-0005-0000-0000-000002000000}"/>
    <cellStyle name="Normal 2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40966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4E1DE77-203A-45F6-B123-88587495D966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109536</xdr:colOff>
      <xdr:row>0</xdr:row>
      <xdr:rowOff>23335</xdr:rowOff>
    </xdr:from>
    <xdr:to>
      <xdr:col>2</xdr:col>
      <xdr:colOff>1308719</xdr:colOff>
      <xdr:row>2</xdr:row>
      <xdr:rowOff>83344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4D87D16-8133-4CE3-9E92-893A6C25386A}"/>
            </a:ext>
          </a:extLst>
        </xdr:cNvPr>
        <xdr:cNvSpPr txBox="1">
          <a:spLocks noChangeArrowheads="1"/>
        </xdr:cNvSpPr>
      </xdr:nvSpPr>
      <xdr:spPr bwMode="auto">
        <a:xfrm>
          <a:off x="240505" y="23335"/>
          <a:ext cx="1413495" cy="464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DR-489V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AU60"/>
  <sheetViews>
    <sheetView showGridLines="0" tabSelected="1" zoomScale="80" zoomScaleNormal="80" workbookViewId="0">
      <selection sqref="A1:H1"/>
    </sheetView>
  </sheetViews>
  <sheetFormatPr defaultRowHeight="15" x14ac:dyDescent="0.25"/>
  <cols>
    <col min="1" max="1" width="2" style="41" customWidth="1"/>
    <col min="2" max="2" width="3.28515625" style="41" customWidth="1"/>
    <col min="3" max="3" width="78.28515625" style="42" customWidth="1"/>
    <col min="4" max="4" width="31" style="41" bestFit="1" customWidth="1"/>
    <col min="5" max="5" width="20.28515625" style="41" bestFit="1" customWidth="1"/>
    <col min="6" max="6" width="17.85546875" style="41" customWidth="1"/>
    <col min="7" max="7" width="18.85546875" style="41" customWidth="1"/>
    <col min="8" max="8" width="2.7109375" style="41" customWidth="1"/>
    <col min="10" max="10" width="45.140625" bestFit="1" customWidth="1"/>
    <col min="11" max="11" width="45.85546875" bestFit="1" customWidth="1"/>
    <col min="12" max="12" width="41.5703125" bestFit="1" customWidth="1"/>
    <col min="13" max="13" width="15.85546875" style="43" bestFit="1" customWidth="1"/>
    <col min="14" max="14" width="13.5703125" style="43" bestFit="1" customWidth="1"/>
    <col min="15" max="15" width="15.85546875" style="43" bestFit="1" customWidth="1"/>
    <col min="16" max="17" width="13.5703125" style="43" bestFit="1" customWidth="1"/>
    <col min="48" max="16384" width="9.140625" style="41"/>
  </cols>
  <sheetData>
    <row r="1" spans="1:47" s="1" customFormat="1" ht="15.75" customHeight="1" x14ac:dyDescent="0.25">
      <c r="A1" s="47" t="s">
        <v>65</v>
      </c>
      <c r="B1" s="47"/>
      <c r="C1" s="47"/>
      <c r="D1" s="47"/>
      <c r="E1" s="47"/>
      <c r="F1" s="47"/>
      <c r="G1" s="47"/>
      <c r="H1" s="47"/>
      <c r="I1"/>
      <c r="J1"/>
      <c r="K1"/>
      <c r="L1"/>
      <c r="M1" s="43"/>
      <c r="N1" s="43"/>
      <c r="O1" s="43"/>
      <c r="P1" s="43"/>
      <c r="Q1" s="43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47" s="2" customFormat="1" ht="15.75" customHeight="1" x14ac:dyDescent="0.25">
      <c r="A2" s="48" t="s">
        <v>0</v>
      </c>
      <c r="B2" s="48"/>
      <c r="C2" s="48"/>
      <c r="D2" s="48"/>
      <c r="E2" s="48"/>
      <c r="F2" s="48"/>
      <c r="G2" s="48"/>
      <c r="H2" s="48"/>
      <c r="I2"/>
      <c r="J2"/>
      <c r="K2"/>
      <c r="L2"/>
      <c r="M2" s="43"/>
      <c r="N2" s="43"/>
      <c r="O2" s="43"/>
      <c r="P2" s="43"/>
      <c r="Q2" s="43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</row>
    <row r="3" spans="1:47" s="2" customFormat="1" ht="15.75" customHeight="1" x14ac:dyDescent="0.25">
      <c r="A3" s="3"/>
      <c r="B3" s="4"/>
      <c r="C3" s="5" t="s">
        <v>61</v>
      </c>
      <c r="D3" s="6" t="s">
        <v>62</v>
      </c>
      <c r="E3" s="7"/>
      <c r="F3" s="44"/>
      <c r="G3" s="44"/>
      <c r="H3" s="45" t="s">
        <v>67</v>
      </c>
      <c r="I3" s="46"/>
      <c r="J3"/>
      <c r="K3"/>
      <c r="L3"/>
      <c r="M3" s="43"/>
      <c r="N3" s="43"/>
      <c r="O3" s="43"/>
      <c r="P3" s="43"/>
      <c r="Q3" s="4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s="10" customFormat="1" x14ac:dyDescent="0.25">
      <c r="A4" s="8"/>
      <c r="B4" s="9"/>
      <c r="C4" s="8"/>
      <c r="D4" s="2"/>
      <c r="E4" s="2"/>
      <c r="F4" s="2"/>
      <c r="G4" s="2"/>
      <c r="H4" s="3"/>
      <c r="I4"/>
      <c r="J4"/>
      <c r="K4"/>
      <c r="L4"/>
      <c r="M4" s="43"/>
      <c r="N4" s="43"/>
      <c r="O4" s="43"/>
      <c r="P4" s="43"/>
      <c r="Q4" s="43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10" customFormat="1" x14ac:dyDescent="0.25">
      <c r="A5" s="8"/>
      <c r="B5" s="9"/>
      <c r="C5" s="11"/>
      <c r="D5" s="12" t="s">
        <v>1</v>
      </c>
      <c r="E5" s="12" t="s">
        <v>2</v>
      </c>
      <c r="F5" s="12" t="s">
        <v>3</v>
      </c>
      <c r="G5" s="12" t="s">
        <v>4</v>
      </c>
      <c r="H5" s="3"/>
      <c r="I5"/>
      <c r="J5"/>
      <c r="K5"/>
      <c r="L5"/>
      <c r="M5" s="43"/>
      <c r="N5" s="43"/>
      <c r="O5" s="43"/>
      <c r="P5" s="43"/>
      <c r="Q5" s="43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s="10" customFormat="1" x14ac:dyDescent="0.25">
      <c r="A6" s="8"/>
      <c r="B6" s="9"/>
      <c r="C6" s="11"/>
      <c r="D6" s="13" t="s">
        <v>5</v>
      </c>
      <c r="E6" s="13" t="s">
        <v>6</v>
      </c>
      <c r="F6" s="13" t="s">
        <v>7</v>
      </c>
      <c r="G6" s="13" t="s">
        <v>8</v>
      </c>
      <c r="H6" s="3"/>
      <c r="I6"/>
      <c r="J6"/>
      <c r="K6"/>
      <c r="L6"/>
      <c r="M6" s="43"/>
      <c r="N6" s="43"/>
      <c r="O6" s="43"/>
      <c r="P6" s="43"/>
      <c r="Q6" s="4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s="19" customFormat="1" x14ac:dyDescent="0.25">
      <c r="A7" s="14" t="s">
        <v>9</v>
      </c>
      <c r="B7" s="15"/>
      <c r="C7" s="16"/>
      <c r="D7" s="17" t="s">
        <v>10</v>
      </c>
      <c r="E7" s="17" t="s">
        <v>11</v>
      </c>
      <c r="F7" s="17" t="s">
        <v>11</v>
      </c>
      <c r="G7" s="17" t="s">
        <v>11</v>
      </c>
      <c r="H7" s="18"/>
      <c r="I7"/>
      <c r="J7"/>
      <c r="K7"/>
      <c r="L7"/>
      <c r="M7" s="43"/>
      <c r="N7" s="43"/>
      <c r="O7" s="43"/>
      <c r="P7" s="43"/>
      <c r="Q7" s="4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s="19" customFormat="1" x14ac:dyDescent="0.25">
      <c r="A8" s="20"/>
      <c r="B8" s="21">
        <v>1</v>
      </c>
      <c r="C8" s="22" t="s">
        <v>12</v>
      </c>
      <c r="D8" s="23">
        <v>5232066392772</v>
      </c>
      <c r="E8" s="24">
        <v>262826445626</v>
      </c>
      <c r="F8" s="25">
        <v>2237669884</v>
      </c>
      <c r="G8" s="26">
        <f t="shared" ref="G8:G51" si="0">SUM(D8:F8)</f>
        <v>5497130508282</v>
      </c>
      <c r="H8" s="21">
        <v>1</v>
      </c>
      <c r="I8"/>
      <c r="J8"/>
      <c r="K8"/>
      <c r="L8"/>
      <c r="M8" s="43"/>
      <c r="N8" s="43"/>
      <c r="O8" s="43"/>
      <c r="P8" s="43"/>
      <c r="Q8" s="4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19" customFormat="1" x14ac:dyDescent="0.25">
      <c r="A9" s="27" t="s">
        <v>13</v>
      </c>
      <c r="B9" s="15"/>
      <c r="C9" s="16"/>
      <c r="D9" s="28"/>
      <c r="E9" s="28"/>
      <c r="F9" s="28"/>
      <c r="G9" s="29"/>
      <c r="H9" s="15"/>
      <c r="I9"/>
      <c r="J9"/>
      <c r="K9"/>
      <c r="L9"/>
      <c r="M9" s="43"/>
      <c r="N9" s="43"/>
      <c r="O9" s="43"/>
      <c r="P9" s="43"/>
      <c r="Q9" s="4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s="19" customFormat="1" x14ac:dyDescent="0.25">
      <c r="A10" s="20"/>
      <c r="B10" s="21">
        <v>2</v>
      </c>
      <c r="C10" s="22" t="s">
        <v>14</v>
      </c>
      <c r="D10" s="23">
        <v>104660725425</v>
      </c>
      <c r="E10" s="24"/>
      <c r="F10" s="25"/>
      <c r="G10" s="26">
        <f t="shared" si="0"/>
        <v>104660725425</v>
      </c>
      <c r="H10" s="21">
        <v>2</v>
      </c>
      <c r="I10"/>
      <c r="J10"/>
      <c r="K10"/>
      <c r="L10"/>
      <c r="M10" s="43"/>
      <c r="N10" s="43"/>
      <c r="O10" s="43"/>
      <c r="P10" s="43"/>
      <c r="Q10" s="4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s="19" customFormat="1" x14ac:dyDescent="0.25">
      <c r="A11" s="20"/>
      <c r="B11" s="21">
        <v>3</v>
      </c>
      <c r="C11" s="22" t="s">
        <v>15</v>
      </c>
      <c r="D11" s="23">
        <v>0</v>
      </c>
      <c r="E11" s="24"/>
      <c r="F11" s="25"/>
      <c r="G11" s="26">
        <f t="shared" si="0"/>
        <v>0</v>
      </c>
      <c r="H11" s="21">
        <v>3</v>
      </c>
      <c r="I11"/>
      <c r="J11"/>
      <c r="K11"/>
      <c r="L11"/>
      <c r="M11" s="43"/>
      <c r="N11" s="43"/>
      <c r="O11" s="43"/>
      <c r="P11" s="43"/>
      <c r="Q11" s="43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s="19" customFormat="1" x14ac:dyDescent="0.25">
      <c r="A12" s="20"/>
      <c r="B12" s="21">
        <v>4</v>
      </c>
      <c r="C12" s="30" t="s">
        <v>16</v>
      </c>
      <c r="D12" s="23">
        <v>119177795</v>
      </c>
      <c r="E12" s="24"/>
      <c r="F12" s="25"/>
      <c r="G12" s="26">
        <f t="shared" si="0"/>
        <v>119177795</v>
      </c>
      <c r="H12" s="21">
        <v>4</v>
      </c>
      <c r="I12"/>
      <c r="J12"/>
      <c r="K12"/>
      <c r="L12"/>
      <c r="M12" s="43"/>
      <c r="N12" s="43"/>
      <c r="O12" s="43"/>
      <c r="P12" s="43"/>
      <c r="Q12" s="43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s="19" customFormat="1" x14ac:dyDescent="0.25">
      <c r="A13" s="20"/>
      <c r="B13" s="21">
        <v>5</v>
      </c>
      <c r="C13" s="22" t="s">
        <v>17</v>
      </c>
      <c r="D13" s="23">
        <v>0</v>
      </c>
      <c r="E13" s="24">
        <v>7011462906</v>
      </c>
      <c r="F13" s="25"/>
      <c r="G13" s="26">
        <f t="shared" si="0"/>
        <v>7011462906</v>
      </c>
      <c r="H13" s="21">
        <v>5</v>
      </c>
      <c r="I13"/>
      <c r="J13"/>
      <c r="K13"/>
      <c r="L13"/>
      <c r="M13" s="43"/>
      <c r="N13" s="43"/>
      <c r="O13" s="43"/>
      <c r="P13" s="43"/>
      <c r="Q13" s="4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s="19" customFormat="1" x14ac:dyDescent="0.25">
      <c r="A14" s="20"/>
      <c r="B14" s="21">
        <v>6</v>
      </c>
      <c r="C14" s="22" t="s">
        <v>18</v>
      </c>
      <c r="D14" s="23">
        <v>0</v>
      </c>
      <c r="E14" s="24">
        <v>3321718933</v>
      </c>
      <c r="F14" s="25"/>
      <c r="G14" s="26">
        <f t="shared" si="0"/>
        <v>3321718933</v>
      </c>
      <c r="H14" s="21">
        <v>6</v>
      </c>
      <c r="I14"/>
      <c r="J14"/>
      <c r="K14"/>
      <c r="L14"/>
      <c r="M14" s="43"/>
      <c r="N14" s="43"/>
      <c r="O14" s="43"/>
      <c r="P14" s="43"/>
      <c r="Q14" s="43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19" customFormat="1" x14ac:dyDescent="0.25">
      <c r="A15" s="20"/>
      <c r="B15" s="21">
        <v>7</v>
      </c>
      <c r="C15" s="22" t="s">
        <v>19</v>
      </c>
      <c r="D15" s="23">
        <v>0</v>
      </c>
      <c r="E15" s="24">
        <v>0</v>
      </c>
      <c r="F15" s="25"/>
      <c r="G15" s="26">
        <f t="shared" si="0"/>
        <v>0</v>
      </c>
      <c r="H15" s="21">
        <v>7</v>
      </c>
      <c r="I15"/>
      <c r="J15"/>
      <c r="K15"/>
      <c r="L15"/>
      <c r="M15" s="43"/>
      <c r="N15" s="43"/>
      <c r="O15" s="43"/>
      <c r="P15" s="43"/>
      <c r="Q15" s="43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s="19" customFormat="1" x14ac:dyDescent="0.25">
      <c r="A16" s="20"/>
      <c r="B16" s="21">
        <v>8</v>
      </c>
      <c r="C16" s="22" t="s">
        <v>20</v>
      </c>
      <c r="D16" s="23">
        <v>2387633416012</v>
      </c>
      <c r="E16" s="24"/>
      <c r="F16" s="25"/>
      <c r="G16" s="26">
        <f t="shared" si="0"/>
        <v>2387633416012</v>
      </c>
      <c r="H16" s="21">
        <v>8</v>
      </c>
      <c r="I16"/>
      <c r="J16"/>
      <c r="K16"/>
      <c r="L16"/>
      <c r="M16" s="43"/>
      <c r="N16" s="43"/>
      <c r="O16" s="43"/>
      <c r="P16" s="43"/>
      <c r="Q16" s="43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s="19" customFormat="1" x14ac:dyDescent="0.25">
      <c r="A17" s="20"/>
      <c r="B17" s="21">
        <v>9</v>
      </c>
      <c r="C17" s="22" t="s">
        <v>21</v>
      </c>
      <c r="D17" s="23">
        <v>1415468159676</v>
      </c>
      <c r="E17" s="24"/>
      <c r="F17" s="25"/>
      <c r="G17" s="26">
        <f t="shared" si="0"/>
        <v>1415468159676</v>
      </c>
      <c r="H17" s="21">
        <v>9</v>
      </c>
      <c r="I17"/>
      <c r="J17"/>
      <c r="K17"/>
      <c r="L17"/>
      <c r="M17" s="43"/>
      <c r="N17" s="43"/>
      <c r="O17" s="43"/>
      <c r="P17" s="43"/>
      <c r="Q17" s="43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s="19" customFormat="1" x14ac:dyDescent="0.25">
      <c r="A18" s="20"/>
      <c r="B18" s="21">
        <v>10</v>
      </c>
      <c r="C18" s="22" t="s">
        <v>22</v>
      </c>
      <c r="D18" s="23">
        <v>1323143560964</v>
      </c>
      <c r="E18" s="24"/>
      <c r="F18" s="25">
        <v>1503438208</v>
      </c>
      <c r="G18" s="26">
        <f t="shared" si="0"/>
        <v>1324646999172</v>
      </c>
      <c r="H18" s="21">
        <v>10</v>
      </c>
      <c r="I18"/>
      <c r="J18"/>
      <c r="K18"/>
      <c r="L18"/>
      <c r="M18" s="43"/>
      <c r="N18" s="43"/>
      <c r="O18" s="43"/>
      <c r="P18" s="43"/>
      <c r="Q18" s="43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s="19" customFormat="1" x14ac:dyDescent="0.25">
      <c r="A19" s="20"/>
      <c r="B19" s="21">
        <v>11</v>
      </c>
      <c r="C19" s="22" t="s">
        <v>23</v>
      </c>
      <c r="D19" s="23">
        <v>1189111002</v>
      </c>
      <c r="E19" s="24">
        <v>0</v>
      </c>
      <c r="F19" s="25"/>
      <c r="G19" s="26">
        <f t="shared" si="0"/>
        <v>1189111002</v>
      </c>
      <c r="H19" s="21">
        <v>11</v>
      </c>
      <c r="I19"/>
      <c r="J19"/>
      <c r="K19"/>
      <c r="L19"/>
      <c r="M19" s="43"/>
      <c r="N19" s="43"/>
      <c r="O19" s="43"/>
      <c r="P19" s="43"/>
      <c r="Q19" s="43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s="19" customFormat="1" x14ac:dyDescent="0.25">
      <c r="A20" s="31" t="s">
        <v>24</v>
      </c>
      <c r="B20" s="18"/>
      <c r="C20" s="16"/>
      <c r="D20" s="28"/>
      <c r="E20" s="28"/>
      <c r="F20" s="28"/>
      <c r="G20" s="29"/>
      <c r="H20" s="18"/>
      <c r="I20"/>
      <c r="J20"/>
      <c r="K20"/>
      <c r="L20"/>
      <c r="M20" s="43"/>
      <c r="N20" s="43"/>
      <c r="O20" s="43"/>
      <c r="P20" s="43"/>
      <c r="Q20" s="4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19" customFormat="1" x14ac:dyDescent="0.25">
      <c r="A21" s="20"/>
      <c r="B21" s="21">
        <v>12</v>
      </c>
      <c r="C21" s="22" t="s">
        <v>25</v>
      </c>
      <c r="D21" s="23">
        <f>D16-D31</f>
        <v>815135591712</v>
      </c>
      <c r="E21" s="24">
        <v>0</v>
      </c>
      <c r="F21" s="25">
        <v>0</v>
      </c>
      <c r="G21" s="26">
        <f>SUM(D21:F21)</f>
        <v>815135591712</v>
      </c>
      <c r="H21" s="21">
        <v>12</v>
      </c>
      <c r="I21"/>
      <c r="J21"/>
      <c r="K21"/>
      <c r="L21"/>
      <c r="M21" s="43"/>
      <c r="N21" s="43"/>
      <c r="O21" s="43"/>
      <c r="P21" s="43"/>
      <c r="Q21" s="4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s="19" customFormat="1" x14ac:dyDescent="0.25">
      <c r="A22" s="20"/>
      <c r="B22" s="21">
        <v>13</v>
      </c>
      <c r="C22" s="22" t="s">
        <v>26</v>
      </c>
      <c r="D22" s="23">
        <f>D17-D32</f>
        <v>82840101418</v>
      </c>
      <c r="E22" s="24">
        <v>0</v>
      </c>
      <c r="F22" s="25">
        <v>0</v>
      </c>
      <c r="G22" s="26">
        <f>SUM(D22:F22)</f>
        <v>82840101418</v>
      </c>
      <c r="H22" s="21">
        <v>13</v>
      </c>
      <c r="I22"/>
      <c r="J22"/>
      <c r="K22"/>
      <c r="L22"/>
      <c r="M22" s="43"/>
      <c r="N22" s="43"/>
      <c r="O22" s="43"/>
      <c r="P22" s="43"/>
      <c r="Q22" s="43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s="19" customFormat="1" x14ac:dyDescent="0.25">
      <c r="A23" s="20"/>
      <c r="B23" s="21">
        <v>14</v>
      </c>
      <c r="C23" s="22" t="s">
        <v>27</v>
      </c>
      <c r="D23" s="23">
        <f>D18-D33</f>
        <v>113737044395</v>
      </c>
      <c r="E23" s="24">
        <v>0</v>
      </c>
      <c r="F23" s="25">
        <f>F18-F33</f>
        <v>10968554</v>
      </c>
      <c r="G23" s="26">
        <f>SUM(D23:F23)</f>
        <v>113748012949</v>
      </c>
      <c r="H23" s="21">
        <v>14</v>
      </c>
      <c r="I23"/>
      <c r="J23"/>
      <c r="K23"/>
      <c r="L23"/>
      <c r="M23" s="43"/>
      <c r="N23" s="43"/>
      <c r="O23" s="43"/>
      <c r="P23" s="43"/>
      <c r="Q23" s="4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s="19" customFormat="1" x14ac:dyDescent="0.25">
      <c r="A24" s="27" t="s">
        <v>28</v>
      </c>
      <c r="B24" s="15"/>
      <c r="C24" s="16"/>
      <c r="D24" s="28"/>
      <c r="E24" s="28"/>
      <c r="F24" s="28"/>
      <c r="G24" s="29"/>
      <c r="H24" s="15"/>
      <c r="I24"/>
      <c r="J24"/>
      <c r="K24"/>
      <c r="L24"/>
      <c r="M24" s="43"/>
      <c r="N24" s="43"/>
      <c r="O24" s="43"/>
      <c r="P24" s="43"/>
      <c r="Q24" s="43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s="19" customFormat="1" x14ac:dyDescent="0.25">
      <c r="A25" s="20"/>
      <c r="B25" s="21">
        <v>15</v>
      </c>
      <c r="C25" s="22" t="s">
        <v>29</v>
      </c>
      <c r="D25" s="23">
        <v>4916392328</v>
      </c>
      <c r="E25" s="24"/>
      <c r="F25" s="25"/>
      <c r="G25" s="26">
        <f t="shared" si="0"/>
        <v>4916392328</v>
      </c>
      <c r="H25" s="21">
        <v>15</v>
      </c>
      <c r="I25"/>
      <c r="J25"/>
      <c r="K25"/>
      <c r="L25"/>
      <c r="M25" s="43"/>
      <c r="N25" s="43"/>
      <c r="O25" s="43"/>
      <c r="P25" s="43"/>
      <c r="Q25" s="43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s="19" customFormat="1" x14ac:dyDescent="0.25">
      <c r="A26" s="20"/>
      <c r="B26" s="21">
        <f t="shared" ref="B26:B34" si="1">B25+1</f>
        <v>16</v>
      </c>
      <c r="C26" s="22" t="s">
        <v>30</v>
      </c>
      <c r="D26" s="23">
        <v>0</v>
      </c>
      <c r="E26" s="24"/>
      <c r="F26" s="25"/>
      <c r="G26" s="26">
        <f t="shared" si="0"/>
        <v>0</v>
      </c>
      <c r="H26" s="21">
        <v>16</v>
      </c>
      <c r="I26"/>
      <c r="J26"/>
      <c r="K26"/>
      <c r="L26"/>
      <c r="M26" s="43"/>
      <c r="N26" s="43"/>
      <c r="O26" s="43"/>
      <c r="P26" s="43"/>
      <c r="Q26" s="43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s="19" customFormat="1" x14ac:dyDescent="0.25">
      <c r="A27" s="20"/>
      <c r="B27" s="21">
        <f t="shared" si="1"/>
        <v>17</v>
      </c>
      <c r="C27" s="30" t="s">
        <v>31</v>
      </c>
      <c r="D27" s="23">
        <v>27920833</v>
      </c>
      <c r="E27" s="24"/>
      <c r="F27" s="25"/>
      <c r="G27" s="26">
        <f t="shared" si="0"/>
        <v>27920833</v>
      </c>
      <c r="H27" s="21">
        <v>17</v>
      </c>
      <c r="I27"/>
      <c r="J27"/>
      <c r="K27"/>
      <c r="L27"/>
      <c r="M27" s="43"/>
      <c r="N27" s="43"/>
      <c r="O27" s="43"/>
      <c r="P27" s="43"/>
      <c r="Q27" s="43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s="19" customFormat="1" x14ac:dyDescent="0.25">
      <c r="A28" s="20"/>
      <c r="B28" s="21">
        <f t="shared" si="1"/>
        <v>18</v>
      </c>
      <c r="C28" s="22" t="s">
        <v>32</v>
      </c>
      <c r="D28" s="23">
        <v>0</v>
      </c>
      <c r="E28" s="24">
        <v>409670212</v>
      </c>
      <c r="F28" s="25"/>
      <c r="G28" s="26">
        <f t="shared" si="0"/>
        <v>409670212</v>
      </c>
      <c r="H28" s="21">
        <v>18</v>
      </c>
      <c r="I28"/>
      <c r="J28"/>
      <c r="K28"/>
      <c r="L28"/>
      <c r="M28" s="43"/>
      <c r="N28" s="43"/>
      <c r="O28" s="43"/>
      <c r="P28" s="43"/>
      <c r="Q28" s="43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s="19" customFormat="1" x14ac:dyDescent="0.25">
      <c r="A29" s="20"/>
      <c r="B29" s="21">
        <f t="shared" si="1"/>
        <v>19</v>
      </c>
      <c r="C29" s="32" t="s">
        <v>33</v>
      </c>
      <c r="D29" s="23">
        <v>0</v>
      </c>
      <c r="E29" s="24">
        <v>3321718933</v>
      </c>
      <c r="F29" s="25"/>
      <c r="G29" s="26">
        <f t="shared" si="0"/>
        <v>3321718933</v>
      </c>
      <c r="H29" s="21">
        <v>19</v>
      </c>
      <c r="I29"/>
      <c r="J29"/>
      <c r="K29"/>
      <c r="L29"/>
      <c r="M29" s="43"/>
      <c r="N29" s="43"/>
      <c r="O29" s="43"/>
      <c r="P29" s="43"/>
      <c r="Q29" s="43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s="19" customFormat="1" x14ac:dyDescent="0.25">
      <c r="A30" s="20"/>
      <c r="B30" s="21">
        <f t="shared" si="1"/>
        <v>20</v>
      </c>
      <c r="C30" s="22" t="s">
        <v>34</v>
      </c>
      <c r="D30" s="23">
        <v>0</v>
      </c>
      <c r="E30" s="24">
        <v>0</v>
      </c>
      <c r="F30" s="25"/>
      <c r="G30" s="26">
        <f t="shared" si="0"/>
        <v>0</v>
      </c>
      <c r="H30" s="21">
        <v>20</v>
      </c>
      <c r="I30"/>
      <c r="J30"/>
      <c r="K30"/>
      <c r="L30"/>
      <c r="M30" s="43"/>
      <c r="N30" s="43"/>
      <c r="O30" s="43"/>
      <c r="P30" s="43"/>
      <c r="Q30" s="43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s="19" customFormat="1" x14ac:dyDescent="0.25">
      <c r="A31" s="20"/>
      <c r="B31" s="21">
        <f t="shared" si="1"/>
        <v>21</v>
      </c>
      <c r="C31" s="22" t="s">
        <v>35</v>
      </c>
      <c r="D31" s="23">
        <v>1572497824300</v>
      </c>
      <c r="E31" s="24"/>
      <c r="F31" s="25"/>
      <c r="G31" s="26">
        <f t="shared" si="0"/>
        <v>1572497824300</v>
      </c>
      <c r="H31" s="21">
        <v>21</v>
      </c>
      <c r="I31"/>
      <c r="J31"/>
      <c r="K31"/>
      <c r="L31"/>
      <c r="M31" s="43"/>
      <c r="N31" s="43"/>
      <c r="O31" s="43"/>
      <c r="P31" s="43"/>
      <c r="Q31" s="43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s="19" customFormat="1" x14ac:dyDescent="0.25">
      <c r="A32" s="20"/>
      <c r="B32" s="21">
        <f t="shared" si="1"/>
        <v>22</v>
      </c>
      <c r="C32" s="22" t="s">
        <v>36</v>
      </c>
      <c r="D32" s="23">
        <v>1332628058258</v>
      </c>
      <c r="E32" s="24"/>
      <c r="F32" s="25"/>
      <c r="G32" s="26">
        <f t="shared" si="0"/>
        <v>1332628058258</v>
      </c>
      <c r="H32" s="21">
        <v>22</v>
      </c>
      <c r="I32"/>
      <c r="J32"/>
      <c r="K32"/>
      <c r="L32"/>
      <c r="M32" s="43"/>
      <c r="N32" s="43"/>
      <c r="O32" s="43"/>
      <c r="P32" s="43"/>
      <c r="Q32" s="43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s="19" customFormat="1" x14ac:dyDescent="0.25">
      <c r="A33" s="20"/>
      <c r="B33" s="21">
        <f t="shared" si="1"/>
        <v>23</v>
      </c>
      <c r="C33" s="22" t="s">
        <v>37</v>
      </c>
      <c r="D33" s="23">
        <v>1209406516569</v>
      </c>
      <c r="E33" s="24"/>
      <c r="F33" s="25">
        <v>1492469654</v>
      </c>
      <c r="G33" s="26">
        <f t="shared" si="0"/>
        <v>1210898986223</v>
      </c>
      <c r="H33" s="21">
        <v>23</v>
      </c>
      <c r="I33"/>
      <c r="J33"/>
      <c r="K33"/>
      <c r="L33"/>
      <c r="M33" s="43"/>
      <c r="N33" s="43"/>
      <c r="O33" s="43"/>
      <c r="P33" s="43"/>
      <c r="Q33" s="4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s="19" customFormat="1" x14ac:dyDescent="0.25">
      <c r="A34" s="20"/>
      <c r="B34" s="21">
        <f t="shared" si="1"/>
        <v>24</v>
      </c>
      <c r="C34" s="22" t="s">
        <v>38</v>
      </c>
      <c r="D34" s="23">
        <v>787435061</v>
      </c>
      <c r="E34" s="24">
        <v>0</v>
      </c>
      <c r="F34" s="25"/>
      <c r="G34" s="26">
        <f t="shared" si="0"/>
        <v>787435061</v>
      </c>
      <c r="H34" s="21">
        <v>24</v>
      </c>
      <c r="I34"/>
      <c r="J34"/>
      <c r="K34"/>
      <c r="L34"/>
      <c r="M34" s="43"/>
      <c r="N34" s="43"/>
      <c r="O34" s="43"/>
      <c r="P34" s="43"/>
      <c r="Q34" s="43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s="19" customFormat="1" x14ac:dyDescent="0.25">
      <c r="A35" s="31" t="s">
        <v>39</v>
      </c>
      <c r="B35" s="15"/>
      <c r="C35" s="16"/>
      <c r="D35" s="33"/>
      <c r="E35" s="28"/>
      <c r="F35" s="28"/>
      <c r="G35" s="29"/>
      <c r="H35" s="15"/>
      <c r="I35"/>
      <c r="J35"/>
      <c r="K35"/>
      <c r="L35"/>
      <c r="M35" s="43"/>
      <c r="N35" s="43"/>
      <c r="O35" s="43"/>
      <c r="P35" s="43"/>
      <c r="Q35" s="43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s="19" customFormat="1" x14ac:dyDescent="0.25">
      <c r="A36" s="20"/>
      <c r="B36" s="21">
        <v>25</v>
      </c>
      <c r="C36" s="22" t="s">
        <v>40</v>
      </c>
      <c r="D36" s="34">
        <f>SUM(D8-D10-D11-D12-D13-D14-D15-D16-D17-D18-D19+D25+D26+D27+D28+D29+D30+D31+D32+D33+D34)</f>
        <v>4120116389247</v>
      </c>
      <c r="E36" s="35">
        <f>SUM(E8-E10-E11-E12-E13-E14-E15-E16-E17-E18-E19+E25+E26+E27+E28+E29+E30+E31+E32+E33+E34)</f>
        <v>256224652932</v>
      </c>
      <c r="F36" s="36">
        <f>SUM(F8-F10-F11-F12-F13-F14-F15-F16-F17-F18-F19+F25+F26+F27+F28+F29+F30+F31+F32+F33+F34)</f>
        <v>2226701330</v>
      </c>
      <c r="G36" s="37">
        <f>SUM(G8-G10-G11-G12-G13-G14-G15-G16-G17-G18-G19+G25+G26+G27+G28+G29+G30+G31+G32+G33+G34)</f>
        <v>4378567743509</v>
      </c>
      <c r="H36" s="21">
        <v>25</v>
      </c>
      <c r="I36"/>
      <c r="J36"/>
      <c r="K36"/>
      <c r="L36"/>
      <c r="M36" s="43"/>
      <c r="N36" s="43"/>
      <c r="O36" s="43"/>
      <c r="P36" s="43"/>
      <c r="Q36" s="43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s="19" customFormat="1" x14ac:dyDescent="0.25">
      <c r="A37" s="31" t="s">
        <v>41</v>
      </c>
      <c r="B37" s="15"/>
      <c r="C37" s="16"/>
      <c r="D37" s="33"/>
      <c r="E37" s="28"/>
      <c r="F37" s="28"/>
      <c r="G37" s="29"/>
      <c r="H37" s="15"/>
      <c r="I37"/>
      <c r="J37"/>
      <c r="K37"/>
      <c r="L37"/>
      <c r="M37" s="43"/>
      <c r="N37" s="43"/>
      <c r="O37" s="43"/>
      <c r="P37" s="43"/>
      <c r="Q37" s="43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19" customFormat="1" x14ac:dyDescent="0.25">
      <c r="A38" s="20"/>
      <c r="B38" s="21">
        <f>B36+1</f>
        <v>26</v>
      </c>
      <c r="C38" s="22" t="s">
        <v>42</v>
      </c>
      <c r="D38" s="23">
        <v>130327165315</v>
      </c>
      <c r="E38" s="24"/>
      <c r="F38" s="25"/>
      <c r="G38" s="26">
        <f t="shared" si="0"/>
        <v>130327165315</v>
      </c>
      <c r="H38" s="21">
        <v>26</v>
      </c>
      <c r="I38"/>
      <c r="J38"/>
      <c r="K38"/>
      <c r="L38"/>
      <c r="M38" s="43"/>
      <c r="N38" s="43"/>
      <c r="O38" s="43"/>
      <c r="P38" s="43"/>
      <c r="Q38" s="43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s="19" customFormat="1" x14ac:dyDescent="0.25">
      <c r="A39" s="20"/>
      <c r="B39" s="21">
        <v>27</v>
      </c>
      <c r="C39" s="22" t="s">
        <v>43</v>
      </c>
      <c r="D39" s="23">
        <v>126900404873</v>
      </c>
      <c r="E39" s="24"/>
      <c r="F39" s="25"/>
      <c r="G39" s="26">
        <f t="shared" si="0"/>
        <v>126900404873</v>
      </c>
      <c r="H39" s="21">
        <v>27</v>
      </c>
      <c r="I39"/>
      <c r="J39"/>
      <c r="K39"/>
      <c r="L39"/>
      <c r="M39" s="43"/>
      <c r="N39" s="43"/>
      <c r="O39" s="43"/>
      <c r="P39" s="43"/>
      <c r="Q39" s="43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s="19" customFormat="1" x14ac:dyDescent="0.25">
      <c r="A40" s="20"/>
      <c r="B40" s="21">
        <v>28</v>
      </c>
      <c r="C40" s="22" t="s">
        <v>44</v>
      </c>
      <c r="D40" s="23">
        <v>8691232803</v>
      </c>
      <c r="E40" s="24"/>
      <c r="F40" s="25"/>
      <c r="G40" s="26">
        <f t="shared" si="0"/>
        <v>8691232803</v>
      </c>
      <c r="H40" s="21">
        <v>28</v>
      </c>
      <c r="I40"/>
      <c r="J40"/>
      <c r="K40"/>
      <c r="L40"/>
      <c r="M40" s="43"/>
      <c r="N40" s="43"/>
      <c r="O40" s="43"/>
      <c r="P40" s="43"/>
      <c r="Q40" s="43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s="19" customFormat="1" x14ac:dyDescent="0.25">
      <c r="A41" s="20"/>
      <c r="B41" s="21">
        <v>29</v>
      </c>
      <c r="C41" s="22" t="s">
        <v>45</v>
      </c>
      <c r="D41" s="23"/>
      <c r="E41" s="24">
        <v>7890817981</v>
      </c>
      <c r="F41" s="25">
        <v>56419353</v>
      </c>
      <c r="G41" s="26">
        <f>SUM(E41:F41)</f>
        <v>7947237334</v>
      </c>
      <c r="H41" s="21">
        <v>29</v>
      </c>
      <c r="I41"/>
      <c r="J41"/>
      <c r="K41"/>
      <c r="L41"/>
      <c r="M41" s="43"/>
      <c r="N41" s="43"/>
      <c r="O41" s="43"/>
      <c r="P41" s="43"/>
      <c r="Q41" s="43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s="19" customFormat="1" x14ac:dyDescent="0.25">
      <c r="A42" s="20"/>
      <c r="B42" s="21">
        <v>30</v>
      </c>
      <c r="C42" s="22" t="s">
        <v>46</v>
      </c>
      <c r="D42" s="23">
        <v>208752120159</v>
      </c>
      <c r="E42" s="24">
        <v>31747300903</v>
      </c>
      <c r="F42" s="25"/>
      <c r="G42" s="26">
        <f t="shared" si="0"/>
        <v>240499421062</v>
      </c>
      <c r="H42" s="21">
        <v>30</v>
      </c>
      <c r="I42"/>
      <c r="J42"/>
      <c r="K42"/>
      <c r="L42"/>
      <c r="M42" s="43"/>
      <c r="N42" s="43"/>
      <c r="O42" s="43"/>
      <c r="P42" s="43"/>
      <c r="Q42" s="43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s="19" customFormat="1" ht="21" x14ac:dyDescent="0.25">
      <c r="A43" s="20"/>
      <c r="B43" s="21">
        <v>31</v>
      </c>
      <c r="C43" s="22" t="s">
        <v>47</v>
      </c>
      <c r="D43" s="23">
        <v>118178786639</v>
      </c>
      <c r="E43" s="24">
        <v>11086082848</v>
      </c>
      <c r="F43" s="25"/>
      <c r="G43" s="26">
        <f t="shared" si="0"/>
        <v>129264869487</v>
      </c>
      <c r="H43" s="21">
        <v>31</v>
      </c>
      <c r="I43"/>
      <c r="J43"/>
      <c r="K43"/>
      <c r="L43"/>
      <c r="M43" s="43"/>
      <c r="N43" s="43"/>
      <c r="O43" s="43"/>
      <c r="P43" s="43"/>
      <c r="Q43" s="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19" customFormat="1" x14ac:dyDescent="0.25">
      <c r="A44" s="20"/>
      <c r="B44" s="21">
        <v>32</v>
      </c>
      <c r="C44" s="22" t="s">
        <v>48</v>
      </c>
      <c r="D44" s="23">
        <v>2310798314</v>
      </c>
      <c r="E44" s="24">
        <v>1189098</v>
      </c>
      <c r="F44" s="25"/>
      <c r="G44" s="26">
        <f t="shared" si="0"/>
        <v>2311987412</v>
      </c>
      <c r="H44" s="21">
        <v>32</v>
      </c>
      <c r="I44"/>
      <c r="J44"/>
      <c r="K44"/>
      <c r="L44"/>
      <c r="M44" s="43"/>
      <c r="N44" s="43"/>
      <c r="O44" s="43"/>
      <c r="P44" s="43"/>
      <c r="Q44" s="43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s="19" customFormat="1" x14ac:dyDescent="0.25">
      <c r="A45" s="20"/>
      <c r="B45" s="21">
        <v>33</v>
      </c>
      <c r="C45" s="22" t="s">
        <v>49</v>
      </c>
      <c r="D45" s="23">
        <v>46174423121</v>
      </c>
      <c r="E45" s="24">
        <v>524473</v>
      </c>
      <c r="F45" s="25"/>
      <c r="G45" s="26">
        <f t="shared" si="0"/>
        <v>46174947594</v>
      </c>
      <c r="H45" s="21">
        <v>33</v>
      </c>
      <c r="I45"/>
      <c r="J45"/>
      <c r="K45"/>
      <c r="L45"/>
      <c r="M45" s="43"/>
      <c r="N45" s="43"/>
      <c r="O45" s="43"/>
      <c r="P45" s="43"/>
      <c r="Q45" s="43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s="19" customFormat="1" x14ac:dyDescent="0.25">
      <c r="A46" s="20"/>
      <c r="B46" s="21">
        <v>34</v>
      </c>
      <c r="C46" s="22" t="s">
        <v>50</v>
      </c>
      <c r="D46" s="23">
        <v>582170268</v>
      </c>
      <c r="E46" s="24"/>
      <c r="F46" s="25"/>
      <c r="G46" s="26">
        <f t="shared" si="0"/>
        <v>582170268</v>
      </c>
      <c r="H46" s="21">
        <v>34</v>
      </c>
      <c r="I46"/>
      <c r="J46"/>
      <c r="K46"/>
      <c r="L46"/>
      <c r="M46" s="43"/>
      <c r="N46" s="43"/>
      <c r="O46" s="43"/>
      <c r="P46" s="43"/>
      <c r="Q46" s="43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s="19" customFormat="1" x14ac:dyDescent="0.25">
      <c r="A47" s="20"/>
      <c r="B47" s="21">
        <v>35</v>
      </c>
      <c r="C47" s="22" t="s">
        <v>51</v>
      </c>
      <c r="D47" s="23">
        <v>330101196</v>
      </c>
      <c r="E47" s="24">
        <v>0</v>
      </c>
      <c r="F47" s="25"/>
      <c r="G47" s="26">
        <f t="shared" si="0"/>
        <v>330101196</v>
      </c>
      <c r="H47" s="21">
        <v>35</v>
      </c>
      <c r="I47"/>
      <c r="J47"/>
      <c r="K47"/>
      <c r="L47"/>
      <c r="M47" s="43"/>
      <c r="N47" s="43"/>
      <c r="O47" s="43"/>
      <c r="P47" s="43"/>
      <c r="Q47" s="43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s="19" customFormat="1" x14ac:dyDescent="0.25">
      <c r="A48" s="20"/>
      <c r="B48" s="21">
        <v>36</v>
      </c>
      <c r="C48" s="49" t="s">
        <v>66</v>
      </c>
      <c r="D48" s="23">
        <v>1364634677</v>
      </c>
      <c r="E48" s="24">
        <v>877756862</v>
      </c>
      <c r="F48" s="25"/>
      <c r="G48" s="26">
        <f t="shared" si="0"/>
        <v>2242391539</v>
      </c>
      <c r="H48" s="21">
        <v>36</v>
      </c>
      <c r="I48"/>
      <c r="J48"/>
      <c r="K48"/>
      <c r="L48"/>
      <c r="M48" s="43"/>
      <c r="N48" s="43"/>
      <c r="O48" s="43"/>
      <c r="P48" s="43"/>
      <c r="Q48" s="43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s="19" customFormat="1" x14ac:dyDescent="0.25">
      <c r="A49" s="20"/>
      <c r="B49" s="21">
        <v>37</v>
      </c>
      <c r="C49" s="22" t="s">
        <v>52</v>
      </c>
      <c r="D49" s="23">
        <v>2956756</v>
      </c>
      <c r="E49" s="24"/>
      <c r="F49" s="25"/>
      <c r="G49" s="26">
        <f t="shared" si="0"/>
        <v>2956756</v>
      </c>
      <c r="H49" s="21">
        <v>37</v>
      </c>
      <c r="I49"/>
      <c r="J49"/>
      <c r="K49"/>
      <c r="L49"/>
      <c r="M49" s="43"/>
      <c r="N49" s="43"/>
      <c r="O49" s="43"/>
      <c r="P49" s="43"/>
      <c r="Q49" s="43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s="19" customFormat="1" x14ac:dyDescent="0.25">
      <c r="A50" s="20"/>
      <c r="B50" s="21">
        <v>38</v>
      </c>
      <c r="C50" s="22" t="s">
        <v>53</v>
      </c>
      <c r="D50" s="23">
        <v>60096149</v>
      </c>
      <c r="E50" s="24"/>
      <c r="F50" s="25"/>
      <c r="G50" s="26">
        <f t="shared" si="0"/>
        <v>60096149</v>
      </c>
      <c r="H50" s="21">
        <v>38</v>
      </c>
      <c r="I50"/>
      <c r="J50"/>
      <c r="K50"/>
      <c r="L50"/>
      <c r="M50" s="43"/>
      <c r="N50" s="43"/>
      <c r="O50" s="43"/>
      <c r="P50" s="43"/>
      <c r="Q50" s="43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s="19" customFormat="1" x14ac:dyDescent="0.25">
      <c r="A51" s="20"/>
      <c r="B51" s="21">
        <v>39</v>
      </c>
      <c r="C51" s="22" t="s">
        <v>54</v>
      </c>
      <c r="D51" s="23">
        <v>4384256170</v>
      </c>
      <c r="E51" s="24"/>
      <c r="F51" s="25"/>
      <c r="G51" s="26">
        <f t="shared" si="0"/>
        <v>4384256170</v>
      </c>
      <c r="H51" s="38">
        <v>39</v>
      </c>
      <c r="I51"/>
      <c r="J51"/>
      <c r="K51"/>
      <c r="L51"/>
      <c r="M51" s="43"/>
      <c r="N51" s="43"/>
      <c r="O51" s="43"/>
      <c r="P51" s="43"/>
      <c r="Q51" s="43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s="19" customFormat="1" x14ac:dyDescent="0.25">
      <c r="A52" s="20"/>
      <c r="B52" s="21">
        <v>40</v>
      </c>
      <c r="C52" s="22" t="s">
        <v>55</v>
      </c>
      <c r="D52" s="23">
        <v>107718433</v>
      </c>
      <c r="E52" s="24"/>
      <c r="F52" s="25"/>
      <c r="G52" s="26">
        <f>SUM(D52:F52)</f>
        <v>107718433</v>
      </c>
      <c r="H52" s="38">
        <v>40</v>
      </c>
      <c r="I52"/>
      <c r="J52"/>
      <c r="K52"/>
      <c r="L52"/>
      <c r="M52" s="43"/>
      <c r="N52" s="43"/>
      <c r="O52" s="43"/>
      <c r="P52" s="43"/>
      <c r="Q52" s="43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</row>
    <row r="53" spans="1:47" s="19" customFormat="1" x14ac:dyDescent="0.25">
      <c r="A53" s="20"/>
      <c r="B53" s="21">
        <v>41</v>
      </c>
      <c r="C53" s="22" t="s">
        <v>56</v>
      </c>
      <c r="D53" s="23">
        <v>999582026</v>
      </c>
      <c r="E53" s="24"/>
      <c r="F53" s="25"/>
      <c r="G53" s="26">
        <f>SUM(D53:F53)</f>
        <v>999582026</v>
      </c>
      <c r="H53" s="38">
        <v>41</v>
      </c>
      <c r="I53"/>
      <c r="J53"/>
      <c r="K53"/>
      <c r="L53"/>
      <c r="M53" s="43"/>
      <c r="N53" s="43"/>
      <c r="O53" s="43"/>
      <c r="P53" s="43"/>
      <c r="Q53" s="4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s="19" customFormat="1" x14ac:dyDescent="0.25">
      <c r="A54" s="20"/>
      <c r="B54" s="21">
        <v>42</v>
      </c>
      <c r="C54" s="22" t="s">
        <v>63</v>
      </c>
      <c r="D54" s="23"/>
      <c r="E54" s="24">
        <v>5162127927</v>
      </c>
      <c r="F54" s="25"/>
      <c r="G54" s="26">
        <f>SUM(D54:F54)</f>
        <v>5162127927</v>
      </c>
      <c r="H54" s="38">
        <v>42</v>
      </c>
      <c r="I54"/>
      <c r="J54"/>
      <c r="K54"/>
      <c r="L54"/>
      <c r="M54" s="43"/>
      <c r="N54" s="43"/>
      <c r="O54" s="43"/>
      <c r="P54" s="43"/>
      <c r="Q54" s="43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s="19" customFormat="1" x14ac:dyDescent="0.25">
      <c r="A55" s="31" t="s">
        <v>57</v>
      </c>
      <c r="B55" s="15"/>
      <c r="C55" s="16"/>
      <c r="D55" s="33"/>
      <c r="E55" s="39"/>
      <c r="F55" s="28"/>
      <c r="G55" s="29"/>
      <c r="H55" s="15"/>
      <c r="I55"/>
      <c r="J55"/>
      <c r="K55"/>
      <c r="L55"/>
      <c r="M55" s="43"/>
      <c r="N55" s="43"/>
      <c r="O55" s="43"/>
      <c r="P55" s="43"/>
      <c r="Q55" s="43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</row>
    <row r="56" spans="1:47" s="19" customFormat="1" x14ac:dyDescent="0.25">
      <c r="A56" s="20"/>
      <c r="B56" s="21">
        <v>43</v>
      </c>
      <c r="C56" s="22" t="s">
        <v>58</v>
      </c>
      <c r="D56" s="34">
        <f>SUM(D38:D54)</f>
        <v>649166446899</v>
      </c>
      <c r="E56" s="35">
        <f>SUM(E38:E54)</f>
        <v>56765800092</v>
      </c>
      <c r="F56" s="36">
        <f>SUM(F38:F54)</f>
        <v>56419353</v>
      </c>
      <c r="G56" s="37">
        <f>SUM(D56:F56)</f>
        <v>705988666344</v>
      </c>
      <c r="H56" s="21">
        <v>43</v>
      </c>
      <c r="I56"/>
      <c r="J56"/>
      <c r="K56"/>
      <c r="L56"/>
      <c r="M56" s="43"/>
      <c r="N56" s="43"/>
      <c r="O56" s="43"/>
      <c r="P56" s="43"/>
      <c r="Q56" s="43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</row>
    <row r="57" spans="1:47" s="19" customFormat="1" x14ac:dyDescent="0.25">
      <c r="A57" s="31" t="s">
        <v>59</v>
      </c>
      <c r="B57" s="15"/>
      <c r="C57" s="15"/>
      <c r="D57" s="33"/>
      <c r="E57" s="39"/>
      <c r="F57" s="28"/>
      <c r="G57" s="29"/>
      <c r="H57" s="15"/>
      <c r="I57"/>
      <c r="J57"/>
      <c r="K57"/>
      <c r="L57"/>
      <c r="M57" s="43"/>
      <c r="N57" s="43"/>
      <c r="O57" s="43"/>
      <c r="P57" s="43"/>
      <c r="Q57" s="43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</row>
    <row r="58" spans="1:47" s="19" customFormat="1" x14ac:dyDescent="0.25">
      <c r="A58" s="20"/>
      <c r="B58" s="21">
        <v>44</v>
      </c>
      <c r="C58" s="40" t="s">
        <v>60</v>
      </c>
      <c r="D58" s="34">
        <f>SUM(D36-D56)</f>
        <v>3470949942348</v>
      </c>
      <c r="E58" s="35">
        <f>SUM(E36-E56)</f>
        <v>199458852840</v>
      </c>
      <c r="F58" s="36">
        <f>SUM(F36-F56)</f>
        <v>2170281977</v>
      </c>
      <c r="G58" s="37">
        <f>SUM(D58:F58)</f>
        <v>3672579077165</v>
      </c>
      <c r="H58" s="21">
        <v>44</v>
      </c>
      <c r="I58"/>
      <c r="J58"/>
      <c r="K58"/>
      <c r="L58"/>
      <c r="M58" s="43"/>
      <c r="N58" s="43"/>
      <c r="O58" s="43"/>
      <c r="P58" s="43"/>
      <c r="Q58" s="43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</row>
    <row r="60" spans="1:47" x14ac:dyDescent="0.25">
      <c r="B60" s="41" t="s">
        <v>64</v>
      </c>
    </row>
  </sheetData>
  <mergeCells count="2">
    <mergeCell ref="A1:H1"/>
    <mergeCell ref="A2:H2"/>
  </mergeCells>
  <pageMargins left="0.25" right="0.23" top="0.25" bottom="0.17" header="0.5" footer="0.17"/>
  <pageSetup paperSize="17" scale="90" orientation="landscape" r:id="rId1"/>
  <headerFooter alignWithMargins="0"/>
  <ignoredErrors>
    <ignoredError sqref="E56" formula="1"/>
    <ignoredError sqref="G41" formula="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4FD7B75C-FB84-4C60-904C-FB2C90EC6F2B}"/>
</file>

<file path=customXml/itemProps2.xml><?xml version="1.0" encoding="utf-8"?>
<ds:datastoreItem xmlns:ds="http://schemas.openxmlformats.org/officeDocument/2006/customXml" ds:itemID="{D835E360-FB29-4D2A-BC19-186AA85E335B}"/>
</file>

<file path=customXml/itemProps3.xml><?xml version="1.0" encoding="utf-8"?>
<ds:datastoreItem xmlns:ds="http://schemas.openxmlformats.org/officeDocument/2006/customXml" ds:itemID="{E2E055B0-995A-4BE0-934B-299B26A1E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DR-489V</vt:lpstr>
      <vt:lpstr>'DR-489V'!Print_Area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Kate Beggs</dc:creator>
  <cp:lastModifiedBy>Allison Kever</cp:lastModifiedBy>
  <cp:lastPrinted>2020-07-31T19:15:29Z</cp:lastPrinted>
  <dcterms:created xsi:type="dcterms:W3CDTF">2015-12-09T15:24:15Z</dcterms:created>
  <dcterms:modified xsi:type="dcterms:W3CDTF">2026-07-13T15:03:08Z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