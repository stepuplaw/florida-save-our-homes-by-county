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J:\Research &amp; Analysis\Data Book Documentation\2026 Databook\Preliminary\Drafts\"/>
    </mc:Choice>
  </mc:AlternateContent>
  <xr:revisionPtr revIDLastSave="0" documentId="13_ncr:1_{F493EF3A-0BD0-45BA-A891-ADCC40BC89F0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Report Index" sheetId="7" r:id="rId1"/>
    <sheet name="State Summary by Type" sheetId="6" r:id="rId2"/>
    <sheet name="Parcel Ct by Type" sheetId="1" r:id="rId3"/>
    <sheet name="Just Value by Type " sheetId="4" r:id="rId4"/>
    <sheet name="Taxable Value by Type 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U6" i="5" l="1"/>
  <c r="U7" i="5"/>
  <c r="U8" i="5"/>
  <c r="U9" i="5"/>
  <c r="U10" i="5"/>
  <c r="U11" i="5"/>
  <c r="U12" i="5"/>
  <c r="U13" i="5"/>
  <c r="U14" i="5"/>
  <c r="U15" i="5"/>
  <c r="U16" i="5"/>
  <c r="U17" i="5"/>
  <c r="U18" i="5"/>
  <c r="U19" i="5"/>
  <c r="U20" i="5"/>
  <c r="U21" i="5"/>
  <c r="U22" i="5"/>
  <c r="U23" i="5"/>
  <c r="U24" i="5"/>
  <c r="U25" i="5"/>
  <c r="U26" i="5"/>
  <c r="U27" i="5"/>
  <c r="U28" i="5"/>
  <c r="U29" i="5"/>
  <c r="U30" i="5"/>
  <c r="U31" i="5"/>
  <c r="U32" i="5"/>
  <c r="U33" i="5"/>
  <c r="U34" i="5"/>
  <c r="U35" i="5"/>
  <c r="U36" i="5"/>
  <c r="U37" i="5"/>
  <c r="U38" i="5"/>
  <c r="U39" i="5"/>
  <c r="U40" i="5"/>
  <c r="U41" i="5"/>
  <c r="U42" i="5"/>
  <c r="U43" i="5"/>
  <c r="U44" i="5"/>
  <c r="U45" i="5"/>
  <c r="U46" i="5"/>
  <c r="U47" i="5"/>
  <c r="U48" i="5"/>
  <c r="U49" i="5"/>
  <c r="U50" i="5"/>
  <c r="U51" i="5"/>
  <c r="U52" i="5"/>
  <c r="U53" i="5"/>
  <c r="U54" i="5"/>
  <c r="U55" i="5"/>
  <c r="U56" i="5"/>
  <c r="U57" i="5"/>
  <c r="U58" i="5"/>
  <c r="U59" i="5"/>
  <c r="U60" i="5"/>
  <c r="U61" i="5"/>
  <c r="U62" i="5"/>
  <c r="U63" i="5"/>
  <c r="U64" i="5"/>
  <c r="U65" i="5"/>
  <c r="U66" i="5"/>
  <c r="U67" i="5"/>
  <c r="U68" i="5"/>
  <c r="U69" i="5"/>
  <c r="U70" i="5"/>
  <c r="U71" i="5"/>
  <c r="U5" i="5"/>
  <c r="U6" i="1"/>
  <c r="U7" i="1"/>
  <c r="U8" i="1"/>
  <c r="U9" i="1"/>
  <c r="U10" i="1"/>
  <c r="U11" i="1"/>
  <c r="U12" i="1"/>
  <c r="U13" i="1"/>
  <c r="U14" i="1"/>
  <c r="U15" i="1"/>
  <c r="U16" i="1"/>
  <c r="U17" i="1"/>
  <c r="U18" i="1"/>
  <c r="U19" i="1"/>
  <c r="U20" i="1"/>
  <c r="U21" i="1"/>
  <c r="U22" i="1"/>
  <c r="U23" i="1"/>
  <c r="U24" i="1"/>
  <c r="U25" i="1"/>
  <c r="U26" i="1"/>
  <c r="U27" i="1"/>
  <c r="U28" i="1"/>
  <c r="U29" i="1"/>
  <c r="U30" i="1"/>
  <c r="U31" i="1"/>
  <c r="U32" i="1"/>
  <c r="U33" i="1"/>
  <c r="U34" i="1"/>
  <c r="U35" i="1"/>
  <c r="U36" i="1"/>
  <c r="U37" i="1"/>
  <c r="U38" i="1"/>
  <c r="U39" i="1"/>
  <c r="U40" i="1"/>
  <c r="U41" i="1"/>
  <c r="U42" i="1"/>
  <c r="U43" i="1"/>
  <c r="U44" i="1"/>
  <c r="U45" i="1"/>
  <c r="U46" i="1"/>
  <c r="U47" i="1"/>
  <c r="U48" i="1"/>
  <c r="U49" i="1"/>
  <c r="U50" i="1"/>
  <c r="U51" i="1"/>
  <c r="U52" i="1"/>
  <c r="U53" i="1"/>
  <c r="U54" i="1"/>
  <c r="U55" i="1"/>
  <c r="U56" i="1"/>
  <c r="U57" i="1"/>
  <c r="U58" i="1"/>
  <c r="U59" i="1"/>
  <c r="U60" i="1"/>
  <c r="U61" i="1"/>
  <c r="U62" i="1"/>
  <c r="U63" i="1"/>
  <c r="U64" i="1"/>
  <c r="U65" i="1"/>
  <c r="U66" i="1"/>
  <c r="U67" i="1"/>
  <c r="U68" i="1"/>
  <c r="U69" i="1"/>
  <c r="U70" i="1"/>
  <c r="U71" i="1"/>
  <c r="U5" i="1"/>
  <c r="U13" i="4"/>
  <c r="U14" i="4"/>
  <c r="U15" i="4"/>
  <c r="U16" i="4"/>
  <c r="U17" i="4"/>
  <c r="U18" i="4"/>
  <c r="U19" i="4"/>
  <c r="U20" i="4"/>
  <c r="U21" i="4"/>
  <c r="U22" i="4"/>
  <c r="U23" i="4"/>
  <c r="U24" i="4"/>
  <c r="U25" i="4"/>
  <c r="U26" i="4"/>
  <c r="U27" i="4"/>
  <c r="U28" i="4"/>
  <c r="U29" i="4"/>
  <c r="U30" i="4"/>
  <c r="U31" i="4"/>
  <c r="U32" i="4"/>
  <c r="U33" i="4"/>
  <c r="U34" i="4"/>
  <c r="U35" i="4"/>
  <c r="U36" i="4"/>
  <c r="U37" i="4"/>
  <c r="U38" i="4"/>
  <c r="U39" i="4"/>
  <c r="U40" i="4"/>
  <c r="U41" i="4"/>
  <c r="U42" i="4"/>
  <c r="U43" i="4"/>
  <c r="U44" i="4"/>
  <c r="U45" i="4"/>
  <c r="U46" i="4"/>
  <c r="U47" i="4"/>
  <c r="U48" i="4"/>
  <c r="U49" i="4"/>
  <c r="U50" i="4"/>
  <c r="U51" i="4"/>
  <c r="U52" i="4"/>
  <c r="U53" i="4"/>
  <c r="U54" i="4"/>
  <c r="U55" i="4"/>
  <c r="U56" i="4"/>
  <c r="U57" i="4"/>
  <c r="U58" i="4"/>
  <c r="U59" i="4"/>
  <c r="U60" i="4"/>
  <c r="U61" i="4"/>
  <c r="U62" i="4"/>
  <c r="U63" i="4"/>
  <c r="U64" i="4"/>
  <c r="U65" i="4"/>
  <c r="U66" i="4"/>
  <c r="U67" i="4"/>
  <c r="U68" i="4"/>
  <c r="U69" i="4"/>
  <c r="U70" i="4"/>
  <c r="U71" i="4"/>
  <c r="U6" i="4"/>
  <c r="U7" i="4"/>
  <c r="U8" i="4"/>
  <c r="U9" i="4"/>
  <c r="U10" i="4"/>
  <c r="U11" i="4"/>
  <c r="U12" i="4"/>
  <c r="U5" i="4"/>
  <c r="U14" i="6"/>
  <c r="U5" i="6"/>
  <c r="C6" i="6" s="1"/>
  <c r="I12" i="6"/>
  <c r="J12" i="6"/>
  <c r="K12" i="6"/>
  <c r="L12" i="6"/>
  <c r="M12" i="6"/>
  <c r="N12" i="6"/>
  <c r="O12" i="6"/>
  <c r="P12" i="6"/>
  <c r="Q12" i="6"/>
  <c r="R12" i="6"/>
  <c r="S12" i="6"/>
  <c r="T12" i="6"/>
  <c r="C12" i="6"/>
  <c r="R6" i="6" l="1"/>
  <c r="Q6" i="6"/>
  <c r="P6" i="6"/>
  <c r="O6" i="6"/>
  <c r="N6" i="6"/>
  <c r="M6" i="6"/>
  <c r="L6" i="6"/>
  <c r="K6" i="6"/>
  <c r="J6" i="6"/>
  <c r="U12" i="6"/>
  <c r="I6" i="6"/>
  <c r="H6" i="6"/>
  <c r="G6" i="6"/>
  <c r="F6" i="6"/>
  <c r="E6" i="6"/>
  <c r="T6" i="6"/>
  <c r="D6" i="6"/>
  <c r="S6" i="6"/>
  <c r="F73" i="5"/>
  <c r="B6" i="4"/>
  <c r="B7" i="4"/>
  <c r="B8" i="4"/>
  <c r="B9" i="4"/>
  <c r="B10" i="4"/>
  <c r="B11" i="4"/>
  <c r="B12" i="4"/>
  <c r="B13" i="4"/>
  <c r="B14" i="4"/>
  <c r="B15" i="4"/>
  <c r="B16" i="4"/>
  <c r="B17" i="4"/>
  <c r="B18" i="4"/>
  <c r="B19" i="4"/>
  <c r="B20" i="4"/>
  <c r="B21" i="4"/>
  <c r="B22" i="4"/>
  <c r="B23" i="4"/>
  <c r="B24" i="4"/>
  <c r="B25" i="4"/>
  <c r="B26" i="4"/>
  <c r="B27" i="4"/>
  <c r="B28" i="4"/>
  <c r="B29" i="4"/>
  <c r="B30" i="4"/>
  <c r="B31" i="4"/>
  <c r="B32" i="4"/>
  <c r="B33" i="4"/>
  <c r="B34" i="4"/>
  <c r="B35" i="4"/>
  <c r="B36" i="4"/>
  <c r="B37" i="4"/>
  <c r="B38" i="4"/>
  <c r="B39" i="4"/>
  <c r="B40" i="4"/>
  <c r="B41" i="4"/>
  <c r="B42" i="4"/>
  <c r="B43" i="4"/>
  <c r="B44" i="4"/>
  <c r="B45" i="4"/>
  <c r="B46" i="4"/>
  <c r="B47" i="4"/>
  <c r="B48" i="4"/>
  <c r="B49" i="4"/>
  <c r="B50" i="4"/>
  <c r="B51" i="4"/>
  <c r="B52" i="4"/>
  <c r="B53" i="4"/>
  <c r="B54" i="4"/>
  <c r="B55" i="4"/>
  <c r="B56" i="4"/>
  <c r="B57" i="4"/>
  <c r="B58" i="4"/>
  <c r="B59" i="4"/>
  <c r="B60" i="4"/>
  <c r="B61" i="4"/>
  <c r="B62" i="4"/>
  <c r="B63" i="4"/>
  <c r="B64" i="4"/>
  <c r="B65" i="4"/>
  <c r="B66" i="4"/>
  <c r="B67" i="4"/>
  <c r="B68" i="4"/>
  <c r="B69" i="4"/>
  <c r="B70" i="4"/>
  <c r="B71" i="4"/>
  <c r="B6" i="5"/>
  <c r="B7" i="5"/>
  <c r="B8" i="5"/>
  <c r="B9" i="5"/>
  <c r="B10" i="5"/>
  <c r="B11" i="5"/>
  <c r="B12" i="5"/>
  <c r="B13" i="5"/>
  <c r="B14" i="5"/>
  <c r="B15" i="5"/>
  <c r="B16" i="5"/>
  <c r="B17" i="5"/>
  <c r="B18" i="5"/>
  <c r="B19" i="5"/>
  <c r="B20" i="5"/>
  <c r="B21" i="5"/>
  <c r="B22" i="5"/>
  <c r="B23" i="5"/>
  <c r="B24" i="5"/>
  <c r="B25" i="5"/>
  <c r="B26" i="5"/>
  <c r="B27" i="5"/>
  <c r="B28" i="5"/>
  <c r="B29" i="5"/>
  <c r="B30" i="5"/>
  <c r="B31" i="5"/>
  <c r="B32" i="5"/>
  <c r="B33" i="5"/>
  <c r="B34" i="5"/>
  <c r="B35" i="5"/>
  <c r="B36" i="5"/>
  <c r="B37" i="5"/>
  <c r="B38" i="5"/>
  <c r="B39" i="5"/>
  <c r="B40" i="5"/>
  <c r="B41" i="5"/>
  <c r="B42" i="5"/>
  <c r="B43" i="5"/>
  <c r="B44" i="5"/>
  <c r="B45" i="5"/>
  <c r="B46" i="5"/>
  <c r="B47" i="5"/>
  <c r="B48" i="5"/>
  <c r="B49" i="5"/>
  <c r="B50" i="5"/>
  <c r="B51" i="5"/>
  <c r="B52" i="5"/>
  <c r="B53" i="5"/>
  <c r="B54" i="5"/>
  <c r="B55" i="5"/>
  <c r="B56" i="5"/>
  <c r="B57" i="5"/>
  <c r="B58" i="5"/>
  <c r="B59" i="5"/>
  <c r="B60" i="5"/>
  <c r="B61" i="5"/>
  <c r="B62" i="5"/>
  <c r="B63" i="5"/>
  <c r="B64" i="5"/>
  <c r="B65" i="5"/>
  <c r="B66" i="5"/>
  <c r="B67" i="5"/>
  <c r="B68" i="5"/>
  <c r="B69" i="5"/>
  <c r="B70" i="5"/>
  <c r="B71" i="5"/>
  <c r="B5" i="5"/>
  <c r="B5" i="4"/>
  <c r="T73" i="1"/>
  <c r="S73" i="1"/>
  <c r="R73" i="1"/>
  <c r="Q73" i="1"/>
  <c r="P73" i="1"/>
  <c r="O73" i="1"/>
  <c r="N73" i="1"/>
  <c r="M73" i="1"/>
  <c r="L73" i="1"/>
  <c r="K73" i="1"/>
  <c r="J73" i="1"/>
  <c r="I73" i="1"/>
  <c r="H73" i="1"/>
  <c r="G73" i="1"/>
  <c r="F73" i="1"/>
  <c r="E73" i="1"/>
  <c r="D73" i="1"/>
  <c r="C73" i="1"/>
  <c r="T73" i="5"/>
  <c r="D73" i="5"/>
  <c r="E73" i="5"/>
  <c r="G73" i="5"/>
  <c r="H73" i="5"/>
  <c r="I73" i="5"/>
  <c r="J73" i="5"/>
  <c r="K73" i="5"/>
  <c r="L73" i="5"/>
  <c r="M73" i="5"/>
  <c r="N73" i="5"/>
  <c r="O73" i="5"/>
  <c r="P73" i="5"/>
  <c r="Q73" i="5"/>
  <c r="R73" i="5"/>
  <c r="S73" i="5"/>
  <c r="C73" i="5"/>
  <c r="E73" i="4"/>
  <c r="F73" i="4"/>
  <c r="G73" i="4"/>
  <c r="H73" i="4"/>
  <c r="I73" i="4"/>
  <c r="J73" i="4"/>
  <c r="K73" i="4"/>
  <c r="L73" i="4"/>
  <c r="M73" i="4"/>
  <c r="N73" i="4"/>
  <c r="O73" i="4"/>
  <c r="P73" i="4"/>
  <c r="Q73" i="4"/>
  <c r="R73" i="4"/>
  <c r="S73" i="4"/>
  <c r="T73" i="4"/>
  <c r="D73" i="4"/>
  <c r="C73" i="4"/>
  <c r="U73" i="5" l="1"/>
  <c r="U73" i="4"/>
  <c r="S17" i="6"/>
  <c r="D12" i="6"/>
  <c r="Q17" i="6"/>
  <c r="I17" i="6"/>
  <c r="D17" i="6"/>
  <c r="K17" i="6"/>
  <c r="G17" i="6"/>
  <c r="G12" i="6"/>
  <c r="E17" i="6"/>
  <c r="E12" i="6"/>
  <c r="U73" i="1"/>
  <c r="N17" i="6"/>
  <c r="T17" i="6"/>
  <c r="L10" i="6"/>
  <c r="F12" i="6"/>
  <c r="H12" i="6"/>
  <c r="P17" i="6"/>
  <c r="J17" i="6"/>
  <c r="C17" i="6"/>
  <c r="H15" i="6"/>
  <c r="H17" i="6"/>
  <c r="R17" i="6"/>
  <c r="O17" i="6"/>
  <c r="L17" i="6"/>
  <c r="F17" i="6"/>
  <c r="M17" i="6"/>
  <c r="T10" i="6" l="1"/>
  <c r="M10" i="6"/>
  <c r="N10" i="6"/>
  <c r="C10" i="6"/>
  <c r="P15" i="6"/>
  <c r="Q15" i="6"/>
  <c r="E15" i="6"/>
  <c r="O15" i="6"/>
  <c r="L15" i="6"/>
  <c r="R15" i="6"/>
  <c r="K15" i="6"/>
  <c r="C15" i="6"/>
  <c r="T15" i="6"/>
  <c r="K10" i="6"/>
  <c r="J10" i="6"/>
  <c r="O10" i="6"/>
  <c r="R10" i="6"/>
  <c r="S10" i="6"/>
  <c r="D10" i="6"/>
  <c r="E10" i="6"/>
  <c r="U10" i="6"/>
  <c r="Q10" i="6"/>
  <c r="I10" i="6"/>
  <c r="U6" i="6"/>
  <c r="D15" i="6"/>
  <c r="U17" i="6"/>
  <c r="S15" i="6"/>
  <c r="U15" i="6"/>
  <c r="I15" i="6"/>
  <c r="F15" i="6"/>
  <c r="G15" i="6"/>
  <c r="P10" i="6"/>
  <c r="G10" i="6"/>
  <c r="M15" i="6"/>
  <c r="J15" i="6"/>
  <c r="H10" i="6"/>
  <c r="F10" i="6"/>
  <c r="N15" i="6"/>
</calcChain>
</file>

<file path=xl/sharedStrings.xml><?xml version="1.0" encoding="utf-8"?>
<sst xmlns="http://schemas.openxmlformats.org/spreadsheetml/2006/main" count="394" uniqueCount="111">
  <si>
    <t>County</t>
  </si>
  <si>
    <t>Status</t>
  </si>
  <si>
    <t>Vacant Residential</t>
  </si>
  <si>
    <t>Cooperatives</t>
  </si>
  <si>
    <t>Vacant Industrial</t>
  </si>
  <si>
    <t>Industrial</t>
  </si>
  <si>
    <t>Agricultural</t>
  </si>
  <si>
    <t>Institutional</t>
  </si>
  <si>
    <t>Government</t>
  </si>
  <si>
    <t>Total Real Property</t>
  </si>
  <si>
    <t>Mobile Homes</t>
  </si>
  <si>
    <t>Statewide</t>
  </si>
  <si>
    <t>Alachua</t>
  </si>
  <si>
    <t>Baker</t>
  </si>
  <si>
    <t>Bay</t>
  </si>
  <si>
    <t>Bradford</t>
  </si>
  <si>
    <t>Brevard</t>
  </si>
  <si>
    <t>Broward</t>
  </si>
  <si>
    <t>Calhoun</t>
  </si>
  <si>
    <t>Charlotte</t>
  </si>
  <si>
    <t>Citrus</t>
  </si>
  <si>
    <t>Clay</t>
  </si>
  <si>
    <t>Collier</t>
  </si>
  <si>
    <t>Columbia</t>
  </si>
  <si>
    <t>DeSoto</t>
  </si>
  <si>
    <t>Dixie</t>
  </si>
  <si>
    <t>Duval</t>
  </si>
  <si>
    <t>Escambia</t>
  </si>
  <si>
    <t>Flagler</t>
  </si>
  <si>
    <t>Franklin</t>
  </si>
  <si>
    <t>Gadsden</t>
  </si>
  <si>
    <t>Gilchrist</t>
  </si>
  <si>
    <t>Glades</t>
  </si>
  <si>
    <t>Gulf</t>
  </si>
  <si>
    <t>Hamilton</t>
  </si>
  <si>
    <t>Hardee</t>
  </si>
  <si>
    <t>Hendry</t>
  </si>
  <si>
    <t>Hernando</t>
  </si>
  <si>
    <t>Highlands</t>
  </si>
  <si>
    <t>Hillsborough</t>
  </si>
  <si>
    <t>Holmes</t>
  </si>
  <si>
    <t>Indian River</t>
  </si>
  <si>
    <t>Jackson</t>
  </si>
  <si>
    <t>Jefferson</t>
  </si>
  <si>
    <t>Lafayette</t>
  </si>
  <si>
    <t>Lake</t>
  </si>
  <si>
    <t>Lee</t>
  </si>
  <si>
    <t>Leon</t>
  </si>
  <si>
    <t>Levy</t>
  </si>
  <si>
    <t>Liberty</t>
  </si>
  <si>
    <t>Madison</t>
  </si>
  <si>
    <t>Manatee</t>
  </si>
  <si>
    <t>Marion</t>
  </si>
  <si>
    <t>Martin</t>
  </si>
  <si>
    <t>Monroe</t>
  </si>
  <si>
    <t>Nassau</t>
  </si>
  <si>
    <t>Okaloosa</t>
  </si>
  <si>
    <t>Okeechobee</t>
  </si>
  <si>
    <t>Orange</t>
  </si>
  <si>
    <t>Osceola</t>
  </si>
  <si>
    <t>Palm Beach</t>
  </si>
  <si>
    <t>Pasco</t>
  </si>
  <si>
    <t>Pinellas</t>
  </si>
  <si>
    <t>Polk</t>
  </si>
  <si>
    <t>Putnam</t>
  </si>
  <si>
    <t>Saint Johns</t>
  </si>
  <si>
    <t>Saint Lucie</t>
  </si>
  <si>
    <t>Santa Rosa</t>
  </si>
  <si>
    <t>Sarasota</t>
  </si>
  <si>
    <t>Seminole</t>
  </si>
  <si>
    <t>Sumter</t>
  </si>
  <si>
    <t>Suwannee</t>
  </si>
  <si>
    <t>Taylor</t>
  </si>
  <si>
    <t>Union</t>
  </si>
  <si>
    <t>Volusia</t>
  </si>
  <si>
    <t>Wakulla</t>
  </si>
  <si>
    <t>Walton</t>
  </si>
  <si>
    <t>Washington</t>
  </si>
  <si>
    <t>Number of Parcels</t>
  </si>
  <si>
    <t>Real Property Just Value</t>
  </si>
  <si>
    <t>Real Property Taxable Value</t>
  </si>
  <si>
    <t>Pct of Total Just Value</t>
  </si>
  <si>
    <t>Pct of Total Taxable Value</t>
  </si>
  <si>
    <t>Pct of Total Parcels</t>
  </si>
  <si>
    <t>State Summary by Property Type</t>
  </si>
  <si>
    <t>Parcel Count by Property Type</t>
  </si>
  <si>
    <t>Just Value by Property Type</t>
  </si>
  <si>
    <t>Taxable Value by Property Type</t>
  </si>
  <si>
    <t>Condominiums</t>
  </si>
  <si>
    <t>Multi Family (Less Than 10)</t>
  </si>
  <si>
    <t>Multi Family (More Than 10)</t>
  </si>
  <si>
    <t>Single Family Residential</t>
  </si>
  <si>
    <t>Improved Commercial</t>
  </si>
  <si>
    <t>Misc.</t>
  </si>
  <si>
    <t>Retirement Homes &amp; Misc. Residential</t>
  </si>
  <si>
    <t>Vacant Commercial</t>
  </si>
  <si>
    <t>Leasehold Interest</t>
  </si>
  <si>
    <t>Non-Agricultural  Acreage</t>
  </si>
  <si>
    <t xml:space="preserve">Contact Information: </t>
  </si>
  <si>
    <t xml:space="preserve">Property Tax Oversight, Research &amp; Analysis  </t>
  </si>
  <si>
    <t>* As Reported by County Property Appraiser</t>
  </si>
  <si>
    <t>Parcel Count Reports*</t>
  </si>
  <si>
    <t>Average Just Value Per Parcel</t>
  </si>
  <si>
    <t>Average Taxable Value Per Parcel</t>
  </si>
  <si>
    <t>Miami-Dade</t>
  </si>
  <si>
    <t>PTOResearchAnalysis@dor.state.fl.us</t>
  </si>
  <si>
    <t>R-Prelim</t>
  </si>
  <si>
    <t>Pct increase in parcels from 2025</t>
  </si>
  <si>
    <t>Pct Increase in Just Value  from 2025</t>
  </si>
  <si>
    <t>Pct Increase in Taxable Value  from 2025</t>
  </si>
  <si>
    <t>Data Extract: July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</si>
</sst>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1" formatCode="_(* #,##0_);_(* \(#,##0\);_(* &quot;-&quot;_);_(@_)"/>
    <numFmt numFmtId="43" formatCode="_(* #,##0.00_);_(* \(#,##0.00\);_(* &quot;-&quot;??_);_(@_)"/>
    <numFmt numFmtId="164" formatCode="_(* #,##0_);_(* \(#,##0\);_(* &quot;-&quot;??_);_(@_)"/>
  </numFmts>
  <fonts count="17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8"/>
      <name val="Calibri"/>
      <family val="2"/>
    </font>
    <font>
      <b/>
      <sz val="10"/>
      <color indexed="8"/>
      <name val="Arial"/>
      <family val="2"/>
    </font>
    <font>
      <sz val="10"/>
      <color indexed="8"/>
      <name val="Arial"/>
      <family val="2"/>
    </font>
    <font>
      <b/>
      <sz val="18"/>
      <color indexed="8"/>
      <name val="Arial"/>
      <family val="2"/>
    </font>
    <font>
      <u/>
      <sz val="11"/>
      <color indexed="12"/>
      <name val="Calibri"/>
      <family val="2"/>
    </font>
    <font>
      <b/>
      <sz val="11"/>
      <color indexed="8"/>
      <name val="Arial"/>
      <family val="2"/>
    </font>
    <font>
      <sz val="11"/>
      <color indexed="8"/>
      <name val="Arial"/>
      <family val="2"/>
    </font>
    <font>
      <u/>
      <sz val="11"/>
      <color indexed="12"/>
      <name val="Arial"/>
      <family val="2"/>
    </font>
    <font>
      <i/>
      <sz val="11"/>
      <name val="Arial"/>
      <family val="2"/>
    </font>
    <font>
      <sz val="11"/>
      <name val="Arial"/>
      <family val="2"/>
    </font>
    <font>
      <b/>
      <sz val="18"/>
      <name val="Arial"/>
      <family val="2"/>
    </font>
    <font>
      <b/>
      <sz val="10"/>
      <name val="Arial"/>
      <family val="2"/>
    </font>
    <font>
      <b/>
      <sz val="11"/>
      <name val="Arial"/>
      <family val="2"/>
    </font>
    <font>
      <sz val="11"/>
      <color theme="1"/>
      <name val="Arial"/>
      <family val="2"/>
    </font>
    <font>
      <sz val="10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0"/>
        <bgColor indexed="64"/>
      </patternFill>
    </fill>
  </fills>
  <borders count="12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5">
    <xf numFmtId="0" fontId="0" fillId="0" borderId="0"/>
    <xf numFmtId="41" fontId="4" fillId="0" borderId="0"/>
    <xf numFmtId="43" fontId="1" fillId="0" borderId="0" applyFont="0" applyFill="0" applyBorder="0" applyAlignment="0" applyProtection="0"/>
    <xf numFmtId="0" fontId="6" fillId="0" borderId="0" applyNumberFormat="0" applyFill="0" applyBorder="0" applyAlignment="0" applyProtection="0">
      <alignment vertical="top"/>
      <protection locked="0"/>
    </xf>
    <xf numFmtId="9" fontId="1" fillId="0" borderId="0" applyFont="0" applyFill="0" applyBorder="0" applyAlignment="0" applyProtection="0"/>
  </cellStyleXfs>
  <cellXfs count="56">
    <xf numFmtId="0" fontId="0" fillId="0" borderId="0" xfId="0"/>
    <xf numFmtId="0" fontId="5" fillId="0" borderId="0" xfId="0" applyFont="1"/>
    <xf numFmtId="0" fontId="7" fillId="0" borderId="0" xfId="0" applyFont="1"/>
    <xf numFmtId="0" fontId="8" fillId="0" borderId="0" xfId="0" applyFont="1"/>
    <xf numFmtId="0" fontId="10" fillId="0" borderId="0" xfId="0" applyFont="1"/>
    <xf numFmtId="0" fontId="11" fillId="0" borderId="0" xfId="0" applyFont="1"/>
    <xf numFmtId="0" fontId="12" fillId="0" borderId="0" xfId="0" applyFont="1" applyAlignment="1"/>
    <xf numFmtId="0" fontId="9" fillId="0" borderId="0" xfId="3" applyFont="1" applyAlignment="1" applyProtection="1"/>
    <xf numFmtId="0" fontId="13" fillId="2" borderId="1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15" fillId="0" borderId="0" xfId="0" applyFont="1"/>
    <xf numFmtId="0" fontId="15" fillId="3" borderId="0" xfId="0" applyFont="1" applyFill="1"/>
    <xf numFmtId="0" fontId="15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0" fontId="7" fillId="0" borderId="0" xfId="0" applyFont="1" applyAlignment="1">
      <alignment horizontal="left"/>
    </xf>
    <xf numFmtId="0" fontId="8" fillId="0" borderId="4" xfId="0" applyFont="1" applyBorder="1"/>
    <xf numFmtId="0" fontId="8" fillId="0" borderId="5" xfId="0" applyFont="1" applyBorder="1" applyAlignment="1">
      <alignment horizontal="center"/>
    </xf>
    <xf numFmtId="3" fontId="8" fillId="0" borderId="5" xfId="0" applyNumberFormat="1" applyFont="1" applyBorder="1"/>
    <xf numFmtId="3" fontId="8" fillId="0" borderId="6" xfId="0" applyNumberFormat="1" applyFont="1" applyBorder="1"/>
    <xf numFmtId="0" fontId="7" fillId="2" borderId="7" xfId="0" applyFont="1" applyFill="1" applyBorder="1"/>
    <xf numFmtId="0" fontId="7" fillId="2" borderId="8" xfId="0" applyFont="1" applyFill="1" applyBorder="1" applyAlignment="1">
      <alignment horizontal="center"/>
    </xf>
    <xf numFmtId="3" fontId="7" fillId="2" borderId="8" xfId="0" applyNumberFormat="1" applyFont="1" applyFill="1" applyBorder="1"/>
    <xf numFmtId="3" fontId="8" fillId="0" borderId="0" xfId="0" applyNumberFormat="1" applyFont="1"/>
    <xf numFmtId="3" fontId="7" fillId="0" borderId="9" xfId="0" applyNumberFormat="1" applyFont="1" applyBorder="1"/>
    <xf numFmtId="0" fontId="14" fillId="0" borderId="0" xfId="0" applyFont="1" applyAlignment="1">
      <alignment horizontal="left"/>
    </xf>
    <xf numFmtId="0" fontId="11" fillId="0" borderId="0" xfId="0" applyFont="1" applyAlignment="1">
      <alignment horizontal="center" wrapText="1"/>
    </xf>
    <xf numFmtId="0" fontId="11" fillId="0" borderId="4" xfId="0" applyFont="1" applyBorder="1" applyAlignment="1">
      <alignment wrapText="1"/>
    </xf>
    <xf numFmtId="0" fontId="11" fillId="2" borderId="4" xfId="0" applyFont="1" applyFill="1" applyBorder="1" applyAlignment="1">
      <alignment wrapText="1"/>
    </xf>
    <xf numFmtId="0" fontId="8" fillId="2" borderId="5" xfId="0" applyFont="1" applyFill="1" applyBorder="1" applyAlignment="1">
      <alignment horizontal="center"/>
    </xf>
    <xf numFmtId="0" fontId="8" fillId="2" borderId="5" xfId="0" applyFont="1" applyFill="1" applyBorder="1"/>
    <xf numFmtId="0" fontId="8" fillId="2" borderId="10" xfId="0" applyFont="1" applyFill="1" applyBorder="1"/>
    <xf numFmtId="0" fontId="8" fillId="2" borderId="6" xfId="0" applyFont="1" applyFill="1" applyBorder="1"/>
    <xf numFmtId="0" fontId="11" fillId="3" borderId="4" xfId="0" applyFont="1" applyFill="1" applyBorder="1" applyAlignment="1">
      <alignment wrapText="1"/>
    </xf>
    <xf numFmtId="164" fontId="8" fillId="3" borderId="5" xfId="2" applyNumberFormat="1" applyFont="1" applyFill="1" applyBorder="1"/>
    <xf numFmtId="164" fontId="8" fillId="3" borderId="6" xfId="2" applyNumberFormat="1" applyFont="1" applyFill="1" applyBorder="1"/>
    <xf numFmtId="0" fontId="11" fillId="0" borderId="7" xfId="0" applyFont="1" applyBorder="1" applyAlignment="1">
      <alignment wrapText="1"/>
    </xf>
    <xf numFmtId="0" fontId="8" fillId="0" borderId="8" xfId="0" applyFont="1" applyBorder="1" applyAlignment="1">
      <alignment horizontal="center"/>
    </xf>
    <xf numFmtId="43" fontId="8" fillId="0" borderId="8" xfId="2" applyFont="1" applyBorder="1"/>
    <xf numFmtId="43" fontId="8" fillId="0" borderId="9" xfId="2" applyFont="1" applyBorder="1"/>
    <xf numFmtId="0" fontId="11" fillId="0" borderId="0" xfId="0" applyFont="1" applyAlignment="1">
      <alignment wrapText="1"/>
    </xf>
    <xf numFmtId="0" fontId="16" fillId="0" borderId="0" xfId="0" applyFont="1" applyAlignment="1">
      <alignment horizontal="center" vertical="center" wrapText="1"/>
    </xf>
    <xf numFmtId="10" fontId="8" fillId="0" borderId="5" xfId="4" applyNumberFormat="1" applyFont="1" applyBorder="1"/>
    <xf numFmtId="10" fontId="8" fillId="0" borderId="11" xfId="4" applyNumberFormat="1" applyFont="1" applyBorder="1"/>
    <xf numFmtId="10" fontId="8" fillId="0" borderId="6" xfId="4" applyNumberFormat="1" applyFont="1" applyBorder="1"/>
    <xf numFmtId="164" fontId="15" fillId="0" borderId="0" xfId="2" applyNumberFormat="1" applyFont="1"/>
    <xf numFmtId="164" fontId="16" fillId="0" borderId="0" xfId="2" applyNumberFormat="1" applyFont="1" applyAlignment="1">
      <alignment horizontal="center" vertical="center" wrapText="1"/>
    </xf>
    <xf numFmtId="0" fontId="8" fillId="0" borderId="0" xfId="0" applyFont="1" applyBorder="1" applyAlignment="1"/>
    <xf numFmtId="0" fontId="8" fillId="0" borderId="4" xfId="0" applyFont="1" applyBorder="1" applyAlignment="1"/>
    <xf numFmtId="0" fontId="8" fillId="0" borderId="0" xfId="0" applyFont="1" applyFill="1"/>
    <xf numFmtId="0" fontId="8" fillId="0" borderId="0" xfId="0" applyFont="1" applyFill="1" applyAlignment="1">
      <alignment horizontal="center"/>
    </xf>
    <xf numFmtId="0" fontId="15" fillId="0" borderId="0" xfId="0" applyFont="1" applyFill="1"/>
    <xf numFmtId="164" fontId="15" fillId="0" borderId="0" xfId="2" applyNumberFormat="1" applyFont="1" applyFill="1"/>
    <xf numFmtId="0" fontId="0" fillId="0" borderId="0" xfId="0" applyFill="1"/>
    <xf numFmtId="0" fontId="9" fillId="0" borderId="0" xfId="3" applyFont="1" applyAlignment="1" applyProtection="1">
      <alignment horizontal="left"/>
    </xf>
  </cellXfs>
  <cellStyles count="5">
    <cellStyle name="AccountingNoDecimals" xfId="1" xr:uid="{00000000-0005-0000-0000-000000000000}"/>
    <cellStyle name="Comma" xfId="2" builtinId="3"/>
    <cellStyle name="Hyperlink" xfId="3" builtinId="8"/>
    <cellStyle name="Normal" xfId="0" builtinId="0"/>
    <cellStyle name="Percent" xfId="4" builtinId="5"/>
  </cellStyles>
  <dxfs count="3">
    <dxf>
      <fill>
        <patternFill>
          <bgColor indexed="22"/>
        </patternFill>
      </fill>
    </dxf>
    <dxf>
      <fill>
        <patternFill>
          <bgColor indexed="22"/>
        </patternFill>
      </fill>
    </dxf>
    <dxf>
      <fill>
        <patternFill>
          <bgColor indexed="22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PTOResearchAnalysis@dor.state.fl.us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2:H17"/>
  <sheetViews>
    <sheetView workbookViewId="0"/>
  </sheetViews>
  <sheetFormatPr defaultRowHeight="14.25" x14ac:dyDescent="0.2"/>
  <cols>
    <col min="1" max="16384" width="9.140625" style="3"/>
  </cols>
  <sheetData>
    <row r="2" spans="1:8" ht="15" x14ac:dyDescent="0.25">
      <c r="A2" s="2" t="s">
        <v>101</v>
      </c>
    </row>
    <row r="4" spans="1:8" x14ac:dyDescent="0.2">
      <c r="B4" s="55" t="s">
        <v>84</v>
      </c>
      <c r="C4" s="55"/>
      <c r="D4" s="55"/>
      <c r="E4" s="55"/>
      <c r="F4" s="55"/>
      <c r="G4" s="55"/>
      <c r="H4" s="55"/>
    </row>
    <row r="6" spans="1:8" x14ac:dyDescent="0.2">
      <c r="B6" s="55" t="s">
        <v>85</v>
      </c>
      <c r="C6" s="55"/>
      <c r="D6" s="55"/>
      <c r="E6" s="55"/>
      <c r="F6" s="55"/>
      <c r="G6" s="55"/>
      <c r="H6" s="55"/>
    </row>
    <row r="8" spans="1:8" x14ac:dyDescent="0.2">
      <c r="B8" s="55" t="s">
        <v>86</v>
      </c>
      <c r="C8" s="55"/>
      <c r="D8" s="55"/>
      <c r="E8" s="55"/>
      <c r="F8" s="55"/>
      <c r="G8" s="55"/>
      <c r="H8" s="55"/>
    </row>
    <row r="10" spans="1:8" x14ac:dyDescent="0.2">
      <c r="B10" s="55" t="s">
        <v>87</v>
      </c>
      <c r="C10" s="55"/>
      <c r="D10" s="55"/>
      <c r="E10" s="55"/>
      <c r="F10" s="55"/>
      <c r="G10" s="55"/>
      <c r="H10" s="55"/>
    </row>
    <row r="14" spans="1:8" x14ac:dyDescent="0.2">
      <c r="A14" s="3" t="s">
        <v>100</v>
      </c>
    </row>
    <row r="16" spans="1:8" x14ac:dyDescent="0.2">
      <c r="A16" s="4" t="s">
        <v>98</v>
      </c>
      <c r="B16" s="5"/>
      <c r="C16" s="5"/>
      <c r="D16" s="4" t="s">
        <v>99</v>
      </c>
      <c r="E16" s="5"/>
      <c r="F16" s="5"/>
      <c r="G16" s="5"/>
      <c r="H16" s="5"/>
    </row>
    <row r="17" spans="1:8" x14ac:dyDescent="0.2">
      <c r="A17" s="5"/>
      <c r="B17" s="5"/>
      <c r="C17" s="5"/>
      <c r="D17" s="7" t="s">
        <v>105</v>
      </c>
      <c r="E17" s="5"/>
      <c r="F17" s="5"/>
      <c r="G17" s="5"/>
      <c r="H17" s="5"/>
    </row>
  </sheetData>
  <mergeCells count="4">
    <mergeCell ref="B4:H4"/>
    <mergeCell ref="B6:H6"/>
    <mergeCell ref="B8:H8"/>
    <mergeCell ref="B10:H10"/>
  </mergeCells>
  <phoneticPr fontId="2" type="noConversion"/>
  <hyperlinks>
    <hyperlink ref="B4:H4" location="'State Summary by Type'!A1" display="State Summary by Property Type" xr:uid="{00000000-0004-0000-0000-000000000000}"/>
    <hyperlink ref="B6:H6" location="'Parcel Ct by Type'!A1" display="Parcel Count by Property Type" xr:uid="{00000000-0004-0000-0000-000001000000}"/>
    <hyperlink ref="B8:H8" location="'Just Value by Type '!A1" display="Just Value by Property Type" xr:uid="{00000000-0004-0000-0000-000002000000}"/>
    <hyperlink ref="B10:H10" location="'Taxable Value by Type '!A1" display="Taxable Value by Property Type" xr:uid="{00000000-0004-0000-0000-000003000000}"/>
    <hyperlink ref="D17" r:id="rId1" xr:uid="{00000000-0004-0000-0000-000004000000}"/>
  </hyperlinks>
  <pageMargins left="0.75" right="0.75" top="1" bottom="1" header="0.5" footer="0.5"/>
  <pageSetup orientation="portrait" r:id="rId2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pageSetUpPr fitToPage="1"/>
  </sheetPr>
  <dimension ref="A1:U53"/>
  <sheetViews>
    <sheetView tabSelected="1" zoomScaleNormal="100" workbookViewId="0">
      <pane xSplit="1" ySplit="4" topLeftCell="B5" activePane="bottomRight" state="frozen"/>
      <selection pane="topRight"/>
      <selection pane="bottomLeft"/>
      <selection pane="bottomRight" activeCell="V4" sqref="V4"/>
    </sheetView>
  </sheetViews>
  <sheetFormatPr defaultRowHeight="14.25" x14ac:dyDescent="0.2"/>
  <cols>
    <col min="1" max="1" width="56.85546875" style="41" bestFit="1" customWidth="1"/>
    <col min="2" max="2" width="9.28515625" style="15" bestFit="1" customWidth="1"/>
    <col min="3" max="3" width="16.5703125" style="3" bestFit="1" customWidth="1"/>
    <col min="4" max="4" width="18.42578125" style="3" bestFit="1" customWidth="1"/>
    <col min="5" max="5" width="16.5703125" style="3" bestFit="1" customWidth="1"/>
    <col min="6" max="6" width="18.42578125" style="3" bestFit="1" customWidth="1"/>
    <col min="7" max="7" width="16.5703125" style="3" bestFit="1" customWidth="1"/>
    <col min="8" max="8" width="18.140625" style="3" bestFit="1" customWidth="1"/>
    <col min="9" max="9" width="15.42578125" style="3" bestFit="1" customWidth="1"/>
    <col min="10" max="10" width="23.28515625" style="3" bestFit="1" customWidth="1"/>
    <col min="11" max="11" width="25.7109375" style="3" bestFit="1" customWidth="1"/>
    <col min="12" max="12" width="23.28515625" style="3" bestFit="1" customWidth="1"/>
    <col min="13" max="13" width="24.42578125" style="3" bestFit="1" customWidth="1"/>
    <col min="14" max="15" width="23.28515625" style="3" bestFit="1" customWidth="1"/>
    <col min="16" max="17" width="22.140625" style="3" bestFit="1" customWidth="1"/>
    <col min="18" max="18" width="23.28515625" style="3" bestFit="1" customWidth="1"/>
    <col min="19" max="19" width="24.42578125" style="3" bestFit="1" customWidth="1"/>
    <col min="20" max="20" width="22.140625" style="3" bestFit="1" customWidth="1"/>
    <col min="21" max="21" width="23.28515625" style="3" bestFit="1" customWidth="1"/>
    <col min="22" max="23" width="23.28515625" style="12" bestFit="1" customWidth="1"/>
    <col min="24" max="24" width="24.42578125" style="12" bestFit="1" customWidth="1"/>
    <col min="25" max="27" width="22.140625" style="12" bestFit="1" customWidth="1"/>
    <col min="28" max="16384" width="9.140625" style="12"/>
  </cols>
  <sheetData>
    <row r="1" spans="1:21" ht="23.25" x14ac:dyDescent="0.35">
      <c r="A1" s="6" t="s">
        <v>84</v>
      </c>
    </row>
    <row r="2" spans="1:21" ht="15" x14ac:dyDescent="0.25">
      <c r="A2" s="26">
        <v>2026</v>
      </c>
    </row>
    <row r="3" spans="1:21" ht="15" thickBot="1" x14ac:dyDescent="0.25">
      <c r="A3" s="27"/>
    </row>
    <row r="4" spans="1:21" s="42" customFormat="1" ht="25.5" x14ac:dyDescent="0.25">
      <c r="A4" s="8" t="s">
        <v>11</v>
      </c>
      <c r="B4" s="9" t="s">
        <v>1</v>
      </c>
      <c r="C4" s="9" t="s">
        <v>2</v>
      </c>
      <c r="D4" s="9" t="s">
        <v>91</v>
      </c>
      <c r="E4" s="9" t="s">
        <v>10</v>
      </c>
      <c r="F4" s="9" t="s">
        <v>88</v>
      </c>
      <c r="G4" s="9" t="s">
        <v>89</v>
      </c>
      <c r="H4" s="9" t="s">
        <v>90</v>
      </c>
      <c r="I4" s="9" t="s">
        <v>3</v>
      </c>
      <c r="J4" s="9" t="s">
        <v>94</v>
      </c>
      <c r="K4" s="9" t="s">
        <v>95</v>
      </c>
      <c r="L4" s="9" t="s">
        <v>92</v>
      </c>
      <c r="M4" s="9" t="s">
        <v>4</v>
      </c>
      <c r="N4" s="9" t="s">
        <v>5</v>
      </c>
      <c r="O4" s="9" t="s">
        <v>6</v>
      </c>
      <c r="P4" s="9" t="s">
        <v>7</v>
      </c>
      <c r="Q4" s="9" t="s">
        <v>8</v>
      </c>
      <c r="R4" s="9" t="s">
        <v>96</v>
      </c>
      <c r="S4" s="9" t="s">
        <v>93</v>
      </c>
      <c r="T4" s="9" t="s">
        <v>97</v>
      </c>
      <c r="U4" s="10" t="s">
        <v>9</v>
      </c>
    </row>
    <row r="5" spans="1:21" ht="29.25" customHeight="1" x14ac:dyDescent="0.2">
      <c r="A5" s="28" t="s">
        <v>78</v>
      </c>
      <c r="B5" s="18" t="s">
        <v>106</v>
      </c>
      <c r="C5" s="19">
        <v>1276040</v>
      </c>
      <c r="D5" s="19">
        <v>6164863</v>
      </c>
      <c r="E5" s="19">
        <v>441312</v>
      </c>
      <c r="F5" s="19">
        <v>1620744</v>
      </c>
      <c r="G5" s="19">
        <v>159880</v>
      </c>
      <c r="H5" s="19">
        <v>18117</v>
      </c>
      <c r="I5" s="19">
        <v>47744</v>
      </c>
      <c r="J5" s="19">
        <v>179972</v>
      </c>
      <c r="K5" s="19">
        <v>86041</v>
      </c>
      <c r="L5" s="19">
        <v>258469</v>
      </c>
      <c r="M5" s="19">
        <v>13976</v>
      </c>
      <c r="N5" s="19">
        <v>83605</v>
      </c>
      <c r="O5" s="19">
        <v>236125</v>
      </c>
      <c r="P5" s="19">
        <v>47518</v>
      </c>
      <c r="Q5" s="19">
        <v>254380</v>
      </c>
      <c r="R5" s="19">
        <v>1978</v>
      </c>
      <c r="S5" s="19">
        <v>159526</v>
      </c>
      <c r="T5" s="19">
        <v>100463</v>
      </c>
      <c r="U5" s="20">
        <f>SUM(C5:T5)</f>
        <v>11150753</v>
      </c>
    </row>
    <row r="6" spans="1:21" ht="29.25" customHeight="1" x14ac:dyDescent="0.2">
      <c r="A6" s="28" t="s">
        <v>83</v>
      </c>
      <c r="B6" s="18" t="s">
        <v>106</v>
      </c>
      <c r="C6" s="43">
        <f>C5/$U$5</f>
        <v>0.11443532109445882</v>
      </c>
      <c r="D6" s="43">
        <f t="shared" ref="D6:U6" si="0">D5/$U$5</f>
        <v>0.55286517421738246</v>
      </c>
      <c r="E6" s="43">
        <f t="shared" si="0"/>
        <v>3.9576878799126837E-2</v>
      </c>
      <c r="F6" s="43">
        <f t="shared" si="0"/>
        <v>0.14534839037327793</v>
      </c>
      <c r="G6" s="43">
        <f t="shared" si="0"/>
        <v>1.4338045152645746E-2</v>
      </c>
      <c r="H6" s="43">
        <f t="shared" si="0"/>
        <v>1.6247333251844069E-3</v>
      </c>
      <c r="I6" s="43">
        <f t="shared" si="0"/>
        <v>4.281683936501867E-3</v>
      </c>
      <c r="J6" s="43">
        <f t="shared" si="0"/>
        <v>1.6139896561245686E-2</v>
      </c>
      <c r="K6" s="43">
        <f t="shared" si="0"/>
        <v>7.7161605140029553E-3</v>
      </c>
      <c r="L6" s="43">
        <f t="shared" si="0"/>
        <v>2.3179510836622425E-2</v>
      </c>
      <c r="M6" s="43">
        <f t="shared" si="0"/>
        <v>1.2533682702863206E-3</v>
      </c>
      <c r="N6" s="43">
        <f t="shared" si="0"/>
        <v>7.4976999311167592E-3</v>
      </c>
      <c r="O6" s="43">
        <f t="shared" si="0"/>
        <v>2.117569997290766E-2</v>
      </c>
      <c r="P6" s="43">
        <f t="shared" si="0"/>
        <v>4.2614162469565954E-3</v>
      </c>
      <c r="Q6" s="43">
        <f t="shared" si="0"/>
        <v>2.2812809143920594E-2</v>
      </c>
      <c r="R6" s="43">
        <f t="shared" si="0"/>
        <v>1.7738712354223971E-4</v>
      </c>
      <c r="S6" s="43">
        <f t="shared" si="0"/>
        <v>1.4306298417694303E-2</v>
      </c>
      <c r="T6" s="44">
        <f t="shared" si="0"/>
        <v>9.0095260831264037E-3</v>
      </c>
      <c r="U6" s="45">
        <f t="shared" si="0"/>
        <v>1</v>
      </c>
    </row>
    <row r="7" spans="1:21" ht="29.25" customHeight="1" x14ac:dyDescent="0.2">
      <c r="A7" s="28" t="s">
        <v>107</v>
      </c>
      <c r="B7" s="18" t="s">
        <v>106</v>
      </c>
      <c r="C7" s="43">
        <v>-2.6316110758411893E-2</v>
      </c>
      <c r="D7" s="43">
        <v>1.7847481287452949E-2</v>
      </c>
      <c r="E7" s="43">
        <v>2.8177207366066881E-3</v>
      </c>
      <c r="F7" s="43">
        <v>2.7494895749551329E-3</v>
      </c>
      <c r="G7" s="43">
        <v>6.9595339316643745E-3</v>
      </c>
      <c r="H7" s="43">
        <v>0.13259564891222797</v>
      </c>
      <c r="I7" s="43">
        <v>2.1720986967407763E-2</v>
      </c>
      <c r="J7" s="43">
        <v>3.6669239542412191E-2</v>
      </c>
      <c r="K7" s="43">
        <v>-1.2441893830703044E-2</v>
      </c>
      <c r="L7" s="43">
        <v>1.3055336029628162E-3</v>
      </c>
      <c r="M7" s="43">
        <v>-1.4733873810363063E-2</v>
      </c>
      <c r="N7" s="43">
        <v>1.3922408042980061E-2</v>
      </c>
      <c r="O7" s="43">
        <v>-2.8336627307893325E-3</v>
      </c>
      <c r="P7" s="43">
        <v>-3.7737431338840111E-3</v>
      </c>
      <c r="Q7" s="43">
        <v>5.7169063866462366E-3</v>
      </c>
      <c r="R7" s="43">
        <v>6.61577608142494E-3</v>
      </c>
      <c r="S7" s="43">
        <v>8.6368234699039093E-3</v>
      </c>
      <c r="T7" s="43">
        <v>1.4060765115574858E-2</v>
      </c>
      <c r="U7" s="43">
        <v>-6.0085047458695806E-2</v>
      </c>
    </row>
    <row r="8" spans="1:21" ht="26.25" customHeight="1" x14ac:dyDescent="0.2">
      <c r="A8" s="29"/>
      <c r="B8" s="30"/>
      <c r="C8" s="31"/>
      <c r="D8" s="31"/>
      <c r="E8" s="31"/>
      <c r="F8" s="31"/>
      <c r="G8" s="31"/>
      <c r="H8" s="31"/>
      <c r="I8" s="31"/>
      <c r="J8" s="31"/>
      <c r="K8" s="31"/>
      <c r="L8" s="31"/>
      <c r="M8" s="31"/>
      <c r="N8" s="31"/>
      <c r="O8" s="31"/>
      <c r="P8" s="31"/>
      <c r="Q8" s="31"/>
      <c r="R8" s="31"/>
      <c r="S8" s="31"/>
      <c r="T8" s="32"/>
      <c r="U8" s="33"/>
    </row>
    <row r="9" spans="1:21" ht="29.25" customHeight="1" x14ac:dyDescent="0.2">
      <c r="A9" s="28" t="s">
        <v>79</v>
      </c>
      <c r="B9" s="18" t="s">
        <v>106</v>
      </c>
      <c r="C9" s="19">
        <v>93097809690</v>
      </c>
      <c r="D9" s="19">
        <v>2897745264230</v>
      </c>
      <c r="E9" s="19">
        <v>56990305816</v>
      </c>
      <c r="F9" s="19">
        <v>603423109908</v>
      </c>
      <c r="G9" s="19">
        <v>82894657663</v>
      </c>
      <c r="H9" s="19">
        <v>231830828489</v>
      </c>
      <c r="I9" s="19">
        <v>8811529103</v>
      </c>
      <c r="J9" s="19">
        <v>13443984900</v>
      </c>
      <c r="K9" s="19">
        <v>41841421656</v>
      </c>
      <c r="L9" s="19">
        <v>489204208189</v>
      </c>
      <c r="M9" s="19">
        <v>7428255219</v>
      </c>
      <c r="N9" s="19">
        <v>195421462846</v>
      </c>
      <c r="O9" s="19">
        <v>135165326531</v>
      </c>
      <c r="P9" s="19">
        <v>94783913972</v>
      </c>
      <c r="Q9" s="19">
        <v>247801236021</v>
      </c>
      <c r="R9" s="19">
        <v>8920576670</v>
      </c>
      <c r="S9" s="19">
        <v>10887821019</v>
      </c>
      <c r="T9" s="19">
        <v>12373712602</v>
      </c>
      <c r="U9" s="20">
        <v>5232065424524</v>
      </c>
    </row>
    <row r="10" spans="1:21" ht="29.25" customHeight="1" x14ac:dyDescent="0.2">
      <c r="A10" s="28" t="s">
        <v>81</v>
      </c>
      <c r="B10" s="18" t="s">
        <v>106</v>
      </c>
      <c r="C10" s="43">
        <f t="shared" ref="C10:U10" si="1">C9/$U$9</f>
        <v>1.77937013657412E-2</v>
      </c>
      <c r="D10" s="43">
        <f t="shared" si="1"/>
        <v>0.55384346889997649</v>
      </c>
      <c r="E10" s="43">
        <f t="shared" si="1"/>
        <v>1.0892506341543852E-2</v>
      </c>
      <c r="F10" s="43">
        <f t="shared" si="1"/>
        <v>0.11533172102160742</v>
      </c>
      <c r="G10" s="43">
        <f t="shared" si="1"/>
        <v>1.5843582015326488E-2</v>
      </c>
      <c r="H10" s="43">
        <f t="shared" si="1"/>
        <v>4.4309619562926505E-2</v>
      </c>
      <c r="I10" s="43">
        <f t="shared" si="1"/>
        <v>1.6841397016364051E-3</v>
      </c>
      <c r="J10" s="43">
        <f t="shared" si="1"/>
        <v>2.569536848102984E-3</v>
      </c>
      <c r="K10" s="43">
        <f t="shared" si="1"/>
        <v>7.9971136178608911E-3</v>
      </c>
      <c r="L10" s="43">
        <f t="shared" si="1"/>
        <v>9.3501164166636272E-2</v>
      </c>
      <c r="M10" s="43">
        <f t="shared" si="1"/>
        <v>1.4197557974298084E-3</v>
      </c>
      <c r="N10" s="43">
        <f t="shared" si="1"/>
        <v>3.7350729967941664E-2</v>
      </c>
      <c r="O10" s="43">
        <f t="shared" si="1"/>
        <v>2.5834028354738511E-2</v>
      </c>
      <c r="P10" s="43">
        <f t="shared" si="1"/>
        <v>1.8115964973932489E-2</v>
      </c>
      <c r="Q10" s="43">
        <f t="shared" si="1"/>
        <v>4.7362029316279877E-2</v>
      </c>
      <c r="R10" s="43">
        <f t="shared" si="1"/>
        <v>1.7049818658969793E-3</v>
      </c>
      <c r="S10" s="43">
        <f t="shared" si="1"/>
        <v>2.080979524446705E-3</v>
      </c>
      <c r="T10" s="44">
        <f t="shared" si="1"/>
        <v>2.3649766579755126E-3</v>
      </c>
      <c r="U10" s="45">
        <f t="shared" si="1"/>
        <v>1</v>
      </c>
    </row>
    <row r="11" spans="1:21" x14ac:dyDescent="0.2">
      <c r="A11" s="28" t="s">
        <v>108</v>
      </c>
      <c r="B11" s="18" t="s">
        <v>106</v>
      </c>
      <c r="C11" s="43">
        <v>1.5335266232732847E-2</v>
      </c>
      <c r="D11" s="43">
        <v>1.4168834194650426E-2</v>
      </c>
      <c r="E11" s="43">
        <v>1.1939265578000402E-2</v>
      </c>
      <c r="F11" s="43">
        <v>-2.9876120866229039E-2</v>
      </c>
      <c r="G11" s="43">
        <v>3.0670964164645431E-2</v>
      </c>
      <c r="H11" s="43">
        <v>6.5213161757623483E-2</v>
      </c>
      <c r="I11" s="43">
        <v>-1.2338665741465915E-2</v>
      </c>
      <c r="J11" s="43">
        <v>4.6917609044327957E-2</v>
      </c>
      <c r="K11" s="43">
        <v>5.3996103965801678E-2</v>
      </c>
      <c r="L11" s="43">
        <v>5.6072471695466586E-2</v>
      </c>
      <c r="M11" s="43">
        <v>6.6336397369811229E-2</v>
      </c>
      <c r="N11" s="43">
        <v>0.10844676158298783</v>
      </c>
      <c r="O11" s="43">
        <v>4.4197678663348894E-2</v>
      </c>
      <c r="P11" s="43">
        <v>4.43939647526852E-2</v>
      </c>
      <c r="Q11" s="43">
        <v>5.1480792643681772E-2</v>
      </c>
      <c r="R11" s="43">
        <v>0.10634852329284539</v>
      </c>
      <c r="S11" s="43">
        <v>2.4617658012253685E-2</v>
      </c>
      <c r="T11" s="43">
        <v>5.1878705305687278E-2</v>
      </c>
      <c r="U11" s="43">
        <v>2.196311521524863E-2</v>
      </c>
    </row>
    <row r="12" spans="1:21" s="13" customFormat="1" ht="29.25" customHeight="1" x14ac:dyDescent="0.2">
      <c r="A12" s="34" t="s">
        <v>102</v>
      </c>
      <c r="B12" s="18" t="s">
        <v>106</v>
      </c>
      <c r="C12" s="35">
        <f>C9/C5</f>
        <v>72958.378804739667</v>
      </c>
      <c r="D12" s="35">
        <f t="shared" ref="D12:U12" si="2">D9/D5</f>
        <v>470042.11841041723</v>
      </c>
      <c r="E12" s="35">
        <f t="shared" si="2"/>
        <v>129138.35521354506</v>
      </c>
      <c r="F12" s="35">
        <f t="shared" si="2"/>
        <v>372312.41325465339</v>
      </c>
      <c r="G12" s="35">
        <f t="shared" si="2"/>
        <v>518480.47074681008</v>
      </c>
      <c r="H12" s="35">
        <f t="shared" si="2"/>
        <v>12796314.427830216</v>
      </c>
      <c r="I12" s="35">
        <f t="shared" si="2"/>
        <v>184557.83141337131</v>
      </c>
      <c r="J12" s="35">
        <f t="shared" si="2"/>
        <v>74700.425066121403</v>
      </c>
      <c r="K12" s="35">
        <f t="shared" si="2"/>
        <v>486296.31984751456</v>
      </c>
      <c r="L12" s="35">
        <f t="shared" si="2"/>
        <v>1892699.736482905</v>
      </c>
      <c r="M12" s="35">
        <f t="shared" si="2"/>
        <v>531500.80273325706</v>
      </c>
      <c r="N12" s="35">
        <f t="shared" si="2"/>
        <v>2337437.5078763231</v>
      </c>
      <c r="O12" s="35">
        <f t="shared" si="2"/>
        <v>572431.23994070932</v>
      </c>
      <c r="P12" s="35">
        <f t="shared" si="2"/>
        <v>1994694.9360663327</v>
      </c>
      <c r="Q12" s="35">
        <f t="shared" si="2"/>
        <v>974138.04552637786</v>
      </c>
      <c r="R12" s="35">
        <f t="shared" si="2"/>
        <v>4509897.2042467138</v>
      </c>
      <c r="S12" s="35">
        <f t="shared" si="2"/>
        <v>68251.075178967687</v>
      </c>
      <c r="T12" s="35">
        <f t="shared" si="2"/>
        <v>123166.86344226233</v>
      </c>
      <c r="U12" s="36">
        <f t="shared" si="2"/>
        <v>469211.84825132438</v>
      </c>
    </row>
    <row r="13" spans="1:21" ht="26.25" customHeight="1" x14ac:dyDescent="0.2">
      <c r="A13" s="29"/>
      <c r="B13" s="30"/>
      <c r="C13" s="31"/>
      <c r="D13" s="31"/>
      <c r="E13" s="31"/>
      <c r="F13" s="31"/>
      <c r="G13" s="31"/>
      <c r="H13" s="31"/>
      <c r="I13" s="31"/>
      <c r="J13" s="31"/>
      <c r="K13" s="31"/>
      <c r="L13" s="31"/>
      <c r="M13" s="31"/>
      <c r="N13" s="31"/>
      <c r="O13" s="31"/>
      <c r="P13" s="31"/>
      <c r="Q13" s="31"/>
      <c r="R13" s="31"/>
      <c r="S13" s="31"/>
      <c r="T13" s="31"/>
      <c r="U13" s="33"/>
    </row>
    <row r="14" spans="1:21" ht="29.25" customHeight="1" x14ac:dyDescent="0.2">
      <c r="A14" s="28" t="s">
        <v>80</v>
      </c>
      <c r="B14" s="18" t="s">
        <v>106</v>
      </c>
      <c r="C14" s="19">
        <v>74200404737</v>
      </c>
      <c r="D14" s="19">
        <v>1861272063453</v>
      </c>
      <c r="E14" s="19">
        <v>32213111698</v>
      </c>
      <c r="F14" s="19">
        <v>492366612041</v>
      </c>
      <c r="G14" s="19">
        <v>64680650966</v>
      </c>
      <c r="H14" s="19">
        <v>206530016950</v>
      </c>
      <c r="I14" s="19">
        <v>6623379201</v>
      </c>
      <c r="J14" s="19">
        <v>11478998034</v>
      </c>
      <c r="K14" s="19">
        <v>32773656000</v>
      </c>
      <c r="L14" s="19">
        <v>444016786693</v>
      </c>
      <c r="M14" s="19">
        <v>5389699510</v>
      </c>
      <c r="N14" s="19">
        <v>170146712923</v>
      </c>
      <c r="O14" s="19">
        <v>25535439975</v>
      </c>
      <c r="P14" s="19">
        <v>21624237041</v>
      </c>
      <c r="Q14" s="19">
        <v>1866114913</v>
      </c>
      <c r="R14" s="19">
        <v>4735426046</v>
      </c>
      <c r="S14" s="19">
        <v>6046027242</v>
      </c>
      <c r="T14" s="19">
        <v>9467671593</v>
      </c>
      <c r="U14" s="20">
        <f>SUM(C14:T14)</f>
        <v>3470967009016</v>
      </c>
    </row>
    <row r="15" spans="1:21" ht="29.25" customHeight="1" x14ac:dyDescent="0.2">
      <c r="A15" s="28" t="s">
        <v>82</v>
      </c>
      <c r="B15" s="18" t="s">
        <v>106</v>
      </c>
      <c r="C15" s="43">
        <f t="shared" ref="C15:U15" si="3">C14/$U$14</f>
        <v>2.1377444540458309E-2</v>
      </c>
      <c r="D15" s="43">
        <f t="shared" si="3"/>
        <v>0.53624020586143817</v>
      </c>
      <c r="E15" s="43">
        <f t="shared" si="3"/>
        <v>9.2807311663651443E-3</v>
      </c>
      <c r="F15" s="43">
        <f t="shared" si="3"/>
        <v>0.14185286427731941</v>
      </c>
      <c r="G15" s="43">
        <f t="shared" si="3"/>
        <v>1.863476397153559E-2</v>
      </c>
      <c r="H15" s="43">
        <f t="shared" si="3"/>
        <v>5.9502154994135227E-2</v>
      </c>
      <c r="I15" s="43">
        <f t="shared" si="3"/>
        <v>1.9082230351932072E-3</v>
      </c>
      <c r="J15" s="43">
        <f t="shared" si="3"/>
        <v>3.3071469720636244E-3</v>
      </c>
      <c r="K15" s="43">
        <f t="shared" si="3"/>
        <v>9.4422263060607858E-3</v>
      </c>
      <c r="L15" s="43">
        <f t="shared" si="3"/>
        <v>0.12792307894014709</v>
      </c>
      <c r="M15" s="43">
        <f t="shared" si="3"/>
        <v>1.5527947963780704E-3</v>
      </c>
      <c r="N15" s="43">
        <f t="shared" si="3"/>
        <v>4.9019974111259461E-2</v>
      </c>
      <c r="O15" s="43">
        <f t="shared" si="3"/>
        <v>7.3568662302668083E-3</v>
      </c>
      <c r="P15" s="43">
        <f t="shared" si="3"/>
        <v>6.2300324332758067E-3</v>
      </c>
      <c r="Q15" s="43">
        <f t="shared" si="3"/>
        <v>5.3763545091401875E-4</v>
      </c>
      <c r="R15" s="43">
        <f t="shared" si="3"/>
        <v>1.3642958961290926E-3</v>
      </c>
      <c r="S15" s="43">
        <f t="shared" si="3"/>
        <v>1.7418855397631726E-3</v>
      </c>
      <c r="T15" s="44">
        <f t="shared" si="3"/>
        <v>2.727675477297041E-3</v>
      </c>
      <c r="U15" s="45">
        <f t="shared" si="3"/>
        <v>1</v>
      </c>
    </row>
    <row r="16" spans="1:21" ht="28.5" customHeight="1" x14ac:dyDescent="0.2">
      <c r="A16" s="28" t="s">
        <v>109</v>
      </c>
      <c r="B16" s="18" t="s">
        <v>106</v>
      </c>
      <c r="C16" s="43">
        <v>5.4358794123453569E-2</v>
      </c>
      <c r="D16" s="43">
        <v>6.3715894081738167E-2</v>
      </c>
      <c r="E16" s="43">
        <v>7.1299738977647742E-2</v>
      </c>
      <c r="F16" s="43">
        <v>2.3636159719834238E-2</v>
      </c>
      <c r="G16" s="43">
        <v>7.960658553648936E-2</v>
      </c>
      <c r="H16" s="43">
        <v>6.6655415906677895E-2</v>
      </c>
      <c r="I16" s="43">
        <v>3.5231921806685884E-2</v>
      </c>
      <c r="J16" s="43">
        <v>6.5347652227078168E-2</v>
      </c>
      <c r="K16" s="43">
        <v>5.8611535954384175E-2</v>
      </c>
      <c r="L16" s="43">
        <v>6.2761808451656131E-2</v>
      </c>
      <c r="M16" s="43">
        <v>5.4727069544736384E-2</v>
      </c>
      <c r="N16" s="43">
        <v>0.12388675325597442</v>
      </c>
      <c r="O16" s="43">
        <v>6.8641321863057936E-2</v>
      </c>
      <c r="P16" s="43">
        <v>7.1875190698591052E-2</v>
      </c>
      <c r="Q16" s="43">
        <v>8.2787520468573517E-2</v>
      </c>
      <c r="R16" s="43">
        <v>0.12077199003293115</v>
      </c>
      <c r="S16" s="43">
        <v>1.537929646845293E-2</v>
      </c>
      <c r="T16" s="43">
        <v>7.0731659262562196E-2</v>
      </c>
      <c r="U16" s="43">
        <v>6.0807903154770804E-2</v>
      </c>
    </row>
    <row r="17" spans="1:21" ht="29.25" customHeight="1" thickBot="1" x14ac:dyDescent="0.25">
      <c r="A17" s="37" t="s">
        <v>103</v>
      </c>
      <c r="B17" s="38" t="s">
        <v>106</v>
      </c>
      <c r="C17" s="39">
        <f t="shared" ref="C17:U17" si="4">C14/C5</f>
        <v>58148.964559888402</v>
      </c>
      <c r="D17" s="39">
        <f t="shared" si="4"/>
        <v>301916.20859263215</v>
      </c>
      <c r="E17" s="39">
        <f t="shared" si="4"/>
        <v>72993.962770103695</v>
      </c>
      <c r="F17" s="39">
        <f t="shared" si="4"/>
        <v>303790.48883784236</v>
      </c>
      <c r="G17" s="39">
        <f t="shared" si="4"/>
        <v>404557.48665248934</v>
      </c>
      <c r="H17" s="39">
        <f t="shared" si="4"/>
        <v>11399791.18783463</v>
      </c>
      <c r="I17" s="39">
        <f t="shared" si="4"/>
        <v>138726.94372067694</v>
      </c>
      <c r="J17" s="39">
        <f t="shared" si="4"/>
        <v>63782.132965127908</v>
      </c>
      <c r="K17" s="39">
        <f t="shared" si="4"/>
        <v>380907.42785416252</v>
      </c>
      <c r="L17" s="39">
        <f t="shared" si="4"/>
        <v>1717872.4980287771</v>
      </c>
      <c r="M17" s="39">
        <f t="shared" si="4"/>
        <v>385639.63294218661</v>
      </c>
      <c r="N17" s="39">
        <f t="shared" si="4"/>
        <v>2035126.0441719992</v>
      </c>
      <c r="O17" s="39">
        <f t="shared" si="4"/>
        <v>108143.73732133403</v>
      </c>
      <c r="P17" s="39">
        <f t="shared" si="4"/>
        <v>455074.6462603645</v>
      </c>
      <c r="Q17" s="39">
        <f t="shared" si="4"/>
        <v>7335.9340867992769</v>
      </c>
      <c r="R17" s="39">
        <f t="shared" si="4"/>
        <v>2394047.5460060667</v>
      </c>
      <c r="S17" s="39">
        <f t="shared" si="4"/>
        <v>37899.948861000717</v>
      </c>
      <c r="T17" s="39">
        <f t="shared" si="4"/>
        <v>94240.382956909511</v>
      </c>
      <c r="U17" s="40">
        <f t="shared" si="4"/>
        <v>311276.46796732023</v>
      </c>
    </row>
    <row r="19" spans="1:21" x14ac:dyDescent="0.2">
      <c r="A19" s="5" t="s">
        <v>110</v>
      </c>
    </row>
    <row r="21" spans="1:21" customFormat="1" ht="15" x14ac:dyDescent="0.25"/>
    <row r="22" spans="1:21" customFormat="1" ht="15" x14ac:dyDescent="0.25"/>
    <row r="23" spans="1:21" customFormat="1" ht="15" x14ac:dyDescent="0.25"/>
    <row r="24" spans="1:21" customFormat="1" ht="15" x14ac:dyDescent="0.25"/>
    <row r="25" spans="1:21" customFormat="1" ht="15" x14ac:dyDescent="0.25"/>
    <row r="26" spans="1:21" customFormat="1" ht="15" x14ac:dyDescent="0.25"/>
    <row r="27" spans="1:21" customFormat="1" ht="15" x14ac:dyDescent="0.25"/>
    <row r="28" spans="1:21" customFormat="1" ht="15" x14ac:dyDescent="0.25"/>
    <row r="29" spans="1:21" customFormat="1" ht="15" x14ac:dyDescent="0.25"/>
    <row r="30" spans="1:21" customFormat="1" ht="15" x14ac:dyDescent="0.25"/>
    <row r="31" spans="1:21" customFormat="1" ht="15" x14ac:dyDescent="0.25"/>
    <row r="32" spans="1:21" customFormat="1" ht="15" x14ac:dyDescent="0.25"/>
    <row r="33" spans="2:9" customFormat="1" ht="15" x14ac:dyDescent="0.25"/>
    <row r="34" spans="2:9" customFormat="1" ht="15" x14ac:dyDescent="0.25"/>
    <row r="35" spans="2:9" customFormat="1" ht="15" x14ac:dyDescent="0.25"/>
    <row r="36" spans="2:9" customFormat="1" ht="15" x14ac:dyDescent="0.25"/>
    <row r="37" spans="2:9" customFormat="1" ht="15" x14ac:dyDescent="0.25"/>
    <row r="38" spans="2:9" customFormat="1" ht="15" x14ac:dyDescent="0.25"/>
    <row r="39" spans="2:9" customFormat="1" ht="15" x14ac:dyDescent="0.25"/>
    <row r="40" spans="2:9" customFormat="1" ht="15" x14ac:dyDescent="0.25"/>
    <row r="41" spans="2:9" customFormat="1" ht="15" x14ac:dyDescent="0.25"/>
    <row r="42" spans="2:9" customFormat="1" ht="15" x14ac:dyDescent="0.25"/>
    <row r="43" spans="2:9" customFormat="1" ht="15" x14ac:dyDescent="0.25"/>
    <row r="44" spans="2:9" customFormat="1" ht="15" x14ac:dyDescent="0.25"/>
    <row r="45" spans="2:9" customFormat="1" ht="15" x14ac:dyDescent="0.25"/>
    <row r="46" spans="2:9" customFormat="1" ht="15" x14ac:dyDescent="0.25"/>
    <row r="47" spans="2:9" customFormat="1" ht="15" x14ac:dyDescent="0.25"/>
    <row r="48" spans="2:9" x14ac:dyDescent="0.2">
      <c r="B48" s="14"/>
      <c r="C48" s="12"/>
      <c r="D48" s="12"/>
      <c r="E48" s="12"/>
      <c r="F48" s="12"/>
      <c r="G48" s="12"/>
      <c r="H48" s="12"/>
      <c r="I48" s="12"/>
    </row>
    <row r="49" spans="2:9" x14ac:dyDescent="0.2">
      <c r="B49" s="14"/>
      <c r="C49" s="12"/>
      <c r="D49" s="12"/>
      <c r="E49" s="12"/>
      <c r="F49" s="12"/>
      <c r="G49" s="12"/>
      <c r="H49" s="12"/>
      <c r="I49" s="12"/>
    </row>
    <row r="50" spans="2:9" x14ac:dyDescent="0.2">
      <c r="B50" s="14"/>
      <c r="C50" s="12"/>
      <c r="D50" s="12"/>
      <c r="E50" s="12"/>
      <c r="F50" s="12"/>
      <c r="G50" s="12"/>
      <c r="H50" s="12"/>
      <c r="I50" s="12"/>
    </row>
    <row r="51" spans="2:9" x14ac:dyDescent="0.2">
      <c r="B51" s="14"/>
      <c r="C51" s="12"/>
      <c r="D51" s="12"/>
      <c r="E51" s="12"/>
      <c r="F51" s="12"/>
      <c r="G51" s="12"/>
      <c r="H51" s="12"/>
      <c r="I51" s="12"/>
    </row>
    <row r="52" spans="2:9" x14ac:dyDescent="0.2">
      <c r="B52" s="14"/>
      <c r="C52" s="12"/>
      <c r="D52" s="12"/>
      <c r="E52" s="12"/>
      <c r="F52" s="12"/>
      <c r="G52" s="12"/>
      <c r="H52" s="12"/>
      <c r="I52" s="12"/>
    </row>
    <row r="53" spans="2:9" x14ac:dyDescent="0.2">
      <c r="C53" s="12"/>
      <c r="D53" s="12"/>
      <c r="E53" s="12"/>
      <c r="F53" s="12"/>
      <c r="G53" s="12"/>
      <c r="H53" s="12"/>
      <c r="I53" s="12"/>
    </row>
  </sheetData>
  <phoneticPr fontId="0" type="noConversion"/>
  <pageMargins left="0.7" right="0.7" top="0.75" bottom="0.75" header="0.3" footer="0.3"/>
  <pageSetup scale="52" fitToWidth="2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>
    <pageSetUpPr fitToPage="1"/>
  </sheetPr>
  <dimension ref="A1:RP75"/>
  <sheetViews>
    <sheetView zoomScaleNormal="100" workbookViewId="0">
      <pane xSplit="1" ySplit="4" topLeftCell="B49" activePane="bottomRight" state="frozen"/>
      <selection pane="topRight"/>
      <selection pane="bottomLeft"/>
      <selection pane="bottomRight" activeCell="R76" sqref="R76"/>
    </sheetView>
  </sheetViews>
  <sheetFormatPr defaultRowHeight="15" x14ac:dyDescent="0.25"/>
  <cols>
    <col min="1" max="1" width="17.7109375" style="3" customWidth="1"/>
    <col min="2" max="2" width="14.28515625" style="15" customWidth="1"/>
    <col min="3" max="5" width="15.28515625" style="3" customWidth="1"/>
    <col min="6" max="6" width="16.42578125" style="3" customWidth="1"/>
    <col min="7" max="7" width="15.28515625" style="3" customWidth="1"/>
    <col min="8" max="8" width="16.42578125" style="3" customWidth="1"/>
    <col min="9" max="9" width="15.7109375" style="3" customWidth="1"/>
    <col min="10" max="21" width="14.5703125" style="3" customWidth="1"/>
    <col min="22" max="22" width="14.5703125" style="46" bestFit="1" customWidth="1"/>
    <col min="23" max="23" width="10.5703125" customWidth="1"/>
    <col min="485" max="16384" width="9.140625" style="12"/>
  </cols>
  <sheetData>
    <row r="1" spans="1:484" ht="23.25" x14ac:dyDescent="0.35">
      <c r="A1" s="1" t="s">
        <v>85</v>
      </c>
    </row>
    <row r="2" spans="1:484" x14ac:dyDescent="0.25">
      <c r="A2" s="16">
        <v>2026</v>
      </c>
    </row>
    <row r="3" spans="1:484" s="52" customFormat="1" ht="15.75" thickBot="1" x14ac:dyDescent="0.3">
      <c r="A3" s="50"/>
      <c r="B3" s="51"/>
      <c r="C3" s="50"/>
      <c r="D3" s="50"/>
      <c r="E3" s="50"/>
      <c r="F3" s="50"/>
      <c r="G3" s="50"/>
      <c r="H3" s="50"/>
      <c r="I3" s="50"/>
      <c r="J3" s="50"/>
      <c r="K3" s="50"/>
      <c r="L3" s="50"/>
      <c r="M3" s="50"/>
      <c r="N3" s="50"/>
      <c r="O3" s="50"/>
      <c r="P3" s="50"/>
      <c r="Q3" s="50"/>
      <c r="R3" s="50"/>
      <c r="S3" s="50"/>
      <c r="T3" s="50"/>
      <c r="U3" s="50"/>
      <c r="V3" s="53"/>
      <c r="W3" s="54"/>
      <c r="X3" s="54"/>
      <c r="Y3" s="54"/>
      <c r="Z3" s="54"/>
      <c r="AA3" s="54"/>
      <c r="AB3" s="54"/>
      <c r="AC3" s="54"/>
      <c r="AD3" s="54"/>
      <c r="AE3" s="54"/>
      <c r="AF3" s="54"/>
      <c r="AG3" s="54"/>
      <c r="AH3" s="54"/>
      <c r="AI3" s="54"/>
      <c r="AJ3" s="54"/>
      <c r="AK3" s="54"/>
      <c r="AL3" s="54"/>
      <c r="AM3" s="54"/>
      <c r="AN3" s="54"/>
      <c r="AO3" s="54"/>
      <c r="AP3" s="54"/>
      <c r="AQ3" s="54"/>
      <c r="AR3" s="54"/>
      <c r="AS3" s="54"/>
      <c r="AT3" s="54"/>
      <c r="AU3" s="54"/>
      <c r="AV3" s="54"/>
      <c r="AW3" s="54"/>
      <c r="AX3" s="54"/>
      <c r="AY3" s="54"/>
      <c r="AZ3" s="54"/>
      <c r="BA3" s="54"/>
      <c r="BB3" s="54"/>
      <c r="BC3" s="54"/>
      <c r="BD3" s="54"/>
      <c r="BE3" s="54"/>
      <c r="BF3" s="54"/>
      <c r="BG3" s="54"/>
      <c r="BH3" s="54"/>
      <c r="BI3" s="54"/>
      <c r="BJ3" s="54"/>
      <c r="BK3" s="54"/>
      <c r="BL3" s="54"/>
      <c r="BM3" s="54"/>
      <c r="BN3" s="54"/>
      <c r="BO3" s="54"/>
      <c r="BP3" s="54"/>
      <c r="BQ3" s="54"/>
      <c r="BR3" s="54"/>
      <c r="BS3" s="54"/>
      <c r="BT3" s="54"/>
      <c r="BU3" s="54"/>
      <c r="BV3" s="54"/>
      <c r="BW3" s="54"/>
      <c r="BX3" s="54"/>
      <c r="BY3" s="54"/>
      <c r="BZ3" s="54"/>
      <c r="CA3" s="54"/>
      <c r="CB3" s="54"/>
      <c r="CC3" s="54"/>
      <c r="CD3" s="54"/>
      <c r="CE3" s="54"/>
      <c r="CF3" s="54"/>
      <c r="CG3" s="54"/>
      <c r="CH3" s="54"/>
      <c r="CI3" s="54"/>
      <c r="CJ3" s="54"/>
      <c r="CK3" s="54"/>
      <c r="CL3" s="54"/>
      <c r="CM3" s="54"/>
      <c r="CN3" s="54"/>
      <c r="CO3" s="54"/>
      <c r="CP3" s="54"/>
      <c r="CQ3" s="54"/>
      <c r="CR3" s="54"/>
      <c r="CS3" s="54"/>
      <c r="CT3" s="54"/>
      <c r="CU3" s="54"/>
      <c r="CV3" s="54"/>
      <c r="CW3" s="54"/>
      <c r="CX3" s="54"/>
      <c r="CY3" s="54"/>
      <c r="CZ3" s="54"/>
      <c r="DA3" s="54"/>
      <c r="DB3" s="54"/>
      <c r="DC3" s="54"/>
      <c r="DD3" s="54"/>
      <c r="DE3" s="54"/>
      <c r="DF3" s="54"/>
      <c r="DG3" s="54"/>
      <c r="DH3" s="54"/>
      <c r="DI3" s="54"/>
      <c r="DJ3" s="54"/>
      <c r="DK3" s="54"/>
      <c r="DL3" s="54"/>
      <c r="DM3" s="54"/>
      <c r="DN3" s="54"/>
      <c r="DO3" s="54"/>
      <c r="DP3" s="54"/>
      <c r="DQ3" s="54"/>
      <c r="DR3" s="54"/>
      <c r="DS3" s="54"/>
      <c r="DT3" s="54"/>
      <c r="DU3" s="54"/>
      <c r="DV3" s="54"/>
      <c r="DW3" s="54"/>
      <c r="DX3" s="54"/>
      <c r="DY3" s="54"/>
      <c r="DZ3" s="54"/>
      <c r="EA3" s="54"/>
      <c r="EB3" s="54"/>
      <c r="EC3" s="54"/>
      <c r="ED3" s="54"/>
      <c r="EE3" s="54"/>
      <c r="EF3" s="54"/>
      <c r="EG3" s="54"/>
      <c r="EH3" s="54"/>
      <c r="EI3" s="54"/>
      <c r="EJ3" s="54"/>
      <c r="EK3" s="54"/>
      <c r="EL3" s="54"/>
      <c r="EM3" s="54"/>
      <c r="EN3" s="54"/>
      <c r="EO3" s="54"/>
      <c r="EP3" s="54"/>
      <c r="EQ3" s="54"/>
      <c r="ER3" s="54"/>
      <c r="ES3" s="54"/>
      <c r="ET3" s="54"/>
      <c r="EU3" s="54"/>
      <c r="EV3" s="54"/>
      <c r="EW3" s="54"/>
      <c r="EX3" s="54"/>
      <c r="EY3" s="54"/>
      <c r="EZ3" s="54"/>
      <c r="FA3" s="54"/>
      <c r="FB3" s="54"/>
      <c r="FC3" s="54"/>
      <c r="FD3" s="54"/>
      <c r="FE3" s="54"/>
      <c r="FF3" s="54"/>
      <c r="FG3" s="54"/>
      <c r="FH3" s="54"/>
      <c r="FI3" s="54"/>
      <c r="FJ3" s="54"/>
      <c r="FK3" s="54"/>
      <c r="FL3" s="54"/>
      <c r="FM3" s="54"/>
      <c r="FN3" s="54"/>
      <c r="FO3" s="54"/>
      <c r="FP3" s="54"/>
      <c r="FQ3" s="54"/>
      <c r="FR3" s="54"/>
      <c r="FS3" s="54"/>
      <c r="FT3" s="54"/>
      <c r="FU3" s="54"/>
      <c r="FV3" s="54"/>
      <c r="FW3" s="54"/>
      <c r="FX3" s="54"/>
      <c r="FY3" s="54"/>
      <c r="FZ3" s="54"/>
      <c r="GA3" s="54"/>
      <c r="GB3" s="54"/>
      <c r="GC3" s="54"/>
      <c r="GD3" s="54"/>
      <c r="GE3" s="54"/>
      <c r="GF3" s="54"/>
      <c r="GG3" s="54"/>
      <c r="GH3" s="54"/>
      <c r="GI3" s="54"/>
      <c r="GJ3" s="54"/>
      <c r="GK3" s="54"/>
      <c r="GL3" s="54"/>
      <c r="GM3" s="54"/>
      <c r="GN3" s="54"/>
      <c r="GO3" s="54"/>
      <c r="GP3" s="54"/>
      <c r="GQ3" s="54"/>
      <c r="GR3" s="54"/>
      <c r="GS3" s="54"/>
      <c r="GT3" s="54"/>
      <c r="GU3" s="54"/>
      <c r="GV3" s="54"/>
      <c r="GW3" s="54"/>
      <c r="GX3" s="54"/>
      <c r="GY3" s="54"/>
      <c r="GZ3" s="54"/>
      <c r="HA3" s="54"/>
      <c r="HB3" s="54"/>
      <c r="HC3" s="54"/>
      <c r="HD3" s="54"/>
      <c r="HE3" s="54"/>
      <c r="HF3" s="54"/>
      <c r="HG3" s="54"/>
      <c r="HH3" s="54"/>
      <c r="HI3" s="54"/>
      <c r="HJ3" s="54"/>
      <c r="HK3" s="54"/>
      <c r="HL3" s="54"/>
      <c r="HM3" s="54"/>
      <c r="HN3" s="54"/>
      <c r="HO3" s="54"/>
      <c r="HP3" s="54"/>
      <c r="HQ3" s="54"/>
      <c r="HR3" s="54"/>
      <c r="HS3" s="54"/>
      <c r="HT3" s="54"/>
      <c r="HU3" s="54"/>
      <c r="HV3" s="54"/>
      <c r="HW3" s="54"/>
      <c r="HX3" s="54"/>
      <c r="HY3" s="54"/>
      <c r="HZ3" s="54"/>
      <c r="IA3" s="54"/>
      <c r="IB3" s="54"/>
      <c r="IC3" s="54"/>
      <c r="ID3" s="54"/>
      <c r="IE3" s="54"/>
      <c r="IF3" s="54"/>
      <c r="IG3" s="54"/>
      <c r="IH3" s="54"/>
      <c r="II3" s="54"/>
      <c r="IJ3" s="54"/>
      <c r="IK3" s="54"/>
      <c r="IL3" s="54"/>
      <c r="IM3" s="54"/>
      <c r="IN3" s="54"/>
      <c r="IO3" s="54"/>
      <c r="IP3" s="54"/>
      <c r="IQ3" s="54"/>
      <c r="IR3" s="54"/>
      <c r="IS3" s="54"/>
      <c r="IT3" s="54"/>
      <c r="IU3" s="54"/>
      <c r="IV3" s="54"/>
      <c r="IW3" s="54"/>
      <c r="IX3" s="54"/>
      <c r="IY3" s="54"/>
      <c r="IZ3" s="54"/>
      <c r="JA3" s="54"/>
      <c r="JB3" s="54"/>
      <c r="JC3" s="54"/>
      <c r="JD3" s="54"/>
      <c r="JE3" s="54"/>
      <c r="JF3" s="54"/>
      <c r="JG3" s="54"/>
      <c r="JH3" s="54"/>
      <c r="JI3" s="54"/>
      <c r="JJ3" s="54"/>
      <c r="JK3" s="54"/>
      <c r="JL3" s="54"/>
      <c r="JM3" s="54"/>
      <c r="JN3" s="54"/>
      <c r="JO3" s="54"/>
      <c r="JP3" s="54"/>
      <c r="JQ3" s="54"/>
      <c r="JR3" s="54"/>
      <c r="JS3" s="54"/>
      <c r="JT3" s="54"/>
      <c r="JU3" s="54"/>
      <c r="JV3" s="54"/>
      <c r="JW3" s="54"/>
      <c r="JX3" s="54"/>
      <c r="JY3" s="54"/>
      <c r="JZ3" s="54"/>
      <c r="KA3" s="54"/>
      <c r="KB3" s="54"/>
      <c r="KC3" s="54"/>
      <c r="KD3" s="54"/>
      <c r="KE3" s="54"/>
      <c r="KF3" s="54"/>
      <c r="KG3" s="54"/>
      <c r="KH3" s="54"/>
      <c r="KI3" s="54"/>
      <c r="KJ3" s="54"/>
      <c r="KK3" s="54"/>
      <c r="KL3" s="54"/>
      <c r="KM3" s="54"/>
      <c r="KN3" s="54"/>
      <c r="KO3" s="54"/>
      <c r="KP3" s="54"/>
      <c r="KQ3" s="54"/>
      <c r="KR3" s="54"/>
      <c r="KS3" s="54"/>
      <c r="KT3" s="54"/>
      <c r="KU3" s="54"/>
      <c r="KV3" s="54"/>
      <c r="KW3" s="54"/>
      <c r="KX3" s="54"/>
      <c r="KY3" s="54"/>
      <c r="KZ3" s="54"/>
      <c r="LA3" s="54"/>
      <c r="LB3" s="54"/>
      <c r="LC3" s="54"/>
      <c r="LD3" s="54"/>
      <c r="LE3" s="54"/>
      <c r="LF3" s="54"/>
      <c r="LG3" s="54"/>
      <c r="LH3" s="54"/>
      <c r="LI3" s="54"/>
      <c r="LJ3" s="54"/>
      <c r="LK3" s="54"/>
      <c r="LL3" s="54"/>
      <c r="LM3" s="54"/>
      <c r="LN3" s="54"/>
      <c r="LO3" s="54"/>
      <c r="LP3" s="54"/>
      <c r="LQ3" s="54"/>
      <c r="LR3" s="54"/>
      <c r="LS3" s="54"/>
      <c r="LT3" s="54"/>
      <c r="LU3" s="54"/>
      <c r="LV3" s="54"/>
      <c r="LW3" s="54"/>
      <c r="LX3" s="54"/>
      <c r="LY3" s="54"/>
      <c r="LZ3" s="54"/>
      <c r="MA3" s="54"/>
      <c r="MB3" s="54"/>
      <c r="MC3" s="54"/>
      <c r="MD3" s="54"/>
      <c r="ME3" s="54"/>
      <c r="MF3" s="54"/>
      <c r="MG3" s="54"/>
      <c r="MH3" s="54"/>
      <c r="MI3" s="54"/>
      <c r="MJ3" s="54"/>
      <c r="MK3" s="54"/>
      <c r="ML3" s="54"/>
      <c r="MM3" s="54"/>
      <c r="MN3" s="54"/>
      <c r="MO3" s="54"/>
      <c r="MP3" s="54"/>
      <c r="MQ3" s="54"/>
      <c r="MR3" s="54"/>
      <c r="MS3" s="54"/>
      <c r="MT3" s="54"/>
      <c r="MU3" s="54"/>
      <c r="MV3" s="54"/>
      <c r="MW3" s="54"/>
      <c r="MX3" s="54"/>
      <c r="MY3" s="54"/>
      <c r="MZ3" s="54"/>
      <c r="NA3" s="54"/>
      <c r="NB3" s="54"/>
      <c r="NC3" s="54"/>
      <c r="ND3" s="54"/>
      <c r="NE3" s="54"/>
      <c r="NF3" s="54"/>
      <c r="NG3" s="54"/>
      <c r="NH3" s="54"/>
      <c r="NI3" s="54"/>
      <c r="NJ3" s="54"/>
      <c r="NK3" s="54"/>
      <c r="NL3" s="54"/>
      <c r="NM3" s="54"/>
      <c r="NN3" s="54"/>
      <c r="NO3" s="54"/>
      <c r="NP3" s="54"/>
      <c r="NQ3" s="54"/>
      <c r="NR3" s="54"/>
      <c r="NS3" s="54"/>
      <c r="NT3" s="54"/>
      <c r="NU3" s="54"/>
      <c r="NV3" s="54"/>
      <c r="NW3" s="54"/>
      <c r="NX3" s="54"/>
      <c r="NY3" s="54"/>
      <c r="NZ3" s="54"/>
      <c r="OA3" s="54"/>
      <c r="OB3" s="54"/>
      <c r="OC3" s="54"/>
      <c r="OD3" s="54"/>
      <c r="OE3" s="54"/>
      <c r="OF3" s="54"/>
      <c r="OG3" s="54"/>
      <c r="OH3" s="54"/>
      <c r="OI3" s="54"/>
      <c r="OJ3" s="54"/>
      <c r="OK3" s="54"/>
      <c r="OL3" s="54"/>
      <c r="OM3" s="54"/>
      <c r="ON3" s="54"/>
      <c r="OO3" s="54"/>
      <c r="OP3" s="54"/>
      <c r="OQ3" s="54"/>
      <c r="OR3" s="54"/>
      <c r="OS3" s="54"/>
      <c r="OT3" s="54"/>
      <c r="OU3" s="54"/>
      <c r="OV3" s="54"/>
      <c r="OW3" s="54"/>
      <c r="OX3" s="54"/>
      <c r="OY3" s="54"/>
      <c r="OZ3" s="54"/>
      <c r="PA3" s="54"/>
      <c r="PB3" s="54"/>
      <c r="PC3" s="54"/>
      <c r="PD3" s="54"/>
      <c r="PE3" s="54"/>
      <c r="PF3" s="54"/>
      <c r="PG3" s="54"/>
      <c r="PH3" s="54"/>
      <c r="PI3" s="54"/>
      <c r="PJ3" s="54"/>
      <c r="PK3" s="54"/>
      <c r="PL3" s="54"/>
      <c r="PM3" s="54"/>
      <c r="PN3" s="54"/>
      <c r="PO3" s="54"/>
      <c r="PP3" s="54"/>
      <c r="PQ3" s="54"/>
      <c r="PR3" s="54"/>
      <c r="PS3" s="54"/>
      <c r="PT3" s="54"/>
      <c r="PU3" s="54"/>
      <c r="PV3" s="54"/>
      <c r="PW3" s="54"/>
      <c r="PX3" s="54"/>
      <c r="PY3" s="54"/>
      <c r="PZ3" s="54"/>
      <c r="QA3" s="54"/>
      <c r="QB3" s="54"/>
      <c r="QC3" s="54"/>
      <c r="QD3" s="54"/>
      <c r="QE3" s="54"/>
      <c r="QF3" s="54"/>
      <c r="QG3" s="54"/>
      <c r="QH3" s="54"/>
      <c r="QI3" s="54"/>
      <c r="QJ3" s="54"/>
      <c r="QK3" s="54"/>
      <c r="QL3" s="54"/>
      <c r="QM3" s="54"/>
      <c r="QN3" s="54"/>
      <c r="QO3" s="54"/>
      <c r="QP3" s="54"/>
      <c r="QQ3" s="54"/>
      <c r="QR3" s="54"/>
      <c r="QS3" s="54"/>
      <c r="QT3" s="54"/>
      <c r="QU3" s="54"/>
      <c r="QV3" s="54"/>
      <c r="QW3" s="54"/>
      <c r="QX3" s="54"/>
      <c r="QY3" s="54"/>
      <c r="QZ3" s="54"/>
      <c r="RA3" s="54"/>
      <c r="RB3" s="54"/>
      <c r="RC3" s="54"/>
      <c r="RD3" s="54"/>
      <c r="RE3" s="54"/>
      <c r="RF3" s="54"/>
      <c r="RG3" s="54"/>
      <c r="RH3" s="54"/>
      <c r="RI3" s="54"/>
      <c r="RJ3" s="54"/>
      <c r="RK3" s="54"/>
      <c r="RL3" s="54"/>
      <c r="RM3" s="54"/>
      <c r="RN3" s="54"/>
      <c r="RO3" s="54"/>
      <c r="RP3" s="54"/>
    </row>
    <row r="4" spans="1:484" s="42" customFormat="1" ht="38.25" x14ac:dyDescent="0.25">
      <c r="A4" s="11" t="s">
        <v>0</v>
      </c>
      <c r="B4" s="9" t="s">
        <v>1</v>
      </c>
      <c r="C4" s="9" t="s">
        <v>2</v>
      </c>
      <c r="D4" s="9" t="s">
        <v>91</v>
      </c>
      <c r="E4" s="9" t="s">
        <v>10</v>
      </c>
      <c r="F4" s="9" t="s">
        <v>88</v>
      </c>
      <c r="G4" s="9" t="s">
        <v>89</v>
      </c>
      <c r="H4" s="9" t="s">
        <v>90</v>
      </c>
      <c r="I4" s="9" t="s">
        <v>3</v>
      </c>
      <c r="J4" s="9" t="s">
        <v>94</v>
      </c>
      <c r="K4" s="9" t="s">
        <v>95</v>
      </c>
      <c r="L4" s="9" t="s">
        <v>92</v>
      </c>
      <c r="M4" s="9" t="s">
        <v>4</v>
      </c>
      <c r="N4" s="9" t="s">
        <v>5</v>
      </c>
      <c r="O4" s="9" t="s">
        <v>6</v>
      </c>
      <c r="P4" s="9" t="s">
        <v>7</v>
      </c>
      <c r="Q4" s="9" t="s">
        <v>8</v>
      </c>
      <c r="R4" s="9" t="s">
        <v>96</v>
      </c>
      <c r="S4" s="9" t="s">
        <v>93</v>
      </c>
      <c r="T4" s="9" t="s">
        <v>97</v>
      </c>
      <c r="U4" s="10" t="s">
        <v>9</v>
      </c>
      <c r="V4" s="47"/>
      <c r="W4"/>
      <c r="X4"/>
      <c r="Y4"/>
      <c r="Z4"/>
      <c r="AA4"/>
      <c r="AB4"/>
      <c r="AC4"/>
      <c r="AD4"/>
      <c r="AE4"/>
      <c r="AF4"/>
      <c r="AG4"/>
      <c r="AH4"/>
      <c r="AI4"/>
      <c r="AJ4"/>
      <c r="AK4"/>
      <c r="AL4"/>
      <c r="AM4"/>
      <c r="AN4"/>
      <c r="AO4"/>
      <c r="AP4"/>
      <c r="AQ4"/>
      <c r="AR4"/>
      <c r="AS4"/>
      <c r="AT4"/>
      <c r="AU4"/>
      <c r="AV4"/>
      <c r="AW4"/>
      <c r="AX4"/>
      <c r="AY4"/>
      <c r="AZ4"/>
      <c r="BA4"/>
      <c r="BB4"/>
      <c r="BC4"/>
      <c r="BD4"/>
      <c r="BE4"/>
      <c r="BF4"/>
      <c r="BG4"/>
      <c r="BH4"/>
      <c r="BI4"/>
      <c r="BJ4"/>
      <c r="BK4"/>
      <c r="BL4"/>
      <c r="BM4"/>
      <c r="BN4"/>
      <c r="BO4"/>
      <c r="BP4"/>
      <c r="BQ4"/>
      <c r="BR4"/>
      <c r="BS4"/>
      <c r="BT4"/>
      <c r="BU4"/>
      <c r="BV4"/>
      <c r="BW4"/>
      <c r="BX4"/>
      <c r="BY4"/>
      <c r="BZ4"/>
      <c r="CA4"/>
      <c r="CB4"/>
      <c r="CC4"/>
      <c r="CD4"/>
      <c r="CE4"/>
      <c r="CF4"/>
      <c r="CG4"/>
      <c r="CH4"/>
      <c r="CI4"/>
      <c r="CJ4"/>
      <c r="CK4"/>
      <c r="CL4"/>
      <c r="CM4"/>
      <c r="CN4"/>
      <c r="CO4"/>
      <c r="CP4"/>
      <c r="CQ4"/>
      <c r="CR4"/>
      <c r="CS4"/>
      <c r="CT4"/>
      <c r="CU4"/>
      <c r="CV4"/>
      <c r="CW4"/>
      <c r="CX4"/>
      <c r="CY4"/>
      <c r="CZ4"/>
      <c r="DA4"/>
      <c r="DB4"/>
      <c r="DC4"/>
      <c r="DD4"/>
      <c r="DE4"/>
      <c r="DF4"/>
      <c r="DG4"/>
      <c r="DH4"/>
      <c r="DI4"/>
      <c r="DJ4"/>
      <c r="DK4"/>
      <c r="DL4"/>
      <c r="DM4"/>
      <c r="DN4"/>
      <c r="DO4"/>
      <c r="DP4"/>
      <c r="DQ4"/>
      <c r="DR4"/>
      <c r="DS4"/>
      <c r="DT4"/>
      <c r="DU4"/>
      <c r="DV4"/>
      <c r="DW4"/>
      <c r="DX4"/>
      <c r="DY4"/>
      <c r="DZ4"/>
      <c r="EA4"/>
      <c r="EB4"/>
      <c r="EC4"/>
      <c r="ED4"/>
      <c r="EE4"/>
      <c r="EF4"/>
      <c r="EG4"/>
      <c r="EH4"/>
      <c r="EI4"/>
      <c r="EJ4"/>
      <c r="EK4"/>
      <c r="EL4"/>
      <c r="EM4"/>
      <c r="EN4"/>
      <c r="EO4"/>
      <c r="EP4"/>
      <c r="EQ4"/>
      <c r="ER4"/>
      <c r="ES4"/>
      <c r="ET4"/>
      <c r="EU4"/>
      <c r="EV4"/>
      <c r="EW4"/>
      <c r="EX4"/>
      <c r="EY4"/>
      <c r="EZ4"/>
      <c r="FA4"/>
      <c r="FB4"/>
      <c r="FC4"/>
      <c r="FD4"/>
      <c r="FE4"/>
      <c r="FF4"/>
      <c r="FG4"/>
      <c r="FH4"/>
      <c r="FI4"/>
      <c r="FJ4"/>
      <c r="FK4"/>
      <c r="FL4"/>
      <c r="FM4"/>
      <c r="FN4"/>
      <c r="FO4"/>
      <c r="FP4"/>
      <c r="FQ4"/>
      <c r="FR4"/>
      <c r="FS4"/>
      <c r="FT4"/>
      <c r="FU4"/>
      <c r="FV4"/>
      <c r="FW4"/>
      <c r="FX4"/>
      <c r="FY4"/>
      <c r="FZ4"/>
      <c r="GA4"/>
      <c r="GB4"/>
      <c r="GC4"/>
      <c r="GD4"/>
      <c r="GE4"/>
      <c r="GF4"/>
      <c r="GG4"/>
      <c r="GH4"/>
      <c r="GI4"/>
      <c r="GJ4"/>
      <c r="GK4"/>
      <c r="GL4"/>
      <c r="GM4"/>
      <c r="GN4"/>
      <c r="GO4"/>
      <c r="GP4"/>
      <c r="GQ4"/>
      <c r="GR4"/>
      <c r="GS4"/>
      <c r="GT4"/>
      <c r="GU4"/>
      <c r="GV4"/>
      <c r="GW4"/>
      <c r="GX4"/>
      <c r="GY4"/>
      <c r="GZ4"/>
      <c r="HA4"/>
      <c r="HB4"/>
      <c r="HC4"/>
      <c r="HD4"/>
      <c r="HE4"/>
      <c r="HF4"/>
      <c r="HG4"/>
      <c r="HH4"/>
      <c r="HI4"/>
      <c r="HJ4"/>
      <c r="HK4"/>
      <c r="HL4"/>
      <c r="HM4"/>
      <c r="HN4"/>
      <c r="HO4"/>
      <c r="HP4"/>
      <c r="HQ4"/>
      <c r="HR4"/>
      <c r="HS4"/>
      <c r="HT4"/>
      <c r="HU4"/>
      <c r="HV4"/>
      <c r="HW4"/>
      <c r="HX4"/>
      <c r="HY4"/>
      <c r="HZ4"/>
      <c r="IA4"/>
      <c r="IB4"/>
      <c r="IC4"/>
      <c r="ID4"/>
      <c r="IE4"/>
      <c r="IF4"/>
      <c r="IG4"/>
      <c r="IH4"/>
      <c r="II4"/>
      <c r="IJ4"/>
      <c r="IK4"/>
      <c r="IL4"/>
      <c r="IM4"/>
      <c r="IN4"/>
      <c r="IO4"/>
      <c r="IP4"/>
      <c r="IQ4"/>
      <c r="IR4"/>
      <c r="IS4"/>
      <c r="IT4"/>
      <c r="IU4"/>
      <c r="IV4"/>
      <c r="IW4"/>
      <c r="IX4"/>
      <c r="IY4"/>
      <c r="IZ4"/>
      <c r="JA4"/>
      <c r="JB4"/>
      <c r="JC4"/>
      <c r="JD4"/>
      <c r="JE4"/>
      <c r="JF4"/>
      <c r="JG4"/>
      <c r="JH4"/>
      <c r="JI4"/>
      <c r="JJ4"/>
      <c r="JK4"/>
      <c r="JL4"/>
      <c r="JM4"/>
      <c r="JN4"/>
      <c r="JO4"/>
      <c r="JP4"/>
      <c r="JQ4"/>
      <c r="JR4"/>
      <c r="JS4"/>
      <c r="JT4"/>
      <c r="JU4"/>
      <c r="JV4"/>
      <c r="JW4"/>
      <c r="JX4"/>
      <c r="JY4"/>
      <c r="JZ4"/>
      <c r="KA4"/>
      <c r="KB4"/>
      <c r="KC4"/>
      <c r="KD4"/>
      <c r="KE4"/>
      <c r="KF4"/>
      <c r="KG4"/>
      <c r="KH4"/>
      <c r="KI4"/>
      <c r="KJ4"/>
      <c r="KK4"/>
      <c r="KL4"/>
      <c r="KM4"/>
      <c r="KN4"/>
      <c r="KO4"/>
      <c r="KP4"/>
      <c r="KQ4"/>
      <c r="KR4"/>
      <c r="KS4"/>
      <c r="KT4"/>
      <c r="KU4"/>
      <c r="KV4"/>
      <c r="KW4"/>
      <c r="KX4"/>
      <c r="KY4"/>
      <c r="KZ4"/>
      <c r="LA4"/>
      <c r="LB4"/>
      <c r="LC4"/>
      <c r="LD4"/>
      <c r="LE4"/>
      <c r="LF4"/>
      <c r="LG4"/>
      <c r="LH4"/>
      <c r="LI4"/>
      <c r="LJ4"/>
      <c r="LK4"/>
      <c r="LL4"/>
      <c r="LM4"/>
      <c r="LN4"/>
      <c r="LO4"/>
      <c r="LP4"/>
      <c r="LQ4"/>
      <c r="LR4"/>
      <c r="LS4"/>
      <c r="LT4"/>
      <c r="LU4"/>
      <c r="LV4"/>
      <c r="LW4"/>
      <c r="LX4"/>
      <c r="LY4"/>
      <c r="LZ4"/>
      <c r="MA4"/>
      <c r="MB4"/>
      <c r="MC4"/>
      <c r="MD4"/>
      <c r="ME4"/>
      <c r="MF4"/>
      <c r="MG4"/>
      <c r="MH4"/>
      <c r="MI4"/>
      <c r="MJ4"/>
      <c r="MK4"/>
      <c r="ML4"/>
      <c r="MM4"/>
      <c r="MN4"/>
      <c r="MO4"/>
      <c r="MP4"/>
      <c r="MQ4"/>
      <c r="MR4"/>
      <c r="MS4"/>
      <c r="MT4"/>
      <c r="MU4"/>
      <c r="MV4"/>
      <c r="MW4"/>
      <c r="MX4"/>
      <c r="MY4"/>
      <c r="MZ4"/>
      <c r="NA4"/>
      <c r="NB4"/>
      <c r="NC4"/>
      <c r="ND4"/>
      <c r="NE4"/>
      <c r="NF4"/>
      <c r="NG4"/>
      <c r="NH4"/>
      <c r="NI4"/>
      <c r="NJ4"/>
      <c r="NK4"/>
      <c r="NL4"/>
      <c r="NM4"/>
      <c r="NN4"/>
      <c r="NO4"/>
      <c r="NP4"/>
      <c r="NQ4"/>
      <c r="NR4"/>
      <c r="NS4"/>
      <c r="NT4"/>
      <c r="NU4"/>
      <c r="NV4"/>
      <c r="NW4"/>
      <c r="NX4"/>
      <c r="NY4"/>
      <c r="NZ4"/>
      <c r="OA4"/>
      <c r="OB4"/>
      <c r="OC4"/>
      <c r="OD4"/>
      <c r="OE4"/>
      <c r="OF4"/>
      <c r="OG4"/>
      <c r="OH4"/>
      <c r="OI4"/>
      <c r="OJ4"/>
      <c r="OK4"/>
      <c r="OL4"/>
      <c r="OM4"/>
      <c r="ON4"/>
      <c r="OO4"/>
      <c r="OP4"/>
      <c r="OQ4"/>
      <c r="OR4"/>
      <c r="OS4"/>
      <c r="OT4"/>
      <c r="OU4"/>
      <c r="OV4"/>
      <c r="OW4"/>
      <c r="OX4"/>
      <c r="OY4"/>
      <c r="OZ4"/>
      <c r="PA4"/>
      <c r="PB4"/>
      <c r="PC4"/>
      <c r="PD4"/>
      <c r="PE4"/>
      <c r="PF4"/>
      <c r="PG4"/>
      <c r="PH4"/>
      <c r="PI4"/>
      <c r="PJ4"/>
      <c r="PK4"/>
      <c r="PL4"/>
      <c r="PM4"/>
      <c r="PN4"/>
      <c r="PO4"/>
      <c r="PP4"/>
      <c r="PQ4"/>
      <c r="PR4"/>
      <c r="PS4"/>
      <c r="PT4"/>
      <c r="PU4"/>
      <c r="PV4"/>
      <c r="PW4"/>
      <c r="PX4"/>
      <c r="PY4"/>
      <c r="PZ4"/>
      <c r="QA4"/>
      <c r="QB4"/>
      <c r="QC4"/>
      <c r="QD4"/>
      <c r="QE4"/>
      <c r="QF4"/>
      <c r="QG4"/>
      <c r="QH4"/>
      <c r="QI4"/>
      <c r="QJ4"/>
      <c r="QK4"/>
      <c r="QL4"/>
      <c r="QM4"/>
      <c r="QN4"/>
      <c r="QO4"/>
      <c r="QP4"/>
      <c r="QQ4"/>
      <c r="QR4"/>
      <c r="QS4"/>
      <c r="QT4"/>
      <c r="QU4"/>
      <c r="QV4"/>
      <c r="QW4"/>
      <c r="QX4"/>
      <c r="QY4"/>
      <c r="QZ4"/>
      <c r="RA4"/>
      <c r="RB4"/>
      <c r="RC4"/>
      <c r="RD4"/>
      <c r="RE4"/>
      <c r="RF4"/>
      <c r="RG4"/>
      <c r="RH4"/>
      <c r="RI4"/>
      <c r="RJ4"/>
      <c r="RK4"/>
      <c r="RL4"/>
      <c r="RM4"/>
      <c r="RN4"/>
      <c r="RO4"/>
      <c r="RP4"/>
    </row>
    <row r="5" spans="1:484" ht="14.25" customHeight="1" x14ac:dyDescent="0.25">
      <c r="A5" s="17" t="s">
        <v>12</v>
      </c>
      <c r="B5" s="18" t="s">
        <v>106</v>
      </c>
      <c r="C5" s="19">
        <v>9337</v>
      </c>
      <c r="D5" s="19">
        <v>65974</v>
      </c>
      <c r="E5" s="19">
        <v>5680</v>
      </c>
      <c r="F5" s="19">
        <v>7329</v>
      </c>
      <c r="G5" s="19">
        <v>1641</v>
      </c>
      <c r="H5" s="19">
        <v>408</v>
      </c>
      <c r="I5" s="19">
        <v>0</v>
      </c>
      <c r="J5" s="19">
        <v>1889</v>
      </c>
      <c r="K5" s="19">
        <v>1044</v>
      </c>
      <c r="L5" s="19">
        <v>3336</v>
      </c>
      <c r="M5" s="19">
        <v>319</v>
      </c>
      <c r="N5" s="19">
        <v>899</v>
      </c>
      <c r="O5" s="19">
        <v>7525</v>
      </c>
      <c r="P5" s="19">
        <v>1022</v>
      </c>
      <c r="Q5" s="19">
        <v>1938</v>
      </c>
      <c r="R5" s="19">
        <v>1</v>
      </c>
      <c r="S5" s="19">
        <v>1257</v>
      </c>
      <c r="T5" s="19">
        <v>253</v>
      </c>
      <c r="U5" s="20">
        <f>SUM(C5:T5)</f>
        <v>109852</v>
      </c>
    </row>
    <row r="6" spans="1:484" ht="14.25" customHeight="1" x14ac:dyDescent="0.25">
      <c r="A6" s="17" t="s">
        <v>13</v>
      </c>
      <c r="B6" s="18" t="s">
        <v>106</v>
      </c>
      <c r="C6" s="19">
        <v>1585</v>
      </c>
      <c r="D6" s="19">
        <v>5240</v>
      </c>
      <c r="E6" s="19">
        <v>2499</v>
      </c>
      <c r="F6" s="19">
        <v>0</v>
      </c>
      <c r="G6" s="19">
        <v>61</v>
      </c>
      <c r="H6" s="19">
        <v>6</v>
      </c>
      <c r="I6" s="19">
        <v>0</v>
      </c>
      <c r="J6" s="19">
        <v>40</v>
      </c>
      <c r="K6" s="19">
        <v>30</v>
      </c>
      <c r="L6" s="19">
        <v>328</v>
      </c>
      <c r="M6" s="19">
        <v>3</v>
      </c>
      <c r="N6" s="19">
        <v>43</v>
      </c>
      <c r="O6" s="19">
        <v>2265</v>
      </c>
      <c r="P6" s="19">
        <v>163</v>
      </c>
      <c r="Q6" s="19">
        <v>586</v>
      </c>
      <c r="R6" s="19">
        <v>34</v>
      </c>
      <c r="S6" s="19">
        <v>105</v>
      </c>
      <c r="T6" s="19">
        <v>284</v>
      </c>
      <c r="U6" s="20">
        <f t="shared" ref="U6:U69" si="0">SUM(C6:T6)</f>
        <v>13272</v>
      </c>
    </row>
    <row r="7" spans="1:484" ht="14.25" customHeight="1" x14ac:dyDescent="0.25">
      <c r="A7" s="17" t="s">
        <v>14</v>
      </c>
      <c r="B7" s="18" t="s">
        <v>106</v>
      </c>
      <c r="C7" s="19">
        <v>20934</v>
      </c>
      <c r="D7" s="19">
        <v>67368</v>
      </c>
      <c r="E7" s="19">
        <v>8762</v>
      </c>
      <c r="F7" s="19">
        <v>19958</v>
      </c>
      <c r="G7" s="19">
        <v>2194</v>
      </c>
      <c r="H7" s="19">
        <v>148</v>
      </c>
      <c r="I7" s="19">
        <v>17</v>
      </c>
      <c r="J7" s="19">
        <v>1349</v>
      </c>
      <c r="K7" s="19">
        <v>2333</v>
      </c>
      <c r="L7" s="19">
        <v>3418</v>
      </c>
      <c r="M7" s="19">
        <v>76</v>
      </c>
      <c r="N7" s="19">
        <v>841</v>
      </c>
      <c r="O7" s="19">
        <v>1134</v>
      </c>
      <c r="P7" s="19">
        <v>431</v>
      </c>
      <c r="Q7" s="19">
        <v>2079</v>
      </c>
      <c r="R7" s="19">
        <v>65</v>
      </c>
      <c r="S7" s="19">
        <v>371</v>
      </c>
      <c r="T7" s="19">
        <v>193</v>
      </c>
      <c r="U7" s="20">
        <f t="shared" si="0"/>
        <v>131671</v>
      </c>
    </row>
    <row r="8" spans="1:484" ht="14.25" customHeight="1" x14ac:dyDescent="0.25">
      <c r="A8" s="17" t="s">
        <v>15</v>
      </c>
      <c r="B8" s="18" t="s">
        <v>106</v>
      </c>
      <c r="C8" s="19">
        <v>2933</v>
      </c>
      <c r="D8" s="19">
        <v>6153</v>
      </c>
      <c r="E8" s="19">
        <v>2783</v>
      </c>
      <c r="F8" s="19">
        <v>28</v>
      </c>
      <c r="G8" s="19">
        <v>29</v>
      </c>
      <c r="H8" s="19">
        <v>14</v>
      </c>
      <c r="I8" s="19">
        <v>0</v>
      </c>
      <c r="J8" s="19">
        <v>5</v>
      </c>
      <c r="K8" s="19">
        <v>77</v>
      </c>
      <c r="L8" s="19">
        <v>404</v>
      </c>
      <c r="M8" s="19">
        <v>2</v>
      </c>
      <c r="N8" s="19">
        <v>62</v>
      </c>
      <c r="O8" s="19">
        <v>2655</v>
      </c>
      <c r="P8" s="19">
        <v>232</v>
      </c>
      <c r="Q8" s="19">
        <v>284</v>
      </c>
      <c r="R8" s="19">
        <v>3</v>
      </c>
      <c r="S8" s="19">
        <v>52</v>
      </c>
      <c r="T8" s="19">
        <v>231</v>
      </c>
      <c r="U8" s="20">
        <f t="shared" si="0"/>
        <v>15947</v>
      </c>
    </row>
    <row r="9" spans="1:484" s="49" customFormat="1" ht="14.25" customHeight="1" x14ac:dyDescent="0.25">
      <c r="A9" s="17" t="s">
        <v>16</v>
      </c>
      <c r="B9" s="18" t="s">
        <v>106</v>
      </c>
      <c r="C9" s="19">
        <v>48331</v>
      </c>
      <c r="D9" s="19">
        <v>217089</v>
      </c>
      <c r="E9" s="19">
        <v>11343</v>
      </c>
      <c r="F9" s="19">
        <v>36232</v>
      </c>
      <c r="G9" s="19">
        <v>3051</v>
      </c>
      <c r="H9" s="19">
        <v>309</v>
      </c>
      <c r="I9" s="19">
        <v>1118</v>
      </c>
      <c r="J9" s="19">
        <v>8718</v>
      </c>
      <c r="K9" s="19">
        <v>2859</v>
      </c>
      <c r="L9" s="19">
        <v>7877</v>
      </c>
      <c r="M9" s="19">
        <v>577</v>
      </c>
      <c r="N9" s="19">
        <v>2179</v>
      </c>
      <c r="O9" s="19">
        <v>1652</v>
      </c>
      <c r="P9" s="19">
        <v>902</v>
      </c>
      <c r="Q9" s="19">
        <v>8775</v>
      </c>
      <c r="R9" s="19">
        <v>0</v>
      </c>
      <c r="S9" s="19">
        <v>843</v>
      </c>
      <c r="T9" s="19">
        <v>794</v>
      </c>
      <c r="U9" s="20">
        <f t="shared" si="0"/>
        <v>352649</v>
      </c>
      <c r="V9" s="48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Q9"/>
      <c r="AR9"/>
      <c r="AS9"/>
      <c r="AT9"/>
      <c r="AU9"/>
      <c r="AV9"/>
      <c r="AW9"/>
      <c r="AX9"/>
      <c r="AY9"/>
      <c r="AZ9"/>
      <c r="BA9"/>
      <c r="BB9"/>
      <c r="BC9"/>
      <c r="BD9"/>
      <c r="BE9"/>
      <c r="BF9"/>
      <c r="BG9"/>
      <c r="BH9"/>
      <c r="BI9"/>
      <c r="BJ9"/>
      <c r="BK9"/>
      <c r="BL9"/>
      <c r="BM9"/>
      <c r="BN9"/>
      <c r="BO9"/>
      <c r="BP9"/>
      <c r="BQ9"/>
      <c r="BR9"/>
      <c r="BS9"/>
      <c r="BT9"/>
      <c r="BU9"/>
      <c r="BV9"/>
      <c r="BW9"/>
      <c r="BX9"/>
      <c r="BY9"/>
      <c r="BZ9"/>
      <c r="CA9"/>
      <c r="CB9"/>
      <c r="CC9"/>
      <c r="CD9"/>
      <c r="CE9"/>
      <c r="CF9"/>
      <c r="CG9"/>
      <c r="CH9"/>
      <c r="CI9"/>
      <c r="CJ9"/>
      <c r="CK9"/>
      <c r="CL9"/>
      <c r="CM9"/>
      <c r="CN9"/>
      <c r="CO9"/>
      <c r="CP9"/>
      <c r="CQ9"/>
      <c r="CR9"/>
      <c r="CS9"/>
      <c r="CT9"/>
      <c r="CU9"/>
      <c r="CV9"/>
      <c r="CW9"/>
      <c r="CX9"/>
      <c r="CY9"/>
      <c r="CZ9"/>
      <c r="DA9"/>
      <c r="DB9"/>
      <c r="DC9"/>
      <c r="DD9"/>
      <c r="DE9"/>
      <c r="DF9"/>
      <c r="DG9"/>
      <c r="DH9"/>
      <c r="DI9"/>
      <c r="DJ9"/>
      <c r="DK9"/>
      <c r="DL9"/>
      <c r="DM9"/>
      <c r="DN9"/>
      <c r="DO9"/>
      <c r="DP9"/>
      <c r="DQ9"/>
      <c r="DR9"/>
      <c r="DS9"/>
      <c r="DT9"/>
      <c r="DU9"/>
      <c r="DV9"/>
      <c r="DW9"/>
      <c r="DX9"/>
      <c r="DY9"/>
      <c r="DZ9"/>
      <c r="EA9"/>
      <c r="EB9"/>
      <c r="EC9"/>
      <c r="ED9"/>
      <c r="EE9"/>
      <c r="EF9"/>
      <c r="EG9"/>
      <c r="EH9"/>
      <c r="EI9"/>
      <c r="EJ9"/>
      <c r="EK9"/>
      <c r="EL9"/>
      <c r="EM9"/>
      <c r="EN9"/>
      <c r="EO9"/>
      <c r="EP9"/>
      <c r="EQ9"/>
      <c r="ER9"/>
      <c r="ES9"/>
      <c r="ET9"/>
      <c r="EU9"/>
      <c r="EV9"/>
      <c r="EW9"/>
      <c r="EX9"/>
      <c r="EY9"/>
      <c r="EZ9"/>
      <c r="FA9"/>
      <c r="FB9"/>
      <c r="FC9"/>
      <c r="FD9"/>
      <c r="FE9"/>
      <c r="FF9"/>
      <c r="FG9"/>
      <c r="FH9"/>
      <c r="FI9"/>
      <c r="FJ9"/>
      <c r="FK9"/>
      <c r="FL9"/>
      <c r="FM9"/>
      <c r="FN9"/>
      <c r="FO9"/>
      <c r="FP9"/>
      <c r="FQ9"/>
      <c r="FR9"/>
      <c r="FS9"/>
      <c r="FT9"/>
      <c r="FU9"/>
      <c r="FV9"/>
      <c r="FW9"/>
      <c r="FX9"/>
      <c r="FY9"/>
      <c r="FZ9"/>
      <c r="GA9"/>
      <c r="GB9"/>
      <c r="GC9"/>
      <c r="GD9"/>
      <c r="GE9"/>
      <c r="GF9"/>
      <c r="GG9"/>
      <c r="GH9"/>
      <c r="GI9"/>
      <c r="GJ9"/>
      <c r="GK9"/>
      <c r="GL9"/>
      <c r="GM9"/>
      <c r="GN9"/>
      <c r="GO9"/>
      <c r="GP9"/>
      <c r="GQ9"/>
      <c r="GR9"/>
      <c r="GS9"/>
      <c r="GT9"/>
      <c r="GU9"/>
      <c r="GV9"/>
      <c r="GW9"/>
      <c r="GX9"/>
      <c r="GY9"/>
      <c r="GZ9"/>
      <c r="HA9"/>
      <c r="HB9"/>
      <c r="HC9"/>
      <c r="HD9"/>
      <c r="HE9"/>
      <c r="HF9"/>
      <c r="HG9"/>
      <c r="HH9"/>
      <c r="HI9"/>
      <c r="HJ9"/>
      <c r="HK9"/>
      <c r="HL9"/>
      <c r="HM9"/>
      <c r="HN9"/>
      <c r="HO9"/>
      <c r="HP9"/>
      <c r="HQ9"/>
      <c r="HR9"/>
      <c r="HS9"/>
      <c r="HT9"/>
      <c r="HU9"/>
      <c r="HV9"/>
      <c r="HW9"/>
      <c r="HX9"/>
      <c r="HY9"/>
      <c r="HZ9"/>
      <c r="IA9"/>
      <c r="IB9"/>
      <c r="IC9"/>
      <c r="ID9"/>
      <c r="IE9"/>
      <c r="IF9"/>
      <c r="IG9"/>
      <c r="IH9"/>
      <c r="II9"/>
      <c r="IJ9"/>
      <c r="IK9"/>
      <c r="IL9"/>
      <c r="IM9"/>
      <c r="IN9"/>
      <c r="IO9"/>
      <c r="IP9"/>
      <c r="IQ9"/>
      <c r="IR9"/>
      <c r="IS9"/>
      <c r="IT9"/>
      <c r="IU9"/>
      <c r="IV9"/>
      <c r="IW9"/>
      <c r="IX9"/>
      <c r="IY9"/>
      <c r="IZ9"/>
      <c r="JA9"/>
      <c r="JB9"/>
      <c r="JC9"/>
      <c r="JD9"/>
      <c r="JE9"/>
      <c r="JF9"/>
      <c r="JG9"/>
      <c r="JH9"/>
      <c r="JI9"/>
      <c r="JJ9"/>
      <c r="JK9"/>
      <c r="JL9"/>
      <c r="JM9"/>
      <c r="JN9"/>
      <c r="JO9"/>
      <c r="JP9"/>
      <c r="JQ9"/>
      <c r="JR9"/>
      <c r="JS9"/>
      <c r="JT9"/>
      <c r="JU9"/>
      <c r="JV9"/>
      <c r="JW9"/>
      <c r="JX9"/>
      <c r="JY9"/>
      <c r="JZ9"/>
      <c r="KA9"/>
      <c r="KB9"/>
      <c r="KC9"/>
      <c r="KD9"/>
      <c r="KE9"/>
      <c r="KF9"/>
      <c r="KG9"/>
      <c r="KH9"/>
      <c r="KI9"/>
      <c r="KJ9"/>
      <c r="KK9"/>
      <c r="KL9"/>
      <c r="KM9"/>
      <c r="KN9"/>
      <c r="KO9"/>
      <c r="KP9"/>
      <c r="KQ9"/>
      <c r="KR9"/>
      <c r="KS9"/>
      <c r="KT9"/>
      <c r="KU9"/>
      <c r="KV9"/>
      <c r="KW9"/>
      <c r="KX9"/>
      <c r="KY9"/>
      <c r="KZ9"/>
      <c r="LA9"/>
      <c r="LB9"/>
      <c r="LC9"/>
      <c r="LD9"/>
      <c r="LE9"/>
      <c r="LF9"/>
      <c r="LG9"/>
      <c r="LH9"/>
      <c r="LI9"/>
      <c r="LJ9"/>
      <c r="LK9"/>
      <c r="LL9"/>
      <c r="LM9"/>
      <c r="LN9"/>
      <c r="LO9"/>
      <c r="LP9"/>
      <c r="LQ9"/>
      <c r="LR9"/>
      <c r="LS9"/>
      <c r="LT9"/>
      <c r="LU9"/>
      <c r="LV9"/>
      <c r="LW9"/>
      <c r="LX9"/>
      <c r="LY9"/>
      <c r="LZ9"/>
      <c r="MA9"/>
      <c r="MB9"/>
      <c r="MC9"/>
      <c r="MD9"/>
      <c r="ME9"/>
      <c r="MF9"/>
      <c r="MG9"/>
      <c r="MH9"/>
      <c r="MI9"/>
      <c r="MJ9"/>
      <c r="MK9"/>
      <c r="ML9"/>
      <c r="MM9"/>
      <c r="MN9"/>
      <c r="MO9"/>
      <c r="MP9"/>
      <c r="MQ9"/>
      <c r="MR9"/>
      <c r="MS9"/>
      <c r="MT9"/>
      <c r="MU9"/>
      <c r="MV9"/>
      <c r="MW9"/>
      <c r="MX9"/>
      <c r="MY9"/>
      <c r="MZ9"/>
      <c r="NA9"/>
      <c r="NB9"/>
      <c r="NC9"/>
      <c r="ND9"/>
      <c r="NE9"/>
      <c r="NF9"/>
      <c r="NG9"/>
      <c r="NH9"/>
      <c r="NI9"/>
      <c r="NJ9"/>
      <c r="NK9"/>
      <c r="NL9"/>
      <c r="NM9"/>
      <c r="NN9"/>
      <c r="NO9"/>
      <c r="NP9"/>
      <c r="NQ9"/>
      <c r="NR9"/>
      <c r="NS9"/>
      <c r="NT9"/>
      <c r="NU9"/>
      <c r="NV9"/>
      <c r="NW9"/>
      <c r="NX9"/>
      <c r="NY9"/>
      <c r="NZ9"/>
      <c r="OA9"/>
      <c r="OB9"/>
      <c r="OC9"/>
      <c r="OD9"/>
      <c r="OE9"/>
      <c r="OF9"/>
      <c r="OG9"/>
      <c r="OH9"/>
      <c r="OI9"/>
      <c r="OJ9"/>
      <c r="OK9"/>
      <c r="OL9"/>
      <c r="OM9"/>
      <c r="ON9"/>
      <c r="OO9"/>
      <c r="OP9"/>
      <c r="OQ9"/>
      <c r="OR9"/>
      <c r="OS9"/>
      <c r="OT9"/>
      <c r="OU9"/>
      <c r="OV9"/>
      <c r="OW9"/>
      <c r="OX9"/>
      <c r="OY9"/>
      <c r="OZ9"/>
      <c r="PA9"/>
      <c r="PB9"/>
      <c r="PC9"/>
      <c r="PD9"/>
      <c r="PE9"/>
      <c r="PF9"/>
      <c r="PG9"/>
      <c r="PH9"/>
      <c r="PI9"/>
      <c r="PJ9"/>
      <c r="PK9"/>
      <c r="PL9"/>
      <c r="PM9"/>
      <c r="PN9"/>
      <c r="PO9"/>
      <c r="PP9"/>
      <c r="PQ9"/>
      <c r="PR9"/>
      <c r="PS9"/>
      <c r="PT9"/>
      <c r="PU9"/>
      <c r="PV9"/>
      <c r="PW9"/>
      <c r="PX9"/>
      <c r="PY9"/>
      <c r="PZ9"/>
      <c r="QA9"/>
      <c r="QB9"/>
      <c r="QC9"/>
      <c r="QD9"/>
      <c r="QE9"/>
      <c r="QF9"/>
      <c r="QG9"/>
      <c r="QH9"/>
      <c r="QI9"/>
      <c r="QJ9"/>
      <c r="QK9"/>
      <c r="QL9"/>
      <c r="QM9"/>
      <c r="QN9"/>
      <c r="QO9"/>
      <c r="QP9"/>
      <c r="QQ9"/>
      <c r="QR9"/>
      <c r="QS9"/>
      <c r="QT9"/>
      <c r="QU9"/>
      <c r="QV9"/>
      <c r="QW9"/>
      <c r="QX9"/>
      <c r="QY9"/>
      <c r="QZ9"/>
      <c r="RA9"/>
      <c r="RB9"/>
      <c r="RC9"/>
      <c r="RD9"/>
      <c r="RE9"/>
      <c r="RF9"/>
      <c r="RG9"/>
      <c r="RH9"/>
      <c r="RI9"/>
      <c r="RJ9"/>
      <c r="RK9"/>
      <c r="RL9"/>
      <c r="RM9"/>
      <c r="RN9"/>
      <c r="RO9"/>
      <c r="RP9"/>
    </row>
    <row r="10" spans="1:484" ht="14.25" customHeight="1" x14ac:dyDescent="0.25">
      <c r="A10" s="17" t="s">
        <v>17</v>
      </c>
      <c r="B10" s="18" t="s">
        <v>106</v>
      </c>
      <c r="C10" s="19">
        <v>7532</v>
      </c>
      <c r="D10" s="19">
        <v>394510</v>
      </c>
      <c r="E10" s="19">
        <v>4135</v>
      </c>
      <c r="F10" s="19">
        <v>254081</v>
      </c>
      <c r="G10" s="19">
        <v>16470</v>
      </c>
      <c r="H10" s="19">
        <v>1697</v>
      </c>
      <c r="I10" s="19">
        <v>11529</v>
      </c>
      <c r="J10" s="19">
        <v>9619</v>
      </c>
      <c r="K10" s="19">
        <v>1922</v>
      </c>
      <c r="L10" s="19">
        <v>22074</v>
      </c>
      <c r="M10" s="19">
        <v>251</v>
      </c>
      <c r="N10" s="19">
        <v>8804</v>
      </c>
      <c r="O10" s="19">
        <v>1248</v>
      </c>
      <c r="P10" s="19">
        <v>2116</v>
      </c>
      <c r="Q10" s="19">
        <v>3418</v>
      </c>
      <c r="R10" s="19">
        <v>0</v>
      </c>
      <c r="S10" s="19">
        <v>18737</v>
      </c>
      <c r="T10" s="19">
        <v>4</v>
      </c>
      <c r="U10" s="20">
        <f t="shared" si="0"/>
        <v>758147</v>
      </c>
    </row>
    <row r="11" spans="1:484" ht="14.25" customHeight="1" x14ac:dyDescent="0.25">
      <c r="A11" s="17" t="s">
        <v>18</v>
      </c>
      <c r="B11" s="18" t="s">
        <v>106</v>
      </c>
      <c r="C11" s="19">
        <v>3235</v>
      </c>
      <c r="D11" s="19">
        <v>2683</v>
      </c>
      <c r="E11" s="19">
        <v>1190</v>
      </c>
      <c r="F11" s="19">
        <v>0</v>
      </c>
      <c r="G11" s="19">
        <v>12</v>
      </c>
      <c r="H11" s="19">
        <v>1</v>
      </c>
      <c r="I11" s="19">
        <v>0</v>
      </c>
      <c r="J11" s="19">
        <v>1</v>
      </c>
      <c r="K11" s="19">
        <v>97</v>
      </c>
      <c r="L11" s="19">
        <v>244</v>
      </c>
      <c r="M11" s="19">
        <v>0</v>
      </c>
      <c r="N11" s="19">
        <v>43</v>
      </c>
      <c r="O11" s="19">
        <v>3647</v>
      </c>
      <c r="P11" s="19">
        <v>169</v>
      </c>
      <c r="Q11" s="19">
        <v>324</v>
      </c>
      <c r="R11" s="19">
        <v>0</v>
      </c>
      <c r="S11" s="19">
        <v>1681</v>
      </c>
      <c r="T11" s="19">
        <v>36</v>
      </c>
      <c r="U11" s="20">
        <f t="shared" si="0"/>
        <v>13363</v>
      </c>
    </row>
    <row r="12" spans="1:484" ht="14.25" customHeight="1" x14ac:dyDescent="0.25">
      <c r="A12" s="17" t="s">
        <v>19</v>
      </c>
      <c r="B12" s="18" t="s">
        <v>106</v>
      </c>
      <c r="C12" s="19">
        <v>88257</v>
      </c>
      <c r="D12" s="19">
        <v>93375</v>
      </c>
      <c r="E12" s="19">
        <v>5075</v>
      </c>
      <c r="F12" s="19">
        <v>15960</v>
      </c>
      <c r="G12" s="19">
        <v>1856</v>
      </c>
      <c r="H12" s="19">
        <v>91</v>
      </c>
      <c r="I12" s="19">
        <v>3685</v>
      </c>
      <c r="J12" s="19">
        <v>2136</v>
      </c>
      <c r="K12" s="19">
        <v>3284</v>
      </c>
      <c r="L12" s="19">
        <v>2554</v>
      </c>
      <c r="M12" s="19">
        <v>132</v>
      </c>
      <c r="N12" s="19">
        <v>1314</v>
      </c>
      <c r="O12" s="19">
        <v>1839</v>
      </c>
      <c r="P12" s="19">
        <v>202</v>
      </c>
      <c r="Q12" s="19">
        <v>992</v>
      </c>
      <c r="R12" s="19">
        <v>26</v>
      </c>
      <c r="S12" s="19">
        <v>1925</v>
      </c>
      <c r="T12" s="19">
        <v>661</v>
      </c>
      <c r="U12" s="20">
        <f t="shared" si="0"/>
        <v>223364</v>
      </c>
    </row>
    <row r="13" spans="1:484" ht="14.25" customHeight="1" x14ac:dyDescent="0.25">
      <c r="A13" s="17" t="s">
        <v>20</v>
      </c>
      <c r="B13" s="18" t="s">
        <v>106</v>
      </c>
      <c r="C13" s="19">
        <v>54739</v>
      </c>
      <c r="D13" s="19">
        <v>63370</v>
      </c>
      <c r="E13" s="19">
        <v>15881</v>
      </c>
      <c r="F13" s="19">
        <v>1608</v>
      </c>
      <c r="G13" s="19">
        <v>615</v>
      </c>
      <c r="H13" s="19">
        <v>46</v>
      </c>
      <c r="I13" s="19">
        <v>0</v>
      </c>
      <c r="J13" s="19">
        <v>33</v>
      </c>
      <c r="K13" s="19">
        <v>2037</v>
      </c>
      <c r="L13" s="19">
        <v>2135</v>
      </c>
      <c r="M13" s="19">
        <v>128</v>
      </c>
      <c r="N13" s="19">
        <v>309</v>
      </c>
      <c r="O13" s="19">
        <v>1796</v>
      </c>
      <c r="P13" s="19">
        <v>581</v>
      </c>
      <c r="Q13" s="19">
        <v>2363</v>
      </c>
      <c r="R13" s="19">
        <v>0</v>
      </c>
      <c r="S13" s="19">
        <v>1940</v>
      </c>
      <c r="T13" s="19">
        <v>912</v>
      </c>
      <c r="U13" s="20">
        <f t="shared" si="0"/>
        <v>148493</v>
      </c>
    </row>
    <row r="14" spans="1:484" ht="14.25" customHeight="1" x14ac:dyDescent="0.25">
      <c r="A14" s="17" t="s">
        <v>21</v>
      </c>
      <c r="B14" s="18" t="s">
        <v>106</v>
      </c>
      <c r="C14" s="19">
        <v>13004</v>
      </c>
      <c r="D14" s="19">
        <v>70588</v>
      </c>
      <c r="E14" s="19">
        <v>9661</v>
      </c>
      <c r="F14" s="19">
        <v>2254</v>
      </c>
      <c r="G14" s="19">
        <v>292</v>
      </c>
      <c r="H14" s="19">
        <v>59</v>
      </c>
      <c r="I14" s="19">
        <v>0</v>
      </c>
      <c r="J14" s="19">
        <v>3726</v>
      </c>
      <c r="K14" s="19">
        <v>658</v>
      </c>
      <c r="L14" s="19">
        <v>1804</v>
      </c>
      <c r="M14" s="19">
        <v>20</v>
      </c>
      <c r="N14" s="19">
        <v>252</v>
      </c>
      <c r="O14" s="19">
        <v>1210</v>
      </c>
      <c r="P14" s="19">
        <v>467</v>
      </c>
      <c r="Q14" s="19">
        <v>884</v>
      </c>
      <c r="R14" s="19">
        <v>0</v>
      </c>
      <c r="S14" s="19">
        <v>1024</v>
      </c>
      <c r="T14" s="19">
        <v>389</v>
      </c>
      <c r="U14" s="20">
        <f t="shared" si="0"/>
        <v>106292</v>
      </c>
    </row>
    <row r="15" spans="1:484" ht="14.25" customHeight="1" x14ac:dyDescent="0.25">
      <c r="A15" s="17" t="s">
        <v>22</v>
      </c>
      <c r="B15" s="18" t="s">
        <v>106</v>
      </c>
      <c r="C15" s="19">
        <v>15138</v>
      </c>
      <c r="D15" s="19">
        <v>113653</v>
      </c>
      <c r="E15" s="19">
        <v>3515</v>
      </c>
      <c r="F15" s="19">
        <v>102051</v>
      </c>
      <c r="G15" s="19">
        <v>1968</v>
      </c>
      <c r="H15" s="19">
        <v>139</v>
      </c>
      <c r="I15" s="19">
        <v>2654</v>
      </c>
      <c r="J15" s="19">
        <v>1002</v>
      </c>
      <c r="K15" s="19">
        <v>726</v>
      </c>
      <c r="L15" s="19">
        <v>3453</v>
      </c>
      <c r="M15" s="19">
        <v>100</v>
      </c>
      <c r="N15" s="19">
        <v>1016</v>
      </c>
      <c r="O15" s="19">
        <v>1859</v>
      </c>
      <c r="P15" s="19">
        <v>644</v>
      </c>
      <c r="Q15" s="19">
        <v>34916</v>
      </c>
      <c r="R15" s="19">
        <v>8</v>
      </c>
      <c r="S15" s="19">
        <v>8267</v>
      </c>
      <c r="T15" s="19">
        <v>7032</v>
      </c>
      <c r="U15" s="20">
        <f t="shared" si="0"/>
        <v>298141</v>
      </c>
    </row>
    <row r="16" spans="1:484" ht="14.25" customHeight="1" x14ac:dyDescent="0.25">
      <c r="A16" s="17" t="s">
        <v>23</v>
      </c>
      <c r="B16" s="18" t="s">
        <v>106</v>
      </c>
      <c r="C16" s="19">
        <v>4308</v>
      </c>
      <c r="D16" s="19">
        <v>14117</v>
      </c>
      <c r="E16" s="19">
        <v>8099</v>
      </c>
      <c r="F16" s="19">
        <v>48</v>
      </c>
      <c r="G16" s="19">
        <v>237</v>
      </c>
      <c r="H16" s="19">
        <v>39</v>
      </c>
      <c r="I16" s="19">
        <v>0</v>
      </c>
      <c r="J16" s="19">
        <v>1588</v>
      </c>
      <c r="K16" s="19">
        <v>349</v>
      </c>
      <c r="L16" s="19">
        <v>1034</v>
      </c>
      <c r="M16" s="19">
        <v>29</v>
      </c>
      <c r="N16" s="19">
        <v>189</v>
      </c>
      <c r="O16" s="19">
        <v>5327</v>
      </c>
      <c r="P16" s="19">
        <v>352</v>
      </c>
      <c r="Q16" s="19">
        <v>1089</v>
      </c>
      <c r="R16" s="19">
        <v>0</v>
      </c>
      <c r="S16" s="19">
        <v>404</v>
      </c>
      <c r="T16" s="19">
        <v>658</v>
      </c>
      <c r="U16" s="20">
        <f t="shared" si="0"/>
        <v>37867</v>
      </c>
    </row>
    <row r="17" spans="1:21" ht="14.25" customHeight="1" x14ac:dyDescent="0.25">
      <c r="A17" s="17" t="s">
        <v>104</v>
      </c>
      <c r="B17" s="18" t="s">
        <v>106</v>
      </c>
      <c r="C17" s="19">
        <v>21136</v>
      </c>
      <c r="D17" s="19">
        <v>389932</v>
      </c>
      <c r="E17" s="19">
        <v>281</v>
      </c>
      <c r="F17" s="19">
        <v>392369</v>
      </c>
      <c r="G17" s="19">
        <v>31679</v>
      </c>
      <c r="H17" s="19">
        <v>3710</v>
      </c>
      <c r="I17" s="19">
        <v>2701</v>
      </c>
      <c r="J17" s="19">
        <v>1499</v>
      </c>
      <c r="K17" s="19">
        <v>6982</v>
      </c>
      <c r="L17" s="19">
        <v>31405</v>
      </c>
      <c r="M17" s="19">
        <v>2136</v>
      </c>
      <c r="N17" s="19">
        <v>16399</v>
      </c>
      <c r="O17" s="19">
        <v>7545</v>
      </c>
      <c r="P17" s="19">
        <v>2314</v>
      </c>
      <c r="Q17" s="19">
        <v>22785</v>
      </c>
      <c r="R17" s="19">
        <v>202</v>
      </c>
      <c r="S17" s="19">
        <v>4719</v>
      </c>
      <c r="T17" s="19">
        <v>6147</v>
      </c>
      <c r="U17" s="20">
        <f t="shared" si="0"/>
        <v>943941</v>
      </c>
    </row>
    <row r="18" spans="1:21" ht="14.25" customHeight="1" x14ac:dyDescent="0.25">
      <c r="A18" s="17" t="s">
        <v>24</v>
      </c>
      <c r="B18" s="18" t="s">
        <v>106</v>
      </c>
      <c r="C18" s="19">
        <v>3152</v>
      </c>
      <c r="D18" s="19">
        <v>6247</v>
      </c>
      <c r="E18" s="19">
        <v>2720</v>
      </c>
      <c r="F18" s="19">
        <v>606</v>
      </c>
      <c r="G18" s="19">
        <v>264</v>
      </c>
      <c r="H18" s="19">
        <v>36</v>
      </c>
      <c r="I18" s="19">
        <v>0</v>
      </c>
      <c r="J18" s="19">
        <v>30</v>
      </c>
      <c r="K18" s="19">
        <v>236</v>
      </c>
      <c r="L18" s="19">
        <v>416</v>
      </c>
      <c r="M18" s="19">
        <v>23</v>
      </c>
      <c r="N18" s="19">
        <v>153</v>
      </c>
      <c r="O18" s="19">
        <v>5405</v>
      </c>
      <c r="P18" s="19">
        <v>130</v>
      </c>
      <c r="Q18" s="19">
        <v>402</v>
      </c>
      <c r="R18" s="19">
        <v>0</v>
      </c>
      <c r="S18" s="19">
        <v>306</v>
      </c>
      <c r="T18" s="19">
        <v>113</v>
      </c>
      <c r="U18" s="20">
        <f t="shared" si="0"/>
        <v>20239</v>
      </c>
    </row>
    <row r="19" spans="1:21" ht="14.25" customHeight="1" x14ac:dyDescent="0.25">
      <c r="A19" s="17" t="s">
        <v>25</v>
      </c>
      <c r="B19" s="18" t="s">
        <v>106</v>
      </c>
      <c r="C19" s="19">
        <v>5705</v>
      </c>
      <c r="D19" s="19">
        <v>2833</v>
      </c>
      <c r="E19" s="19">
        <v>3761</v>
      </c>
      <c r="F19" s="19">
        <v>159</v>
      </c>
      <c r="G19" s="19">
        <v>5</v>
      </c>
      <c r="H19" s="19">
        <v>1</v>
      </c>
      <c r="I19" s="19">
        <v>3</v>
      </c>
      <c r="J19" s="19">
        <v>0</v>
      </c>
      <c r="K19" s="19">
        <v>142</v>
      </c>
      <c r="L19" s="19">
        <v>206</v>
      </c>
      <c r="M19" s="19">
        <v>5</v>
      </c>
      <c r="N19" s="19">
        <v>35</v>
      </c>
      <c r="O19" s="19">
        <v>2794</v>
      </c>
      <c r="P19" s="19">
        <v>72</v>
      </c>
      <c r="Q19" s="19">
        <v>634</v>
      </c>
      <c r="R19" s="19">
        <v>0</v>
      </c>
      <c r="S19" s="19">
        <v>164</v>
      </c>
      <c r="T19" s="19">
        <v>25</v>
      </c>
      <c r="U19" s="20">
        <f t="shared" si="0"/>
        <v>16544</v>
      </c>
    </row>
    <row r="20" spans="1:21" ht="14.25" customHeight="1" x14ac:dyDescent="0.25">
      <c r="A20" s="17" t="s">
        <v>26</v>
      </c>
      <c r="B20" s="18" t="s">
        <v>106</v>
      </c>
      <c r="C20" s="19">
        <v>20263</v>
      </c>
      <c r="D20" s="19">
        <v>298545</v>
      </c>
      <c r="E20" s="19">
        <v>9294</v>
      </c>
      <c r="F20" s="19">
        <v>27029</v>
      </c>
      <c r="G20" s="19">
        <v>5180</v>
      </c>
      <c r="H20" s="19">
        <v>752</v>
      </c>
      <c r="I20" s="19">
        <v>121</v>
      </c>
      <c r="J20" s="19">
        <v>7862</v>
      </c>
      <c r="K20" s="19">
        <v>3386</v>
      </c>
      <c r="L20" s="19">
        <v>12300</v>
      </c>
      <c r="M20" s="19">
        <v>1306</v>
      </c>
      <c r="N20" s="19">
        <v>4538</v>
      </c>
      <c r="O20" s="19">
        <v>1437</v>
      </c>
      <c r="P20" s="19">
        <v>2609</v>
      </c>
      <c r="Q20" s="19">
        <v>6514</v>
      </c>
      <c r="R20" s="19">
        <v>162</v>
      </c>
      <c r="S20" s="19">
        <v>4044</v>
      </c>
      <c r="T20" s="19">
        <v>87</v>
      </c>
      <c r="U20" s="20">
        <f t="shared" si="0"/>
        <v>405429</v>
      </c>
    </row>
    <row r="21" spans="1:21" ht="14.25" customHeight="1" x14ac:dyDescent="0.25">
      <c r="A21" s="17" t="s">
        <v>27</v>
      </c>
      <c r="B21" s="18" t="s">
        <v>106</v>
      </c>
      <c r="C21" s="19">
        <v>15822</v>
      </c>
      <c r="D21" s="19">
        <v>107936</v>
      </c>
      <c r="E21" s="19">
        <v>4871</v>
      </c>
      <c r="F21" s="19">
        <v>8830</v>
      </c>
      <c r="G21" s="19">
        <v>4536</v>
      </c>
      <c r="H21" s="19">
        <v>227</v>
      </c>
      <c r="I21" s="19">
        <v>0</v>
      </c>
      <c r="J21" s="19">
        <v>1376</v>
      </c>
      <c r="K21" s="19">
        <v>2802</v>
      </c>
      <c r="L21" s="19">
        <v>5451</v>
      </c>
      <c r="M21" s="19">
        <v>118</v>
      </c>
      <c r="N21" s="19">
        <v>928</v>
      </c>
      <c r="O21" s="19">
        <v>2507</v>
      </c>
      <c r="P21" s="19">
        <v>1005</v>
      </c>
      <c r="Q21" s="19">
        <v>2889</v>
      </c>
      <c r="R21" s="19">
        <v>84</v>
      </c>
      <c r="S21" s="19">
        <v>12204</v>
      </c>
      <c r="T21" s="19">
        <v>473</v>
      </c>
      <c r="U21" s="20">
        <f t="shared" si="0"/>
        <v>172059</v>
      </c>
    </row>
    <row r="22" spans="1:21" ht="14.25" customHeight="1" x14ac:dyDescent="0.25">
      <c r="A22" s="17" t="s">
        <v>28</v>
      </c>
      <c r="B22" s="18" t="s">
        <v>106</v>
      </c>
      <c r="C22" s="19">
        <v>17139</v>
      </c>
      <c r="D22" s="19">
        <v>55291</v>
      </c>
      <c r="E22" s="19">
        <v>1766</v>
      </c>
      <c r="F22" s="19">
        <v>4455</v>
      </c>
      <c r="G22" s="19">
        <v>1709</v>
      </c>
      <c r="H22" s="19">
        <v>25</v>
      </c>
      <c r="I22" s="19">
        <v>357</v>
      </c>
      <c r="J22" s="19">
        <v>2270</v>
      </c>
      <c r="K22" s="19">
        <v>567</v>
      </c>
      <c r="L22" s="19">
        <v>1346</v>
      </c>
      <c r="M22" s="19">
        <v>99</v>
      </c>
      <c r="N22" s="19">
        <v>312</v>
      </c>
      <c r="O22" s="19">
        <v>1783</v>
      </c>
      <c r="P22" s="19">
        <v>178</v>
      </c>
      <c r="Q22" s="19">
        <v>1672</v>
      </c>
      <c r="R22" s="19">
        <v>3</v>
      </c>
      <c r="S22" s="19">
        <v>657</v>
      </c>
      <c r="T22" s="19">
        <v>114</v>
      </c>
      <c r="U22" s="20">
        <f t="shared" si="0"/>
        <v>89743</v>
      </c>
    </row>
    <row r="23" spans="1:21" ht="14.25" customHeight="1" x14ac:dyDescent="0.25">
      <c r="A23" s="17" t="s">
        <v>29</v>
      </c>
      <c r="B23" s="18" t="s">
        <v>106</v>
      </c>
      <c r="C23" s="19">
        <v>6615</v>
      </c>
      <c r="D23" s="19">
        <v>7124</v>
      </c>
      <c r="E23" s="19">
        <v>1339</v>
      </c>
      <c r="F23" s="19">
        <v>463</v>
      </c>
      <c r="G23" s="19">
        <v>7</v>
      </c>
      <c r="H23" s="19">
        <v>3</v>
      </c>
      <c r="I23" s="19">
        <v>1</v>
      </c>
      <c r="J23" s="19">
        <v>573</v>
      </c>
      <c r="K23" s="19">
        <v>156</v>
      </c>
      <c r="L23" s="19">
        <v>304</v>
      </c>
      <c r="M23" s="19">
        <v>1</v>
      </c>
      <c r="N23" s="19">
        <v>107</v>
      </c>
      <c r="O23" s="19">
        <v>126</v>
      </c>
      <c r="P23" s="19">
        <v>83</v>
      </c>
      <c r="Q23" s="19">
        <v>1584</v>
      </c>
      <c r="R23" s="19">
        <v>25</v>
      </c>
      <c r="S23" s="19">
        <v>43</v>
      </c>
      <c r="T23" s="19">
        <v>40</v>
      </c>
      <c r="U23" s="20">
        <f t="shared" si="0"/>
        <v>18594</v>
      </c>
    </row>
    <row r="24" spans="1:21" ht="14.25" customHeight="1" x14ac:dyDescent="0.25">
      <c r="A24" s="17" t="s">
        <v>30</v>
      </c>
      <c r="B24" s="18" t="s">
        <v>106</v>
      </c>
      <c r="C24" s="19">
        <v>5055</v>
      </c>
      <c r="D24" s="19">
        <v>11693</v>
      </c>
      <c r="E24" s="19">
        <v>3791</v>
      </c>
      <c r="F24" s="19">
        <v>0</v>
      </c>
      <c r="G24" s="19">
        <v>163</v>
      </c>
      <c r="H24" s="19">
        <v>20</v>
      </c>
      <c r="I24" s="19">
        <v>0</v>
      </c>
      <c r="J24" s="19">
        <v>44</v>
      </c>
      <c r="K24" s="19">
        <v>367</v>
      </c>
      <c r="L24" s="19">
        <v>528</v>
      </c>
      <c r="M24" s="19">
        <v>0</v>
      </c>
      <c r="N24" s="19">
        <v>133</v>
      </c>
      <c r="O24" s="19">
        <v>3538</v>
      </c>
      <c r="P24" s="19">
        <v>476</v>
      </c>
      <c r="Q24" s="19">
        <v>705</v>
      </c>
      <c r="R24" s="19">
        <v>2</v>
      </c>
      <c r="S24" s="19">
        <v>1086</v>
      </c>
      <c r="T24" s="19">
        <v>553</v>
      </c>
      <c r="U24" s="20">
        <f t="shared" si="0"/>
        <v>28154</v>
      </c>
    </row>
    <row r="25" spans="1:21" ht="14.25" customHeight="1" x14ac:dyDescent="0.25">
      <c r="A25" s="17" t="s">
        <v>31</v>
      </c>
      <c r="B25" s="18" t="s">
        <v>106</v>
      </c>
      <c r="C25" s="19">
        <v>2763</v>
      </c>
      <c r="D25" s="19">
        <v>3200</v>
      </c>
      <c r="E25" s="19">
        <v>3074</v>
      </c>
      <c r="F25" s="19">
        <v>0</v>
      </c>
      <c r="G25" s="19">
        <v>26</v>
      </c>
      <c r="H25" s="19">
        <v>2</v>
      </c>
      <c r="I25" s="19">
        <v>0</v>
      </c>
      <c r="J25" s="19">
        <v>440</v>
      </c>
      <c r="K25" s="19">
        <v>58</v>
      </c>
      <c r="L25" s="19">
        <v>162</v>
      </c>
      <c r="M25" s="19">
        <v>4</v>
      </c>
      <c r="N25" s="19">
        <v>35</v>
      </c>
      <c r="O25" s="19">
        <v>3581</v>
      </c>
      <c r="P25" s="19">
        <v>77</v>
      </c>
      <c r="Q25" s="19">
        <v>387</v>
      </c>
      <c r="R25" s="19">
        <v>0</v>
      </c>
      <c r="S25" s="19">
        <v>848</v>
      </c>
      <c r="T25" s="19">
        <v>217</v>
      </c>
      <c r="U25" s="20">
        <f t="shared" si="0"/>
        <v>14874</v>
      </c>
    </row>
    <row r="26" spans="1:21" ht="14.25" customHeight="1" x14ac:dyDescent="0.25">
      <c r="A26" s="17" t="s">
        <v>32</v>
      </c>
      <c r="B26" s="18" t="s">
        <v>106</v>
      </c>
      <c r="C26" s="19">
        <v>2822</v>
      </c>
      <c r="D26" s="19">
        <v>2021</v>
      </c>
      <c r="E26" s="19">
        <v>2271</v>
      </c>
      <c r="F26" s="19">
        <v>256</v>
      </c>
      <c r="G26" s="19">
        <v>177</v>
      </c>
      <c r="H26" s="19">
        <v>3</v>
      </c>
      <c r="I26" s="19">
        <v>0</v>
      </c>
      <c r="J26" s="19">
        <v>180</v>
      </c>
      <c r="K26" s="19">
        <v>72</v>
      </c>
      <c r="L26" s="19">
        <v>124</v>
      </c>
      <c r="M26" s="19">
        <v>16</v>
      </c>
      <c r="N26" s="19">
        <v>24</v>
      </c>
      <c r="O26" s="19">
        <v>2153</v>
      </c>
      <c r="P26" s="19">
        <v>55</v>
      </c>
      <c r="Q26" s="19">
        <v>1232</v>
      </c>
      <c r="R26" s="19">
        <v>0</v>
      </c>
      <c r="S26" s="19">
        <v>57</v>
      </c>
      <c r="T26" s="19">
        <v>179</v>
      </c>
      <c r="U26" s="20">
        <f t="shared" si="0"/>
        <v>11642</v>
      </c>
    </row>
    <row r="27" spans="1:21" ht="14.25" customHeight="1" x14ac:dyDescent="0.25">
      <c r="A27" s="17" t="s">
        <v>33</v>
      </c>
      <c r="B27" s="18" t="s">
        <v>106</v>
      </c>
      <c r="C27" s="19">
        <v>7168</v>
      </c>
      <c r="D27" s="19">
        <v>7852</v>
      </c>
      <c r="E27" s="19">
        <v>1753</v>
      </c>
      <c r="F27" s="19">
        <v>288</v>
      </c>
      <c r="G27" s="19">
        <v>21</v>
      </c>
      <c r="H27" s="19">
        <v>5</v>
      </c>
      <c r="I27" s="19">
        <v>0</v>
      </c>
      <c r="J27" s="19">
        <v>192</v>
      </c>
      <c r="K27" s="19">
        <v>9</v>
      </c>
      <c r="L27" s="19">
        <v>316</v>
      </c>
      <c r="M27" s="19">
        <v>0</v>
      </c>
      <c r="N27" s="19">
        <v>47</v>
      </c>
      <c r="O27" s="19">
        <v>849</v>
      </c>
      <c r="P27" s="19">
        <v>94</v>
      </c>
      <c r="Q27" s="19">
        <v>455</v>
      </c>
      <c r="R27" s="19">
        <v>2</v>
      </c>
      <c r="S27" s="19">
        <v>1049</v>
      </c>
      <c r="T27" s="19">
        <v>138</v>
      </c>
      <c r="U27" s="20">
        <f t="shared" si="0"/>
        <v>20238</v>
      </c>
    </row>
    <row r="28" spans="1:21" ht="14.25" customHeight="1" x14ac:dyDescent="0.25">
      <c r="A28" s="17" t="s">
        <v>34</v>
      </c>
      <c r="B28" s="18" t="s">
        <v>106</v>
      </c>
      <c r="C28" s="19">
        <v>4516</v>
      </c>
      <c r="D28" s="19">
        <v>2041</v>
      </c>
      <c r="E28" s="19">
        <v>1555</v>
      </c>
      <c r="F28" s="19">
        <v>0</v>
      </c>
      <c r="G28" s="19">
        <v>170</v>
      </c>
      <c r="H28" s="19">
        <v>9</v>
      </c>
      <c r="I28" s="19">
        <v>0</v>
      </c>
      <c r="J28" s="19">
        <v>32</v>
      </c>
      <c r="K28" s="19">
        <v>121</v>
      </c>
      <c r="L28" s="19">
        <v>174</v>
      </c>
      <c r="M28" s="19">
        <v>1</v>
      </c>
      <c r="N28" s="19">
        <v>20</v>
      </c>
      <c r="O28" s="19">
        <v>2986</v>
      </c>
      <c r="P28" s="19">
        <v>183</v>
      </c>
      <c r="Q28" s="19">
        <v>610</v>
      </c>
      <c r="R28" s="19">
        <v>0</v>
      </c>
      <c r="S28" s="19">
        <v>636</v>
      </c>
      <c r="T28" s="19">
        <v>163</v>
      </c>
      <c r="U28" s="20">
        <f t="shared" si="0"/>
        <v>13217</v>
      </c>
    </row>
    <row r="29" spans="1:21" ht="14.25" customHeight="1" x14ac:dyDescent="0.25">
      <c r="A29" s="17" t="s">
        <v>35</v>
      </c>
      <c r="B29" s="18" t="s">
        <v>106</v>
      </c>
      <c r="C29" s="19">
        <v>2045</v>
      </c>
      <c r="D29" s="19">
        <v>4501</v>
      </c>
      <c r="E29" s="19">
        <v>1737</v>
      </c>
      <c r="F29" s="19">
        <v>0</v>
      </c>
      <c r="G29" s="19">
        <v>190</v>
      </c>
      <c r="H29" s="19">
        <v>20</v>
      </c>
      <c r="I29" s="19">
        <v>0</v>
      </c>
      <c r="J29" s="19">
        <v>16</v>
      </c>
      <c r="K29" s="19">
        <v>181</v>
      </c>
      <c r="L29" s="19">
        <v>334</v>
      </c>
      <c r="M29" s="19">
        <v>20</v>
      </c>
      <c r="N29" s="19">
        <v>71</v>
      </c>
      <c r="O29" s="19">
        <v>4605</v>
      </c>
      <c r="P29" s="19">
        <v>218</v>
      </c>
      <c r="Q29" s="19">
        <v>332</v>
      </c>
      <c r="R29" s="19">
        <v>0</v>
      </c>
      <c r="S29" s="19">
        <v>922</v>
      </c>
      <c r="T29" s="19">
        <v>180</v>
      </c>
      <c r="U29" s="20">
        <f t="shared" si="0"/>
        <v>15372</v>
      </c>
    </row>
    <row r="30" spans="1:21" ht="14.25" customHeight="1" x14ac:dyDescent="0.25">
      <c r="A30" s="17" t="s">
        <v>36</v>
      </c>
      <c r="B30" s="18" t="s">
        <v>106</v>
      </c>
      <c r="C30" s="19">
        <v>14848</v>
      </c>
      <c r="D30" s="19">
        <v>9125</v>
      </c>
      <c r="E30" s="19">
        <v>4699</v>
      </c>
      <c r="F30" s="19">
        <v>319</v>
      </c>
      <c r="G30" s="19">
        <v>355</v>
      </c>
      <c r="H30" s="19">
        <v>20</v>
      </c>
      <c r="I30" s="19">
        <v>0</v>
      </c>
      <c r="J30" s="19">
        <v>80</v>
      </c>
      <c r="K30" s="19">
        <v>357</v>
      </c>
      <c r="L30" s="19">
        <v>624</v>
      </c>
      <c r="M30" s="19">
        <v>108</v>
      </c>
      <c r="N30" s="19">
        <v>190</v>
      </c>
      <c r="O30" s="19">
        <v>2816</v>
      </c>
      <c r="P30" s="19">
        <v>200</v>
      </c>
      <c r="Q30" s="19">
        <v>1794</v>
      </c>
      <c r="R30" s="19">
        <v>9</v>
      </c>
      <c r="S30" s="19">
        <v>339</v>
      </c>
      <c r="T30" s="19">
        <v>34</v>
      </c>
      <c r="U30" s="20">
        <f t="shared" si="0"/>
        <v>35917</v>
      </c>
    </row>
    <row r="31" spans="1:21" ht="14.25" customHeight="1" x14ac:dyDescent="0.25">
      <c r="A31" s="17" t="s">
        <v>37</v>
      </c>
      <c r="B31" s="18" t="s">
        <v>106</v>
      </c>
      <c r="C31" s="19">
        <v>19411</v>
      </c>
      <c r="D31" s="19">
        <v>74244</v>
      </c>
      <c r="E31" s="19">
        <v>12192</v>
      </c>
      <c r="F31" s="19">
        <v>638</v>
      </c>
      <c r="G31" s="19">
        <v>499</v>
      </c>
      <c r="H31" s="19">
        <v>71</v>
      </c>
      <c r="I31" s="19">
        <v>72</v>
      </c>
      <c r="J31" s="19">
        <v>1827</v>
      </c>
      <c r="K31" s="19">
        <v>1097</v>
      </c>
      <c r="L31" s="19">
        <v>1530</v>
      </c>
      <c r="M31" s="19">
        <v>45</v>
      </c>
      <c r="N31" s="19">
        <v>316</v>
      </c>
      <c r="O31" s="19">
        <v>2673</v>
      </c>
      <c r="P31" s="19">
        <v>334</v>
      </c>
      <c r="Q31" s="19">
        <v>2294</v>
      </c>
      <c r="R31" s="19">
        <v>102</v>
      </c>
      <c r="S31" s="19">
        <v>2975</v>
      </c>
      <c r="T31" s="19">
        <v>1261</v>
      </c>
      <c r="U31" s="20">
        <f t="shared" si="0"/>
        <v>121581</v>
      </c>
    </row>
    <row r="32" spans="1:21" ht="14.25" customHeight="1" x14ac:dyDescent="0.25">
      <c r="A32" s="17" t="s">
        <v>38</v>
      </c>
      <c r="B32" s="18" t="s">
        <v>106</v>
      </c>
      <c r="C32" s="19">
        <v>50843</v>
      </c>
      <c r="D32" s="19">
        <v>36298</v>
      </c>
      <c r="E32" s="19">
        <v>5409</v>
      </c>
      <c r="F32" s="19">
        <v>1349</v>
      </c>
      <c r="G32" s="19">
        <v>891</v>
      </c>
      <c r="H32" s="19">
        <v>60</v>
      </c>
      <c r="I32" s="19">
        <v>695</v>
      </c>
      <c r="J32" s="19">
        <v>2200</v>
      </c>
      <c r="K32" s="19">
        <v>759</v>
      </c>
      <c r="L32" s="19">
        <v>1603</v>
      </c>
      <c r="M32" s="19">
        <v>184</v>
      </c>
      <c r="N32" s="19">
        <v>513</v>
      </c>
      <c r="O32" s="19">
        <v>4517</v>
      </c>
      <c r="P32" s="19">
        <v>1230</v>
      </c>
      <c r="Q32" s="19">
        <v>5514</v>
      </c>
      <c r="R32" s="19">
        <v>62</v>
      </c>
      <c r="S32" s="19">
        <v>212</v>
      </c>
      <c r="T32" s="19">
        <v>788</v>
      </c>
      <c r="U32" s="20">
        <f t="shared" si="0"/>
        <v>113127</v>
      </c>
    </row>
    <row r="33" spans="1:21" ht="14.25" customHeight="1" x14ac:dyDescent="0.25">
      <c r="A33" s="17" t="s">
        <v>39</v>
      </c>
      <c r="B33" s="18" t="s">
        <v>106</v>
      </c>
      <c r="C33" s="19">
        <v>23299</v>
      </c>
      <c r="D33" s="19">
        <v>394955</v>
      </c>
      <c r="E33" s="19">
        <v>13567</v>
      </c>
      <c r="F33" s="19">
        <v>40477</v>
      </c>
      <c r="G33" s="19">
        <v>4665</v>
      </c>
      <c r="H33" s="19">
        <v>940</v>
      </c>
      <c r="I33" s="19">
        <v>1772</v>
      </c>
      <c r="J33" s="19">
        <v>7220</v>
      </c>
      <c r="K33" s="19">
        <v>2951</v>
      </c>
      <c r="L33" s="19">
        <v>14473</v>
      </c>
      <c r="M33" s="19">
        <v>512</v>
      </c>
      <c r="N33" s="19">
        <v>3620</v>
      </c>
      <c r="O33" s="19">
        <v>5680</v>
      </c>
      <c r="P33" s="19">
        <v>4866</v>
      </c>
      <c r="Q33" s="19">
        <v>10172</v>
      </c>
      <c r="R33" s="19">
        <v>225</v>
      </c>
      <c r="S33" s="19">
        <v>1219</v>
      </c>
      <c r="T33" s="19">
        <v>302</v>
      </c>
      <c r="U33" s="20">
        <f t="shared" si="0"/>
        <v>530915</v>
      </c>
    </row>
    <row r="34" spans="1:21" ht="14.25" customHeight="1" x14ac:dyDescent="0.25">
      <c r="A34" s="17" t="s">
        <v>40</v>
      </c>
      <c r="B34" s="18" t="s">
        <v>106</v>
      </c>
      <c r="C34" s="19">
        <v>2596</v>
      </c>
      <c r="D34" s="19">
        <v>3511</v>
      </c>
      <c r="E34" s="19">
        <v>1465</v>
      </c>
      <c r="F34" s="19">
        <v>0</v>
      </c>
      <c r="G34" s="19">
        <v>16</v>
      </c>
      <c r="H34" s="19">
        <v>8</v>
      </c>
      <c r="I34" s="19">
        <v>1</v>
      </c>
      <c r="J34" s="19">
        <v>5</v>
      </c>
      <c r="K34" s="19">
        <v>65</v>
      </c>
      <c r="L34" s="19">
        <v>282</v>
      </c>
      <c r="M34" s="19">
        <v>0</v>
      </c>
      <c r="N34" s="19">
        <v>33</v>
      </c>
      <c r="O34" s="19">
        <v>5900</v>
      </c>
      <c r="P34" s="19">
        <v>229</v>
      </c>
      <c r="Q34" s="19">
        <v>399</v>
      </c>
      <c r="R34" s="19">
        <v>1</v>
      </c>
      <c r="S34" s="19">
        <v>104</v>
      </c>
      <c r="T34" s="19">
        <v>53</v>
      </c>
      <c r="U34" s="20">
        <f t="shared" si="0"/>
        <v>14668</v>
      </c>
    </row>
    <row r="35" spans="1:21" ht="14.25" customHeight="1" x14ac:dyDescent="0.25">
      <c r="A35" s="17" t="s">
        <v>41</v>
      </c>
      <c r="B35" s="18" t="s">
        <v>106</v>
      </c>
      <c r="C35" s="19">
        <v>8211</v>
      </c>
      <c r="D35" s="19">
        <v>61023</v>
      </c>
      <c r="E35" s="19">
        <v>1096</v>
      </c>
      <c r="F35" s="19">
        <v>15192</v>
      </c>
      <c r="G35" s="19">
        <v>755</v>
      </c>
      <c r="H35" s="19">
        <v>59</v>
      </c>
      <c r="I35" s="19">
        <v>57</v>
      </c>
      <c r="J35" s="19">
        <v>1719</v>
      </c>
      <c r="K35" s="19">
        <v>997</v>
      </c>
      <c r="L35" s="19">
        <v>1669</v>
      </c>
      <c r="M35" s="19">
        <v>170</v>
      </c>
      <c r="N35" s="19">
        <v>493</v>
      </c>
      <c r="O35" s="19">
        <v>2145</v>
      </c>
      <c r="P35" s="19">
        <v>449</v>
      </c>
      <c r="Q35" s="19">
        <v>1450</v>
      </c>
      <c r="R35" s="19">
        <v>73</v>
      </c>
      <c r="S35" s="19">
        <v>398</v>
      </c>
      <c r="T35" s="19">
        <v>142</v>
      </c>
      <c r="U35" s="20">
        <f t="shared" si="0"/>
        <v>96098</v>
      </c>
    </row>
    <row r="36" spans="1:21" ht="14.25" customHeight="1" x14ac:dyDescent="0.25">
      <c r="A36" s="17" t="s">
        <v>42</v>
      </c>
      <c r="B36" s="18" t="s">
        <v>106</v>
      </c>
      <c r="C36" s="19">
        <v>14044</v>
      </c>
      <c r="D36" s="19">
        <v>10466</v>
      </c>
      <c r="E36" s="19">
        <v>3220</v>
      </c>
      <c r="F36" s="19">
        <v>0</v>
      </c>
      <c r="G36" s="19">
        <v>58</v>
      </c>
      <c r="H36" s="19">
        <v>62</v>
      </c>
      <c r="I36" s="19">
        <v>0</v>
      </c>
      <c r="J36" s="19">
        <v>4</v>
      </c>
      <c r="K36" s="19">
        <v>382</v>
      </c>
      <c r="L36" s="19">
        <v>797</v>
      </c>
      <c r="M36" s="19">
        <v>27</v>
      </c>
      <c r="N36" s="19">
        <v>135</v>
      </c>
      <c r="O36" s="19">
        <v>9517</v>
      </c>
      <c r="P36" s="19">
        <v>510</v>
      </c>
      <c r="Q36" s="19">
        <v>778</v>
      </c>
      <c r="R36" s="19">
        <v>0</v>
      </c>
      <c r="S36" s="19">
        <v>198</v>
      </c>
      <c r="T36" s="19">
        <v>182</v>
      </c>
      <c r="U36" s="20">
        <f t="shared" si="0"/>
        <v>40380</v>
      </c>
    </row>
    <row r="37" spans="1:21" ht="14.25" customHeight="1" x14ac:dyDescent="0.25">
      <c r="A37" s="17" t="s">
        <v>43</v>
      </c>
      <c r="B37" s="18" t="s">
        <v>106</v>
      </c>
      <c r="C37" s="19">
        <v>1950</v>
      </c>
      <c r="D37" s="19">
        <v>3082</v>
      </c>
      <c r="E37" s="19">
        <v>1361</v>
      </c>
      <c r="F37" s="19">
        <v>4</v>
      </c>
      <c r="G37" s="19">
        <v>58</v>
      </c>
      <c r="H37" s="19">
        <v>10</v>
      </c>
      <c r="I37" s="19">
        <v>38</v>
      </c>
      <c r="J37" s="19">
        <v>37</v>
      </c>
      <c r="K37" s="19">
        <v>79</v>
      </c>
      <c r="L37" s="19">
        <v>224</v>
      </c>
      <c r="M37" s="19">
        <v>5</v>
      </c>
      <c r="N37" s="19">
        <v>47</v>
      </c>
      <c r="O37" s="19">
        <v>4077</v>
      </c>
      <c r="P37" s="19">
        <v>287</v>
      </c>
      <c r="Q37" s="19">
        <v>430</v>
      </c>
      <c r="R37" s="19">
        <v>0</v>
      </c>
      <c r="S37" s="19">
        <v>737</v>
      </c>
      <c r="T37" s="19">
        <v>117</v>
      </c>
      <c r="U37" s="20">
        <f t="shared" si="0"/>
        <v>12543</v>
      </c>
    </row>
    <row r="38" spans="1:21" ht="14.25" customHeight="1" x14ac:dyDescent="0.25">
      <c r="A38" s="17" t="s">
        <v>44</v>
      </c>
      <c r="B38" s="18" t="s">
        <v>106</v>
      </c>
      <c r="C38" s="19">
        <v>1598</v>
      </c>
      <c r="D38" s="19">
        <v>1094</v>
      </c>
      <c r="E38" s="19">
        <v>890</v>
      </c>
      <c r="F38" s="19">
        <v>0</v>
      </c>
      <c r="G38" s="19">
        <v>8</v>
      </c>
      <c r="H38" s="19">
        <v>1</v>
      </c>
      <c r="I38" s="19">
        <v>0</v>
      </c>
      <c r="J38" s="19">
        <v>4</v>
      </c>
      <c r="K38" s="19">
        <v>21</v>
      </c>
      <c r="L38" s="19">
        <v>85</v>
      </c>
      <c r="M38" s="19">
        <v>1</v>
      </c>
      <c r="N38" s="19">
        <v>14</v>
      </c>
      <c r="O38" s="19">
        <v>3075</v>
      </c>
      <c r="P38" s="19">
        <v>94</v>
      </c>
      <c r="Q38" s="19">
        <v>296</v>
      </c>
      <c r="R38" s="19">
        <v>0</v>
      </c>
      <c r="S38" s="19">
        <v>279</v>
      </c>
      <c r="T38" s="19">
        <v>53</v>
      </c>
      <c r="U38" s="20">
        <f t="shared" si="0"/>
        <v>7513</v>
      </c>
    </row>
    <row r="39" spans="1:21" ht="14.25" customHeight="1" x14ac:dyDescent="0.25">
      <c r="A39" s="17" t="s">
        <v>45</v>
      </c>
      <c r="B39" s="18" t="s">
        <v>106</v>
      </c>
      <c r="C39" s="19">
        <v>25711</v>
      </c>
      <c r="D39" s="19">
        <v>137579</v>
      </c>
      <c r="E39" s="19">
        <v>16435</v>
      </c>
      <c r="F39" s="19">
        <v>3583</v>
      </c>
      <c r="G39" s="19">
        <v>1377</v>
      </c>
      <c r="H39" s="19">
        <v>190</v>
      </c>
      <c r="I39" s="19">
        <v>3363</v>
      </c>
      <c r="J39" s="19">
        <v>6851</v>
      </c>
      <c r="K39" s="19">
        <v>2084</v>
      </c>
      <c r="L39" s="19">
        <v>4169</v>
      </c>
      <c r="M39" s="19">
        <v>330</v>
      </c>
      <c r="N39" s="19">
        <v>1226</v>
      </c>
      <c r="O39" s="19">
        <v>5482</v>
      </c>
      <c r="P39" s="19">
        <v>1249</v>
      </c>
      <c r="Q39" s="19">
        <v>4581</v>
      </c>
      <c r="R39" s="19">
        <v>0</v>
      </c>
      <c r="S39" s="19">
        <v>2271</v>
      </c>
      <c r="T39" s="19">
        <v>505</v>
      </c>
      <c r="U39" s="20">
        <f t="shared" si="0"/>
        <v>216986</v>
      </c>
    </row>
    <row r="40" spans="1:21" ht="14.25" customHeight="1" x14ac:dyDescent="0.25">
      <c r="A40" s="17" t="s">
        <v>46</v>
      </c>
      <c r="B40" s="18" t="s">
        <v>106</v>
      </c>
      <c r="C40" s="19">
        <v>122381</v>
      </c>
      <c r="D40" s="19">
        <v>279664</v>
      </c>
      <c r="E40" s="19">
        <v>14763</v>
      </c>
      <c r="F40" s="19">
        <v>85218</v>
      </c>
      <c r="G40" s="19">
        <v>11635</v>
      </c>
      <c r="H40" s="19">
        <v>301</v>
      </c>
      <c r="I40" s="19">
        <v>4794</v>
      </c>
      <c r="J40" s="19">
        <v>10467</v>
      </c>
      <c r="K40" s="19">
        <v>6328</v>
      </c>
      <c r="L40" s="19">
        <v>7391</v>
      </c>
      <c r="M40" s="19">
        <v>478</v>
      </c>
      <c r="N40" s="19">
        <v>4099</v>
      </c>
      <c r="O40" s="19">
        <v>2752</v>
      </c>
      <c r="P40" s="19">
        <v>1969</v>
      </c>
      <c r="Q40" s="19">
        <v>7420</v>
      </c>
      <c r="R40" s="19">
        <v>43</v>
      </c>
      <c r="S40" s="19">
        <v>3691</v>
      </c>
      <c r="T40" s="19">
        <v>253</v>
      </c>
      <c r="U40" s="20">
        <f t="shared" si="0"/>
        <v>563647</v>
      </c>
    </row>
    <row r="41" spans="1:21" ht="14.25" customHeight="1" x14ac:dyDescent="0.25">
      <c r="A41" s="17" t="s">
        <v>47</v>
      </c>
      <c r="B41" s="18" t="s">
        <v>106</v>
      </c>
      <c r="C41" s="19">
        <v>9003</v>
      </c>
      <c r="D41" s="19">
        <v>76519</v>
      </c>
      <c r="E41" s="19">
        <v>6813</v>
      </c>
      <c r="F41" s="19">
        <v>4909</v>
      </c>
      <c r="G41" s="19">
        <v>2348</v>
      </c>
      <c r="H41" s="19">
        <v>389</v>
      </c>
      <c r="I41" s="19">
        <v>0</v>
      </c>
      <c r="J41" s="19">
        <v>1845</v>
      </c>
      <c r="K41" s="19">
        <v>916</v>
      </c>
      <c r="L41" s="19">
        <v>4123</v>
      </c>
      <c r="M41" s="19">
        <v>221</v>
      </c>
      <c r="N41" s="19">
        <v>776</v>
      </c>
      <c r="O41" s="19">
        <v>1532</v>
      </c>
      <c r="P41" s="19">
        <v>693</v>
      </c>
      <c r="Q41" s="19">
        <v>1521</v>
      </c>
      <c r="R41" s="19">
        <v>0</v>
      </c>
      <c r="S41" s="19">
        <v>1015</v>
      </c>
      <c r="T41" s="19">
        <v>462</v>
      </c>
      <c r="U41" s="20">
        <f t="shared" si="0"/>
        <v>113085</v>
      </c>
    </row>
    <row r="42" spans="1:21" ht="14.25" customHeight="1" x14ac:dyDescent="0.25">
      <c r="A42" s="17" t="s">
        <v>48</v>
      </c>
      <c r="B42" s="18" t="s">
        <v>106</v>
      </c>
      <c r="C42" s="19">
        <v>18933</v>
      </c>
      <c r="D42" s="19">
        <v>8610</v>
      </c>
      <c r="E42" s="19">
        <v>10011</v>
      </c>
      <c r="F42" s="19">
        <v>239</v>
      </c>
      <c r="G42" s="19">
        <v>68</v>
      </c>
      <c r="H42" s="19">
        <v>12</v>
      </c>
      <c r="I42" s="19">
        <v>0</v>
      </c>
      <c r="J42" s="19">
        <v>86</v>
      </c>
      <c r="K42" s="19">
        <v>498</v>
      </c>
      <c r="L42" s="19">
        <v>819</v>
      </c>
      <c r="M42" s="19">
        <v>5</v>
      </c>
      <c r="N42" s="19">
        <v>114</v>
      </c>
      <c r="O42" s="19">
        <v>6561</v>
      </c>
      <c r="P42" s="19">
        <v>301</v>
      </c>
      <c r="Q42" s="19">
        <v>1051</v>
      </c>
      <c r="R42" s="19">
        <v>10</v>
      </c>
      <c r="S42" s="19">
        <v>105</v>
      </c>
      <c r="T42" s="19">
        <v>128</v>
      </c>
      <c r="U42" s="20">
        <f t="shared" si="0"/>
        <v>47551</v>
      </c>
    </row>
    <row r="43" spans="1:21" ht="14.25" customHeight="1" x14ac:dyDescent="0.25">
      <c r="A43" s="17" t="s">
        <v>49</v>
      </c>
      <c r="B43" s="18" t="s">
        <v>106</v>
      </c>
      <c r="C43" s="19">
        <v>1009</v>
      </c>
      <c r="D43" s="19">
        <v>1438</v>
      </c>
      <c r="E43" s="19">
        <v>853</v>
      </c>
      <c r="F43" s="19"/>
      <c r="G43" s="19">
        <v>57</v>
      </c>
      <c r="H43" s="19">
        <v>5</v>
      </c>
      <c r="I43" s="19"/>
      <c r="J43" s="19">
        <v>2</v>
      </c>
      <c r="K43" s="19">
        <v>13</v>
      </c>
      <c r="L43" s="19">
        <v>125</v>
      </c>
      <c r="M43" s="19"/>
      <c r="N43" s="19">
        <v>22</v>
      </c>
      <c r="O43" s="19">
        <v>1529</v>
      </c>
      <c r="P43" s="19">
        <v>122</v>
      </c>
      <c r="Q43" s="19">
        <v>802</v>
      </c>
      <c r="R43" s="19"/>
      <c r="S43" s="19">
        <v>36</v>
      </c>
      <c r="T43" s="19">
        <v>30</v>
      </c>
      <c r="U43" s="20">
        <f t="shared" si="0"/>
        <v>6043</v>
      </c>
    </row>
    <row r="44" spans="1:21" ht="14.25" customHeight="1" x14ac:dyDescent="0.25">
      <c r="A44" s="17" t="s">
        <v>50</v>
      </c>
      <c r="B44" s="18" t="s">
        <v>106</v>
      </c>
      <c r="C44" s="19">
        <v>4161</v>
      </c>
      <c r="D44" s="19">
        <v>3342</v>
      </c>
      <c r="E44" s="19">
        <v>1823</v>
      </c>
      <c r="F44" s="19">
        <v>0</v>
      </c>
      <c r="G44" s="19">
        <v>164</v>
      </c>
      <c r="H44" s="19">
        <v>10</v>
      </c>
      <c r="I44" s="19">
        <v>0</v>
      </c>
      <c r="J44" s="19">
        <v>0</v>
      </c>
      <c r="K44" s="19">
        <v>65</v>
      </c>
      <c r="L44" s="19">
        <v>293</v>
      </c>
      <c r="M44" s="19">
        <v>1</v>
      </c>
      <c r="N44" s="19">
        <v>44</v>
      </c>
      <c r="O44" s="19">
        <v>5792</v>
      </c>
      <c r="P44" s="19">
        <v>212</v>
      </c>
      <c r="Q44" s="19">
        <v>450</v>
      </c>
      <c r="R44" s="19"/>
      <c r="S44" s="19">
        <v>104</v>
      </c>
      <c r="T44" s="19">
        <v>157</v>
      </c>
      <c r="U44" s="20">
        <f t="shared" si="0"/>
        <v>16618</v>
      </c>
    </row>
    <row r="45" spans="1:21" ht="14.25" customHeight="1" x14ac:dyDescent="0.25">
      <c r="A45" s="17" t="s">
        <v>51</v>
      </c>
      <c r="B45" s="18" t="s">
        <v>106</v>
      </c>
      <c r="C45" s="19">
        <v>21868</v>
      </c>
      <c r="D45" s="19">
        <v>135559</v>
      </c>
      <c r="E45" s="19">
        <v>4624</v>
      </c>
      <c r="F45" s="19">
        <v>35667</v>
      </c>
      <c r="G45" s="19">
        <v>4445</v>
      </c>
      <c r="H45" s="19">
        <v>243</v>
      </c>
      <c r="I45" s="19">
        <v>6330</v>
      </c>
      <c r="J45" s="19">
        <v>14666</v>
      </c>
      <c r="K45" s="19">
        <v>1254</v>
      </c>
      <c r="L45" s="19">
        <v>4092</v>
      </c>
      <c r="M45" s="19">
        <v>305</v>
      </c>
      <c r="N45" s="19">
        <v>1626</v>
      </c>
      <c r="O45" s="19">
        <v>1999</v>
      </c>
      <c r="P45" s="19">
        <v>913</v>
      </c>
      <c r="Q45" s="19">
        <v>1976</v>
      </c>
      <c r="R45" s="19">
        <v>45</v>
      </c>
      <c r="S45" s="19">
        <v>1344</v>
      </c>
      <c r="T45" s="19">
        <v>437</v>
      </c>
      <c r="U45" s="20">
        <f t="shared" si="0"/>
        <v>237393</v>
      </c>
    </row>
    <row r="46" spans="1:21" ht="14.25" customHeight="1" x14ac:dyDescent="0.25">
      <c r="A46" s="17" t="s">
        <v>52</v>
      </c>
      <c r="B46" s="18" t="s">
        <v>106</v>
      </c>
      <c r="C46" s="19">
        <v>78632</v>
      </c>
      <c r="D46" s="19">
        <v>144513</v>
      </c>
      <c r="E46" s="19">
        <v>24721</v>
      </c>
      <c r="F46" s="19">
        <v>2550</v>
      </c>
      <c r="G46" s="19">
        <v>3836</v>
      </c>
      <c r="H46" s="19">
        <v>134</v>
      </c>
      <c r="I46" s="19">
        <v>0</v>
      </c>
      <c r="J46" s="19">
        <v>2591</v>
      </c>
      <c r="K46" s="19">
        <v>3291</v>
      </c>
      <c r="L46" s="19">
        <v>4041</v>
      </c>
      <c r="M46" s="19">
        <v>368</v>
      </c>
      <c r="N46" s="19">
        <v>1275</v>
      </c>
      <c r="O46" s="19">
        <v>11351</v>
      </c>
      <c r="P46" s="19">
        <v>946</v>
      </c>
      <c r="Q46" s="19">
        <v>6144</v>
      </c>
      <c r="R46" s="19">
        <v>150</v>
      </c>
      <c r="S46" s="19">
        <v>1616</v>
      </c>
      <c r="T46" s="19">
        <v>1645</v>
      </c>
      <c r="U46" s="20">
        <f t="shared" si="0"/>
        <v>287804</v>
      </c>
    </row>
    <row r="47" spans="1:21" ht="14.25" customHeight="1" x14ac:dyDescent="0.25">
      <c r="A47" s="17" t="s">
        <v>53</v>
      </c>
      <c r="B47" s="18" t="s">
        <v>106</v>
      </c>
      <c r="C47" s="19">
        <v>4841</v>
      </c>
      <c r="D47" s="19">
        <v>52459</v>
      </c>
      <c r="E47" s="19">
        <v>2956</v>
      </c>
      <c r="F47" s="19">
        <v>15044</v>
      </c>
      <c r="G47" s="19">
        <v>1080</v>
      </c>
      <c r="H47" s="19">
        <v>74</v>
      </c>
      <c r="I47" s="19">
        <v>1186</v>
      </c>
      <c r="J47" s="19">
        <v>164</v>
      </c>
      <c r="K47" s="19">
        <v>400</v>
      </c>
      <c r="L47" s="19">
        <v>2001</v>
      </c>
      <c r="M47" s="19">
        <v>132</v>
      </c>
      <c r="N47" s="19">
        <v>1108</v>
      </c>
      <c r="O47" s="19">
        <v>2353</v>
      </c>
      <c r="P47" s="19">
        <v>282</v>
      </c>
      <c r="Q47" s="19">
        <v>7190</v>
      </c>
      <c r="R47" s="19">
        <v>15</v>
      </c>
      <c r="S47" s="19">
        <v>2138</v>
      </c>
      <c r="T47" s="19">
        <v>5408</v>
      </c>
      <c r="U47" s="20">
        <f t="shared" si="0"/>
        <v>98831</v>
      </c>
    </row>
    <row r="48" spans="1:21" ht="14.25" customHeight="1" x14ac:dyDescent="0.25">
      <c r="A48" s="17" t="s">
        <v>54</v>
      </c>
      <c r="B48" s="18" t="s">
        <v>106</v>
      </c>
      <c r="C48" s="19">
        <v>6004</v>
      </c>
      <c r="D48" s="19">
        <v>30474</v>
      </c>
      <c r="E48" s="19">
        <v>4601</v>
      </c>
      <c r="F48" s="19">
        <v>7006</v>
      </c>
      <c r="G48" s="19">
        <v>1744</v>
      </c>
      <c r="H48" s="19">
        <v>55</v>
      </c>
      <c r="I48" s="19">
        <v>35</v>
      </c>
      <c r="J48" s="19">
        <v>207</v>
      </c>
      <c r="K48" s="19">
        <v>569</v>
      </c>
      <c r="L48" s="19">
        <v>4969</v>
      </c>
      <c r="M48" s="19">
        <v>8</v>
      </c>
      <c r="N48" s="19">
        <v>320</v>
      </c>
      <c r="O48" s="19">
        <v>3</v>
      </c>
      <c r="P48" s="19">
        <v>416</v>
      </c>
      <c r="Q48" s="19">
        <v>28668</v>
      </c>
      <c r="R48" s="19">
        <v>2</v>
      </c>
      <c r="S48" s="19">
        <v>1449</v>
      </c>
      <c r="T48" s="19">
        <v>3040</v>
      </c>
      <c r="U48" s="20">
        <f t="shared" si="0"/>
        <v>89570</v>
      </c>
    </row>
    <row r="49" spans="1:21" ht="14.25" customHeight="1" x14ac:dyDescent="0.25">
      <c r="A49" s="17" t="s">
        <v>55</v>
      </c>
      <c r="B49" s="18" t="s">
        <v>106</v>
      </c>
      <c r="C49" s="19">
        <v>8220</v>
      </c>
      <c r="D49" s="19">
        <v>33411</v>
      </c>
      <c r="E49" s="19">
        <v>6389</v>
      </c>
      <c r="F49" s="19">
        <v>4107</v>
      </c>
      <c r="G49" s="19">
        <v>363</v>
      </c>
      <c r="H49" s="19">
        <v>31</v>
      </c>
      <c r="I49" s="19">
        <v>0</v>
      </c>
      <c r="J49" s="19">
        <v>180</v>
      </c>
      <c r="K49" s="19">
        <v>486</v>
      </c>
      <c r="L49" s="19">
        <v>911</v>
      </c>
      <c r="M49" s="19">
        <v>78</v>
      </c>
      <c r="N49" s="19">
        <v>125</v>
      </c>
      <c r="O49" s="19">
        <v>3381</v>
      </c>
      <c r="P49" s="19">
        <v>342</v>
      </c>
      <c r="Q49" s="19">
        <v>1016</v>
      </c>
      <c r="R49" s="19">
        <v>12</v>
      </c>
      <c r="S49" s="19">
        <v>833</v>
      </c>
      <c r="T49" s="19">
        <v>170</v>
      </c>
      <c r="U49" s="20">
        <f t="shared" si="0"/>
        <v>60055</v>
      </c>
    </row>
    <row r="50" spans="1:21" ht="14.25" customHeight="1" x14ac:dyDescent="0.25">
      <c r="A50" s="17" t="s">
        <v>56</v>
      </c>
      <c r="B50" s="18" t="s">
        <v>106</v>
      </c>
      <c r="C50" s="19">
        <v>10018</v>
      </c>
      <c r="D50" s="19">
        <v>73078</v>
      </c>
      <c r="E50" s="19">
        <v>3451</v>
      </c>
      <c r="F50" s="19">
        <v>13587</v>
      </c>
      <c r="G50" s="19">
        <v>777</v>
      </c>
      <c r="H50" s="19">
        <v>198</v>
      </c>
      <c r="I50" s="19">
        <v>10</v>
      </c>
      <c r="J50" s="19">
        <v>723</v>
      </c>
      <c r="K50" s="19">
        <v>1176</v>
      </c>
      <c r="L50" s="19">
        <v>3507</v>
      </c>
      <c r="M50" s="19">
        <v>16</v>
      </c>
      <c r="N50" s="19">
        <v>687</v>
      </c>
      <c r="O50" s="19">
        <v>3054</v>
      </c>
      <c r="P50" s="19">
        <v>574</v>
      </c>
      <c r="Q50" s="19">
        <v>1588</v>
      </c>
      <c r="R50" s="19">
        <v>0</v>
      </c>
      <c r="S50" s="19">
        <v>1625</v>
      </c>
      <c r="T50" s="19">
        <v>600</v>
      </c>
      <c r="U50" s="20">
        <f t="shared" si="0"/>
        <v>114669</v>
      </c>
    </row>
    <row r="51" spans="1:21" ht="14.25" customHeight="1" x14ac:dyDescent="0.25">
      <c r="A51" s="17" t="s">
        <v>57</v>
      </c>
      <c r="B51" s="18" t="s">
        <v>106</v>
      </c>
      <c r="C51" s="19">
        <v>11844</v>
      </c>
      <c r="D51" s="19">
        <v>8007</v>
      </c>
      <c r="E51" s="19">
        <v>6021</v>
      </c>
      <c r="F51" s="19">
        <v>240</v>
      </c>
      <c r="G51" s="19">
        <v>339</v>
      </c>
      <c r="H51" s="19">
        <v>10</v>
      </c>
      <c r="I51" s="19">
        <v>0</v>
      </c>
      <c r="J51" s="19">
        <v>235</v>
      </c>
      <c r="K51" s="19">
        <v>186</v>
      </c>
      <c r="L51" s="19">
        <v>771</v>
      </c>
      <c r="M51" s="19">
        <v>61</v>
      </c>
      <c r="N51" s="19">
        <v>147</v>
      </c>
      <c r="O51" s="19">
        <v>2561</v>
      </c>
      <c r="P51" s="19">
        <v>141</v>
      </c>
      <c r="Q51" s="19">
        <v>769</v>
      </c>
      <c r="R51" s="19">
        <v>30</v>
      </c>
      <c r="S51" s="19">
        <v>129</v>
      </c>
      <c r="T51" s="19">
        <v>194</v>
      </c>
      <c r="U51" s="20">
        <f t="shared" si="0"/>
        <v>31685</v>
      </c>
    </row>
    <row r="52" spans="1:21" ht="14.25" customHeight="1" x14ac:dyDescent="0.25">
      <c r="A52" s="17" t="s">
        <v>58</v>
      </c>
      <c r="B52" s="18" t="s">
        <v>106</v>
      </c>
      <c r="C52" s="19">
        <v>21130</v>
      </c>
      <c r="D52" s="19">
        <v>352007</v>
      </c>
      <c r="E52" s="19">
        <v>6257</v>
      </c>
      <c r="F52" s="19">
        <v>50523</v>
      </c>
      <c r="G52" s="19">
        <v>3993</v>
      </c>
      <c r="H52" s="19">
        <v>2984</v>
      </c>
      <c r="I52" s="19">
        <v>0</v>
      </c>
      <c r="J52" s="19">
        <v>16015</v>
      </c>
      <c r="K52" s="19">
        <v>3375</v>
      </c>
      <c r="L52" s="19">
        <v>18141</v>
      </c>
      <c r="M52" s="19">
        <v>760</v>
      </c>
      <c r="N52" s="19">
        <v>4752</v>
      </c>
      <c r="O52" s="19">
        <v>1263</v>
      </c>
      <c r="P52" s="19">
        <v>1404</v>
      </c>
      <c r="Q52" s="19">
        <v>9955</v>
      </c>
      <c r="R52" s="19">
        <v>15</v>
      </c>
      <c r="S52" s="19">
        <v>1919</v>
      </c>
      <c r="T52" s="19">
        <v>1561</v>
      </c>
      <c r="U52" s="20">
        <f t="shared" si="0"/>
        <v>496054</v>
      </c>
    </row>
    <row r="53" spans="1:21" ht="14.25" customHeight="1" x14ac:dyDescent="0.25">
      <c r="A53" s="17" t="s">
        <v>59</v>
      </c>
      <c r="B53" s="18" t="s">
        <v>106</v>
      </c>
      <c r="C53" s="19">
        <v>27471</v>
      </c>
      <c r="D53" s="19">
        <v>142263</v>
      </c>
      <c r="E53" s="19">
        <v>5465</v>
      </c>
      <c r="F53" s="19">
        <v>13631</v>
      </c>
      <c r="G53" s="19">
        <v>1076</v>
      </c>
      <c r="H53" s="19">
        <v>981</v>
      </c>
      <c r="I53" s="19">
        <v>0</v>
      </c>
      <c r="J53" s="19">
        <v>9957</v>
      </c>
      <c r="K53" s="19">
        <v>1830</v>
      </c>
      <c r="L53" s="19">
        <v>4864</v>
      </c>
      <c r="M53" s="19">
        <v>232</v>
      </c>
      <c r="N53" s="19">
        <v>491</v>
      </c>
      <c r="O53" s="19">
        <v>2344</v>
      </c>
      <c r="P53" s="19">
        <v>497</v>
      </c>
      <c r="Q53" s="19">
        <v>2635</v>
      </c>
      <c r="R53" s="19">
        <v>5</v>
      </c>
      <c r="S53" s="19">
        <v>1187</v>
      </c>
      <c r="T53" s="19">
        <v>241</v>
      </c>
      <c r="U53" s="20">
        <f t="shared" si="0"/>
        <v>215170</v>
      </c>
    </row>
    <row r="54" spans="1:21" ht="14.25" customHeight="1" x14ac:dyDescent="0.25">
      <c r="A54" s="17" t="s">
        <v>60</v>
      </c>
      <c r="B54" s="18" t="s">
        <v>106</v>
      </c>
      <c r="C54" s="19">
        <v>15130</v>
      </c>
      <c r="D54" s="19">
        <v>390263</v>
      </c>
      <c r="E54" s="19">
        <v>3674</v>
      </c>
      <c r="F54" s="19">
        <v>186723</v>
      </c>
      <c r="G54" s="19">
        <v>10241</v>
      </c>
      <c r="H54" s="19">
        <v>854</v>
      </c>
      <c r="I54" s="19">
        <v>4842</v>
      </c>
      <c r="J54" s="19">
        <v>10813</v>
      </c>
      <c r="K54" s="19">
        <v>2014</v>
      </c>
      <c r="L54" s="19">
        <v>13356</v>
      </c>
      <c r="M54" s="19">
        <v>305</v>
      </c>
      <c r="N54" s="19">
        <v>5486</v>
      </c>
      <c r="O54" s="19">
        <v>5085</v>
      </c>
      <c r="P54" s="19">
        <v>1695</v>
      </c>
      <c r="Q54" s="19">
        <v>8573</v>
      </c>
      <c r="R54" s="19">
        <v>193</v>
      </c>
      <c r="S54" s="19">
        <v>2578</v>
      </c>
      <c r="T54" s="19">
        <v>59</v>
      </c>
      <c r="U54" s="20">
        <f t="shared" si="0"/>
        <v>661884</v>
      </c>
    </row>
    <row r="55" spans="1:21" ht="14.25" customHeight="1" x14ac:dyDescent="0.25">
      <c r="A55" s="17" t="s">
        <v>61</v>
      </c>
      <c r="B55" s="18" t="s">
        <v>106</v>
      </c>
      <c r="C55" s="19">
        <v>32279</v>
      </c>
      <c r="D55" s="19">
        <v>206974</v>
      </c>
      <c r="E55" s="19">
        <v>29346</v>
      </c>
      <c r="F55" s="19">
        <v>11888</v>
      </c>
      <c r="G55" s="19">
        <v>3191</v>
      </c>
      <c r="H55" s="19">
        <v>262</v>
      </c>
      <c r="I55" s="19">
        <v>0</v>
      </c>
      <c r="J55" s="19">
        <v>6564</v>
      </c>
      <c r="K55" s="19">
        <v>2669</v>
      </c>
      <c r="L55" s="19">
        <v>6132</v>
      </c>
      <c r="M55" s="19">
        <v>284</v>
      </c>
      <c r="N55" s="19">
        <v>1131</v>
      </c>
      <c r="O55" s="19">
        <v>3941</v>
      </c>
      <c r="P55" s="19">
        <v>836</v>
      </c>
      <c r="Q55" s="19">
        <v>12008</v>
      </c>
      <c r="R55" s="19">
        <v>9</v>
      </c>
      <c r="S55" s="19">
        <v>19476</v>
      </c>
      <c r="T55" s="19">
        <v>1547</v>
      </c>
      <c r="U55" s="20">
        <f t="shared" si="0"/>
        <v>338537</v>
      </c>
    </row>
    <row r="56" spans="1:21" ht="14.25" customHeight="1" x14ac:dyDescent="0.25">
      <c r="A56" s="17" t="s">
        <v>62</v>
      </c>
      <c r="B56" s="18" t="s">
        <v>106</v>
      </c>
      <c r="C56" s="19">
        <v>9848</v>
      </c>
      <c r="D56" s="19">
        <v>255710</v>
      </c>
      <c r="E56" s="19">
        <v>16973</v>
      </c>
      <c r="F56" s="19">
        <v>104508</v>
      </c>
      <c r="G56" s="19">
        <v>12792</v>
      </c>
      <c r="H56" s="19">
        <v>893</v>
      </c>
      <c r="I56" s="19">
        <v>1589</v>
      </c>
      <c r="J56" s="19">
        <v>6469</v>
      </c>
      <c r="K56" s="19">
        <v>3722</v>
      </c>
      <c r="L56" s="19">
        <v>13559</v>
      </c>
      <c r="M56" s="19">
        <v>735</v>
      </c>
      <c r="N56" s="19">
        <v>4037</v>
      </c>
      <c r="O56" s="19">
        <v>89</v>
      </c>
      <c r="P56" s="19">
        <v>1720</v>
      </c>
      <c r="Q56" s="19">
        <v>1077</v>
      </c>
      <c r="R56" s="19">
        <v>149</v>
      </c>
      <c r="S56" s="19">
        <v>3534</v>
      </c>
      <c r="T56" s="19">
        <v>151</v>
      </c>
      <c r="U56" s="20">
        <f t="shared" si="0"/>
        <v>437555</v>
      </c>
    </row>
    <row r="57" spans="1:21" ht="14.25" customHeight="1" x14ac:dyDescent="0.25">
      <c r="A57" s="17" t="s">
        <v>63</v>
      </c>
      <c r="B57" s="18" t="s">
        <v>106</v>
      </c>
      <c r="C57" s="19">
        <v>49451</v>
      </c>
      <c r="D57" s="19">
        <v>238462</v>
      </c>
      <c r="E57" s="19">
        <v>31895</v>
      </c>
      <c r="F57" s="19">
        <v>8564</v>
      </c>
      <c r="G57" s="19">
        <v>6732</v>
      </c>
      <c r="H57" s="19">
        <v>341</v>
      </c>
      <c r="I57" s="19">
        <v>31</v>
      </c>
      <c r="J57" s="19">
        <v>6253</v>
      </c>
      <c r="K57" s="19">
        <v>4866</v>
      </c>
      <c r="L57" s="19">
        <v>7678</v>
      </c>
      <c r="M57" s="19">
        <v>1335</v>
      </c>
      <c r="N57" s="19">
        <v>2176</v>
      </c>
      <c r="O57" s="19">
        <v>11645</v>
      </c>
      <c r="P57" s="19">
        <v>3324</v>
      </c>
      <c r="Q57" s="19">
        <v>8050</v>
      </c>
      <c r="R57" s="19">
        <v>0</v>
      </c>
      <c r="S57" s="19">
        <v>2373</v>
      </c>
      <c r="T57" s="19">
        <v>53768</v>
      </c>
      <c r="U57" s="20">
        <f t="shared" si="0"/>
        <v>436944</v>
      </c>
    </row>
    <row r="58" spans="1:21" ht="14.25" customHeight="1" x14ac:dyDescent="0.25">
      <c r="A58" s="17" t="s">
        <v>64</v>
      </c>
      <c r="B58" s="18" t="s">
        <v>106</v>
      </c>
      <c r="C58" s="19">
        <v>51585</v>
      </c>
      <c r="D58" s="19">
        <v>17807</v>
      </c>
      <c r="E58" s="19">
        <v>15865</v>
      </c>
      <c r="F58" s="19">
        <v>198</v>
      </c>
      <c r="G58" s="19">
        <v>151</v>
      </c>
      <c r="H58" s="19">
        <v>30</v>
      </c>
      <c r="I58" s="19">
        <v>0</v>
      </c>
      <c r="J58" s="19">
        <v>3449</v>
      </c>
      <c r="K58" s="19">
        <v>492</v>
      </c>
      <c r="L58" s="19">
        <v>1105</v>
      </c>
      <c r="M58" s="19">
        <v>59</v>
      </c>
      <c r="N58" s="19">
        <v>159</v>
      </c>
      <c r="O58" s="19">
        <v>3066</v>
      </c>
      <c r="P58" s="19">
        <v>593</v>
      </c>
      <c r="Q58" s="19">
        <v>1103</v>
      </c>
      <c r="R58" s="19">
        <v>3</v>
      </c>
      <c r="S58" s="19">
        <v>1106</v>
      </c>
      <c r="T58" s="19">
        <v>1515</v>
      </c>
      <c r="U58" s="20">
        <f t="shared" si="0"/>
        <v>98286</v>
      </c>
    </row>
    <row r="59" spans="1:21" ht="14.25" customHeight="1" x14ac:dyDescent="0.25">
      <c r="A59" s="17" t="s">
        <v>65</v>
      </c>
      <c r="B59" s="18" t="s">
        <v>106</v>
      </c>
      <c r="C59" s="19">
        <v>14461</v>
      </c>
      <c r="D59" s="19">
        <v>115839</v>
      </c>
      <c r="E59" s="19">
        <v>5545</v>
      </c>
      <c r="F59" s="19">
        <v>14644</v>
      </c>
      <c r="G59" s="19">
        <v>1669</v>
      </c>
      <c r="H59" s="19">
        <v>66</v>
      </c>
      <c r="I59" s="19">
        <v>0</v>
      </c>
      <c r="J59" s="19">
        <v>4991</v>
      </c>
      <c r="K59" s="19">
        <v>1304</v>
      </c>
      <c r="L59" s="19">
        <v>3377</v>
      </c>
      <c r="M59" s="19">
        <v>14</v>
      </c>
      <c r="N59" s="19">
        <v>694</v>
      </c>
      <c r="O59" s="19">
        <v>1630</v>
      </c>
      <c r="P59" s="19">
        <v>472</v>
      </c>
      <c r="Q59" s="19">
        <v>1707</v>
      </c>
      <c r="R59" s="19">
        <v>18</v>
      </c>
      <c r="S59" s="19">
        <v>3427</v>
      </c>
      <c r="T59" s="19">
        <v>197</v>
      </c>
      <c r="U59" s="20">
        <f t="shared" si="0"/>
        <v>170055</v>
      </c>
    </row>
    <row r="60" spans="1:21" ht="14.25" customHeight="1" x14ac:dyDescent="0.25">
      <c r="A60" s="17" t="s">
        <v>66</v>
      </c>
      <c r="B60" s="18" t="s">
        <v>106</v>
      </c>
      <c r="C60" s="19">
        <v>20334</v>
      </c>
      <c r="D60" s="19">
        <v>131882</v>
      </c>
      <c r="E60" s="19">
        <v>4564</v>
      </c>
      <c r="F60" s="19">
        <v>14669</v>
      </c>
      <c r="G60" s="19">
        <v>1527</v>
      </c>
      <c r="H60" s="19">
        <v>91</v>
      </c>
      <c r="I60" s="19">
        <v>1</v>
      </c>
      <c r="J60" s="19">
        <v>3833</v>
      </c>
      <c r="K60" s="19">
        <v>1393</v>
      </c>
      <c r="L60" s="19">
        <v>2658</v>
      </c>
      <c r="M60" s="19">
        <v>404</v>
      </c>
      <c r="N60" s="19">
        <v>1326</v>
      </c>
      <c r="O60" s="19">
        <v>2593</v>
      </c>
      <c r="P60" s="19">
        <v>546</v>
      </c>
      <c r="Q60" s="19">
        <v>3982</v>
      </c>
      <c r="R60" s="19">
        <v>18</v>
      </c>
      <c r="S60" s="19">
        <v>2913</v>
      </c>
      <c r="T60" s="19">
        <v>1027</v>
      </c>
      <c r="U60" s="20">
        <f t="shared" si="0"/>
        <v>193761</v>
      </c>
    </row>
    <row r="61" spans="1:21" ht="14.25" customHeight="1" x14ac:dyDescent="0.25">
      <c r="A61" s="17" t="s">
        <v>67</v>
      </c>
      <c r="B61" s="18" t="s">
        <v>106</v>
      </c>
      <c r="C61" s="19">
        <v>18940</v>
      </c>
      <c r="D61" s="19">
        <v>70519</v>
      </c>
      <c r="E61" s="19">
        <v>6730</v>
      </c>
      <c r="F61" s="19">
        <v>1742</v>
      </c>
      <c r="G61" s="19">
        <v>669</v>
      </c>
      <c r="H61" s="19">
        <v>66</v>
      </c>
      <c r="I61" s="19">
        <v>0</v>
      </c>
      <c r="J61" s="19">
        <v>15</v>
      </c>
      <c r="K61" s="19">
        <v>1418</v>
      </c>
      <c r="L61" s="19">
        <v>1847</v>
      </c>
      <c r="M61" s="19">
        <v>156</v>
      </c>
      <c r="N61" s="19">
        <v>531</v>
      </c>
      <c r="O61" s="19">
        <v>5379</v>
      </c>
      <c r="P61" s="19">
        <v>484</v>
      </c>
      <c r="Q61" s="19">
        <v>1955</v>
      </c>
      <c r="R61" s="19">
        <v>0</v>
      </c>
      <c r="S61" s="19">
        <v>12461</v>
      </c>
      <c r="T61" s="19">
        <v>300</v>
      </c>
      <c r="U61" s="20">
        <f t="shared" si="0"/>
        <v>123212</v>
      </c>
    </row>
    <row r="62" spans="1:21" ht="14.25" customHeight="1" x14ac:dyDescent="0.25">
      <c r="A62" s="17" t="s">
        <v>68</v>
      </c>
      <c r="B62" s="18" t="s">
        <v>106</v>
      </c>
      <c r="C62" s="19">
        <v>47944</v>
      </c>
      <c r="D62" s="19">
        <v>169825</v>
      </c>
      <c r="E62" s="19">
        <v>11609</v>
      </c>
      <c r="F62" s="19">
        <v>53935</v>
      </c>
      <c r="G62" s="19">
        <v>4971</v>
      </c>
      <c r="H62" s="19">
        <v>216</v>
      </c>
      <c r="I62" s="19">
        <v>333</v>
      </c>
      <c r="J62" s="19">
        <v>3472</v>
      </c>
      <c r="K62" s="19">
        <v>1021</v>
      </c>
      <c r="L62" s="19">
        <v>7576</v>
      </c>
      <c r="M62" s="19">
        <v>255</v>
      </c>
      <c r="N62" s="19">
        <v>2464</v>
      </c>
      <c r="O62" s="19">
        <v>627</v>
      </c>
      <c r="P62" s="19">
        <v>751</v>
      </c>
      <c r="Q62" s="19">
        <v>857</v>
      </c>
      <c r="R62" s="19">
        <v>12</v>
      </c>
      <c r="S62" s="19">
        <v>2072</v>
      </c>
      <c r="T62" s="19">
        <v>236</v>
      </c>
      <c r="U62" s="20">
        <f t="shared" si="0"/>
        <v>308176</v>
      </c>
    </row>
    <row r="63" spans="1:21" ht="14.25" customHeight="1" x14ac:dyDescent="0.25">
      <c r="A63" s="17" t="s">
        <v>69</v>
      </c>
      <c r="B63" s="18" t="s">
        <v>106</v>
      </c>
      <c r="C63" s="19">
        <v>6183</v>
      </c>
      <c r="D63" s="19">
        <v>136281</v>
      </c>
      <c r="E63" s="19">
        <v>1699</v>
      </c>
      <c r="F63" s="19">
        <v>15108</v>
      </c>
      <c r="G63" s="19">
        <v>1166</v>
      </c>
      <c r="H63" s="19">
        <v>225</v>
      </c>
      <c r="I63" s="19"/>
      <c r="J63" s="19">
        <v>6147</v>
      </c>
      <c r="K63" s="19">
        <v>1156</v>
      </c>
      <c r="L63" s="19">
        <v>4395</v>
      </c>
      <c r="M63" s="19">
        <v>283</v>
      </c>
      <c r="N63" s="19">
        <v>1528</v>
      </c>
      <c r="O63" s="19">
        <v>796</v>
      </c>
      <c r="P63" s="19">
        <v>776</v>
      </c>
      <c r="Q63" s="19">
        <v>3314</v>
      </c>
      <c r="R63" s="19"/>
      <c r="S63" s="19">
        <v>1643</v>
      </c>
      <c r="T63" s="19">
        <v>425</v>
      </c>
      <c r="U63" s="20">
        <f t="shared" si="0"/>
        <v>181125</v>
      </c>
    </row>
    <row r="64" spans="1:21" ht="14.25" customHeight="1" x14ac:dyDescent="0.25">
      <c r="A64" s="17" t="s">
        <v>70</v>
      </c>
      <c r="B64" s="18" t="s">
        <v>106</v>
      </c>
      <c r="C64" s="19">
        <v>10584</v>
      </c>
      <c r="D64" s="19">
        <v>77701</v>
      </c>
      <c r="E64" s="19">
        <v>6458</v>
      </c>
      <c r="F64" s="19">
        <v>509</v>
      </c>
      <c r="G64" s="19">
        <v>120</v>
      </c>
      <c r="H64" s="19">
        <v>37</v>
      </c>
      <c r="I64" s="19">
        <v>0</v>
      </c>
      <c r="J64" s="19">
        <v>205</v>
      </c>
      <c r="K64" s="19">
        <v>429</v>
      </c>
      <c r="L64" s="19">
        <v>1436</v>
      </c>
      <c r="M64" s="19">
        <v>32</v>
      </c>
      <c r="N64" s="19">
        <v>216</v>
      </c>
      <c r="O64" s="19">
        <v>5183</v>
      </c>
      <c r="P64" s="19">
        <v>399</v>
      </c>
      <c r="Q64" s="19">
        <v>1690</v>
      </c>
      <c r="R64" s="19">
        <v>0</v>
      </c>
      <c r="S64" s="19">
        <v>404</v>
      </c>
      <c r="T64" s="19">
        <v>480</v>
      </c>
      <c r="U64" s="20">
        <f t="shared" si="0"/>
        <v>105883</v>
      </c>
    </row>
    <row r="65" spans="1:21" ht="14.25" customHeight="1" x14ac:dyDescent="0.25">
      <c r="A65" s="17" t="s">
        <v>71</v>
      </c>
      <c r="B65" s="18" t="s">
        <v>106</v>
      </c>
      <c r="C65" s="19">
        <v>9467</v>
      </c>
      <c r="D65" s="19">
        <v>6565</v>
      </c>
      <c r="E65" s="19">
        <v>7204</v>
      </c>
      <c r="F65" s="19">
        <v>0</v>
      </c>
      <c r="G65" s="19">
        <v>62</v>
      </c>
      <c r="H65" s="19">
        <v>6</v>
      </c>
      <c r="I65" s="19">
        <v>0</v>
      </c>
      <c r="J65" s="19">
        <v>3</v>
      </c>
      <c r="K65" s="19">
        <v>285</v>
      </c>
      <c r="L65" s="19">
        <v>553</v>
      </c>
      <c r="M65" s="19">
        <v>2</v>
      </c>
      <c r="N65" s="19">
        <v>80</v>
      </c>
      <c r="O65" s="19">
        <v>6776</v>
      </c>
      <c r="P65" s="19">
        <v>371</v>
      </c>
      <c r="Q65" s="19">
        <v>576</v>
      </c>
      <c r="R65" s="19">
        <v>0</v>
      </c>
      <c r="S65" s="19">
        <v>6797</v>
      </c>
      <c r="T65" s="19">
        <v>376</v>
      </c>
      <c r="U65" s="20">
        <f t="shared" si="0"/>
        <v>39123</v>
      </c>
    </row>
    <row r="66" spans="1:21" ht="14.25" customHeight="1" x14ac:dyDescent="0.25">
      <c r="A66" s="17" t="s">
        <v>72</v>
      </c>
      <c r="B66" s="18" t="s">
        <v>106</v>
      </c>
      <c r="C66" s="19">
        <v>5446</v>
      </c>
      <c r="D66" s="19">
        <v>5290</v>
      </c>
      <c r="E66" s="19">
        <v>3204</v>
      </c>
      <c r="F66" s="19">
        <v>76</v>
      </c>
      <c r="G66" s="19">
        <v>24</v>
      </c>
      <c r="H66" s="19">
        <v>12</v>
      </c>
      <c r="I66" s="19">
        <v>0</v>
      </c>
      <c r="J66" s="19">
        <v>0</v>
      </c>
      <c r="K66" s="19">
        <v>53</v>
      </c>
      <c r="L66" s="19">
        <v>385</v>
      </c>
      <c r="M66" s="19">
        <v>0</v>
      </c>
      <c r="N66" s="19">
        <v>61</v>
      </c>
      <c r="O66" s="19">
        <v>2761</v>
      </c>
      <c r="P66" s="19">
        <v>195</v>
      </c>
      <c r="Q66" s="19">
        <v>919</v>
      </c>
      <c r="R66" s="19">
        <v>4</v>
      </c>
      <c r="S66" s="19">
        <v>1063</v>
      </c>
      <c r="T66" s="19">
        <v>301</v>
      </c>
      <c r="U66" s="20">
        <f t="shared" si="0"/>
        <v>19794</v>
      </c>
    </row>
    <row r="67" spans="1:21" ht="14.25" customHeight="1" x14ac:dyDescent="0.25">
      <c r="A67" s="17" t="s">
        <v>73</v>
      </c>
      <c r="B67" s="18" t="s">
        <v>106</v>
      </c>
      <c r="C67" s="19">
        <v>681</v>
      </c>
      <c r="D67" s="19">
        <v>1499</v>
      </c>
      <c r="E67" s="19">
        <v>1308</v>
      </c>
      <c r="F67" s="19">
        <v>18</v>
      </c>
      <c r="G67" s="19">
        <v>1</v>
      </c>
      <c r="H67" s="19">
        <v>15</v>
      </c>
      <c r="I67" s="19">
        <v>0</v>
      </c>
      <c r="J67" s="19">
        <v>70</v>
      </c>
      <c r="K67" s="19">
        <v>37</v>
      </c>
      <c r="L67" s="19">
        <v>115</v>
      </c>
      <c r="M67" s="19">
        <v>2</v>
      </c>
      <c r="N67" s="19">
        <v>18</v>
      </c>
      <c r="O67" s="19">
        <v>3052</v>
      </c>
      <c r="P67" s="19">
        <v>110</v>
      </c>
      <c r="Q67" s="19">
        <v>125</v>
      </c>
      <c r="R67" s="19">
        <v>1</v>
      </c>
      <c r="S67" s="19">
        <v>88</v>
      </c>
      <c r="T67" s="19">
        <v>0</v>
      </c>
      <c r="U67" s="20">
        <f t="shared" si="0"/>
        <v>7140</v>
      </c>
    </row>
    <row r="68" spans="1:21" ht="14.25" customHeight="1" x14ac:dyDescent="0.25">
      <c r="A68" s="17" t="s">
        <v>74</v>
      </c>
      <c r="B68" s="18" t="s">
        <v>106</v>
      </c>
      <c r="C68" s="19">
        <v>36743</v>
      </c>
      <c r="D68" s="19">
        <v>196440</v>
      </c>
      <c r="E68" s="19">
        <v>7409</v>
      </c>
      <c r="F68" s="19">
        <v>28494</v>
      </c>
      <c r="G68" s="19">
        <v>2720</v>
      </c>
      <c r="H68" s="19">
        <v>333</v>
      </c>
      <c r="I68" s="19">
        <v>409</v>
      </c>
      <c r="J68" s="19">
        <v>4295</v>
      </c>
      <c r="K68" s="19">
        <v>4315</v>
      </c>
      <c r="L68" s="19">
        <v>8265</v>
      </c>
      <c r="M68" s="19">
        <v>655</v>
      </c>
      <c r="N68" s="19">
        <v>2251</v>
      </c>
      <c r="O68" s="19">
        <v>7854</v>
      </c>
      <c r="P68" s="19">
        <v>1391</v>
      </c>
      <c r="Q68" s="19">
        <v>8857</v>
      </c>
      <c r="R68" s="19">
        <v>155</v>
      </c>
      <c r="S68" s="19">
        <v>2520</v>
      </c>
      <c r="T68" s="19">
        <v>476</v>
      </c>
      <c r="U68" s="20">
        <f t="shared" si="0"/>
        <v>313582</v>
      </c>
    </row>
    <row r="69" spans="1:21" ht="14.25" customHeight="1" x14ac:dyDescent="0.25">
      <c r="A69" s="17" t="s">
        <v>75</v>
      </c>
      <c r="B69" s="18" t="s">
        <v>106</v>
      </c>
      <c r="C69" s="19">
        <v>7094</v>
      </c>
      <c r="D69" s="19">
        <v>10673</v>
      </c>
      <c r="E69" s="19">
        <v>3425</v>
      </c>
      <c r="F69" s="19">
        <v>463</v>
      </c>
      <c r="G69" s="19">
        <v>30</v>
      </c>
      <c r="H69" s="19">
        <v>5</v>
      </c>
      <c r="I69" s="19">
        <v>0</v>
      </c>
      <c r="J69" s="19">
        <v>112</v>
      </c>
      <c r="K69" s="19">
        <v>273</v>
      </c>
      <c r="L69" s="19">
        <v>391</v>
      </c>
      <c r="M69" s="19">
        <v>31</v>
      </c>
      <c r="N69" s="19">
        <v>89</v>
      </c>
      <c r="O69" s="19">
        <v>2435</v>
      </c>
      <c r="P69" s="19">
        <v>167</v>
      </c>
      <c r="Q69" s="19">
        <v>1086</v>
      </c>
      <c r="R69" s="19"/>
      <c r="S69" s="19">
        <v>431</v>
      </c>
      <c r="T69" s="19">
        <v>428</v>
      </c>
      <c r="U69" s="20">
        <f t="shared" si="0"/>
        <v>27133</v>
      </c>
    </row>
    <row r="70" spans="1:21" ht="14.25" customHeight="1" x14ac:dyDescent="0.25">
      <c r="A70" s="17" t="s">
        <v>76</v>
      </c>
      <c r="B70" s="18" t="s">
        <v>106</v>
      </c>
      <c r="C70" s="19">
        <v>20438</v>
      </c>
      <c r="D70" s="19">
        <v>41423</v>
      </c>
      <c r="E70" s="19">
        <v>5694</v>
      </c>
      <c r="F70" s="19">
        <v>10918</v>
      </c>
      <c r="G70" s="19">
        <v>629</v>
      </c>
      <c r="H70" s="19">
        <v>47</v>
      </c>
      <c r="I70" s="19">
        <v>0</v>
      </c>
      <c r="J70" s="19">
        <v>1544</v>
      </c>
      <c r="K70" s="19">
        <v>311</v>
      </c>
      <c r="L70" s="19">
        <v>2054</v>
      </c>
      <c r="M70" s="19">
        <v>8</v>
      </c>
      <c r="N70" s="19">
        <v>381</v>
      </c>
      <c r="O70" s="19">
        <v>4582</v>
      </c>
      <c r="P70" s="19">
        <v>422</v>
      </c>
      <c r="Q70" s="19">
        <v>1001</v>
      </c>
      <c r="R70" s="19">
        <v>0</v>
      </c>
      <c r="S70" s="19">
        <v>4561</v>
      </c>
      <c r="T70" s="19">
        <v>980</v>
      </c>
      <c r="U70" s="20">
        <f t="shared" ref="U70:U71" si="1">SUM(C70:T70)</f>
        <v>94993</v>
      </c>
    </row>
    <row r="71" spans="1:21" ht="14.25" customHeight="1" x14ac:dyDescent="0.25">
      <c r="A71" s="17" t="s">
        <v>77</v>
      </c>
      <c r="B71" s="18" t="s">
        <v>106</v>
      </c>
      <c r="C71" s="19">
        <v>27872</v>
      </c>
      <c r="D71" s="19">
        <v>5653</v>
      </c>
      <c r="E71" s="19">
        <v>2792</v>
      </c>
      <c r="F71" s="19">
        <v>0</v>
      </c>
      <c r="G71" s="19">
        <v>25</v>
      </c>
      <c r="H71" s="19">
        <v>0</v>
      </c>
      <c r="I71" s="19">
        <v>0</v>
      </c>
      <c r="J71" s="19">
        <v>32</v>
      </c>
      <c r="K71" s="19">
        <v>609</v>
      </c>
      <c r="L71" s="19">
        <v>356</v>
      </c>
      <c r="M71" s="19">
        <v>3</v>
      </c>
      <c r="N71" s="19">
        <v>51</v>
      </c>
      <c r="O71" s="19">
        <v>4808</v>
      </c>
      <c r="P71" s="19">
        <v>231</v>
      </c>
      <c r="Q71" s="19">
        <v>758</v>
      </c>
      <c r="R71" s="19">
        <v>0</v>
      </c>
      <c r="S71" s="19">
        <v>2815</v>
      </c>
      <c r="T71" s="19">
        <v>558</v>
      </c>
      <c r="U71" s="20">
        <f t="shared" si="1"/>
        <v>46563</v>
      </c>
    </row>
    <row r="72" spans="1:21" ht="14.25" customHeight="1" x14ac:dyDescent="0.25">
      <c r="A72" s="17"/>
      <c r="B72" s="18"/>
      <c r="C72" s="19"/>
      <c r="D72" s="19"/>
      <c r="E72" s="19"/>
      <c r="F72" s="19"/>
      <c r="G72" s="19"/>
      <c r="H72" s="19"/>
      <c r="I72" s="19"/>
      <c r="J72" s="19"/>
      <c r="K72" s="19"/>
      <c r="L72" s="19"/>
      <c r="M72" s="19"/>
      <c r="N72" s="19"/>
      <c r="O72" s="19"/>
      <c r="P72" s="19"/>
      <c r="Q72" s="19"/>
      <c r="R72" s="19"/>
      <c r="S72" s="19"/>
      <c r="T72" s="19"/>
      <c r="U72" s="20"/>
    </row>
    <row r="73" spans="1:21" ht="14.25" customHeight="1" thickBot="1" x14ac:dyDescent="0.3">
      <c r="A73" s="21" t="s">
        <v>11</v>
      </c>
      <c r="B73" s="22"/>
      <c r="C73" s="23">
        <f t="shared" ref="C73:T73" si="2">SUM(C5:C72)</f>
        <v>1276040</v>
      </c>
      <c r="D73" s="23">
        <f t="shared" si="2"/>
        <v>6164863</v>
      </c>
      <c r="E73" s="23">
        <f t="shared" si="2"/>
        <v>441312</v>
      </c>
      <c r="F73" s="23">
        <f t="shared" si="2"/>
        <v>1620744</v>
      </c>
      <c r="G73" s="23">
        <f t="shared" si="2"/>
        <v>159880</v>
      </c>
      <c r="H73" s="23">
        <f t="shared" si="2"/>
        <v>18117</v>
      </c>
      <c r="I73" s="23">
        <f t="shared" si="2"/>
        <v>47744</v>
      </c>
      <c r="J73" s="23">
        <f t="shared" si="2"/>
        <v>179972</v>
      </c>
      <c r="K73" s="23">
        <f t="shared" si="2"/>
        <v>86041</v>
      </c>
      <c r="L73" s="23">
        <f t="shared" si="2"/>
        <v>258469</v>
      </c>
      <c r="M73" s="23">
        <f t="shared" si="2"/>
        <v>13976</v>
      </c>
      <c r="N73" s="23">
        <f t="shared" si="2"/>
        <v>83605</v>
      </c>
      <c r="O73" s="23">
        <f t="shared" si="2"/>
        <v>236125</v>
      </c>
      <c r="P73" s="23">
        <f t="shared" si="2"/>
        <v>47518</v>
      </c>
      <c r="Q73" s="23">
        <f t="shared" si="2"/>
        <v>254380</v>
      </c>
      <c r="R73" s="23">
        <f t="shared" si="2"/>
        <v>1978</v>
      </c>
      <c r="S73" s="23">
        <f t="shared" si="2"/>
        <v>159526</v>
      </c>
      <c r="T73" s="23">
        <f t="shared" si="2"/>
        <v>100463</v>
      </c>
      <c r="U73" s="25">
        <f>SUM(C73:T73)</f>
        <v>11150753</v>
      </c>
    </row>
    <row r="75" spans="1:21" x14ac:dyDescent="0.25">
      <c r="A75" s="3" t="s">
        <v>110</v>
      </c>
    </row>
  </sheetData>
  <phoneticPr fontId="0" type="noConversion"/>
  <conditionalFormatting sqref="A4:U73">
    <cfRule type="expression" dxfId="2" priority="1" stopIfTrue="1">
      <formula>MOD(ROW(),3)=1</formula>
    </cfRule>
  </conditionalFormatting>
  <pageMargins left="0.25" right="0.25" top="0.75" bottom="0.75" header="0.3" footer="0.3"/>
  <pageSetup paperSize="5" scale="2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>
    <pageSetUpPr fitToPage="1"/>
  </sheetPr>
  <dimension ref="A1:U76"/>
  <sheetViews>
    <sheetView zoomScaleNormal="100" workbookViewId="0">
      <pane xSplit="1" ySplit="4" topLeftCell="B56" activePane="bottomRight" state="frozen"/>
      <selection activeCell="A3" sqref="A3"/>
      <selection pane="topRight" activeCell="A3" sqref="A3"/>
      <selection pane="bottomLeft" activeCell="A3" sqref="A3"/>
      <selection pane="bottomRight" activeCell="C73" sqref="C73:U73"/>
    </sheetView>
  </sheetViews>
  <sheetFormatPr defaultRowHeight="14.25" x14ac:dyDescent="0.2"/>
  <cols>
    <col min="1" max="1" width="17.7109375" style="3" customWidth="1"/>
    <col min="2" max="2" width="9.28515625" style="15" bestFit="1" customWidth="1"/>
    <col min="3" max="3" width="18.5703125" style="3" bestFit="1" customWidth="1"/>
    <col min="4" max="4" width="19.5703125" style="3" bestFit="1" customWidth="1"/>
    <col min="5" max="5" width="18.5703125" style="3" bestFit="1" customWidth="1"/>
    <col min="6" max="6" width="19.140625" style="3" bestFit="1" customWidth="1"/>
    <col min="7" max="7" width="19.5703125" style="3" bestFit="1" customWidth="1"/>
    <col min="8" max="8" width="20.85546875" style="3" bestFit="1" customWidth="1"/>
    <col min="9" max="9" width="17.5703125" style="3" bestFit="1" customWidth="1"/>
    <col min="10" max="10" width="17.28515625" style="3" bestFit="1" customWidth="1"/>
    <col min="11" max="11" width="22.5703125" style="3" bestFit="1" customWidth="1"/>
    <col min="12" max="12" width="24.42578125" style="3" bestFit="1" customWidth="1"/>
    <col min="13" max="13" width="17.5703125" style="3" bestFit="1" customWidth="1"/>
    <col min="14" max="14" width="18.5703125" style="3" bestFit="1" customWidth="1"/>
    <col min="15" max="15" width="18.140625" style="3" bestFit="1" customWidth="1"/>
    <col min="16" max="16" width="17.28515625" style="3" bestFit="1" customWidth="1"/>
    <col min="17" max="17" width="16.5703125" style="3" bestFit="1" customWidth="1"/>
    <col min="18" max="18" width="16.85546875" style="3" bestFit="1" customWidth="1"/>
    <col min="19" max="19" width="17.28515625" style="3" bestFit="1" customWidth="1"/>
    <col min="20" max="20" width="19.5703125" style="3" bestFit="1" customWidth="1"/>
    <col min="21" max="21" width="22.42578125" style="3" bestFit="1" customWidth="1"/>
    <col min="22" max="16384" width="9.140625" style="12"/>
  </cols>
  <sheetData>
    <row r="1" spans="1:21" ht="23.25" x14ac:dyDescent="0.35">
      <c r="A1" s="1" t="s">
        <v>86</v>
      </c>
    </row>
    <row r="2" spans="1:21" ht="15" x14ac:dyDescent="0.25">
      <c r="A2" s="16">
        <v>2026</v>
      </c>
    </row>
    <row r="3" spans="1:21" s="52" customFormat="1" ht="15" thickBot="1" x14ac:dyDescent="0.25">
      <c r="A3" s="50"/>
      <c r="B3" s="51"/>
      <c r="C3" s="50"/>
      <c r="D3" s="50"/>
      <c r="E3" s="50"/>
      <c r="F3" s="50"/>
      <c r="G3" s="50"/>
      <c r="H3" s="50"/>
      <c r="I3" s="50"/>
      <c r="J3" s="50"/>
      <c r="K3" s="50"/>
      <c r="L3" s="50"/>
      <c r="M3" s="50"/>
      <c r="N3" s="50"/>
      <c r="O3" s="50"/>
      <c r="P3" s="50"/>
      <c r="Q3" s="50"/>
      <c r="R3" s="50"/>
      <c r="S3" s="50"/>
      <c r="T3" s="50"/>
      <c r="U3" s="50"/>
    </row>
    <row r="4" spans="1:21" s="42" customFormat="1" ht="38.25" x14ac:dyDescent="0.25">
      <c r="A4" s="11" t="s">
        <v>0</v>
      </c>
      <c r="B4" s="9" t="s">
        <v>1</v>
      </c>
      <c r="C4" s="9" t="s">
        <v>2</v>
      </c>
      <c r="D4" s="9" t="s">
        <v>91</v>
      </c>
      <c r="E4" s="9" t="s">
        <v>10</v>
      </c>
      <c r="F4" s="9" t="s">
        <v>88</v>
      </c>
      <c r="G4" s="9" t="s">
        <v>89</v>
      </c>
      <c r="H4" s="9" t="s">
        <v>90</v>
      </c>
      <c r="I4" s="9" t="s">
        <v>3</v>
      </c>
      <c r="J4" s="9" t="s">
        <v>94</v>
      </c>
      <c r="K4" s="9" t="s">
        <v>95</v>
      </c>
      <c r="L4" s="9" t="s">
        <v>92</v>
      </c>
      <c r="M4" s="9" t="s">
        <v>4</v>
      </c>
      <c r="N4" s="9" t="s">
        <v>5</v>
      </c>
      <c r="O4" s="9" t="s">
        <v>6</v>
      </c>
      <c r="P4" s="9" t="s">
        <v>7</v>
      </c>
      <c r="Q4" s="9" t="s">
        <v>8</v>
      </c>
      <c r="R4" s="9" t="s">
        <v>96</v>
      </c>
      <c r="S4" s="9" t="s">
        <v>93</v>
      </c>
      <c r="T4" s="9" t="s">
        <v>97</v>
      </c>
      <c r="U4" s="10" t="s">
        <v>9</v>
      </c>
    </row>
    <row r="5" spans="1:21" ht="14.25" customHeight="1" x14ac:dyDescent="0.2">
      <c r="A5" s="17" t="s">
        <v>12</v>
      </c>
      <c r="B5" s="18" t="str">
        <f>'Parcel Ct by Type'!B5</f>
        <v>R-Prelim</v>
      </c>
      <c r="C5" s="19">
        <v>589150341</v>
      </c>
      <c r="D5" s="19">
        <v>20124028518</v>
      </c>
      <c r="E5" s="19">
        <v>701194841</v>
      </c>
      <c r="F5" s="19">
        <v>1149730414</v>
      </c>
      <c r="G5" s="19">
        <v>555632825</v>
      </c>
      <c r="H5" s="19">
        <v>4993053191</v>
      </c>
      <c r="I5" s="19">
        <v>0</v>
      </c>
      <c r="J5" s="19">
        <v>101326711</v>
      </c>
      <c r="K5" s="19">
        <v>243059241</v>
      </c>
      <c r="L5" s="19">
        <v>4120490537</v>
      </c>
      <c r="M5" s="19">
        <v>40831807</v>
      </c>
      <c r="N5" s="19">
        <v>1046105674</v>
      </c>
      <c r="O5" s="19">
        <v>2524719301</v>
      </c>
      <c r="P5" s="19">
        <v>1039339884</v>
      </c>
      <c r="Q5" s="19">
        <v>5867196626</v>
      </c>
      <c r="R5" s="19">
        <v>54600</v>
      </c>
      <c r="S5" s="19">
        <v>76508328</v>
      </c>
      <c r="T5" s="19">
        <v>44688577</v>
      </c>
      <c r="U5" s="20">
        <f>SUM(C5:T5)</f>
        <v>43217111416</v>
      </c>
    </row>
    <row r="6" spans="1:21" ht="14.25" customHeight="1" x14ac:dyDescent="0.2">
      <c r="A6" s="17" t="s">
        <v>13</v>
      </c>
      <c r="B6" s="18" t="str">
        <f>'Parcel Ct by Type'!B6</f>
        <v>R-Prelim</v>
      </c>
      <c r="C6" s="19">
        <v>60638701</v>
      </c>
      <c r="D6" s="19">
        <v>1403109883</v>
      </c>
      <c r="E6" s="19">
        <v>373925674</v>
      </c>
      <c r="F6" s="19">
        <v>0</v>
      </c>
      <c r="G6" s="19">
        <v>11612270</v>
      </c>
      <c r="H6" s="19">
        <v>18260735</v>
      </c>
      <c r="I6" s="19">
        <v>0</v>
      </c>
      <c r="J6" s="19">
        <v>0</v>
      </c>
      <c r="K6" s="19">
        <v>5795192</v>
      </c>
      <c r="L6" s="19">
        <v>162046863</v>
      </c>
      <c r="M6" s="19">
        <v>426083</v>
      </c>
      <c r="N6" s="19">
        <v>45754877</v>
      </c>
      <c r="O6" s="19">
        <v>715349172</v>
      </c>
      <c r="P6" s="19">
        <v>47966054</v>
      </c>
      <c r="Q6" s="19">
        <v>314882524</v>
      </c>
      <c r="R6" s="19">
        <v>4246905</v>
      </c>
      <c r="S6" s="19">
        <v>17077158</v>
      </c>
      <c r="T6" s="19">
        <v>74833702</v>
      </c>
      <c r="U6" s="20">
        <f t="shared" ref="U6:U69" si="0">SUM(C6:T6)</f>
        <v>3255925793</v>
      </c>
    </row>
    <row r="7" spans="1:21" ht="14.25" customHeight="1" x14ac:dyDescent="0.2">
      <c r="A7" s="17" t="s">
        <v>14</v>
      </c>
      <c r="B7" s="18" t="str">
        <f>'Parcel Ct by Type'!B7</f>
        <v>R-Prelim</v>
      </c>
      <c r="C7" s="19">
        <v>1681636195</v>
      </c>
      <c r="D7" s="19">
        <v>22036730171</v>
      </c>
      <c r="E7" s="19">
        <v>972789477</v>
      </c>
      <c r="F7" s="19">
        <v>7133798459</v>
      </c>
      <c r="G7" s="19">
        <v>748868246</v>
      </c>
      <c r="H7" s="19">
        <v>1663889297</v>
      </c>
      <c r="I7" s="19">
        <v>4533318</v>
      </c>
      <c r="J7" s="19">
        <v>13067078</v>
      </c>
      <c r="K7" s="19">
        <v>806229143</v>
      </c>
      <c r="L7" s="19">
        <v>3333370498</v>
      </c>
      <c r="M7" s="19">
        <v>12769217</v>
      </c>
      <c r="N7" s="19">
        <v>827993578</v>
      </c>
      <c r="O7" s="19">
        <v>432083809</v>
      </c>
      <c r="P7" s="19">
        <v>397505115</v>
      </c>
      <c r="Q7" s="19">
        <v>4061734223</v>
      </c>
      <c r="R7" s="19">
        <v>49709098</v>
      </c>
      <c r="S7" s="19">
        <v>33054775</v>
      </c>
      <c r="T7" s="19">
        <v>127322992</v>
      </c>
      <c r="U7" s="20">
        <f t="shared" si="0"/>
        <v>44337084689</v>
      </c>
    </row>
    <row r="8" spans="1:21" ht="14.25" customHeight="1" x14ac:dyDescent="0.2">
      <c r="A8" s="17" t="s">
        <v>15</v>
      </c>
      <c r="B8" s="18" t="str">
        <f>'Parcel Ct by Type'!B8</f>
        <v>R-Prelim</v>
      </c>
      <c r="C8" s="19">
        <v>82710186</v>
      </c>
      <c r="D8" s="19">
        <v>1296461557</v>
      </c>
      <c r="E8" s="19">
        <v>341670070</v>
      </c>
      <c r="F8" s="19">
        <v>4386109</v>
      </c>
      <c r="G8" s="19">
        <v>4418333</v>
      </c>
      <c r="H8" s="19">
        <v>17179405</v>
      </c>
      <c r="I8" s="19">
        <v>0</v>
      </c>
      <c r="J8" s="19">
        <v>230182</v>
      </c>
      <c r="K8" s="19">
        <v>6457154</v>
      </c>
      <c r="L8" s="19">
        <v>141674013</v>
      </c>
      <c r="M8" s="19">
        <v>214316</v>
      </c>
      <c r="N8" s="19">
        <v>15753233</v>
      </c>
      <c r="O8" s="19">
        <v>604772081</v>
      </c>
      <c r="P8" s="19">
        <v>51916341</v>
      </c>
      <c r="Q8" s="19">
        <v>114312591</v>
      </c>
      <c r="R8" s="19">
        <v>622405</v>
      </c>
      <c r="S8" s="19">
        <v>3859923</v>
      </c>
      <c r="T8" s="19">
        <v>27965739</v>
      </c>
      <c r="U8" s="20">
        <f t="shared" si="0"/>
        <v>2714603638</v>
      </c>
    </row>
    <row r="9" spans="1:21" ht="14.25" customHeight="1" x14ac:dyDescent="0.2">
      <c r="A9" s="17" t="s">
        <v>16</v>
      </c>
      <c r="B9" s="18" t="str">
        <f>'Parcel Ct by Type'!B9</f>
        <v>R-Prelim</v>
      </c>
      <c r="C9" s="19">
        <v>1866430480</v>
      </c>
      <c r="D9" s="19">
        <v>75856632830</v>
      </c>
      <c r="E9" s="19">
        <v>1264549780</v>
      </c>
      <c r="F9" s="19">
        <v>9156022660</v>
      </c>
      <c r="G9" s="19">
        <v>1373636670</v>
      </c>
      <c r="H9" s="19">
        <v>4115662940</v>
      </c>
      <c r="I9" s="19">
        <v>82586700</v>
      </c>
      <c r="J9" s="19">
        <v>206270</v>
      </c>
      <c r="K9" s="19">
        <v>566326180</v>
      </c>
      <c r="L9" s="19">
        <v>7901627600</v>
      </c>
      <c r="M9" s="19">
        <v>135197540</v>
      </c>
      <c r="N9" s="19">
        <v>2652265150</v>
      </c>
      <c r="O9" s="19">
        <v>1021888450</v>
      </c>
      <c r="P9" s="19">
        <v>2526076520</v>
      </c>
      <c r="Q9" s="19">
        <v>8632573330</v>
      </c>
      <c r="R9" s="19">
        <v>0</v>
      </c>
      <c r="S9" s="19">
        <v>84826900</v>
      </c>
      <c r="T9" s="19">
        <v>278126780</v>
      </c>
      <c r="U9" s="20">
        <f t="shared" si="0"/>
        <v>117514636780</v>
      </c>
    </row>
    <row r="10" spans="1:21" ht="14.25" customHeight="1" x14ac:dyDescent="0.2">
      <c r="A10" s="17" t="s">
        <v>17</v>
      </c>
      <c r="B10" s="18" t="str">
        <f>'Parcel Ct by Type'!B10</f>
        <v>R-Prelim</v>
      </c>
      <c r="C10" s="19">
        <v>3903653540</v>
      </c>
      <c r="D10" s="19">
        <v>261350349480</v>
      </c>
      <c r="E10" s="19">
        <v>827781930</v>
      </c>
      <c r="F10" s="19">
        <v>71498152030</v>
      </c>
      <c r="G10" s="19">
        <v>10665968500</v>
      </c>
      <c r="H10" s="19">
        <v>28375219870</v>
      </c>
      <c r="I10" s="19">
        <v>2680252740</v>
      </c>
      <c r="J10" s="19">
        <v>83836260</v>
      </c>
      <c r="K10" s="19">
        <v>2448899950</v>
      </c>
      <c r="L10" s="19">
        <v>51371017070</v>
      </c>
      <c r="M10" s="19">
        <v>607987210</v>
      </c>
      <c r="N10" s="19">
        <v>26853772430</v>
      </c>
      <c r="O10" s="19">
        <v>2069191060</v>
      </c>
      <c r="P10" s="19">
        <v>8521586020</v>
      </c>
      <c r="Q10" s="19">
        <v>19101327180</v>
      </c>
      <c r="R10" s="19">
        <v>0</v>
      </c>
      <c r="S10" s="19">
        <v>1676225560</v>
      </c>
      <c r="T10" s="19">
        <v>18202660</v>
      </c>
      <c r="U10" s="20">
        <f t="shared" si="0"/>
        <v>492053423490</v>
      </c>
    </row>
    <row r="11" spans="1:21" ht="14.25" customHeight="1" x14ac:dyDescent="0.2">
      <c r="A11" s="17" t="s">
        <v>18</v>
      </c>
      <c r="B11" s="18" t="str">
        <f>'Parcel Ct by Type'!B11</f>
        <v>R-Prelim</v>
      </c>
      <c r="C11" s="19">
        <v>52987893</v>
      </c>
      <c r="D11" s="19">
        <v>365781186</v>
      </c>
      <c r="E11" s="19">
        <v>71020150</v>
      </c>
      <c r="F11" s="19">
        <v>0</v>
      </c>
      <c r="G11" s="19">
        <v>2032983</v>
      </c>
      <c r="H11" s="19">
        <v>1023117</v>
      </c>
      <c r="I11" s="19">
        <v>0</v>
      </c>
      <c r="J11" s="19">
        <v>220866</v>
      </c>
      <c r="K11" s="19">
        <v>2693883</v>
      </c>
      <c r="L11" s="19">
        <v>51435272</v>
      </c>
      <c r="M11" s="19">
        <v>0</v>
      </c>
      <c r="N11" s="19">
        <v>4713209</v>
      </c>
      <c r="O11" s="19">
        <v>522289501</v>
      </c>
      <c r="P11" s="19">
        <v>33756351</v>
      </c>
      <c r="Q11" s="19">
        <v>44907076</v>
      </c>
      <c r="R11" s="19">
        <v>0</v>
      </c>
      <c r="S11" s="19">
        <v>39966007</v>
      </c>
      <c r="T11" s="19">
        <v>2199050</v>
      </c>
      <c r="U11" s="20">
        <f t="shared" si="0"/>
        <v>1195026544</v>
      </c>
    </row>
    <row r="12" spans="1:21" ht="14.25" customHeight="1" x14ac:dyDescent="0.2">
      <c r="A12" s="17" t="s">
        <v>19</v>
      </c>
      <c r="B12" s="18" t="str">
        <f>'Parcel Ct by Type'!B12</f>
        <v>R-Prelim</v>
      </c>
      <c r="C12" s="19">
        <v>2468390050</v>
      </c>
      <c r="D12" s="19">
        <v>30333744549</v>
      </c>
      <c r="E12" s="19">
        <v>581417982</v>
      </c>
      <c r="F12" s="19">
        <v>3851006677</v>
      </c>
      <c r="G12" s="19">
        <v>704462593</v>
      </c>
      <c r="H12" s="19">
        <v>506476016</v>
      </c>
      <c r="I12" s="19">
        <v>427865211</v>
      </c>
      <c r="J12" s="19">
        <v>80402514</v>
      </c>
      <c r="K12" s="19">
        <v>700060578</v>
      </c>
      <c r="L12" s="19">
        <v>3086882455</v>
      </c>
      <c r="M12" s="19">
        <v>59751754</v>
      </c>
      <c r="N12" s="19">
        <v>1018919804</v>
      </c>
      <c r="O12" s="19">
        <v>1369066916</v>
      </c>
      <c r="P12" s="19">
        <v>591158467</v>
      </c>
      <c r="Q12" s="19">
        <v>2556087703</v>
      </c>
      <c r="R12" s="19">
        <v>29776921</v>
      </c>
      <c r="S12" s="19">
        <v>222218626</v>
      </c>
      <c r="T12" s="19">
        <v>165842932</v>
      </c>
      <c r="U12" s="20">
        <f t="shared" si="0"/>
        <v>48753531748</v>
      </c>
    </row>
    <row r="13" spans="1:21" ht="14.25" customHeight="1" x14ac:dyDescent="0.2">
      <c r="A13" s="17" t="s">
        <v>20</v>
      </c>
      <c r="B13" s="18" t="str">
        <f>'Parcel Ct by Type'!B13</f>
        <v>R-Prelim</v>
      </c>
      <c r="C13" s="19">
        <v>1209422703</v>
      </c>
      <c r="D13" s="19">
        <v>16862776564</v>
      </c>
      <c r="E13" s="19">
        <v>2021721340</v>
      </c>
      <c r="F13" s="19">
        <v>262832789</v>
      </c>
      <c r="G13" s="19">
        <v>163672947</v>
      </c>
      <c r="H13" s="19">
        <v>56005128</v>
      </c>
      <c r="I13" s="19">
        <v>0</v>
      </c>
      <c r="J13" s="19">
        <v>13400000</v>
      </c>
      <c r="K13" s="19">
        <v>225505333</v>
      </c>
      <c r="L13" s="19">
        <v>1421660094</v>
      </c>
      <c r="M13" s="19">
        <v>10884820</v>
      </c>
      <c r="N13" s="19">
        <v>215794211</v>
      </c>
      <c r="O13" s="19">
        <v>721843458</v>
      </c>
      <c r="P13" s="19">
        <v>557552642</v>
      </c>
      <c r="Q13" s="19">
        <v>1235576892</v>
      </c>
      <c r="R13" s="19">
        <v>0</v>
      </c>
      <c r="S13" s="19">
        <v>376973471</v>
      </c>
      <c r="T13" s="19">
        <v>124330650</v>
      </c>
      <c r="U13" s="20">
        <f t="shared" si="0"/>
        <v>25479953042</v>
      </c>
    </row>
    <row r="14" spans="1:21" ht="14.25" customHeight="1" x14ac:dyDescent="0.2">
      <c r="A14" s="17" t="s">
        <v>21</v>
      </c>
      <c r="B14" s="18" t="str">
        <f>'Parcel Ct by Type'!B14</f>
        <v>R-Prelim</v>
      </c>
      <c r="C14" s="19">
        <v>651575197</v>
      </c>
      <c r="D14" s="19">
        <v>23259466513</v>
      </c>
      <c r="E14" s="19">
        <v>1498990734</v>
      </c>
      <c r="F14" s="19">
        <v>384319118</v>
      </c>
      <c r="G14" s="19">
        <v>92126200</v>
      </c>
      <c r="H14" s="19">
        <v>977619518</v>
      </c>
      <c r="I14" s="19">
        <v>0</v>
      </c>
      <c r="J14" s="19">
        <v>20592549</v>
      </c>
      <c r="K14" s="19">
        <v>194647054</v>
      </c>
      <c r="L14" s="19">
        <v>2048077592</v>
      </c>
      <c r="M14" s="19">
        <v>14532824</v>
      </c>
      <c r="N14" s="19">
        <v>616542183</v>
      </c>
      <c r="O14" s="19">
        <v>1330449887</v>
      </c>
      <c r="P14" s="19">
        <v>862054964</v>
      </c>
      <c r="Q14" s="19">
        <v>1158954452</v>
      </c>
      <c r="R14" s="19">
        <v>0</v>
      </c>
      <c r="S14" s="19">
        <v>58942766</v>
      </c>
      <c r="T14" s="19">
        <v>328578782</v>
      </c>
      <c r="U14" s="20">
        <f t="shared" si="0"/>
        <v>33497470333</v>
      </c>
    </row>
    <row r="15" spans="1:21" ht="14.25" customHeight="1" x14ac:dyDescent="0.2">
      <c r="A15" s="17" t="s">
        <v>22</v>
      </c>
      <c r="B15" s="18" t="str">
        <f>'Parcel Ct by Type'!B15</f>
        <v>R-Prelim</v>
      </c>
      <c r="C15" s="19">
        <v>4198777165</v>
      </c>
      <c r="D15" s="19">
        <v>119821135232</v>
      </c>
      <c r="E15" s="19">
        <v>626194117</v>
      </c>
      <c r="F15" s="19">
        <v>60180612688</v>
      </c>
      <c r="G15" s="19">
        <v>955064699</v>
      </c>
      <c r="H15" s="19">
        <v>3013232437</v>
      </c>
      <c r="I15" s="19">
        <v>836039441</v>
      </c>
      <c r="J15" s="19">
        <v>2569059037</v>
      </c>
      <c r="K15" s="19">
        <v>1155999820</v>
      </c>
      <c r="L15" s="19">
        <v>10458385679</v>
      </c>
      <c r="M15" s="19">
        <v>78084590</v>
      </c>
      <c r="N15" s="19">
        <v>2256767577</v>
      </c>
      <c r="O15" s="19">
        <v>1552293296</v>
      </c>
      <c r="P15" s="19">
        <v>3184984149</v>
      </c>
      <c r="Q15" s="19">
        <v>6089665073</v>
      </c>
      <c r="R15" s="19">
        <v>28330575</v>
      </c>
      <c r="S15" s="19">
        <v>104644755</v>
      </c>
      <c r="T15" s="19">
        <v>609746872</v>
      </c>
      <c r="U15" s="20">
        <f t="shared" si="0"/>
        <v>217719017202</v>
      </c>
    </row>
    <row r="16" spans="1:21" ht="14.25" customHeight="1" x14ac:dyDescent="0.2">
      <c r="A16" s="17" t="s">
        <v>23</v>
      </c>
      <c r="B16" s="18" t="str">
        <f>'Parcel Ct by Type'!B16</f>
        <v>R-Prelim</v>
      </c>
      <c r="C16" s="19">
        <v>138060632</v>
      </c>
      <c r="D16" s="19">
        <v>3300309883</v>
      </c>
      <c r="E16" s="19">
        <v>1074468982</v>
      </c>
      <c r="F16" s="19">
        <v>6552626</v>
      </c>
      <c r="G16" s="19">
        <v>49079040</v>
      </c>
      <c r="H16" s="19">
        <v>57357258</v>
      </c>
      <c r="I16" s="19">
        <v>0</v>
      </c>
      <c r="J16" s="19">
        <v>71142157</v>
      </c>
      <c r="K16" s="19">
        <v>62707766</v>
      </c>
      <c r="L16" s="19">
        <v>643610418</v>
      </c>
      <c r="M16" s="19">
        <v>4981658</v>
      </c>
      <c r="N16" s="19">
        <v>216154348</v>
      </c>
      <c r="O16" s="19">
        <v>1555535229</v>
      </c>
      <c r="P16" s="19">
        <v>222121633</v>
      </c>
      <c r="Q16" s="19">
        <v>550015081</v>
      </c>
      <c r="R16" s="19">
        <v>0</v>
      </c>
      <c r="S16" s="19">
        <v>24729505</v>
      </c>
      <c r="T16" s="19">
        <v>74558524</v>
      </c>
      <c r="U16" s="20">
        <f t="shared" si="0"/>
        <v>8051384740</v>
      </c>
    </row>
    <row r="17" spans="1:21" ht="14.25" customHeight="1" x14ac:dyDescent="0.2">
      <c r="A17" s="17" t="s">
        <v>104</v>
      </c>
      <c r="B17" s="18" t="str">
        <f>'Parcel Ct by Type'!B17</f>
        <v>R-Prelim</v>
      </c>
      <c r="C17" s="19">
        <v>9649975920</v>
      </c>
      <c r="D17" s="19">
        <v>305227470217</v>
      </c>
      <c r="E17" s="19">
        <v>43585729</v>
      </c>
      <c r="F17" s="19">
        <v>192226384062</v>
      </c>
      <c r="G17" s="19">
        <v>22309347726</v>
      </c>
      <c r="H17" s="19">
        <v>38810135901</v>
      </c>
      <c r="I17" s="19">
        <v>506177082</v>
      </c>
      <c r="J17" s="19">
        <v>458362680</v>
      </c>
      <c r="K17" s="19">
        <v>12474432576</v>
      </c>
      <c r="L17" s="19">
        <v>85997526961</v>
      </c>
      <c r="M17" s="19">
        <v>2695694548</v>
      </c>
      <c r="N17" s="19">
        <v>46681156457</v>
      </c>
      <c r="O17" s="19">
        <v>8405440050</v>
      </c>
      <c r="P17" s="19">
        <v>11820201680</v>
      </c>
      <c r="Q17" s="19">
        <v>29769567387</v>
      </c>
      <c r="R17" s="19">
        <v>2763195388</v>
      </c>
      <c r="S17" s="19">
        <v>1414595911</v>
      </c>
      <c r="T17" s="19">
        <v>1982952752</v>
      </c>
      <c r="U17" s="20">
        <f t="shared" si="0"/>
        <v>773236203027</v>
      </c>
    </row>
    <row r="18" spans="1:21" ht="14.25" customHeight="1" x14ac:dyDescent="0.2">
      <c r="A18" s="17" t="s">
        <v>24</v>
      </c>
      <c r="B18" s="18" t="str">
        <f>'Parcel Ct by Type'!B18</f>
        <v>R-Prelim</v>
      </c>
      <c r="C18" s="19">
        <v>127126300</v>
      </c>
      <c r="D18" s="19">
        <v>1602556290</v>
      </c>
      <c r="E18" s="19">
        <v>394352810</v>
      </c>
      <c r="F18" s="19">
        <v>88631139</v>
      </c>
      <c r="G18" s="19">
        <v>66764459</v>
      </c>
      <c r="H18" s="19">
        <v>69103380</v>
      </c>
      <c r="I18" s="19">
        <v>0</v>
      </c>
      <c r="J18" s="19">
        <v>702044</v>
      </c>
      <c r="K18" s="19">
        <v>21731243</v>
      </c>
      <c r="L18" s="19">
        <v>274497153</v>
      </c>
      <c r="M18" s="19">
        <v>4587742</v>
      </c>
      <c r="N18" s="19">
        <v>141573278</v>
      </c>
      <c r="O18" s="19">
        <v>2473346462</v>
      </c>
      <c r="P18" s="19">
        <v>76470354</v>
      </c>
      <c r="Q18" s="19">
        <v>261037948</v>
      </c>
      <c r="R18" s="19">
        <v>0</v>
      </c>
      <c r="S18" s="19">
        <v>87277879</v>
      </c>
      <c r="T18" s="19">
        <v>67623690</v>
      </c>
      <c r="U18" s="20">
        <f t="shared" si="0"/>
        <v>5757382171</v>
      </c>
    </row>
    <row r="19" spans="1:21" ht="14.25" customHeight="1" x14ac:dyDescent="0.2">
      <c r="A19" s="17" t="s">
        <v>25</v>
      </c>
      <c r="B19" s="18" t="str">
        <f>'Parcel Ct by Type'!B19</f>
        <v>R-Prelim</v>
      </c>
      <c r="C19" s="19">
        <v>157073800</v>
      </c>
      <c r="D19" s="19">
        <v>400701200</v>
      </c>
      <c r="E19" s="19">
        <v>325873200</v>
      </c>
      <c r="F19" s="19">
        <v>31354900</v>
      </c>
      <c r="G19" s="19">
        <v>1303400</v>
      </c>
      <c r="H19" s="19">
        <v>878800</v>
      </c>
      <c r="I19" s="19">
        <v>82400</v>
      </c>
      <c r="J19" s="19">
        <v>0</v>
      </c>
      <c r="K19" s="19">
        <v>5364500</v>
      </c>
      <c r="L19" s="19">
        <v>40458286</v>
      </c>
      <c r="M19" s="19">
        <v>703400</v>
      </c>
      <c r="N19" s="19">
        <v>13479300</v>
      </c>
      <c r="O19" s="19">
        <v>689827973</v>
      </c>
      <c r="P19" s="19">
        <v>17081600</v>
      </c>
      <c r="Q19" s="19">
        <v>176939800</v>
      </c>
      <c r="R19" s="19">
        <v>0</v>
      </c>
      <c r="S19" s="19">
        <v>991200</v>
      </c>
      <c r="T19" s="19">
        <v>1448500</v>
      </c>
      <c r="U19" s="20">
        <f t="shared" si="0"/>
        <v>1863562259</v>
      </c>
    </row>
    <row r="20" spans="1:21" ht="14.25" customHeight="1" x14ac:dyDescent="0.2">
      <c r="A20" s="17" t="s">
        <v>26</v>
      </c>
      <c r="B20" s="18" t="str">
        <f>'Parcel Ct by Type'!B20</f>
        <v>R-Prelim</v>
      </c>
      <c r="C20" s="19">
        <v>1603408564</v>
      </c>
      <c r="D20" s="19">
        <v>96307371940</v>
      </c>
      <c r="E20" s="19">
        <v>1164051441</v>
      </c>
      <c r="F20" s="19">
        <v>6046354178</v>
      </c>
      <c r="G20" s="19">
        <v>2134603541</v>
      </c>
      <c r="H20" s="19">
        <v>13943729774</v>
      </c>
      <c r="I20" s="19">
        <v>5558000</v>
      </c>
      <c r="J20" s="19">
        <v>846141455</v>
      </c>
      <c r="K20" s="19">
        <v>794682870</v>
      </c>
      <c r="L20" s="19">
        <v>20921992538</v>
      </c>
      <c r="M20" s="19">
        <v>360630919</v>
      </c>
      <c r="N20" s="19">
        <v>13401751821</v>
      </c>
      <c r="O20" s="19">
        <v>2570092412</v>
      </c>
      <c r="P20" s="19">
        <v>5227062332</v>
      </c>
      <c r="Q20" s="19">
        <v>7363015560</v>
      </c>
      <c r="R20" s="19">
        <v>624698250</v>
      </c>
      <c r="S20" s="19">
        <v>132173217</v>
      </c>
      <c r="T20" s="19">
        <v>179895513</v>
      </c>
      <c r="U20" s="20">
        <f t="shared" si="0"/>
        <v>173627214325</v>
      </c>
    </row>
    <row r="21" spans="1:21" ht="14.25" customHeight="1" x14ac:dyDescent="0.2">
      <c r="A21" s="17" t="s">
        <v>27</v>
      </c>
      <c r="B21" s="18" t="str">
        <f>'Parcel Ct by Type'!B21</f>
        <v>R-Prelim</v>
      </c>
      <c r="C21" s="19">
        <v>714510311</v>
      </c>
      <c r="D21" s="19">
        <v>28635162032</v>
      </c>
      <c r="E21" s="19">
        <v>316522411</v>
      </c>
      <c r="F21" s="19">
        <v>3661977478</v>
      </c>
      <c r="G21" s="19">
        <v>1119237659</v>
      </c>
      <c r="H21" s="19">
        <v>2362883110</v>
      </c>
      <c r="I21" s="19">
        <v>0</v>
      </c>
      <c r="J21" s="19">
        <v>122785885</v>
      </c>
      <c r="K21" s="19">
        <v>310131058</v>
      </c>
      <c r="L21" s="19">
        <v>4741852685</v>
      </c>
      <c r="M21" s="19">
        <v>8676757</v>
      </c>
      <c r="N21" s="19">
        <v>914397416</v>
      </c>
      <c r="O21" s="19">
        <v>911878609</v>
      </c>
      <c r="P21" s="19">
        <v>1079681297</v>
      </c>
      <c r="Q21" s="19">
        <v>4330365004</v>
      </c>
      <c r="R21" s="19">
        <v>180344604</v>
      </c>
      <c r="S21" s="19">
        <v>88407756</v>
      </c>
      <c r="T21" s="19">
        <v>63568752</v>
      </c>
      <c r="U21" s="20">
        <f t="shared" si="0"/>
        <v>49562382824</v>
      </c>
    </row>
    <row r="22" spans="1:21" ht="14.25" customHeight="1" x14ac:dyDescent="0.2">
      <c r="A22" s="17" t="s">
        <v>28</v>
      </c>
      <c r="B22" s="18" t="str">
        <f>'Parcel Ct by Type'!B22</f>
        <v>R-Prelim</v>
      </c>
      <c r="C22" s="19">
        <v>1138397984</v>
      </c>
      <c r="D22" s="19">
        <v>19543675742</v>
      </c>
      <c r="E22" s="19">
        <v>275830557</v>
      </c>
      <c r="F22" s="19">
        <v>1649478114</v>
      </c>
      <c r="G22" s="19">
        <v>575297419</v>
      </c>
      <c r="H22" s="19">
        <v>270721702</v>
      </c>
      <c r="I22" s="19">
        <v>42693198</v>
      </c>
      <c r="J22" s="19">
        <v>104157668</v>
      </c>
      <c r="K22" s="19">
        <v>253658896</v>
      </c>
      <c r="L22" s="19">
        <v>895640311</v>
      </c>
      <c r="M22" s="19">
        <v>16891875</v>
      </c>
      <c r="N22" s="19">
        <v>264046852</v>
      </c>
      <c r="O22" s="19">
        <v>622979936</v>
      </c>
      <c r="P22" s="19">
        <v>186493397</v>
      </c>
      <c r="Q22" s="19">
        <v>703531819</v>
      </c>
      <c r="R22" s="19">
        <v>159993</v>
      </c>
      <c r="S22" s="19">
        <v>49116617</v>
      </c>
      <c r="T22" s="19">
        <v>85207220</v>
      </c>
      <c r="U22" s="20">
        <f t="shared" si="0"/>
        <v>26677979300</v>
      </c>
    </row>
    <row r="23" spans="1:21" ht="14.25" customHeight="1" x14ac:dyDescent="0.2">
      <c r="A23" s="17" t="s">
        <v>29</v>
      </c>
      <c r="B23" s="18" t="str">
        <f>'Parcel Ct by Type'!B23</f>
        <v>R-Prelim</v>
      </c>
      <c r="C23" s="19">
        <v>603015589</v>
      </c>
      <c r="D23" s="19">
        <v>3845896510</v>
      </c>
      <c r="E23" s="19">
        <v>140081934</v>
      </c>
      <c r="F23" s="19">
        <v>160081329</v>
      </c>
      <c r="G23" s="19">
        <v>3397423</v>
      </c>
      <c r="H23" s="19">
        <v>1293935</v>
      </c>
      <c r="I23" s="19">
        <v>598954</v>
      </c>
      <c r="J23" s="19">
        <v>30964546</v>
      </c>
      <c r="K23" s="19">
        <v>22444552</v>
      </c>
      <c r="L23" s="19">
        <v>153054982</v>
      </c>
      <c r="M23" s="19">
        <v>128675</v>
      </c>
      <c r="N23" s="19">
        <v>31728142</v>
      </c>
      <c r="O23" s="19">
        <v>55320310</v>
      </c>
      <c r="P23" s="19">
        <v>31567829</v>
      </c>
      <c r="Q23" s="19">
        <v>1046768235</v>
      </c>
      <c r="R23" s="19">
        <v>4320960</v>
      </c>
      <c r="S23" s="19">
        <v>6907389</v>
      </c>
      <c r="T23" s="19">
        <v>6563831</v>
      </c>
      <c r="U23" s="20">
        <f t="shared" si="0"/>
        <v>6144135125</v>
      </c>
    </row>
    <row r="24" spans="1:21" ht="14.25" customHeight="1" x14ac:dyDescent="0.2">
      <c r="A24" s="17" t="s">
        <v>30</v>
      </c>
      <c r="B24" s="18" t="str">
        <f>'Parcel Ct by Type'!B24</f>
        <v>R-Prelim</v>
      </c>
      <c r="C24" s="19">
        <v>117738017</v>
      </c>
      <c r="D24" s="19">
        <v>1853946576</v>
      </c>
      <c r="E24" s="19">
        <v>317396085</v>
      </c>
      <c r="F24" s="19">
        <v>0</v>
      </c>
      <c r="G24" s="19">
        <v>23833614</v>
      </c>
      <c r="H24" s="19">
        <v>45679271</v>
      </c>
      <c r="I24" s="19">
        <v>0</v>
      </c>
      <c r="J24" s="19">
        <v>565868</v>
      </c>
      <c r="K24" s="19">
        <v>25987132</v>
      </c>
      <c r="L24" s="19">
        <v>216766809</v>
      </c>
      <c r="M24" s="19">
        <v>0</v>
      </c>
      <c r="N24" s="19">
        <v>145243680</v>
      </c>
      <c r="O24" s="19">
        <v>1443327984</v>
      </c>
      <c r="P24" s="19">
        <v>84838205</v>
      </c>
      <c r="Q24" s="19">
        <v>173221904</v>
      </c>
      <c r="R24" s="19">
        <v>697870</v>
      </c>
      <c r="S24" s="19">
        <v>29986453</v>
      </c>
      <c r="T24" s="19">
        <v>54746836</v>
      </c>
      <c r="U24" s="20">
        <f t="shared" si="0"/>
        <v>4533976304</v>
      </c>
    </row>
    <row r="25" spans="1:21" ht="14.25" customHeight="1" x14ac:dyDescent="0.2">
      <c r="A25" s="17" t="s">
        <v>31</v>
      </c>
      <c r="B25" s="18" t="str">
        <f>'Parcel Ct by Type'!B25</f>
        <v>R-Prelim</v>
      </c>
      <c r="C25" s="19">
        <v>89873303</v>
      </c>
      <c r="D25" s="19">
        <v>816604439</v>
      </c>
      <c r="E25" s="19">
        <v>416299960</v>
      </c>
      <c r="F25" s="19">
        <v>0</v>
      </c>
      <c r="G25" s="19">
        <v>5859852</v>
      </c>
      <c r="H25" s="19">
        <v>2051973</v>
      </c>
      <c r="I25" s="19">
        <v>0</v>
      </c>
      <c r="J25" s="19">
        <v>29645864</v>
      </c>
      <c r="K25" s="19">
        <v>3374309</v>
      </c>
      <c r="L25" s="19">
        <v>46924259</v>
      </c>
      <c r="M25" s="19">
        <v>389155</v>
      </c>
      <c r="N25" s="19">
        <v>18037475</v>
      </c>
      <c r="O25" s="19">
        <v>1342113608</v>
      </c>
      <c r="P25" s="19">
        <v>34261309</v>
      </c>
      <c r="Q25" s="19">
        <v>121220920</v>
      </c>
      <c r="R25" s="19">
        <v>0</v>
      </c>
      <c r="S25" s="19">
        <v>20171823</v>
      </c>
      <c r="T25" s="19">
        <v>34389999</v>
      </c>
      <c r="U25" s="20">
        <f t="shared" si="0"/>
        <v>2981218248</v>
      </c>
    </row>
    <row r="26" spans="1:21" ht="14.25" customHeight="1" x14ac:dyDescent="0.2">
      <c r="A26" s="17" t="s">
        <v>32</v>
      </c>
      <c r="B26" s="18" t="str">
        <f>'Parcel Ct by Type'!B26</f>
        <v>R-Prelim</v>
      </c>
      <c r="C26" s="19">
        <v>82598975</v>
      </c>
      <c r="D26" s="19">
        <v>471999346</v>
      </c>
      <c r="E26" s="19">
        <v>277852179</v>
      </c>
      <c r="F26" s="19">
        <v>19925270</v>
      </c>
      <c r="G26" s="19">
        <v>37185194</v>
      </c>
      <c r="H26" s="19">
        <v>3515788</v>
      </c>
      <c r="I26" s="19">
        <v>0</v>
      </c>
      <c r="J26" s="19">
        <v>9301473</v>
      </c>
      <c r="K26" s="19">
        <v>8479988</v>
      </c>
      <c r="L26" s="19">
        <v>107427449</v>
      </c>
      <c r="M26" s="19">
        <v>9339723</v>
      </c>
      <c r="N26" s="19">
        <v>32128379</v>
      </c>
      <c r="O26" s="19">
        <v>4117558863</v>
      </c>
      <c r="P26" s="19">
        <v>25783140</v>
      </c>
      <c r="Q26" s="19">
        <v>1142364140</v>
      </c>
      <c r="R26" s="19">
        <v>0</v>
      </c>
      <c r="S26" s="19">
        <v>40526384</v>
      </c>
      <c r="T26" s="19">
        <v>20127525</v>
      </c>
      <c r="U26" s="20">
        <f t="shared" si="0"/>
        <v>6406113816</v>
      </c>
    </row>
    <row r="27" spans="1:21" ht="14.25" customHeight="1" x14ac:dyDescent="0.2">
      <c r="A27" s="17" t="s">
        <v>33</v>
      </c>
      <c r="B27" s="18" t="str">
        <f>'Parcel Ct by Type'!B27</f>
        <v>R-Prelim</v>
      </c>
      <c r="C27" s="19">
        <v>857668013</v>
      </c>
      <c r="D27" s="19">
        <v>3941671181</v>
      </c>
      <c r="E27" s="19">
        <v>221629097</v>
      </c>
      <c r="F27" s="19">
        <v>63531635</v>
      </c>
      <c r="G27" s="19">
        <v>10512113</v>
      </c>
      <c r="H27" s="19">
        <v>15290634</v>
      </c>
      <c r="I27" s="19">
        <v>0</v>
      </c>
      <c r="J27" s="19">
        <v>25502245</v>
      </c>
      <c r="K27" s="19">
        <v>2201410</v>
      </c>
      <c r="L27" s="19">
        <v>206518105</v>
      </c>
      <c r="M27" s="19">
        <v>0</v>
      </c>
      <c r="N27" s="19">
        <v>24414157</v>
      </c>
      <c r="O27" s="19">
        <v>812254432</v>
      </c>
      <c r="P27" s="19">
        <v>80259463</v>
      </c>
      <c r="Q27" s="19">
        <v>795667903</v>
      </c>
      <c r="R27" s="19">
        <v>867150</v>
      </c>
      <c r="S27" s="19">
        <v>11490309</v>
      </c>
      <c r="T27" s="19">
        <v>71040167</v>
      </c>
      <c r="U27" s="20">
        <f t="shared" si="0"/>
        <v>7140518014</v>
      </c>
    </row>
    <row r="28" spans="1:21" ht="14.25" customHeight="1" x14ac:dyDescent="0.2">
      <c r="A28" s="17" t="s">
        <v>34</v>
      </c>
      <c r="B28" s="18" t="str">
        <f>'Parcel Ct by Type'!B28</f>
        <v>R-Prelim</v>
      </c>
      <c r="C28" s="19">
        <v>83007081</v>
      </c>
      <c r="D28" s="19">
        <v>323594503</v>
      </c>
      <c r="E28" s="19">
        <v>189204125</v>
      </c>
      <c r="F28" s="19">
        <v>0</v>
      </c>
      <c r="G28" s="19">
        <v>37061205</v>
      </c>
      <c r="H28" s="19">
        <v>5306690</v>
      </c>
      <c r="I28" s="19">
        <v>0</v>
      </c>
      <c r="J28" s="19">
        <v>3755689</v>
      </c>
      <c r="K28" s="19">
        <v>7519452</v>
      </c>
      <c r="L28" s="19">
        <v>42563454</v>
      </c>
      <c r="M28" s="19">
        <v>33823</v>
      </c>
      <c r="N28" s="19">
        <v>6736580</v>
      </c>
      <c r="O28" s="19">
        <v>1000394306</v>
      </c>
      <c r="P28" s="19">
        <v>26148167</v>
      </c>
      <c r="Q28" s="19">
        <v>238636235</v>
      </c>
      <c r="R28" s="19">
        <v>0</v>
      </c>
      <c r="S28" s="19">
        <v>77094411</v>
      </c>
      <c r="T28" s="19">
        <v>24794401</v>
      </c>
      <c r="U28" s="20">
        <f t="shared" si="0"/>
        <v>2065850122</v>
      </c>
    </row>
    <row r="29" spans="1:21" ht="14.25" customHeight="1" x14ac:dyDescent="0.2">
      <c r="A29" s="17" t="s">
        <v>35</v>
      </c>
      <c r="B29" s="18" t="str">
        <f>'Parcel Ct by Type'!B29</f>
        <v>R-Prelim</v>
      </c>
      <c r="C29" s="19">
        <v>94857822</v>
      </c>
      <c r="D29" s="19">
        <v>958298150</v>
      </c>
      <c r="E29" s="19">
        <v>208148240</v>
      </c>
      <c r="F29" s="19">
        <v>0</v>
      </c>
      <c r="G29" s="19">
        <v>41859579</v>
      </c>
      <c r="H29" s="19">
        <v>37657133</v>
      </c>
      <c r="I29" s="19">
        <v>0</v>
      </c>
      <c r="J29" s="19">
        <v>6271567</v>
      </c>
      <c r="K29" s="19">
        <v>15123986</v>
      </c>
      <c r="L29" s="19">
        <v>167284282</v>
      </c>
      <c r="M29" s="19">
        <v>2405705</v>
      </c>
      <c r="N29" s="19">
        <v>39651631</v>
      </c>
      <c r="O29" s="19">
        <v>3159001139</v>
      </c>
      <c r="P29" s="19">
        <v>91515178</v>
      </c>
      <c r="Q29" s="19">
        <v>303679998</v>
      </c>
      <c r="R29" s="19">
        <v>0</v>
      </c>
      <c r="S29" s="19">
        <v>474209636</v>
      </c>
      <c r="T29" s="19">
        <v>42658049</v>
      </c>
      <c r="U29" s="20">
        <f t="shared" si="0"/>
        <v>5642622095</v>
      </c>
    </row>
    <row r="30" spans="1:21" ht="14.25" customHeight="1" x14ac:dyDescent="0.2">
      <c r="A30" s="17" t="s">
        <v>36</v>
      </c>
      <c r="B30" s="18" t="str">
        <f>'Parcel Ct by Type'!B30</f>
        <v>R-Prelim</v>
      </c>
      <c r="C30" s="19">
        <v>530378066</v>
      </c>
      <c r="D30" s="19">
        <v>2455324966</v>
      </c>
      <c r="E30" s="19">
        <v>666536699</v>
      </c>
      <c r="F30" s="19">
        <v>52070973</v>
      </c>
      <c r="G30" s="19">
        <v>92375067</v>
      </c>
      <c r="H30" s="19">
        <v>33916545</v>
      </c>
      <c r="I30" s="19">
        <v>0</v>
      </c>
      <c r="J30" s="19">
        <v>7025312</v>
      </c>
      <c r="K30" s="19">
        <v>41310742</v>
      </c>
      <c r="L30" s="19">
        <v>353324559</v>
      </c>
      <c r="M30" s="19">
        <v>71576093</v>
      </c>
      <c r="N30" s="19">
        <v>167672644</v>
      </c>
      <c r="O30" s="19">
        <v>3005167396</v>
      </c>
      <c r="P30" s="19">
        <v>150298235</v>
      </c>
      <c r="Q30" s="19">
        <v>1525885865</v>
      </c>
      <c r="R30" s="19">
        <v>34396352</v>
      </c>
      <c r="S30" s="19">
        <v>52550271</v>
      </c>
      <c r="T30" s="19">
        <v>23223412</v>
      </c>
      <c r="U30" s="20">
        <f t="shared" si="0"/>
        <v>9263033197</v>
      </c>
    </row>
    <row r="31" spans="1:21" ht="14.25" customHeight="1" x14ac:dyDescent="0.2">
      <c r="A31" s="17" t="s">
        <v>37</v>
      </c>
      <c r="B31" s="18" t="str">
        <f>'Parcel Ct by Type'!B31</f>
        <v>R-Prelim</v>
      </c>
      <c r="C31" s="19">
        <v>857132600</v>
      </c>
      <c r="D31" s="19">
        <v>21266346408</v>
      </c>
      <c r="E31" s="19">
        <v>1824555240</v>
      </c>
      <c r="F31" s="19">
        <v>86805176</v>
      </c>
      <c r="G31" s="19">
        <v>144572768</v>
      </c>
      <c r="H31" s="19">
        <v>401289376</v>
      </c>
      <c r="I31" s="19">
        <v>6582270</v>
      </c>
      <c r="J31" s="19">
        <v>307793</v>
      </c>
      <c r="K31" s="19">
        <v>314942473</v>
      </c>
      <c r="L31" s="19">
        <v>1749686305</v>
      </c>
      <c r="M31" s="19">
        <v>11502016</v>
      </c>
      <c r="N31" s="19">
        <v>516141056</v>
      </c>
      <c r="O31" s="19">
        <v>1724068651</v>
      </c>
      <c r="P31" s="19">
        <v>522310550</v>
      </c>
      <c r="Q31" s="19">
        <v>1726101977</v>
      </c>
      <c r="R31" s="19">
        <v>36148050</v>
      </c>
      <c r="S31" s="19">
        <v>99098423</v>
      </c>
      <c r="T31" s="19">
        <v>325554615</v>
      </c>
      <c r="U31" s="20">
        <f t="shared" si="0"/>
        <v>31613145747</v>
      </c>
    </row>
    <row r="32" spans="1:21" ht="14.25" customHeight="1" x14ac:dyDescent="0.2">
      <c r="A32" s="17" t="s">
        <v>38</v>
      </c>
      <c r="B32" s="18" t="str">
        <f>'Parcel Ct by Type'!B32</f>
        <v>R-Prelim</v>
      </c>
      <c r="C32" s="19">
        <v>599417858</v>
      </c>
      <c r="D32" s="19">
        <v>8244574388</v>
      </c>
      <c r="E32" s="19">
        <v>477959310</v>
      </c>
      <c r="F32" s="19">
        <v>168668179</v>
      </c>
      <c r="G32" s="19">
        <v>185774329</v>
      </c>
      <c r="H32" s="19">
        <v>93962272</v>
      </c>
      <c r="I32" s="19">
        <v>37389337</v>
      </c>
      <c r="J32" s="19">
        <v>187361005</v>
      </c>
      <c r="K32" s="19">
        <v>64311849</v>
      </c>
      <c r="L32" s="19">
        <v>1372310439</v>
      </c>
      <c r="M32" s="19">
        <v>8993152</v>
      </c>
      <c r="N32" s="19">
        <v>209095036</v>
      </c>
      <c r="O32" s="19">
        <v>3803613296</v>
      </c>
      <c r="P32" s="19">
        <v>630461223</v>
      </c>
      <c r="Q32" s="19">
        <v>743475833</v>
      </c>
      <c r="R32" s="19">
        <v>109507095</v>
      </c>
      <c r="S32" s="19">
        <v>27117082</v>
      </c>
      <c r="T32" s="19">
        <v>77629632</v>
      </c>
      <c r="U32" s="20">
        <f t="shared" si="0"/>
        <v>17041621315</v>
      </c>
    </row>
    <row r="33" spans="1:21" ht="14.25" customHeight="1" x14ac:dyDescent="0.2">
      <c r="A33" s="17" t="s">
        <v>39</v>
      </c>
      <c r="B33" s="18" t="str">
        <f>'Parcel Ct by Type'!B33</f>
        <v>R-Prelim</v>
      </c>
      <c r="C33" s="19">
        <v>2720612519</v>
      </c>
      <c r="D33" s="19">
        <v>152813502048</v>
      </c>
      <c r="E33" s="19">
        <v>2225424298</v>
      </c>
      <c r="F33" s="19">
        <v>9466154767</v>
      </c>
      <c r="G33" s="19">
        <v>1524503431</v>
      </c>
      <c r="H33" s="19">
        <v>21988463468</v>
      </c>
      <c r="I33" s="19">
        <v>106470414</v>
      </c>
      <c r="J33" s="19">
        <v>817843119</v>
      </c>
      <c r="K33" s="19">
        <v>969714644</v>
      </c>
      <c r="L33" s="19">
        <v>28771528748</v>
      </c>
      <c r="M33" s="19">
        <v>145089084</v>
      </c>
      <c r="N33" s="19">
        <v>13417941886</v>
      </c>
      <c r="O33" s="19">
        <v>4153906327</v>
      </c>
      <c r="P33" s="19">
        <v>8162199963</v>
      </c>
      <c r="Q33" s="19">
        <v>14819787935</v>
      </c>
      <c r="R33" s="19">
        <v>2228425662</v>
      </c>
      <c r="S33" s="19">
        <v>491594403</v>
      </c>
      <c r="T33" s="19">
        <v>363539836</v>
      </c>
      <c r="U33" s="20">
        <f t="shared" si="0"/>
        <v>265186702552</v>
      </c>
    </row>
    <row r="34" spans="1:21" ht="14.25" customHeight="1" x14ac:dyDescent="0.2">
      <c r="A34" s="17" t="s">
        <v>40</v>
      </c>
      <c r="B34" s="18" t="str">
        <f>'Parcel Ct by Type'!B34</f>
        <v>R-Prelim</v>
      </c>
      <c r="C34" s="19">
        <v>42654669</v>
      </c>
      <c r="D34" s="19">
        <v>428508325</v>
      </c>
      <c r="E34" s="19">
        <v>97713412</v>
      </c>
      <c r="F34" s="19">
        <v>0</v>
      </c>
      <c r="G34" s="19">
        <v>3363585</v>
      </c>
      <c r="H34" s="19">
        <v>3892595</v>
      </c>
      <c r="I34" s="19">
        <v>14406</v>
      </c>
      <c r="J34" s="19">
        <v>473666</v>
      </c>
      <c r="K34" s="19">
        <v>12588968</v>
      </c>
      <c r="L34" s="19">
        <v>81992201</v>
      </c>
      <c r="M34" s="19">
        <v>0</v>
      </c>
      <c r="N34" s="19">
        <v>7680686</v>
      </c>
      <c r="O34" s="19">
        <v>1138330938</v>
      </c>
      <c r="P34" s="19">
        <v>50950035</v>
      </c>
      <c r="Q34" s="19">
        <v>110093986</v>
      </c>
      <c r="R34" s="19">
        <v>749201</v>
      </c>
      <c r="S34" s="19">
        <v>3991340</v>
      </c>
      <c r="T34" s="19">
        <v>7881117</v>
      </c>
      <c r="U34" s="20">
        <f t="shared" si="0"/>
        <v>1990879130</v>
      </c>
    </row>
    <row r="35" spans="1:21" ht="14.25" customHeight="1" x14ac:dyDescent="0.2">
      <c r="A35" s="17" t="s">
        <v>41</v>
      </c>
      <c r="B35" s="18" t="str">
        <f>'Parcel Ct by Type'!B35</f>
        <v>R-Prelim</v>
      </c>
      <c r="C35" s="19">
        <v>1053497764</v>
      </c>
      <c r="D35" s="19">
        <v>36010848954</v>
      </c>
      <c r="E35" s="19">
        <v>129933270</v>
      </c>
      <c r="F35" s="19">
        <v>5969990803</v>
      </c>
      <c r="G35" s="19">
        <v>290466456</v>
      </c>
      <c r="H35" s="19">
        <v>275739598</v>
      </c>
      <c r="I35" s="19">
        <v>8446416</v>
      </c>
      <c r="J35" s="19">
        <v>290869455</v>
      </c>
      <c r="K35" s="19">
        <v>140295315</v>
      </c>
      <c r="L35" s="19">
        <v>1624814324</v>
      </c>
      <c r="M35" s="19">
        <v>24846574</v>
      </c>
      <c r="N35" s="19">
        <v>362687679</v>
      </c>
      <c r="O35" s="19">
        <v>1892857557</v>
      </c>
      <c r="P35" s="19">
        <v>573175595</v>
      </c>
      <c r="Q35" s="19">
        <v>1438516904</v>
      </c>
      <c r="R35" s="19">
        <v>33420287</v>
      </c>
      <c r="S35" s="19">
        <v>27502757</v>
      </c>
      <c r="T35" s="19">
        <v>191745334</v>
      </c>
      <c r="U35" s="20">
        <f t="shared" si="0"/>
        <v>50339655042</v>
      </c>
    </row>
    <row r="36" spans="1:21" ht="14.25" customHeight="1" x14ac:dyDescent="0.2">
      <c r="A36" s="17" t="s">
        <v>42</v>
      </c>
      <c r="B36" s="18" t="str">
        <f>'Parcel Ct by Type'!B36</f>
        <v>R-Prelim</v>
      </c>
      <c r="C36" s="19">
        <v>198506678</v>
      </c>
      <c r="D36" s="19">
        <v>1582921282</v>
      </c>
      <c r="E36" s="19">
        <v>317795224</v>
      </c>
      <c r="F36" s="19">
        <v>0</v>
      </c>
      <c r="G36" s="19">
        <v>21089842</v>
      </c>
      <c r="H36" s="19">
        <v>32070301</v>
      </c>
      <c r="I36" s="19">
        <v>0</v>
      </c>
      <c r="J36" s="19">
        <v>2791993</v>
      </c>
      <c r="K36" s="19">
        <v>22967312</v>
      </c>
      <c r="L36" s="19">
        <v>258609687</v>
      </c>
      <c r="M36" s="19">
        <v>898231</v>
      </c>
      <c r="N36" s="19">
        <v>97705195</v>
      </c>
      <c r="O36" s="19">
        <v>1298384563</v>
      </c>
      <c r="P36" s="19">
        <v>149647698</v>
      </c>
      <c r="Q36" s="19">
        <v>449865592</v>
      </c>
      <c r="R36" s="19">
        <v>0</v>
      </c>
      <c r="S36" s="19">
        <v>40418929</v>
      </c>
      <c r="T36" s="19">
        <v>7274815</v>
      </c>
      <c r="U36" s="20">
        <f t="shared" si="0"/>
        <v>4480947342</v>
      </c>
    </row>
    <row r="37" spans="1:21" ht="14.25" customHeight="1" x14ac:dyDescent="0.2">
      <c r="A37" s="17" t="s">
        <v>43</v>
      </c>
      <c r="B37" s="18" t="str">
        <f>'Parcel Ct by Type'!B37</f>
        <v>R-Prelim</v>
      </c>
      <c r="C37" s="19">
        <v>70859295</v>
      </c>
      <c r="D37" s="19">
        <v>661404972</v>
      </c>
      <c r="E37" s="19">
        <v>151753012</v>
      </c>
      <c r="F37" s="19">
        <v>502007</v>
      </c>
      <c r="G37" s="19">
        <v>9838937</v>
      </c>
      <c r="H37" s="19">
        <v>6694294</v>
      </c>
      <c r="I37" s="19">
        <v>377492</v>
      </c>
      <c r="J37" s="19">
        <v>396997</v>
      </c>
      <c r="K37" s="19">
        <v>5782191</v>
      </c>
      <c r="L37" s="19">
        <v>52241054</v>
      </c>
      <c r="M37" s="19">
        <v>557957</v>
      </c>
      <c r="N37" s="19">
        <v>12919357</v>
      </c>
      <c r="O37" s="19">
        <v>1357456524</v>
      </c>
      <c r="P37" s="19">
        <v>35548916</v>
      </c>
      <c r="Q37" s="19">
        <v>115125776</v>
      </c>
      <c r="R37" s="19">
        <v>0</v>
      </c>
      <c r="S37" s="19">
        <v>113092702</v>
      </c>
      <c r="T37" s="19">
        <v>13099997</v>
      </c>
      <c r="U37" s="20">
        <f t="shared" si="0"/>
        <v>2607651480</v>
      </c>
    </row>
    <row r="38" spans="1:21" ht="14.25" customHeight="1" x14ac:dyDescent="0.2">
      <c r="A38" s="17" t="s">
        <v>44</v>
      </c>
      <c r="B38" s="18" t="str">
        <f>'Parcel Ct by Type'!B38</f>
        <v>R-Prelim</v>
      </c>
      <c r="C38" s="19">
        <v>38012583</v>
      </c>
      <c r="D38" s="19">
        <v>202027097</v>
      </c>
      <c r="E38" s="19">
        <v>69775550</v>
      </c>
      <c r="F38" s="19">
        <v>0</v>
      </c>
      <c r="G38" s="19">
        <v>1683226</v>
      </c>
      <c r="H38" s="19">
        <v>1368325</v>
      </c>
      <c r="I38" s="19">
        <v>0</v>
      </c>
      <c r="J38" s="19">
        <v>1524542</v>
      </c>
      <c r="K38" s="19">
        <v>1097454</v>
      </c>
      <c r="L38" s="19">
        <v>13331303</v>
      </c>
      <c r="M38" s="19">
        <v>40000</v>
      </c>
      <c r="N38" s="19">
        <v>2594454</v>
      </c>
      <c r="O38" s="19">
        <v>657155965</v>
      </c>
      <c r="P38" s="19">
        <v>18756357</v>
      </c>
      <c r="Q38" s="19">
        <v>101057046</v>
      </c>
      <c r="R38" s="19">
        <v>0</v>
      </c>
      <c r="S38" s="19">
        <v>2033145</v>
      </c>
      <c r="T38" s="19">
        <v>3476461</v>
      </c>
      <c r="U38" s="20">
        <f t="shared" si="0"/>
        <v>1113933508</v>
      </c>
    </row>
    <row r="39" spans="1:21" ht="14.25" customHeight="1" x14ac:dyDescent="0.2">
      <c r="A39" s="17" t="s">
        <v>45</v>
      </c>
      <c r="B39" s="18" t="str">
        <f>'Parcel Ct by Type'!B39</f>
        <v>R-Prelim</v>
      </c>
      <c r="C39" s="19">
        <v>1908022550</v>
      </c>
      <c r="D39" s="19">
        <v>49405776297</v>
      </c>
      <c r="E39" s="19">
        <v>2534194787</v>
      </c>
      <c r="F39" s="19">
        <v>859582322</v>
      </c>
      <c r="G39" s="19">
        <v>366655189</v>
      </c>
      <c r="H39" s="19">
        <v>1837939060</v>
      </c>
      <c r="I39" s="19">
        <v>271250600</v>
      </c>
      <c r="J39" s="19">
        <v>313606982</v>
      </c>
      <c r="K39" s="19">
        <v>635960773</v>
      </c>
      <c r="L39" s="19">
        <v>4664811316</v>
      </c>
      <c r="M39" s="19">
        <v>120480378</v>
      </c>
      <c r="N39" s="19">
        <v>1571270916</v>
      </c>
      <c r="O39" s="19">
        <v>2700841756</v>
      </c>
      <c r="P39" s="19">
        <v>728559027</v>
      </c>
      <c r="Q39" s="19">
        <v>1833281460</v>
      </c>
      <c r="R39" s="19">
        <v>0</v>
      </c>
      <c r="S39" s="19">
        <v>25864346</v>
      </c>
      <c r="T39" s="19">
        <v>695160937</v>
      </c>
      <c r="U39" s="20">
        <f t="shared" si="0"/>
        <v>70473258696</v>
      </c>
    </row>
    <row r="40" spans="1:21" ht="14.25" customHeight="1" x14ac:dyDescent="0.2">
      <c r="A40" s="17" t="s">
        <v>46</v>
      </c>
      <c r="B40" s="18" t="str">
        <f>'Parcel Ct by Type'!B40</f>
        <v>R-Prelim</v>
      </c>
      <c r="C40" s="19">
        <v>6927086109</v>
      </c>
      <c r="D40" s="19">
        <v>121962488520</v>
      </c>
      <c r="E40" s="19">
        <v>2070575513</v>
      </c>
      <c r="F40" s="19">
        <v>24600173148</v>
      </c>
      <c r="G40" s="19">
        <v>5298630310</v>
      </c>
      <c r="H40" s="19">
        <v>5654095455</v>
      </c>
      <c r="I40" s="19">
        <v>527203739</v>
      </c>
      <c r="J40" s="19">
        <v>888867985</v>
      </c>
      <c r="K40" s="19">
        <v>2743750291</v>
      </c>
      <c r="L40" s="19">
        <v>15231312866</v>
      </c>
      <c r="M40" s="19">
        <v>410136892</v>
      </c>
      <c r="N40" s="19">
        <v>6231813829</v>
      </c>
      <c r="O40" s="19">
        <v>2440590177</v>
      </c>
      <c r="P40" s="19">
        <v>5130660932</v>
      </c>
      <c r="Q40" s="19">
        <v>8667304167</v>
      </c>
      <c r="R40" s="19">
        <v>237910468</v>
      </c>
      <c r="S40" s="19">
        <v>392945276</v>
      </c>
      <c r="T40" s="19">
        <v>328375298</v>
      </c>
      <c r="U40" s="20">
        <f t="shared" si="0"/>
        <v>209743920975</v>
      </c>
    </row>
    <row r="41" spans="1:21" ht="14.25" customHeight="1" x14ac:dyDescent="0.2">
      <c r="A41" s="17" t="s">
        <v>47</v>
      </c>
      <c r="B41" s="18" t="str">
        <f>'Parcel Ct by Type'!B41</f>
        <v>R-Prelim</v>
      </c>
      <c r="C41" s="19">
        <v>336766185</v>
      </c>
      <c r="D41" s="19">
        <v>23044663635</v>
      </c>
      <c r="E41" s="19">
        <v>448879624</v>
      </c>
      <c r="F41" s="19">
        <v>746125126</v>
      </c>
      <c r="G41" s="19">
        <v>624981895</v>
      </c>
      <c r="H41" s="19">
        <v>4732150355</v>
      </c>
      <c r="I41" s="19">
        <v>0</v>
      </c>
      <c r="J41" s="19">
        <v>129492970</v>
      </c>
      <c r="K41" s="19">
        <v>224855450</v>
      </c>
      <c r="L41" s="19">
        <v>4201143708</v>
      </c>
      <c r="M41" s="19">
        <v>16718065</v>
      </c>
      <c r="N41" s="19">
        <v>902267367</v>
      </c>
      <c r="O41" s="19">
        <v>910713388</v>
      </c>
      <c r="P41" s="19">
        <v>1172996799</v>
      </c>
      <c r="Q41" s="19">
        <v>6805404310</v>
      </c>
      <c r="R41" s="19">
        <v>0</v>
      </c>
      <c r="S41" s="19">
        <v>32521423</v>
      </c>
      <c r="T41" s="19">
        <v>220343367</v>
      </c>
      <c r="U41" s="20">
        <f t="shared" si="0"/>
        <v>44550023667</v>
      </c>
    </row>
    <row r="42" spans="1:21" ht="14.25" customHeight="1" x14ac:dyDescent="0.2">
      <c r="A42" s="17" t="s">
        <v>48</v>
      </c>
      <c r="B42" s="18" t="str">
        <f>'Parcel Ct by Type'!B42</f>
        <v>R-Prelim</v>
      </c>
      <c r="C42" s="19">
        <v>440300579</v>
      </c>
      <c r="D42" s="19">
        <v>2172457004</v>
      </c>
      <c r="E42" s="19">
        <v>1342130966</v>
      </c>
      <c r="F42" s="19">
        <v>38307598</v>
      </c>
      <c r="G42" s="19">
        <v>20022268</v>
      </c>
      <c r="H42" s="19">
        <v>19985584</v>
      </c>
      <c r="I42" s="19">
        <v>0</v>
      </c>
      <c r="J42" s="19">
        <v>4539427</v>
      </c>
      <c r="K42" s="19">
        <v>24500099</v>
      </c>
      <c r="L42" s="19">
        <v>282118817</v>
      </c>
      <c r="M42" s="19">
        <v>834398</v>
      </c>
      <c r="N42" s="19">
        <v>34741277</v>
      </c>
      <c r="O42" s="19">
        <v>2962064909</v>
      </c>
      <c r="P42" s="19">
        <v>89318727</v>
      </c>
      <c r="Q42" s="19">
        <v>430275210</v>
      </c>
      <c r="R42" s="19">
        <v>3399822</v>
      </c>
      <c r="S42" s="19">
        <v>19222799</v>
      </c>
      <c r="T42" s="19">
        <v>36639238</v>
      </c>
      <c r="U42" s="20">
        <f t="shared" si="0"/>
        <v>7920858722</v>
      </c>
    </row>
    <row r="43" spans="1:21" ht="14.25" customHeight="1" x14ac:dyDescent="0.2">
      <c r="A43" s="17" t="s">
        <v>49</v>
      </c>
      <c r="B43" s="18" t="str">
        <f>'Parcel Ct by Type'!B43</f>
        <v>R-Prelim</v>
      </c>
      <c r="C43" s="19">
        <v>13352393</v>
      </c>
      <c r="D43" s="19">
        <v>195632057</v>
      </c>
      <c r="E43" s="19">
        <v>36906136</v>
      </c>
      <c r="F43" s="19"/>
      <c r="G43" s="19">
        <v>5612198</v>
      </c>
      <c r="H43" s="19">
        <v>1074572</v>
      </c>
      <c r="I43" s="19">
        <v>0</v>
      </c>
      <c r="J43" s="19">
        <v>328084</v>
      </c>
      <c r="K43" s="19">
        <v>732434</v>
      </c>
      <c r="L43" s="19">
        <v>22309540</v>
      </c>
      <c r="M43" s="19"/>
      <c r="N43" s="19">
        <v>22538904</v>
      </c>
      <c r="O43" s="19">
        <v>289014167</v>
      </c>
      <c r="P43" s="19">
        <v>23067102</v>
      </c>
      <c r="Q43" s="19">
        <v>352497800</v>
      </c>
      <c r="R43" s="19"/>
      <c r="S43" s="19">
        <v>1758936</v>
      </c>
      <c r="T43" s="19">
        <v>1988376</v>
      </c>
      <c r="U43" s="20">
        <f t="shared" si="0"/>
        <v>966812699</v>
      </c>
    </row>
    <row r="44" spans="1:21" ht="14.25" customHeight="1" x14ac:dyDescent="0.2">
      <c r="A44" s="17" t="s">
        <v>50</v>
      </c>
      <c r="B44" s="18" t="str">
        <f>'Parcel Ct by Type'!B44</f>
        <v>R-Prelim</v>
      </c>
      <c r="C44" s="19">
        <v>111644348</v>
      </c>
      <c r="D44" s="19">
        <v>560965572</v>
      </c>
      <c r="E44" s="19">
        <v>212617876</v>
      </c>
      <c r="F44" s="19">
        <v>0</v>
      </c>
      <c r="G44" s="19">
        <v>32583312</v>
      </c>
      <c r="H44" s="19">
        <v>10271741</v>
      </c>
      <c r="I44" s="19">
        <v>0</v>
      </c>
      <c r="J44" s="19">
        <v>0</v>
      </c>
      <c r="K44" s="19">
        <v>3868673</v>
      </c>
      <c r="L44" s="19">
        <v>105122569</v>
      </c>
      <c r="M44" s="19">
        <v>160553</v>
      </c>
      <c r="N44" s="19">
        <v>96542333</v>
      </c>
      <c r="O44" s="19">
        <v>962279480</v>
      </c>
      <c r="P44" s="19">
        <v>65900458</v>
      </c>
      <c r="Q44" s="19">
        <v>108297459</v>
      </c>
      <c r="R44" s="19"/>
      <c r="S44" s="19">
        <v>13158100</v>
      </c>
      <c r="T44" s="19">
        <v>25203203</v>
      </c>
      <c r="U44" s="20">
        <f t="shared" si="0"/>
        <v>2308615677</v>
      </c>
    </row>
    <row r="45" spans="1:21" ht="14.25" customHeight="1" x14ac:dyDescent="0.2">
      <c r="A45" s="17" t="s">
        <v>51</v>
      </c>
      <c r="B45" s="18" t="str">
        <f>'Parcel Ct by Type'!B45</f>
        <v>R-Prelim</v>
      </c>
      <c r="C45" s="19">
        <v>2089486177</v>
      </c>
      <c r="D45" s="19">
        <v>67762525551</v>
      </c>
      <c r="E45" s="19">
        <v>508582581</v>
      </c>
      <c r="F45" s="19">
        <v>9654999398</v>
      </c>
      <c r="G45" s="19">
        <v>1979502238</v>
      </c>
      <c r="H45" s="19">
        <v>3849453067</v>
      </c>
      <c r="I45" s="19">
        <v>509415499</v>
      </c>
      <c r="J45" s="19">
        <v>151476011</v>
      </c>
      <c r="K45" s="19">
        <v>359299667</v>
      </c>
      <c r="L45" s="19">
        <v>6010861538</v>
      </c>
      <c r="M45" s="19">
        <v>103720498</v>
      </c>
      <c r="N45" s="19">
        <v>3265826577</v>
      </c>
      <c r="O45" s="19">
        <v>1866442362</v>
      </c>
      <c r="P45" s="19">
        <v>2024540462</v>
      </c>
      <c r="Q45" s="19">
        <v>2724082796</v>
      </c>
      <c r="R45" s="19">
        <v>79194840</v>
      </c>
      <c r="S45" s="19">
        <v>100670309</v>
      </c>
      <c r="T45" s="19">
        <v>434720817</v>
      </c>
      <c r="U45" s="20">
        <f t="shared" si="0"/>
        <v>103474800388</v>
      </c>
    </row>
    <row r="46" spans="1:21" ht="14.25" customHeight="1" x14ac:dyDescent="0.2">
      <c r="A46" s="17" t="s">
        <v>52</v>
      </c>
      <c r="B46" s="18" t="str">
        <f>'Parcel Ct by Type'!B46</f>
        <v>R-Prelim</v>
      </c>
      <c r="C46" s="19">
        <v>2114396431</v>
      </c>
      <c r="D46" s="19">
        <v>38427413616</v>
      </c>
      <c r="E46" s="19">
        <v>2820664252</v>
      </c>
      <c r="F46" s="19">
        <v>336785905</v>
      </c>
      <c r="G46" s="19">
        <v>1303124594</v>
      </c>
      <c r="H46" s="19">
        <v>1295824568</v>
      </c>
      <c r="I46" s="19">
        <v>0</v>
      </c>
      <c r="J46" s="19">
        <v>334496590</v>
      </c>
      <c r="K46" s="19">
        <v>629653069</v>
      </c>
      <c r="L46" s="19">
        <v>4383699856</v>
      </c>
      <c r="M46" s="19">
        <v>120341806</v>
      </c>
      <c r="N46" s="19">
        <v>2368952657</v>
      </c>
      <c r="O46" s="19">
        <v>8457169323</v>
      </c>
      <c r="P46" s="19">
        <v>1378964532</v>
      </c>
      <c r="Q46" s="19">
        <v>3254012354</v>
      </c>
      <c r="R46" s="19">
        <v>23890941</v>
      </c>
      <c r="S46" s="19">
        <v>78697146</v>
      </c>
      <c r="T46" s="19">
        <v>377492265</v>
      </c>
      <c r="U46" s="20">
        <f t="shared" si="0"/>
        <v>67705579905</v>
      </c>
    </row>
    <row r="47" spans="1:21" ht="14.25" customHeight="1" x14ac:dyDescent="0.2">
      <c r="A47" s="17" t="s">
        <v>53</v>
      </c>
      <c r="B47" s="18" t="str">
        <f>'Parcel Ct by Type'!B47</f>
        <v>R-Prelim</v>
      </c>
      <c r="C47" s="19">
        <v>2770018140</v>
      </c>
      <c r="D47" s="19">
        <v>39464545577</v>
      </c>
      <c r="E47" s="19">
        <v>432185107</v>
      </c>
      <c r="F47" s="19">
        <v>3696425227</v>
      </c>
      <c r="G47" s="19">
        <v>516810870</v>
      </c>
      <c r="H47" s="19">
        <v>799052860</v>
      </c>
      <c r="I47" s="19">
        <v>95567230</v>
      </c>
      <c r="J47" s="19">
        <v>2951450</v>
      </c>
      <c r="K47" s="19">
        <v>293580908</v>
      </c>
      <c r="L47" s="19">
        <v>3371426919</v>
      </c>
      <c r="M47" s="19">
        <v>119474100</v>
      </c>
      <c r="N47" s="19">
        <v>1381202028</v>
      </c>
      <c r="O47" s="19">
        <v>3343919278</v>
      </c>
      <c r="P47" s="19">
        <v>789712472</v>
      </c>
      <c r="Q47" s="19">
        <v>1496969592</v>
      </c>
      <c r="R47" s="19">
        <v>44786950</v>
      </c>
      <c r="S47" s="19">
        <v>70003060</v>
      </c>
      <c r="T47" s="19">
        <v>306860542</v>
      </c>
      <c r="U47" s="20">
        <f t="shared" si="0"/>
        <v>58995492310</v>
      </c>
    </row>
    <row r="48" spans="1:21" ht="14.25" customHeight="1" x14ac:dyDescent="0.2">
      <c r="A48" s="17" t="s">
        <v>54</v>
      </c>
      <c r="B48" s="18" t="str">
        <f>'Parcel Ct by Type'!B48</f>
        <v>R-Prelim</v>
      </c>
      <c r="C48" s="19">
        <v>2115009499</v>
      </c>
      <c r="D48" s="19">
        <v>42487520400</v>
      </c>
      <c r="E48" s="19">
        <v>2008693905</v>
      </c>
      <c r="F48" s="19">
        <v>6836021659</v>
      </c>
      <c r="G48" s="19">
        <v>2027402903</v>
      </c>
      <c r="H48" s="19">
        <v>670445825</v>
      </c>
      <c r="I48" s="19">
        <v>18514271</v>
      </c>
      <c r="J48" s="19">
        <v>162560202</v>
      </c>
      <c r="K48" s="19">
        <v>248351794</v>
      </c>
      <c r="L48" s="19">
        <v>9792778933</v>
      </c>
      <c r="M48" s="19">
        <v>10597428</v>
      </c>
      <c r="N48" s="19">
        <v>433504326</v>
      </c>
      <c r="O48" s="19">
        <v>53561</v>
      </c>
      <c r="P48" s="19">
        <v>691294240</v>
      </c>
      <c r="Q48" s="19">
        <v>4636437129</v>
      </c>
      <c r="R48" s="19">
        <v>5053240</v>
      </c>
      <c r="S48" s="19">
        <v>150033450</v>
      </c>
      <c r="T48" s="19">
        <v>9695966</v>
      </c>
      <c r="U48" s="20">
        <f t="shared" si="0"/>
        <v>72303968731</v>
      </c>
    </row>
    <row r="49" spans="1:21" ht="14.25" customHeight="1" x14ac:dyDescent="0.2">
      <c r="A49" s="17" t="s">
        <v>55</v>
      </c>
      <c r="B49" s="18" t="str">
        <f>'Parcel Ct by Type'!B49</f>
        <v>R-Prelim</v>
      </c>
      <c r="C49" s="19">
        <v>807592381</v>
      </c>
      <c r="D49" s="19">
        <v>18564600262</v>
      </c>
      <c r="E49" s="19">
        <v>1200630159</v>
      </c>
      <c r="F49" s="19">
        <v>2860646911</v>
      </c>
      <c r="G49" s="19">
        <v>285617902</v>
      </c>
      <c r="H49" s="19">
        <v>501002973</v>
      </c>
      <c r="I49" s="19">
        <v>0</v>
      </c>
      <c r="J49" s="19">
        <v>118242942</v>
      </c>
      <c r="K49" s="19">
        <v>217092538</v>
      </c>
      <c r="L49" s="19">
        <v>1617740975</v>
      </c>
      <c r="M49" s="19">
        <v>24934221</v>
      </c>
      <c r="N49" s="19">
        <v>294824782</v>
      </c>
      <c r="O49" s="19">
        <v>2597378320</v>
      </c>
      <c r="P49" s="19">
        <v>437080558</v>
      </c>
      <c r="Q49" s="19">
        <v>1463725563</v>
      </c>
      <c r="R49" s="19">
        <v>4539860</v>
      </c>
      <c r="S49" s="19">
        <v>95885231</v>
      </c>
      <c r="T49" s="19">
        <v>246913817</v>
      </c>
      <c r="U49" s="20">
        <f t="shared" si="0"/>
        <v>31338449395</v>
      </c>
    </row>
    <row r="50" spans="1:21" ht="14.25" customHeight="1" x14ac:dyDescent="0.2">
      <c r="A50" s="17" t="s">
        <v>56</v>
      </c>
      <c r="B50" s="18" t="str">
        <f>'Parcel Ct by Type'!B50</f>
        <v>R-Prelim</v>
      </c>
      <c r="C50" s="19">
        <v>815985135</v>
      </c>
      <c r="D50" s="19">
        <v>26366068078</v>
      </c>
      <c r="E50" s="19">
        <v>424642672</v>
      </c>
      <c r="F50" s="19">
        <v>6445923475</v>
      </c>
      <c r="G50" s="19">
        <v>406533379</v>
      </c>
      <c r="H50" s="19">
        <v>1046257142</v>
      </c>
      <c r="I50" s="19">
        <v>840000</v>
      </c>
      <c r="J50" s="19">
        <v>12834088</v>
      </c>
      <c r="K50" s="19">
        <v>221119448</v>
      </c>
      <c r="L50" s="19">
        <v>3082212365</v>
      </c>
      <c r="M50" s="19">
        <v>2901976</v>
      </c>
      <c r="N50" s="19">
        <v>599643727</v>
      </c>
      <c r="O50" s="19">
        <v>610022725</v>
      </c>
      <c r="P50" s="19">
        <v>474013933</v>
      </c>
      <c r="Q50" s="19">
        <v>2548654735</v>
      </c>
      <c r="R50" s="19">
        <v>0</v>
      </c>
      <c r="S50" s="19">
        <v>55807789</v>
      </c>
      <c r="T50" s="19">
        <v>123031154</v>
      </c>
      <c r="U50" s="20">
        <f t="shared" si="0"/>
        <v>43236491821</v>
      </c>
    </row>
    <row r="51" spans="1:21" ht="14.25" customHeight="1" x14ac:dyDescent="0.2">
      <c r="A51" s="17" t="s">
        <v>57</v>
      </c>
      <c r="B51" s="18" t="str">
        <f>'Parcel Ct by Type'!B51</f>
        <v>R-Prelim</v>
      </c>
      <c r="C51" s="19">
        <v>343129904</v>
      </c>
      <c r="D51" s="19">
        <v>2292363088</v>
      </c>
      <c r="E51" s="19">
        <v>806381414</v>
      </c>
      <c r="F51" s="19">
        <v>23755518</v>
      </c>
      <c r="G51" s="19">
        <v>100459724</v>
      </c>
      <c r="H51" s="19">
        <v>26191570</v>
      </c>
      <c r="I51" s="19">
        <v>0</v>
      </c>
      <c r="J51" s="19">
        <v>1125071</v>
      </c>
      <c r="K51" s="19">
        <v>31227117</v>
      </c>
      <c r="L51" s="19">
        <v>523678109</v>
      </c>
      <c r="M51" s="19">
        <v>11021908</v>
      </c>
      <c r="N51" s="19">
        <v>116244423</v>
      </c>
      <c r="O51" s="19">
        <v>3819323127</v>
      </c>
      <c r="P51" s="19">
        <v>140552547</v>
      </c>
      <c r="Q51" s="19">
        <v>1060237470</v>
      </c>
      <c r="R51" s="19">
        <v>9745597</v>
      </c>
      <c r="S51" s="19">
        <v>110713841</v>
      </c>
      <c r="T51" s="19">
        <v>57244474</v>
      </c>
      <c r="U51" s="20">
        <f t="shared" si="0"/>
        <v>9473394902</v>
      </c>
    </row>
    <row r="52" spans="1:21" ht="14.25" customHeight="1" x14ac:dyDescent="0.2">
      <c r="A52" s="17" t="s">
        <v>58</v>
      </c>
      <c r="B52" s="18" t="str">
        <f>'Parcel Ct by Type'!B52</f>
        <v>R-Prelim</v>
      </c>
      <c r="C52" s="19">
        <v>2229711729</v>
      </c>
      <c r="D52" s="19">
        <v>163839296083</v>
      </c>
      <c r="E52" s="19">
        <v>950742035</v>
      </c>
      <c r="F52" s="19">
        <v>10192382818</v>
      </c>
      <c r="G52" s="19">
        <v>1616730564</v>
      </c>
      <c r="H52" s="19">
        <v>28687051808</v>
      </c>
      <c r="I52" s="19">
        <v>0</v>
      </c>
      <c r="J52" s="19">
        <v>85965704</v>
      </c>
      <c r="K52" s="19">
        <v>2601272336</v>
      </c>
      <c r="L52" s="19">
        <v>69962930774</v>
      </c>
      <c r="M52" s="19">
        <v>646663471</v>
      </c>
      <c r="N52" s="19">
        <v>19229659708</v>
      </c>
      <c r="O52" s="19">
        <v>2862276696</v>
      </c>
      <c r="P52" s="19">
        <v>4591217891</v>
      </c>
      <c r="Q52" s="19">
        <v>31417666122</v>
      </c>
      <c r="R52" s="19">
        <v>4352322</v>
      </c>
      <c r="S52" s="19">
        <v>126535459</v>
      </c>
      <c r="T52" s="19">
        <v>715147074</v>
      </c>
      <c r="U52" s="20">
        <f t="shared" si="0"/>
        <v>339759602594</v>
      </c>
    </row>
    <row r="53" spans="1:21" ht="14.25" customHeight="1" x14ac:dyDescent="0.2">
      <c r="A53" s="17" t="s">
        <v>59</v>
      </c>
      <c r="B53" s="18" t="str">
        <f>'Parcel Ct by Type'!B53</f>
        <v>R-Prelim</v>
      </c>
      <c r="C53" s="19">
        <v>1079552442</v>
      </c>
      <c r="D53" s="19">
        <v>50414301802</v>
      </c>
      <c r="E53" s="19">
        <v>978408102</v>
      </c>
      <c r="F53" s="19">
        <v>5915181681</v>
      </c>
      <c r="G53" s="19">
        <v>387005000</v>
      </c>
      <c r="H53" s="19">
        <v>5032558810</v>
      </c>
      <c r="I53" s="19">
        <v>0</v>
      </c>
      <c r="J53" s="19">
        <v>16380547</v>
      </c>
      <c r="K53" s="19">
        <v>881592368</v>
      </c>
      <c r="L53" s="19">
        <v>7392420417</v>
      </c>
      <c r="M53" s="19">
        <v>96928800</v>
      </c>
      <c r="N53" s="19">
        <v>1586314202</v>
      </c>
      <c r="O53" s="19">
        <v>3161100700</v>
      </c>
      <c r="P53" s="19">
        <v>1169398127</v>
      </c>
      <c r="Q53" s="19">
        <v>2802540920</v>
      </c>
      <c r="R53" s="19">
        <v>7879000</v>
      </c>
      <c r="S53" s="19">
        <v>198543538</v>
      </c>
      <c r="T53" s="19">
        <v>205206302</v>
      </c>
      <c r="U53" s="20">
        <f t="shared" si="0"/>
        <v>81325312758</v>
      </c>
    </row>
    <row r="54" spans="1:21" ht="14.25" customHeight="1" x14ac:dyDescent="0.2">
      <c r="A54" s="17" t="s">
        <v>60</v>
      </c>
      <c r="B54" s="18" t="str">
        <f>'Parcel Ct by Type'!B54</f>
        <v>R-Prelim</v>
      </c>
      <c r="C54" s="19">
        <v>8875525703</v>
      </c>
      <c r="D54" s="19">
        <v>322859408747</v>
      </c>
      <c r="E54" s="19">
        <v>593546159</v>
      </c>
      <c r="F54" s="19">
        <v>71339349370</v>
      </c>
      <c r="G54" s="19">
        <v>6439884876</v>
      </c>
      <c r="H54" s="19">
        <v>17608177923</v>
      </c>
      <c r="I54" s="19">
        <v>2290081829</v>
      </c>
      <c r="J54" s="19">
        <v>3344230132</v>
      </c>
      <c r="K54" s="19">
        <v>2261753976</v>
      </c>
      <c r="L54" s="19">
        <v>43739454633</v>
      </c>
      <c r="M54" s="19">
        <v>314942752</v>
      </c>
      <c r="N54" s="19">
        <v>14405381392</v>
      </c>
      <c r="O54" s="19">
        <v>13492056844</v>
      </c>
      <c r="P54" s="19">
        <v>6889359424</v>
      </c>
      <c r="Q54" s="19">
        <v>18759654013</v>
      </c>
      <c r="R54" s="19">
        <v>1229391110</v>
      </c>
      <c r="S54" s="19">
        <v>664286513</v>
      </c>
      <c r="T54" s="19">
        <v>9649015</v>
      </c>
      <c r="U54" s="20">
        <f t="shared" si="0"/>
        <v>535116134411</v>
      </c>
    </row>
    <row r="55" spans="1:21" ht="14.25" customHeight="1" x14ac:dyDescent="0.2">
      <c r="A55" s="17" t="s">
        <v>61</v>
      </c>
      <c r="B55" s="18" t="str">
        <f>'Parcel Ct by Type'!B55</f>
        <v>R-Prelim</v>
      </c>
      <c r="C55" s="19">
        <v>1448158131</v>
      </c>
      <c r="D55" s="19">
        <v>68817629046</v>
      </c>
      <c r="E55" s="19">
        <v>2997652111</v>
      </c>
      <c r="F55" s="19">
        <v>1571316393</v>
      </c>
      <c r="G55" s="19">
        <v>806308956</v>
      </c>
      <c r="H55" s="19">
        <v>3549789358</v>
      </c>
      <c r="I55" s="19">
        <v>0</v>
      </c>
      <c r="J55" s="19">
        <v>73860367</v>
      </c>
      <c r="K55" s="19">
        <v>1065762361</v>
      </c>
      <c r="L55" s="19">
        <v>6349403032</v>
      </c>
      <c r="M55" s="19">
        <v>85128540</v>
      </c>
      <c r="N55" s="19">
        <v>2157185602</v>
      </c>
      <c r="O55" s="19">
        <v>2137514463</v>
      </c>
      <c r="P55" s="19">
        <v>1290982863</v>
      </c>
      <c r="Q55" s="19">
        <v>2233506809</v>
      </c>
      <c r="R55" s="19">
        <v>269424</v>
      </c>
      <c r="S55" s="19">
        <v>73678153</v>
      </c>
      <c r="T55" s="19">
        <v>195015769</v>
      </c>
      <c r="U55" s="20">
        <f t="shared" si="0"/>
        <v>94853161378</v>
      </c>
    </row>
    <row r="56" spans="1:21" ht="14.25" customHeight="1" x14ac:dyDescent="0.2">
      <c r="A56" s="17" t="s">
        <v>62</v>
      </c>
      <c r="B56" s="18" t="str">
        <f>'Parcel Ct by Type'!B56</f>
        <v>R-Prelim</v>
      </c>
      <c r="C56" s="19">
        <v>2603629196</v>
      </c>
      <c r="D56" s="19">
        <v>116903838155</v>
      </c>
      <c r="E56" s="19">
        <v>1723476677</v>
      </c>
      <c r="F56" s="19">
        <v>31407942628</v>
      </c>
      <c r="G56" s="19">
        <v>7091767769</v>
      </c>
      <c r="H56" s="19">
        <v>10821582149</v>
      </c>
      <c r="I56" s="19">
        <v>195916522</v>
      </c>
      <c r="J56" s="19">
        <v>45386451</v>
      </c>
      <c r="K56" s="19">
        <v>1936843750</v>
      </c>
      <c r="L56" s="19">
        <v>20131932038</v>
      </c>
      <c r="M56" s="19">
        <v>234845055</v>
      </c>
      <c r="N56" s="19">
        <v>6505945781</v>
      </c>
      <c r="O56" s="19">
        <v>95061536</v>
      </c>
      <c r="P56" s="19">
        <v>5558624912</v>
      </c>
      <c r="Q56" s="19">
        <v>6413829308</v>
      </c>
      <c r="R56" s="19">
        <v>924711844</v>
      </c>
      <c r="S56" s="19">
        <v>430032334</v>
      </c>
      <c r="T56" s="19">
        <v>180798616</v>
      </c>
      <c r="U56" s="20">
        <f t="shared" si="0"/>
        <v>213206164721</v>
      </c>
    </row>
    <row r="57" spans="1:21" ht="14.25" customHeight="1" x14ac:dyDescent="0.2">
      <c r="A57" s="17" t="s">
        <v>63</v>
      </c>
      <c r="B57" s="18" t="str">
        <f>'Parcel Ct by Type'!B57</f>
        <v>R-Prelim</v>
      </c>
      <c r="C57" s="19">
        <v>1927415339</v>
      </c>
      <c r="D57" s="19">
        <v>63882258754</v>
      </c>
      <c r="E57" s="19">
        <v>4175600237</v>
      </c>
      <c r="F57" s="19">
        <v>1059847444</v>
      </c>
      <c r="G57" s="19">
        <v>1833305593</v>
      </c>
      <c r="H57" s="19">
        <v>4677271638</v>
      </c>
      <c r="I57" s="19">
        <v>11760400</v>
      </c>
      <c r="J57" s="19">
        <v>347742906</v>
      </c>
      <c r="K57" s="19">
        <v>674074915</v>
      </c>
      <c r="L57" s="19">
        <v>8015488960</v>
      </c>
      <c r="M57" s="19">
        <v>157271099</v>
      </c>
      <c r="N57" s="19">
        <v>6700449132</v>
      </c>
      <c r="O57" s="19">
        <v>2950300672</v>
      </c>
      <c r="P57" s="19">
        <v>2331076474</v>
      </c>
      <c r="Q57" s="19">
        <v>3199876876</v>
      </c>
      <c r="R57" s="19">
        <v>0</v>
      </c>
      <c r="S57" s="19">
        <v>251140732</v>
      </c>
      <c r="T57" s="19">
        <v>596721321</v>
      </c>
      <c r="U57" s="20">
        <f t="shared" si="0"/>
        <v>102791602492</v>
      </c>
    </row>
    <row r="58" spans="1:21" ht="14.25" customHeight="1" x14ac:dyDescent="0.2">
      <c r="A58" s="17" t="s">
        <v>64</v>
      </c>
      <c r="B58" s="18" t="str">
        <f>'Parcel Ct by Type'!B58</f>
        <v>R-Prelim</v>
      </c>
      <c r="C58" s="19">
        <v>496223170</v>
      </c>
      <c r="D58" s="19">
        <v>4085320735</v>
      </c>
      <c r="E58" s="19">
        <v>1846901685</v>
      </c>
      <c r="F58" s="19">
        <v>48994340</v>
      </c>
      <c r="G58" s="19">
        <v>33652494</v>
      </c>
      <c r="H58" s="19">
        <v>85010182</v>
      </c>
      <c r="I58" s="19">
        <v>0</v>
      </c>
      <c r="J58" s="19">
        <v>184591929</v>
      </c>
      <c r="K58" s="19">
        <v>33829785</v>
      </c>
      <c r="L58" s="19">
        <v>653228275</v>
      </c>
      <c r="M58" s="19">
        <v>11223415</v>
      </c>
      <c r="N58" s="19">
        <v>717363590</v>
      </c>
      <c r="O58" s="19">
        <v>682011300</v>
      </c>
      <c r="P58" s="19">
        <v>270207632</v>
      </c>
      <c r="Q58" s="19">
        <v>681309939</v>
      </c>
      <c r="R58" s="19">
        <v>13449820</v>
      </c>
      <c r="S58" s="19">
        <v>147501261</v>
      </c>
      <c r="T58" s="19">
        <v>203878452</v>
      </c>
      <c r="U58" s="20">
        <f t="shared" si="0"/>
        <v>10194698004</v>
      </c>
    </row>
    <row r="59" spans="1:21" ht="14.25" customHeight="1" x14ac:dyDescent="0.2">
      <c r="A59" s="17" t="s">
        <v>65</v>
      </c>
      <c r="B59" s="18" t="str">
        <f>'Parcel Ct by Type'!B59</f>
        <v>R-Prelim</v>
      </c>
      <c r="C59" s="19">
        <v>1987931565</v>
      </c>
      <c r="D59" s="19">
        <v>65542325835</v>
      </c>
      <c r="E59" s="19">
        <v>1020744981</v>
      </c>
      <c r="F59" s="19">
        <v>4997697302</v>
      </c>
      <c r="G59" s="19">
        <v>1300735533</v>
      </c>
      <c r="H59" s="19">
        <v>1330693422</v>
      </c>
      <c r="I59" s="19">
        <v>0</v>
      </c>
      <c r="J59" s="19">
        <v>5895613</v>
      </c>
      <c r="K59" s="19">
        <v>828458409</v>
      </c>
      <c r="L59" s="19">
        <v>5668890698</v>
      </c>
      <c r="M59" s="19">
        <v>2853370</v>
      </c>
      <c r="N59" s="19">
        <v>1289690129</v>
      </c>
      <c r="O59" s="19">
        <v>1639940676</v>
      </c>
      <c r="P59" s="19">
        <v>1544138511</v>
      </c>
      <c r="Q59" s="19">
        <v>2623342169</v>
      </c>
      <c r="R59" s="19">
        <v>36705501</v>
      </c>
      <c r="S59" s="19">
        <v>241283703</v>
      </c>
      <c r="T59" s="19">
        <v>317474460</v>
      </c>
      <c r="U59" s="20">
        <f t="shared" si="0"/>
        <v>90378801877</v>
      </c>
    </row>
    <row r="60" spans="1:21" ht="14.25" customHeight="1" x14ac:dyDescent="0.2">
      <c r="A60" s="17" t="s">
        <v>66</v>
      </c>
      <c r="B60" s="18" t="str">
        <f>'Parcel Ct by Type'!B60</f>
        <v>R-Prelim</v>
      </c>
      <c r="C60" s="19">
        <v>1905152700</v>
      </c>
      <c r="D60" s="19">
        <v>46188616682</v>
      </c>
      <c r="E60" s="19">
        <v>853009100</v>
      </c>
      <c r="F60" s="19">
        <v>3997461800</v>
      </c>
      <c r="G60" s="19">
        <v>511315300</v>
      </c>
      <c r="H60" s="19">
        <v>1611308000</v>
      </c>
      <c r="I60" s="19">
        <v>1009200</v>
      </c>
      <c r="J60" s="19">
        <v>43547800</v>
      </c>
      <c r="K60" s="19">
        <v>736046406</v>
      </c>
      <c r="L60" s="19">
        <v>4359150896</v>
      </c>
      <c r="M60" s="19">
        <v>204813100</v>
      </c>
      <c r="N60" s="19">
        <v>2383827200</v>
      </c>
      <c r="O60" s="19">
        <v>2515110629</v>
      </c>
      <c r="P60" s="19">
        <v>1096829021</v>
      </c>
      <c r="Q60" s="19">
        <v>2475368500</v>
      </c>
      <c r="R60" s="19">
        <v>11728100</v>
      </c>
      <c r="S60" s="19">
        <v>322434420</v>
      </c>
      <c r="T60" s="19">
        <v>212165400</v>
      </c>
      <c r="U60" s="20">
        <f t="shared" si="0"/>
        <v>69428894254</v>
      </c>
    </row>
    <row r="61" spans="1:21" ht="14.25" customHeight="1" x14ac:dyDescent="0.2">
      <c r="A61" s="17" t="s">
        <v>67</v>
      </c>
      <c r="B61" s="18" t="str">
        <f>'Parcel Ct by Type'!B61</f>
        <v>R-Prelim</v>
      </c>
      <c r="C61" s="19">
        <v>1026421999</v>
      </c>
      <c r="D61" s="19">
        <v>22354879272</v>
      </c>
      <c r="E61" s="19">
        <v>700190935</v>
      </c>
      <c r="F61" s="19">
        <v>813175101</v>
      </c>
      <c r="G61" s="19">
        <v>178644038</v>
      </c>
      <c r="H61" s="19">
        <v>474779148</v>
      </c>
      <c r="I61" s="19">
        <v>0</v>
      </c>
      <c r="J61" s="19">
        <v>68132863</v>
      </c>
      <c r="K61" s="19">
        <v>322118634</v>
      </c>
      <c r="L61" s="19">
        <v>1611303298</v>
      </c>
      <c r="M61" s="19">
        <v>49936398</v>
      </c>
      <c r="N61" s="19">
        <v>475130033</v>
      </c>
      <c r="O61" s="19">
        <v>1619980980</v>
      </c>
      <c r="P61" s="19">
        <v>401432838</v>
      </c>
      <c r="Q61" s="19">
        <v>3652006999</v>
      </c>
      <c r="R61" s="19">
        <v>0</v>
      </c>
      <c r="S61" s="19">
        <v>151297804</v>
      </c>
      <c r="T61" s="19">
        <v>151622584</v>
      </c>
      <c r="U61" s="20">
        <f t="shared" si="0"/>
        <v>34051052924</v>
      </c>
    </row>
    <row r="62" spans="1:21" ht="14.25" customHeight="1" x14ac:dyDescent="0.2">
      <c r="A62" s="17" t="s">
        <v>68</v>
      </c>
      <c r="B62" s="18" t="str">
        <f>'Parcel Ct by Type'!B62</f>
        <v>R-Prelim</v>
      </c>
      <c r="C62" s="19">
        <v>3444659500</v>
      </c>
      <c r="D62" s="19">
        <v>79911190900</v>
      </c>
      <c r="E62" s="19">
        <v>1243686700</v>
      </c>
      <c r="F62" s="19">
        <v>23929508500</v>
      </c>
      <c r="G62" s="19">
        <v>4127166700</v>
      </c>
      <c r="H62" s="19">
        <v>3746158000</v>
      </c>
      <c r="I62" s="19">
        <v>89929500</v>
      </c>
      <c r="J62" s="19">
        <v>1046654800</v>
      </c>
      <c r="K62" s="19">
        <v>987913800</v>
      </c>
      <c r="L62" s="19">
        <v>12844649300</v>
      </c>
      <c r="M62" s="19">
        <v>96642600</v>
      </c>
      <c r="N62" s="19">
        <v>3336488900</v>
      </c>
      <c r="O62" s="19">
        <v>2472142200</v>
      </c>
      <c r="P62" s="19">
        <v>3103368800</v>
      </c>
      <c r="Q62" s="19">
        <v>6130425600</v>
      </c>
      <c r="R62" s="19">
        <v>14479900</v>
      </c>
      <c r="S62" s="19">
        <v>421301100</v>
      </c>
      <c r="T62" s="19">
        <v>459149600</v>
      </c>
      <c r="U62" s="20">
        <f t="shared" si="0"/>
        <v>147405516400</v>
      </c>
    </row>
    <row r="63" spans="1:21" ht="14.25" customHeight="1" x14ac:dyDescent="0.2">
      <c r="A63" s="17" t="s">
        <v>69</v>
      </c>
      <c r="B63" s="18" t="str">
        <f>'Parcel Ct by Type'!B63</f>
        <v>R-Prelim</v>
      </c>
      <c r="C63" s="19">
        <v>627821343</v>
      </c>
      <c r="D63" s="19">
        <v>56871620627</v>
      </c>
      <c r="E63" s="19">
        <v>304915415</v>
      </c>
      <c r="F63" s="19">
        <v>2432552896</v>
      </c>
      <c r="G63" s="19">
        <v>395574115</v>
      </c>
      <c r="H63" s="19">
        <v>6737943218</v>
      </c>
      <c r="I63" s="19">
        <v>0</v>
      </c>
      <c r="J63" s="19">
        <v>75996023</v>
      </c>
      <c r="K63" s="19">
        <v>646460039</v>
      </c>
      <c r="L63" s="19">
        <v>8358563008</v>
      </c>
      <c r="M63" s="19">
        <v>124999978</v>
      </c>
      <c r="N63" s="19">
        <v>3460955849</v>
      </c>
      <c r="O63" s="19">
        <v>663067639</v>
      </c>
      <c r="P63" s="19">
        <v>2332916556</v>
      </c>
      <c r="Q63" s="19">
        <v>4899248032</v>
      </c>
      <c r="R63" s="19"/>
      <c r="S63" s="19">
        <v>86841404</v>
      </c>
      <c r="T63" s="19">
        <v>557280</v>
      </c>
      <c r="U63" s="20">
        <f t="shared" si="0"/>
        <v>88020033422</v>
      </c>
    </row>
    <row r="64" spans="1:21" ht="14.25" customHeight="1" x14ac:dyDescent="0.2">
      <c r="A64" s="17" t="s">
        <v>70</v>
      </c>
      <c r="B64" s="18" t="str">
        <f>'Parcel Ct by Type'!B64</f>
        <v>R-Prelim</v>
      </c>
      <c r="C64" s="19">
        <v>334567180</v>
      </c>
      <c r="D64" s="19">
        <v>28045252245</v>
      </c>
      <c r="E64" s="19">
        <v>464567906</v>
      </c>
      <c r="F64" s="19">
        <v>91614670</v>
      </c>
      <c r="G64" s="19">
        <v>21738330</v>
      </c>
      <c r="H64" s="19">
        <v>561963930</v>
      </c>
      <c r="I64" s="19">
        <v>0</v>
      </c>
      <c r="J64" s="19">
        <v>2087664</v>
      </c>
      <c r="K64" s="19">
        <v>178115171</v>
      </c>
      <c r="L64" s="19">
        <v>2043362720</v>
      </c>
      <c r="M64" s="19">
        <v>19196080</v>
      </c>
      <c r="N64" s="19">
        <v>529848550</v>
      </c>
      <c r="O64" s="19">
        <v>1683545670</v>
      </c>
      <c r="P64" s="19">
        <v>619134210</v>
      </c>
      <c r="Q64" s="19">
        <v>768045990</v>
      </c>
      <c r="R64" s="19">
        <v>0</v>
      </c>
      <c r="S64" s="19">
        <v>54076621</v>
      </c>
      <c r="T64" s="19">
        <v>152077086</v>
      </c>
      <c r="U64" s="20">
        <f t="shared" si="0"/>
        <v>35569194023</v>
      </c>
    </row>
    <row r="65" spans="1:21" ht="14.25" customHeight="1" x14ac:dyDescent="0.2">
      <c r="A65" s="17" t="s">
        <v>71</v>
      </c>
      <c r="B65" s="18" t="str">
        <f>'Parcel Ct by Type'!B65</f>
        <v>R-Prelim</v>
      </c>
      <c r="C65" s="19">
        <v>303181549</v>
      </c>
      <c r="D65" s="19">
        <v>1388258609</v>
      </c>
      <c r="E65" s="19">
        <v>904559050</v>
      </c>
      <c r="F65" s="19">
        <v>0</v>
      </c>
      <c r="G65" s="19">
        <v>13026778</v>
      </c>
      <c r="H65" s="19">
        <v>8332026</v>
      </c>
      <c r="I65" s="19">
        <v>0</v>
      </c>
      <c r="J65" s="19">
        <v>258789</v>
      </c>
      <c r="K65" s="19">
        <v>43582181</v>
      </c>
      <c r="L65" s="19">
        <v>236144643</v>
      </c>
      <c r="M65" s="19">
        <v>66669</v>
      </c>
      <c r="N65" s="19">
        <v>112024588</v>
      </c>
      <c r="O65" s="19">
        <v>1186738637</v>
      </c>
      <c r="P65" s="19">
        <v>89861647</v>
      </c>
      <c r="Q65" s="19">
        <v>169041883</v>
      </c>
      <c r="R65" s="19">
        <v>0</v>
      </c>
      <c r="S65" s="19">
        <v>15304992</v>
      </c>
      <c r="T65" s="19">
        <v>77870326</v>
      </c>
      <c r="U65" s="20">
        <f t="shared" si="0"/>
        <v>4548252367</v>
      </c>
    </row>
    <row r="66" spans="1:21" ht="14.25" customHeight="1" x14ac:dyDescent="0.2">
      <c r="A66" s="17" t="s">
        <v>72</v>
      </c>
      <c r="B66" s="18" t="str">
        <f>'Parcel Ct by Type'!B66</f>
        <v>R-Prelim</v>
      </c>
      <c r="C66" s="19">
        <v>271562288</v>
      </c>
      <c r="D66" s="19">
        <v>898517790</v>
      </c>
      <c r="E66" s="19">
        <v>333653875</v>
      </c>
      <c r="F66" s="19">
        <v>13125850</v>
      </c>
      <c r="G66" s="19">
        <v>5727060</v>
      </c>
      <c r="H66" s="19">
        <v>32645321</v>
      </c>
      <c r="I66" s="19">
        <v>0</v>
      </c>
      <c r="J66" s="19">
        <v>0</v>
      </c>
      <c r="K66" s="19">
        <v>4983240</v>
      </c>
      <c r="L66" s="19">
        <v>133636693</v>
      </c>
      <c r="M66" s="19">
        <v>0</v>
      </c>
      <c r="N66" s="19">
        <v>39654890</v>
      </c>
      <c r="O66" s="19">
        <v>726759020</v>
      </c>
      <c r="P66" s="19">
        <v>46124560</v>
      </c>
      <c r="Q66" s="19">
        <v>200158850</v>
      </c>
      <c r="R66" s="19">
        <v>150290</v>
      </c>
      <c r="S66" s="19">
        <v>13527686</v>
      </c>
      <c r="T66" s="19">
        <v>43248290</v>
      </c>
      <c r="U66" s="20">
        <f t="shared" si="0"/>
        <v>2763475703</v>
      </c>
    </row>
    <row r="67" spans="1:21" ht="14.25" customHeight="1" x14ac:dyDescent="0.2">
      <c r="A67" s="17" t="s">
        <v>73</v>
      </c>
      <c r="B67" s="18" t="str">
        <f>'Parcel Ct by Type'!B67</f>
        <v>R-Prelim</v>
      </c>
      <c r="C67" s="19">
        <v>14004841</v>
      </c>
      <c r="D67" s="19">
        <v>208515266</v>
      </c>
      <c r="E67" s="19">
        <v>110562195</v>
      </c>
      <c r="F67" s="19">
        <v>1260000</v>
      </c>
      <c r="G67" s="19">
        <v>54507</v>
      </c>
      <c r="H67" s="19">
        <v>2147082</v>
      </c>
      <c r="I67" s="19">
        <v>0</v>
      </c>
      <c r="J67" s="19">
        <v>2462008</v>
      </c>
      <c r="K67" s="19">
        <v>1039594</v>
      </c>
      <c r="L67" s="19">
        <v>19491556</v>
      </c>
      <c r="M67" s="19">
        <v>250000</v>
      </c>
      <c r="N67" s="19">
        <v>3657459</v>
      </c>
      <c r="O67" s="19">
        <v>601454594</v>
      </c>
      <c r="P67" s="19">
        <v>17278769</v>
      </c>
      <c r="Q67" s="19">
        <v>110556422</v>
      </c>
      <c r="R67" s="19">
        <v>118587</v>
      </c>
      <c r="S67" s="19">
        <v>14205280</v>
      </c>
      <c r="T67" s="19">
        <v>0</v>
      </c>
      <c r="U67" s="20">
        <f t="shared" si="0"/>
        <v>1107058160</v>
      </c>
    </row>
    <row r="68" spans="1:21" ht="14.25" customHeight="1" x14ac:dyDescent="0.2">
      <c r="A68" s="17" t="s">
        <v>74</v>
      </c>
      <c r="B68" s="18" t="str">
        <f>'Parcel Ct by Type'!B68</f>
        <v>R-Prelim</v>
      </c>
      <c r="C68" s="19">
        <v>1497222952</v>
      </c>
      <c r="D68" s="19">
        <v>66138067494</v>
      </c>
      <c r="E68" s="19">
        <v>1177360583</v>
      </c>
      <c r="F68" s="19">
        <v>8289859034</v>
      </c>
      <c r="G68" s="19">
        <v>937200687</v>
      </c>
      <c r="H68" s="19">
        <v>3375375803</v>
      </c>
      <c r="I68" s="19">
        <v>54372934</v>
      </c>
      <c r="J68" s="19">
        <v>107771</v>
      </c>
      <c r="K68" s="19">
        <v>876988866</v>
      </c>
      <c r="L68" s="19">
        <v>8504072401</v>
      </c>
      <c r="M68" s="19">
        <v>108331027</v>
      </c>
      <c r="N68" s="19">
        <v>2431005860</v>
      </c>
      <c r="O68" s="19">
        <v>2141609315</v>
      </c>
      <c r="P68" s="19">
        <v>2551432950</v>
      </c>
      <c r="Q68" s="19">
        <v>5550570355</v>
      </c>
      <c r="R68" s="19">
        <v>139147688</v>
      </c>
      <c r="S68" s="19">
        <v>91991868</v>
      </c>
      <c r="T68" s="19">
        <v>212825942</v>
      </c>
      <c r="U68" s="20">
        <f t="shared" si="0"/>
        <v>104077543530</v>
      </c>
    </row>
    <row r="69" spans="1:21" ht="14.25" customHeight="1" x14ac:dyDescent="0.2">
      <c r="A69" s="17" t="s">
        <v>75</v>
      </c>
      <c r="B69" s="18" t="str">
        <f>'Parcel Ct by Type'!B69</f>
        <v>R-Prelim</v>
      </c>
      <c r="C69" s="19">
        <v>168064816</v>
      </c>
      <c r="D69" s="19">
        <v>2610045310</v>
      </c>
      <c r="E69" s="19">
        <v>314968096</v>
      </c>
      <c r="F69" s="19">
        <v>88154119</v>
      </c>
      <c r="G69" s="19">
        <v>6113418</v>
      </c>
      <c r="H69" s="19">
        <v>11641792</v>
      </c>
      <c r="I69" s="19">
        <v>0</v>
      </c>
      <c r="J69" s="19">
        <v>84449</v>
      </c>
      <c r="K69" s="19">
        <v>29018965</v>
      </c>
      <c r="L69" s="19">
        <v>211035573</v>
      </c>
      <c r="M69" s="19">
        <v>883615</v>
      </c>
      <c r="N69" s="19">
        <v>36664797</v>
      </c>
      <c r="O69" s="19">
        <v>614419378</v>
      </c>
      <c r="P69" s="19">
        <v>42235587</v>
      </c>
      <c r="Q69" s="19">
        <v>557684102</v>
      </c>
      <c r="R69" s="19"/>
      <c r="S69" s="19">
        <v>12700820</v>
      </c>
      <c r="T69" s="19">
        <v>30859878</v>
      </c>
      <c r="U69" s="20">
        <f t="shared" si="0"/>
        <v>4734574715</v>
      </c>
    </row>
    <row r="70" spans="1:21" ht="14.25" customHeight="1" x14ac:dyDescent="0.2">
      <c r="A70" s="17" t="s">
        <v>76</v>
      </c>
      <c r="B70" s="18" t="str">
        <f>'Parcel Ct by Type'!B70</f>
        <v>R-Prelim</v>
      </c>
      <c r="C70" s="19">
        <v>3492570888</v>
      </c>
      <c r="D70" s="19">
        <v>39456750624</v>
      </c>
      <c r="E70" s="19">
        <v>543655133</v>
      </c>
      <c r="F70" s="19">
        <v>7815616095</v>
      </c>
      <c r="G70" s="19">
        <v>242349797</v>
      </c>
      <c r="H70" s="19">
        <v>832030330</v>
      </c>
      <c r="I70" s="19">
        <v>0</v>
      </c>
      <c r="J70" s="19">
        <v>79777608</v>
      </c>
      <c r="K70" s="19">
        <v>148816507</v>
      </c>
      <c r="L70" s="19">
        <v>2757277503</v>
      </c>
      <c r="M70" s="19">
        <v>3253029</v>
      </c>
      <c r="N70" s="19">
        <v>397776598</v>
      </c>
      <c r="O70" s="19">
        <v>1160195586</v>
      </c>
      <c r="P70" s="19">
        <v>518226571</v>
      </c>
      <c r="Q70" s="19">
        <v>2413640043</v>
      </c>
      <c r="R70" s="19">
        <v>0</v>
      </c>
      <c r="S70" s="19">
        <v>406606335</v>
      </c>
      <c r="T70" s="19">
        <v>186407646</v>
      </c>
      <c r="U70" s="20">
        <f t="shared" ref="U70:U71" si="1">SUM(C70:T70)</f>
        <v>60454950293</v>
      </c>
    </row>
    <row r="71" spans="1:21" ht="14.25" customHeight="1" x14ac:dyDescent="0.2">
      <c r="A71" s="17" t="s">
        <v>77</v>
      </c>
      <c r="B71" s="18" t="str">
        <f>'Parcel Ct by Type'!B71</f>
        <v>R-Prelim</v>
      </c>
      <c r="C71" s="19">
        <v>237885734</v>
      </c>
      <c r="D71" s="19">
        <v>1017217665</v>
      </c>
      <c r="E71" s="19">
        <v>297020989</v>
      </c>
      <c r="F71" s="19">
        <v>0</v>
      </c>
      <c r="G71" s="19">
        <v>11913235</v>
      </c>
      <c r="H71" s="19">
        <v>0</v>
      </c>
      <c r="I71" s="19">
        <v>0</v>
      </c>
      <c r="J71" s="19">
        <v>65184</v>
      </c>
      <c r="K71" s="19">
        <v>12233878</v>
      </c>
      <c r="L71" s="19">
        <v>91930275</v>
      </c>
      <c r="M71" s="19">
        <v>56750</v>
      </c>
      <c r="N71" s="19">
        <v>23746005</v>
      </c>
      <c r="O71" s="19">
        <v>746267962</v>
      </c>
      <c r="P71" s="19">
        <v>62674177</v>
      </c>
      <c r="Q71" s="19">
        <v>178422526</v>
      </c>
      <c r="R71" s="19">
        <v>0</v>
      </c>
      <c r="S71" s="19">
        <v>7873479</v>
      </c>
      <c r="T71" s="19">
        <v>34528393</v>
      </c>
      <c r="U71" s="20">
        <f t="shared" si="1"/>
        <v>2721836252</v>
      </c>
    </row>
    <row r="72" spans="1:21" ht="14.25" customHeight="1" x14ac:dyDescent="0.2">
      <c r="A72" s="17"/>
      <c r="B72" s="18"/>
      <c r="C72" s="19"/>
      <c r="D72" s="19"/>
      <c r="E72" s="19"/>
      <c r="F72" s="19"/>
      <c r="G72" s="19"/>
      <c r="H72" s="19"/>
      <c r="I72" s="19"/>
      <c r="J72" s="19"/>
      <c r="K72" s="19"/>
      <c r="L72" s="19"/>
      <c r="M72" s="19"/>
      <c r="N72" s="19"/>
      <c r="O72" s="19"/>
      <c r="P72" s="19"/>
      <c r="Q72" s="19"/>
      <c r="R72" s="19"/>
      <c r="S72" s="19"/>
      <c r="T72" s="19"/>
      <c r="U72" s="20"/>
    </row>
    <row r="73" spans="1:21" ht="14.25" customHeight="1" thickBot="1" x14ac:dyDescent="0.3">
      <c r="A73" s="21" t="s">
        <v>11</v>
      </c>
      <c r="B73" s="22"/>
      <c r="C73" s="23">
        <f t="shared" ref="C73:T73" si="2">SUM(C5:C71)</f>
        <v>93097809690</v>
      </c>
      <c r="D73" s="23">
        <f t="shared" si="2"/>
        <v>2897745264230</v>
      </c>
      <c r="E73" s="23">
        <f t="shared" si="2"/>
        <v>56990305816</v>
      </c>
      <c r="F73" s="23">
        <f>SUM(F5:F71)</f>
        <v>603423109908</v>
      </c>
      <c r="G73" s="23">
        <f>SUM(G5:G71)</f>
        <v>82894657663</v>
      </c>
      <c r="H73" s="23">
        <f>SUM(H5:H71)</f>
        <v>231830828489</v>
      </c>
      <c r="I73" s="23">
        <f t="shared" si="2"/>
        <v>8811529103</v>
      </c>
      <c r="J73" s="23">
        <f t="shared" si="2"/>
        <v>13443984900</v>
      </c>
      <c r="K73" s="23">
        <f t="shared" si="2"/>
        <v>41841421656</v>
      </c>
      <c r="L73" s="23">
        <f t="shared" si="2"/>
        <v>489204208189</v>
      </c>
      <c r="M73" s="23">
        <f t="shared" si="2"/>
        <v>7428255219</v>
      </c>
      <c r="N73" s="23">
        <f t="shared" si="2"/>
        <v>195421462846</v>
      </c>
      <c r="O73" s="23">
        <f t="shared" si="2"/>
        <v>135165326531</v>
      </c>
      <c r="P73" s="23">
        <f t="shared" si="2"/>
        <v>94783913972</v>
      </c>
      <c r="Q73" s="23">
        <f t="shared" si="2"/>
        <v>247801236021</v>
      </c>
      <c r="R73" s="23">
        <f t="shared" si="2"/>
        <v>8920576670</v>
      </c>
      <c r="S73" s="23">
        <f t="shared" si="2"/>
        <v>10887821019</v>
      </c>
      <c r="T73" s="23">
        <f t="shared" si="2"/>
        <v>12373712602</v>
      </c>
      <c r="U73" s="25">
        <f>SUM(U5:U71)</f>
        <v>5232065424524</v>
      </c>
    </row>
    <row r="75" spans="1:21" x14ac:dyDescent="0.2">
      <c r="A75" s="3" t="s">
        <v>110</v>
      </c>
    </row>
    <row r="76" spans="1:21" x14ac:dyDescent="0.2">
      <c r="C76" s="24"/>
      <c r="D76" s="24"/>
      <c r="E76" s="24"/>
      <c r="F76" s="24"/>
      <c r="G76" s="24"/>
      <c r="H76" s="24"/>
      <c r="I76" s="24"/>
      <c r="J76" s="24"/>
      <c r="K76" s="24"/>
      <c r="L76" s="24"/>
      <c r="M76" s="24"/>
      <c r="N76" s="24"/>
      <c r="O76" s="24"/>
      <c r="P76" s="24"/>
      <c r="Q76" s="24"/>
      <c r="R76" s="24"/>
      <c r="S76" s="24"/>
      <c r="T76" s="24"/>
      <c r="U76" s="24"/>
    </row>
  </sheetData>
  <phoneticPr fontId="0" type="noConversion"/>
  <conditionalFormatting sqref="A4:U73">
    <cfRule type="expression" dxfId="1" priority="1" stopIfTrue="1">
      <formula>MOD(ROW(),3)=1</formula>
    </cfRule>
  </conditionalFormatting>
  <pageMargins left="0.7" right="0.7" top="0.75" bottom="0.75" header="0.3" footer="0.3"/>
  <pageSetup scale="60" fitToWidth="2" fitToHeight="2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>
    <pageSetUpPr fitToPage="1"/>
  </sheetPr>
  <dimension ref="A1:U76"/>
  <sheetViews>
    <sheetView zoomScale="115" zoomScaleNormal="115" workbookViewId="0">
      <pane xSplit="1" ySplit="4" topLeftCell="B62" activePane="bottomRight" state="frozen"/>
      <selection activeCell="A3" sqref="A3"/>
      <selection pane="topRight" activeCell="A3" sqref="A3"/>
      <selection pane="bottomLeft" activeCell="A3" sqref="A3"/>
      <selection pane="bottomRight" activeCell="C73" sqref="C73:T73"/>
    </sheetView>
  </sheetViews>
  <sheetFormatPr defaultRowHeight="14.25" x14ac:dyDescent="0.2"/>
  <cols>
    <col min="1" max="1" width="28.5703125" style="3" customWidth="1"/>
    <col min="2" max="2" width="9.28515625" style="15" bestFit="1" customWidth="1"/>
    <col min="3" max="3" width="18.42578125" style="3" bestFit="1" customWidth="1"/>
    <col min="4" max="4" width="19.42578125" style="3" bestFit="1" customWidth="1"/>
    <col min="5" max="5" width="18.42578125" style="3" bestFit="1" customWidth="1"/>
    <col min="6" max="6" width="19" style="3" bestFit="1" customWidth="1"/>
    <col min="7" max="7" width="19.42578125" style="3" bestFit="1" customWidth="1"/>
    <col min="8" max="8" width="20.7109375" style="3" bestFit="1" customWidth="1"/>
    <col min="9" max="9" width="17.42578125" style="3" bestFit="1" customWidth="1"/>
    <col min="10" max="10" width="17.140625" style="3" bestFit="1" customWidth="1"/>
    <col min="11" max="11" width="22.42578125" style="3" bestFit="1" customWidth="1"/>
    <col min="12" max="12" width="24.28515625" style="3" bestFit="1" customWidth="1"/>
    <col min="13" max="13" width="17.42578125" style="3" bestFit="1" customWidth="1"/>
    <col min="14" max="14" width="18.42578125" style="3" bestFit="1" customWidth="1"/>
    <col min="15" max="15" width="18" style="3" bestFit="1" customWidth="1"/>
    <col min="16" max="16" width="17.140625" style="3" bestFit="1" customWidth="1"/>
    <col min="17" max="17" width="15.42578125" style="3" bestFit="1" customWidth="1"/>
    <col min="18" max="18" width="16.7109375" style="3" bestFit="1" customWidth="1"/>
    <col min="19" max="19" width="17.140625" style="3" bestFit="1" customWidth="1"/>
    <col min="20" max="20" width="19.42578125" style="3" bestFit="1" customWidth="1"/>
    <col min="21" max="21" width="22.28515625" style="3" bestFit="1" customWidth="1"/>
    <col min="22" max="16384" width="9.140625" style="12"/>
  </cols>
  <sheetData>
    <row r="1" spans="1:21" ht="23.25" x14ac:dyDescent="0.35">
      <c r="A1" s="1" t="s">
        <v>87</v>
      </c>
    </row>
    <row r="2" spans="1:21" ht="15" x14ac:dyDescent="0.25">
      <c r="A2" s="16">
        <v>2026</v>
      </c>
    </row>
    <row r="3" spans="1:21" s="52" customFormat="1" ht="15" thickBot="1" x14ac:dyDescent="0.25">
      <c r="A3" s="50"/>
      <c r="B3" s="51"/>
      <c r="C3" s="50"/>
      <c r="D3" s="50"/>
      <c r="E3" s="50"/>
      <c r="F3" s="50"/>
      <c r="G3" s="50"/>
      <c r="H3" s="50"/>
      <c r="I3" s="50"/>
      <c r="J3" s="50"/>
      <c r="K3" s="50"/>
      <c r="L3" s="50"/>
      <c r="M3" s="50"/>
      <c r="N3" s="50"/>
      <c r="O3" s="50"/>
      <c r="P3" s="50"/>
      <c r="Q3" s="50"/>
      <c r="R3" s="50"/>
      <c r="S3" s="50"/>
      <c r="T3" s="50"/>
      <c r="U3" s="50"/>
    </row>
    <row r="4" spans="1:21" s="42" customFormat="1" ht="38.25" x14ac:dyDescent="0.25">
      <c r="A4" s="11" t="s">
        <v>0</v>
      </c>
      <c r="B4" s="9" t="s">
        <v>1</v>
      </c>
      <c r="C4" s="9" t="s">
        <v>2</v>
      </c>
      <c r="D4" s="9" t="s">
        <v>91</v>
      </c>
      <c r="E4" s="9" t="s">
        <v>10</v>
      </c>
      <c r="F4" s="9" t="s">
        <v>88</v>
      </c>
      <c r="G4" s="9" t="s">
        <v>89</v>
      </c>
      <c r="H4" s="9" t="s">
        <v>90</v>
      </c>
      <c r="I4" s="9" t="s">
        <v>3</v>
      </c>
      <c r="J4" s="9" t="s">
        <v>94</v>
      </c>
      <c r="K4" s="9" t="s">
        <v>95</v>
      </c>
      <c r="L4" s="9" t="s">
        <v>92</v>
      </c>
      <c r="M4" s="9" t="s">
        <v>4</v>
      </c>
      <c r="N4" s="9" t="s">
        <v>5</v>
      </c>
      <c r="O4" s="9" t="s">
        <v>6</v>
      </c>
      <c r="P4" s="9" t="s">
        <v>7</v>
      </c>
      <c r="Q4" s="9" t="s">
        <v>8</v>
      </c>
      <c r="R4" s="9" t="s">
        <v>96</v>
      </c>
      <c r="S4" s="9" t="s">
        <v>93</v>
      </c>
      <c r="T4" s="9" t="s">
        <v>97</v>
      </c>
      <c r="U4" s="10" t="s">
        <v>9</v>
      </c>
    </row>
    <row r="5" spans="1:21" ht="14.25" customHeight="1" x14ac:dyDescent="0.2">
      <c r="A5" s="17" t="s">
        <v>12</v>
      </c>
      <c r="B5" s="18" t="str">
        <f>'Parcel Ct by Type'!B5</f>
        <v>R-Prelim</v>
      </c>
      <c r="C5" s="19">
        <v>447008584</v>
      </c>
      <c r="D5" s="19">
        <v>12710238383</v>
      </c>
      <c r="E5" s="19">
        <v>330964965</v>
      </c>
      <c r="F5" s="19">
        <v>990043793</v>
      </c>
      <c r="G5" s="19">
        <v>407254611</v>
      </c>
      <c r="H5" s="19">
        <v>4402929758</v>
      </c>
      <c r="I5" s="19">
        <v>0</v>
      </c>
      <c r="J5" s="19">
        <v>70953091</v>
      </c>
      <c r="K5" s="19">
        <v>187258681</v>
      </c>
      <c r="L5" s="19">
        <v>3325643482</v>
      </c>
      <c r="M5" s="19">
        <v>31871157</v>
      </c>
      <c r="N5" s="19">
        <v>886001915</v>
      </c>
      <c r="O5" s="19">
        <v>681227522</v>
      </c>
      <c r="P5" s="19">
        <v>419589442</v>
      </c>
      <c r="Q5" s="19">
        <v>58376155</v>
      </c>
      <c r="R5" s="19">
        <v>54600</v>
      </c>
      <c r="S5" s="19">
        <v>11393250</v>
      </c>
      <c r="T5" s="19">
        <v>24128459</v>
      </c>
      <c r="U5" s="20">
        <f>SUM(C5:T5)</f>
        <v>24984937848</v>
      </c>
    </row>
    <row r="6" spans="1:21" ht="14.25" customHeight="1" x14ac:dyDescent="0.2">
      <c r="A6" s="17" t="s">
        <v>13</v>
      </c>
      <c r="B6" s="18" t="str">
        <f>'Parcel Ct by Type'!B6</f>
        <v>R-Prelim</v>
      </c>
      <c r="C6" s="19">
        <v>53428527</v>
      </c>
      <c r="D6" s="19">
        <v>766973660</v>
      </c>
      <c r="E6" s="19">
        <v>180051518</v>
      </c>
      <c r="F6" s="19"/>
      <c r="G6" s="19">
        <v>11550294</v>
      </c>
      <c r="H6" s="19">
        <v>11320633</v>
      </c>
      <c r="I6" s="19">
        <v>0</v>
      </c>
      <c r="J6" s="19">
        <v>0</v>
      </c>
      <c r="K6" s="19">
        <v>4033272</v>
      </c>
      <c r="L6" s="19">
        <v>125403755</v>
      </c>
      <c r="M6" s="19">
        <v>303736</v>
      </c>
      <c r="N6" s="19">
        <v>45236320</v>
      </c>
      <c r="O6" s="19">
        <v>197167708</v>
      </c>
      <c r="P6" s="19">
        <v>6840535</v>
      </c>
      <c r="Q6" s="19">
        <v>1193807</v>
      </c>
      <c r="R6" s="19">
        <v>3935718</v>
      </c>
      <c r="S6" s="19">
        <v>15219678</v>
      </c>
      <c r="T6" s="19">
        <v>68737085</v>
      </c>
      <c r="U6" s="20">
        <f t="shared" ref="U6:U69" si="0">SUM(C6:T6)</f>
        <v>1491396246</v>
      </c>
    </row>
    <row r="7" spans="1:21" ht="14.25" customHeight="1" x14ac:dyDescent="0.2">
      <c r="A7" s="17" t="s">
        <v>14</v>
      </c>
      <c r="B7" s="18" t="str">
        <f>'Parcel Ct by Type'!B7</f>
        <v>R-Prelim</v>
      </c>
      <c r="C7" s="19">
        <v>1450867330</v>
      </c>
      <c r="D7" s="19">
        <v>16053312375</v>
      </c>
      <c r="E7" s="19">
        <v>626137484</v>
      </c>
      <c r="F7" s="19">
        <v>6598552812</v>
      </c>
      <c r="G7" s="19">
        <v>627617596</v>
      </c>
      <c r="H7" s="19">
        <v>1223305576</v>
      </c>
      <c r="I7" s="19">
        <v>3386882</v>
      </c>
      <c r="J7" s="19">
        <v>6450774</v>
      </c>
      <c r="K7" s="19">
        <v>663525823</v>
      </c>
      <c r="L7" s="19">
        <v>3130551424</v>
      </c>
      <c r="M7" s="19">
        <v>11110954</v>
      </c>
      <c r="N7" s="19">
        <v>775964915</v>
      </c>
      <c r="O7" s="19">
        <v>63152430</v>
      </c>
      <c r="P7" s="19">
        <v>155793832</v>
      </c>
      <c r="Q7" s="19">
        <v>3777556</v>
      </c>
      <c r="R7" s="19">
        <v>39862531</v>
      </c>
      <c r="S7" s="19">
        <v>32378229</v>
      </c>
      <c r="T7" s="19">
        <v>117518702</v>
      </c>
      <c r="U7" s="20">
        <f t="shared" si="0"/>
        <v>31583267225</v>
      </c>
    </row>
    <row r="8" spans="1:21" ht="14.25" customHeight="1" x14ac:dyDescent="0.2">
      <c r="A8" s="17" t="s">
        <v>15</v>
      </c>
      <c r="B8" s="18" t="str">
        <f>'Parcel Ct by Type'!B8</f>
        <v>R-Prelim</v>
      </c>
      <c r="C8" s="19">
        <v>70172720</v>
      </c>
      <c r="D8" s="19">
        <v>705427299</v>
      </c>
      <c r="E8" s="19">
        <v>164087569</v>
      </c>
      <c r="F8" s="19">
        <v>2216092</v>
      </c>
      <c r="G8" s="19">
        <v>3452895</v>
      </c>
      <c r="H8" s="19">
        <v>14445576</v>
      </c>
      <c r="I8" s="19">
        <v>0</v>
      </c>
      <c r="J8" s="19">
        <v>199199</v>
      </c>
      <c r="K8" s="19">
        <v>5968114</v>
      </c>
      <c r="L8" s="19">
        <v>136142330</v>
      </c>
      <c r="M8" s="19">
        <v>214316</v>
      </c>
      <c r="N8" s="19">
        <v>15557966</v>
      </c>
      <c r="O8" s="19">
        <v>149037729</v>
      </c>
      <c r="P8" s="19">
        <v>6897082</v>
      </c>
      <c r="Q8" s="19">
        <v>5075912</v>
      </c>
      <c r="R8" s="19">
        <v>425687</v>
      </c>
      <c r="S8" s="19">
        <v>3735655</v>
      </c>
      <c r="T8" s="19">
        <v>19314325</v>
      </c>
      <c r="U8" s="20">
        <f t="shared" si="0"/>
        <v>1302370466</v>
      </c>
    </row>
    <row r="9" spans="1:21" ht="14.25" customHeight="1" x14ac:dyDescent="0.2">
      <c r="A9" s="17" t="s">
        <v>16</v>
      </c>
      <c r="B9" s="18" t="str">
        <f>'Parcel Ct by Type'!B9</f>
        <v>R-Prelim</v>
      </c>
      <c r="C9" s="19">
        <v>1348049413</v>
      </c>
      <c r="D9" s="19">
        <v>44951911694</v>
      </c>
      <c r="E9" s="19">
        <v>715657057</v>
      </c>
      <c r="F9" s="19">
        <v>7165721055</v>
      </c>
      <c r="G9" s="19">
        <v>1082839422</v>
      </c>
      <c r="H9" s="19">
        <v>3525561893</v>
      </c>
      <c r="I9" s="19">
        <v>49328488</v>
      </c>
      <c r="J9" s="19">
        <v>201030</v>
      </c>
      <c r="K9" s="19">
        <v>516527100</v>
      </c>
      <c r="L9" s="19">
        <v>7448500279</v>
      </c>
      <c r="M9" s="19">
        <v>117809960</v>
      </c>
      <c r="N9" s="19">
        <v>2461609343</v>
      </c>
      <c r="O9" s="19">
        <v>209253958</v>
      </c>
      <c r="P9" s="19">
        <v>610872666</v>
      </c>
      <c r="Q9" s="19">
        <v>279924420</v>
      </c>
      <c r="R9" s="19">
        <v>0</v>
      </c>
      <c r="S9" s="19">
        <v>64807871</v>
      </c>
      <c r="T9" s="19">
        <v>248346355</v>
      </c>
      <c r="U9" s="20">
        <f t="shared" si="0"/>
        <v>70796922004</v>
      </c>
    </row>
    <row r="10" spans="1:21" ht="14.25" customHeight="1" x14ac:dyDescent="0.2">
      <c r="A10" s="17" t="s">
        <v>17</v>
      </c>
      <c r="B10" s="18" t="str">
        <f>'Parcel Ct by Type'!B10</f>
        <v>R-Prelim</v>
      </c>
      <c r="C10" s="19">
        <v>2842101915</v>
      </c>
      <c r="D10" s="19">
        <v>152738611628</v>
      </c>
      <c r="E10" s="19">
        <v>489999873</v>
      </c>
      <c r="F10" s="19">
        <v>55194365145</v>
      </c>
      <c r="G10" s="19">
        <v>8637692343</v>
      </c>
      <c r="H10" s="19">
        <v>25825946657</v>
      </c>
      <c r="I10" s="19">
        <v>2146620934</v>
      </c>
      <c r="J10" s="19">
        <v>44164000</v>
      </c>
      <c r="K10" s="19">
        <v>1935557060</v>
      </c>
      <c r="L10" s="19">
        <v>46922504764</v>
      </c>
      <c r="M10" s="19">
        <v>417436890</v>
      </c>
      <c r="N10" s="19">
        <v>23110502600</v>
      </c>
      <c r="O10" s="19">
        <v>519163366</v>
      </c>
      <c r="P10" s="19">
        <v>2187009480</v>
      </c>
      <c r="Q10" s="19">
        <v>85223940</v>
      </c>
      <c r="R10" s="19">
        <v>0</v>
      </c>
      <c r="S10" s="19">
        <v>394579570</v>
      </c>
      <c r="T10" s="19">
        <v>7156670</v>
      </c>
      <c r="U10" s="20">
        <f t="shared" si="0"/>
        <v>323498636835</v>
      </c>
    </row>
    <row r="11" spans="1:21" ht="14.25" customHeight="1" x14ac:dyDescent="0.2">
      <c r="A11" s="17" t="s">
        <v>18</v>
      </c>
      <c r="B11" s="18" t="str">
        <f>'Parcel Ct by Type'!B11</f>
        <v>R-Prelim</v>
      </c>
      <c r="C11" s="19">
        <v>42203462</v>
      </c>
      <c r="D11" s="19">
        <v>182459066</v>
      </c>
      <c r="E11" s="19">
        <v>30825728</v>
      </c>
      <c r="F11" s="19">
        <v>0</v>
      </c>
      <c r="G11" s="19">
        <v>1783755</v>
      </c>
      <c r="H11" s="19">
        <v>1023117</v>
      </c>
      <c r="I11" s="19">
        <v>0</v>
      </c>
      <c r="J11" s="19">
        <v>171047</v>
      </c>
      <c r="K11" s="19">
        <v>2451628</v>
      </c>
      <c r="L11" s="19">
        <v>42465849</v>
      </c>
      <c r="M11" s="19">
        <v>0</v>
      </c>
      <c r="N11" s="19">
        <v>4080671</v>
      </c>
      <c r="O11" s="19">
        <v>145964012</v>
      </c>
      <c r="P11" s="19">
        <v>2276841</v>
      </c>
      <c r="Q11" s="19">
        <v>331561</v>
      </c>
      <c r="R11" s="19">
        <v>0</v>
      </c>
      <c r="S11" s="19">
        <v>38914620</v>
      </c>
      <c r="T11" s="19">
        <v>1343487</v>
      </c>
      <c r="U11" s="20">
        <f t="shared" si="0"/>
        <v>496294844</v>
      </c>
    </row>
    <row r="12" spans="1:21" ht="14.25" customHeight="1" x14ac:dyDescent="0.2">
      <c r="A12" s="17" t="s">
        <v>19</v>
      </c>
      <c r="B12" s="18" t="str">
        <f>'Parcel Ct by Type'!B12</f>
        <v>R-Prelim</v>
      </c>
      <c r="C12" s="19">
        <v>1976350285</v>
      </c>
      <c r="D12" s="19">
        <v>21938768333</v>
      </c>
      <c r="E12" s="19">
        <v>391023887</v>
      </c>
      <c r="F12" s="19">
        <v>3278769386</v>
      </c>
      <c r="G12" s="19">
        <v>614624839</v>
      </c>
      <c r="H12" s="19">
        <v>337835223</v>
      </c>
      <c r="I12" s="19">
        <v>303476093</v>
      </c>
      <c r="J12" s="19">
        <v>69253251</v>
      </c>
      <c r="K12" s="19">
        <v>427574707</v>
      </c>
      <c r="L12" s="19">
        <v>2620502061</v>
      </c>
      <c r="M12" s="19">
        <v>43882681</v>
      </c>
      <c r="N12" s="19">
        <v>885613403</v>
      </c>
      <c r="O12" s="19">
        <v>202963954</v>
      </c>
      <c r="P12" s="19">
        <v>265426989</v>
      </c>
      <c r="Q12" s="19">
        <v>3368619</v>
      </c>
      <c r="R12" s="19">
        <v>9417622</v>
      </c>
      <c r="S12" s="19">
        <v>43278948</v>
      </c>
      <c r="T12" s="19">
        <v>115369584</v>
      </c>
      <c r="U12" s="20">
        <f t="shared" si="0"/>
        <v>33527499865</v>
      </c>
    </row>
    <row r="13" spans="1:21" ht="14.25" customHeight="1" x14ac:dyDescent="0.2">
      <c r="A13" s="17" t="s">
        <v>20</v>
      </c>
      <c r="B13" s="18" t="str">
        <f>'Parcel Ct by Type'!B13</f>
        <v>R-Prelim</v>
      </c>
      <c r="C13" s="19">
        <v>818747052</v>
      </c>
      <c r="D13" s="19">
        <v>10049121252</v>
      </c>
      <c r="E13" s="19">
        <v>1072136538</v>
      </c>
      <c r="F13" s="19">
        <v>187586175</v>
      </c>
      <c r="G13" s="19">
        <v>147575570</v>
      </c>
      <c r="H13" s="19">
        <v>45511193</v>
      </c>
      <c r="I13" s="19">
        <v>0</v>
      </c>
      <c r="J13" s="19">
        <v>12954235</v>
      </c>
      <c r="K13" s="19">
        <v>205429218</v>
      </c>
      <c r="L13" s="19">
        <v>1359037619</v>
      </c>
      <c r="M13" s="19">
        <v>9846405</v>
      </c>
      <c r="N13" s="19">
        <v>203236064</v>
      </c>
      <c r="O13" s="19">
        <v>166074670</v>
      </c>
      <c r="P13" s="19">
        <v>236985737</v>
      </c>
      <c r="Q13" s="19">
        <v>12324885</v>
      </c>
      <c r="R13" s="19">
        <v>0</v>
      </c>
      <c r="S13" s="19">
        <v>362609644</v>
      </c>
      <c r="T13" s="19">
        <v>102820875</v>
      </c>
      <c r="U13" s="20">
        <f t="shared" si="0"/>
        <v>14991997132</v>
      </c>
    </row>
    <row r="14" spans="1:21" ht="14.25" customHeight="1" x14ac:dyDescent="0.2">
      <c r="A14" s="17" t="s">
        <v>21</v>
      </c>
      <c r="B14" s="18" t="str">
        <f>'Parcel Ct by Type'!B14</f>
        <v>R-Prelim</v>
      </c>
      <c r="C14" s="19">
        <v>561393322</v>
      </c>
      <c r="D14" s="19">
        <v>13508609969</v>
      </c>
      <c r="E14" s="19">
        <v>733235903</v>
      </c>
      <c r="F14" s="19">
        <v>285421095</v>
      </c>
      <c r="G14" s="19">
        <v>83997092</v>
      </c>
      <c r="H14" s="19">
        <v>883246209</v>
      </c>
      <c r="I14" s="19">
        <v>0</v>
      </c>
      <c r="J14" s="19">
        <v>19180135</v>
      </c>
      <c r="K14" s="19">
        <v>160157169</v>
      </c>
      <c r="L14" s="19">
        <v>1889736467</v>
      </c>
      <c r="M14" s="19">
        <v>12759615</v>
      </c>
      <c r="N14" s="19">
        <v>568455526</v>
      </c>
      <c r="O14" s="19">
        <v>142802348</v>
      </c>
      <c r="P14" s="19">
        <v>293828711</v>
      </c>
      <c r="Q14" s="19">
        <v>1264917</v>
      </c>
      <c r="R14" s="19">
        <v>0</v>
      </c>
      <c r="S14" s="19">
        <v>34281376</v>
      </c>
      <c r="T14" s="19">
        <v>261055210</v>
      </c>
      <c r="U14" s="20">
        <f t="shared" si="0"/>
        <v>19439425064</v>
      </c>
    </row>
    <row r="15" spans="1:21" ht="14.25" customHeight="1" x14ac:dyDescent="0.2">
      <c r="A15" s="17" t="s">
        <v>22</v>
      </c>
      <c r="B15" s="18" t="str">
        <f>'Parcel Ct by Type'!B15</f>
        <v>R-Prelim</v>
      </c>
      <c r="C15" s="19">
        <v>3396813564</v>
      </c>
      <c r="D15" s="19">
        <v>91029748318</v>
      </c>
      <c r="E15" s="19">
        <v>418660819</v>
      </c>
      <c r="F15" s="19">
        <v>51923515414</v>
      </c>
      <c r="G15" s="19">
        <v>816735574</v>
      </c>
      <c r="H15" s="19">
        <v>2542858160</v>
      </c>
      <c r="I15" s="19">
        <v>712403152</v>
      </c>
      <c r="J15" s="19">
        <v>2452371602</v>
      </c>
      <c r="K15" s="19">
        <v>989561274</v>
      </c>
      <c r="L15" s="19">
        <v>9226456222</v>
      </c>
      <c r="M15" s="19">
        <v>52329155</v>
      </c>
      <c r="N15" s="19">
        <v>2036232757</v>
      </c>
      <c r="O15" s="19">
        <v>331811640</v>
      </c>
      <c r="P15" s="19">
        <v>412772429</v>
      </c>
      <c r="Q15" s="19">
        <v>9439339</v>
      </c>
      <c r="R15" s="19">
        <v>1209653</v>
      </c>
      <c r="S15" s="19">
        <v>73891526</v>
      </c>
      <c r="T15" s="19">
        <v>424106128</v>
      </c>
      <c r="U15" s="20">
        <f t="shared" si="0"/>
        <v>166850916726</v>
      </c>
    </row>
    <row r="16" spans="1:21" ht="14.25" customHeight="1" x14ac:dyDescent="0.2">
      <c r="A16" s="17" t="s">
        <v>23</v>
      </c>
      <c r="B16" s="18" t="str">
        <f>'Parcel Ct by Type'!B16</f>
        <v>R-Prelim</v>
      </c>
      <c r="C16" s="19">
        <v>111618998</v>
      </c>
      <c r="D16" s="19">
        <v>1887627305</v>
      </c>
      <c r="E16" s="19">
        <v>533077009</v>
      </c>
      <c r="F16" s="19">
        <v>4627818</v>
      </c>
      <c r="G16" s="19">
        <v>46715844</v>
      </c>
      <c r="H16" s="19">
        <v>47902229</v>
      </c>
      <c r="I16" s="19">
        <v>0</v>
      </c>
      <c r="J16" s="19">
        <v>59399976</v>
      </c>
      <c r="K16" s="19">
        <v>55528585</v>
      </c>
      <c r="L16" s="19">
        <v>626109008</v>
      </c>
      <c r="M16" s="19">
        <v>4457892</v>
      </c>
      <c r="N16" s="19">
        <v>201095894</v>
      </c>
      <c r="O16" s="19">
        <v>349835862</v>
      </c>
      <c r="P16" s="19">
        <v>104995604</v>
      </c>
      <c r="Q16" s="19">
        <v>13216833</v>
      </c>
      <c r="R16" s="19">
        <v>0</v>
      </c>
      <c r="S16" s="19">
        <v>22014544</v>
      </c>
      <c r="T16" s="19">
        <v>57969838</v>
      </c>
      <c r="U16" s="20">
        <f t="shared" si="0"/>
        <v>4126193239</v>
      </c>
    </row>
    <row r="17" spans="1:21" ht="14.25" customHeight="1" x14ac:dyDescent="0.2">
      <c r="A17" s="17" t="s">
        <v>104</v>
      </c>
      <c r="B17" s="18" t="str">
        <f>'Parcel Ct by Type'!B17</f>
        <v>R-Prelim</v>
      </c>
      <c r="C17" s="19">
        <v>7353360971</v>
      </c>
      <c r="D17" s="19">
        <v>170323446771</v>
      </c>
      <c r="E17" s="19">
        <v>25221126</v>
      </c>
      <c r="F17" s="19">
        <v>156799063104</v>
      </c>
      <c r="G17" s="19">
        <v>16744984516</v>
      </c>
      <c r="H17" s="19">
        <v>32459967319</v>
      </c>
      <c r="I17" s="19">
        <v>402731606</v>
      </c>
      <c r="J17" s="19">
        <v>369592790</v>
      </c>
      <c r="K17" s="19">
        <v>9301896828</v>
      </c>
      <c r="L17" s="19">
        <v>76557440664</v>
      </c>
      <c r="M17" s="19">
        <v>1797287488</v>
      </c>
      <c r="N17" s="19">
        <v>37452699107</v>
      </c>
      <c r="O17" s="19">
        <v>1565223742</v>
      </c>
      <c r="P17" s="19">
        <v>1828246021</v>
      </c>
      <c r="Q17" s="19">
        <v>179174316</v>
      </c>
      <c r="R17" s="19">
        <v>1790524897</v>
      </c>
      <c r="S17" s="19">
        <v>878422137</v>
      </c>
      <c r="T17" s="19">
        <v>1486335670</v>
      </c>
      <c r="U17" s="20">
        <f t="shared" si="0"/>
        <v>517315619073</v>
      </c>
    </row>
    <row r="18" spans="1:21" ht="14.25" customHeight="1" x14ac:dyDescent="0.2">
      <c r="A18" s="17" t="s">
        <v>24</v>
      </c>
      <c r="B18" s="18" t="str">
        <f>'Parcel Ct by Type'!B18</f>
        <v>R-Prelim</v>
      </c>
      <c r="C18" s="19">
        <v>98073609</v>
      </c>
      <c r="D18" s="19">
        <v>913136981</v>
      </c>
      <c r="E18" s="19">
        <v>201880990</v>
      </c>
      <c r="F18" s="19">
        <v>63369239</v>
      </c>
      <c r="G18" s="19">
        <v>51254442</v>
      </c>
      <c r="H18" s="19">
        <v>26772882</v>
      </c>
      <c r="I18" s="19">
        <v>0</v>
      </c>
      <c r="J18" s="19">
        <v>702024</v>
      </c>
      <c r="K18" s="19">
        <v>17531695</v>
      </c>
      <c r="L18" s="19">
        <v>221978429</v>
      </c>
      <c r="M18" s="19">
        <v>4518202</v>
      </c>
      <c r="N18" s="19">
        <v>129440708</v>
      </c>
      <c r="O18" s="19">
        <v>407266910</v>
      </c>
      <c r="P18" s="19">
        <v>10027798</v>
      </c>
      <c r="Q18" s="19">
        <v>10000</v>
      </c>
      <c r="R18" s="19">
        <v>0</v>
      </c>
      <c r="S18" s="19">
        <v>21772088</v>
      </c>
      <c r="T18" s="19">
        <v>61332603</v>
      </c>
      <c r="U18" s="20">
        <f t="shared" si="0"/>
        <v>2229068600</v>
      </c>
    </row>
    <row r="19" spans="1:21" ht="14.25" customHeight="1" x14ac:dyDescent="0.2">
      <c r="A19" s="17" t="s">
        <v>25</v>
      </c>
      <c r="B19" s="18" t="str">
        <f>'Parcel Ct by Type'!B19</f>
        <v>R-Prelim</v>
      </c>
      <c r="C19" s="19">
        <v>142096517</v>
      </c>
      <c r="D19" s="19">
        <v>252313998</v>
      </c>
      <c r="E19" s="19">
        <v>163092007</v>
      </c>
      <c r="F19" s="19">
        <v>28178848</v>
      </c>
      <c r="G19" s="19">
        <v>241591</v>
      </c>
      <c r="H19" s="19">
        <v>878800</v>
      </c>
      <c r="I19" s="19">
        <v>61936</v>
      </c>
      <c r="J19" s="19">
        <v>0</v>
      </c>
      <c r="K19" s="19">
        <v>5284438</v>
      </c>
      <c r="L19" s="19">
        <v>37796173</v>
      </c>
      <c r="M19" s="19">
        <v>703400</v>
      </c>
      <c r="N19" s="19">
        <v>13054094</v>
      </c>
      <c r="O19" s="19">
        <v>109603766</v>
      </c>
      <c r="P19" s="19">
        <v>3183766</v>
      </c>
      <c r="Q19" s="19">
        <v>406000</v>
      </c>
      <c r="R19" s="19">
        <v>0</v>
      </c>
      <c r="S19" s="19">
        <v>789863</v>
      </c>
      <c r="T19" s="19">
        <v>991920</v>
      </c>
      <c r="U19" s="20">
        <f t="shared" si="0"/>
        <v>758677117</v>
      </c>
    </row>
    <row r="20" spans="1:21" ht="14.25" customHeight="1" x14ac:dyDescent="0.2">
      <c r="A20" s="17" t="s">
        <v>26</v>
      </c>
      <c r="B20" s="18" t="str">
        <f>'Parcel Ct by Type'!B20</f>
        <v>R-Prelim</v>
      </c>
      <c r="C20" s="19">
        <v>1375487395</v>
      </c>
      <c r="D20" s="19">
        <v>60568178305</v>
      </c>
      <c r="E20" s="19">
        <v>675331167</v>
      </c>
      <c r="F20" s="19">
        <v>4646929163</v>
      </c>
      <c r="G20" s="19">
        <v>1777827001</v>
      </c>
      <c r="H20" s="19">
        <v>12110147287</v>
      </c>
      <c r="I20" s="19">
        <v>2444118</v>
      </c>
      <c r="J20" s="19">
        <v>786062182</v>
      </c>
      <c r="K20" s="19">
        <v>658165875</v>
      </c>
      <c r="L20" s="19">
        <v>18450549842</v>
      </c>
      <c r="M20" s="19">
        <v>309059593</v>
      </c>
      <c r="N20" s="19">
        <v>12051027351</v>
      </c>
      <c r="O20" s="19">
        <v>295272188</v>
      </c>
      <c r="P20" s="19">
        <v>495770229</v>
      </c>
      <c r="Q20" s="19">
        <v>9139</v>
      </c>
      <c r="R20" s="19">
        <v>98655593</v>
      </c>
      <c r="S20" s="19">
        <v>109688355</v>
      </c>
      <c r="T20" s="19">
        <v>162822665</v>
      </c>
      <c r="U20" s="20">
        <f t="shared" si="0"/>
        <v>114573427448</v>
      </c>
    </row>
    <row r="21" spans="1:21" ht="14.25" customHeight="1" x14ac:dyDescent="0.2">
      <c r="A21" s="17" t="s">
        <v>27</v>
      </c>
      <c r="B21" s="18" t="str">
        <f>'Parcel Ct by Type'!B21</f>
        <v>R-Prelim</v>
      </c>
      <c r="C21" s="19">
        <v>614861271</v>
      </c>
      <c r="D21" s="19">
        <v>17477232417</v>
      </c>
      <c r="E21" s="19">
        <v>182185902</v>
      </c>
      <c r="F21" s="19">
        <v>3354014940</v>
      </c>
      <c r="G21" s="19">
        <v>818984263</v>
      </c>
      <c r="H21" s="19">
        <v>2040046959</v>
      </c>
      <c r="I21" s="19">
        <v>0</v>
      </c>
      <c r="J21" s="19">
        <v>100817405</v>
      </c>
      <c r="K21" s="19">
        <v>268772503</v>
      </c>
      <c r="L21" s="19">
        <v>3983462344</v>
      </c>
      <c r="M21" s="19">
        <v>6421388</v>
      </c>
      <c r="N21" s="19">
        <v>874443079</v>
      </c>
      <c r="O21" s="19">
        <v>148171954</v>
      </c>
      <c r="P21" s="19">
        <v>280319716</v>
      </c>
      <c r="Q21" s="19">
        <v>27886289</v>
      </c>
      <c r="R21" s="19">
        <v>64102396</v>
      </c>
      <c r="S21" s="19">
        <v>38271515</v>
      </c>
      <c r="T21" s="19">
        <v>53588986</v>
      </c>
      <c r="U21" s="20">
        <f t="shared" si="0"/>
        <v>30333583327</v>
      </c>
    </row>
    <row r="22" spans="1:21" ht="14.25" customHeight="1" x14ac:dyDescent="0.2">
      <c r="A22" s="17" t="s">
        <v>28</v>
      </c>
      <c r="B22" s="18" t="str">
        <f>'Parcel Ct by Type'!B22</f>
        <v>R-Prelim</v>
      </c>
      <c r="C22" s="19">
        <v>919499516</v>
      </c>
      <c r="D22" s="19">
        <v>13245578008</v>
      </c>
      <c r="E22" s="19">
        <v>157243598</v>
      </c>
      <c r="F22" s="19">
        <v>1371897846</v>
      </c>
      <c r="G22" s="19">
        <v>545465421</v>
      </c>
      <c r="H22" s="19">
        <v>235995110</v>
      </c>
      <c r="I22" s="19">
        <v>27202749</v>
      </c>
      <c r="J22" s="19">
        <v>97806301</v>
      </c>
      <c r="K22" s="19">
        <v>195314662</v>
      </c>
      <c r="L22" s="19">
        <v>832797463</v>
      </c>
      <c r="M22" s="19">
        <v>15204818</v>
      </c>
      <c r="N22" s="19">
        <v>245669002</v>
      </c>
      <c r="O22" s="19">
        <v>98700376</v>
      </c>
      <c r="P22" s="19">
        <v>79777087</v>
      </c>
      <c r="Q22" s="19">
        <v>1818748</v>
      </c>
      <c r="R22" s="19">
        <v>46572</v>
      </c>
      <c r="S22" s="19">
        <v>10300850</v>
      </c>
      <c r="T22" s="19">
        <v>54267429</v>
      </c>
      <c r="U22" s="20">
        <f t="shared" si="0"/>
        <v>18134585556</v>
      </c>
    </row>
    <row r="23" spans="1:21" ht="14.25" customHeight="1" x14ac:dyDescent="0.2">
      <c r="A23" s="17" t="s">
        <v>29</v>
      </c>
      <c r="B23" s="18" t="str">
        <f>'Parcel Ct by Type'!B23</f>
        <v>R-Prelim</v>
      </c>
      <c r="C23" s="19">
        <v>487681137</v>
      </c>
      <c r="D23" s="19">
        <v>3041737408</v>
      </c>
      <c r="E23" s="19">
        <v>70333757</v>
      </c>
      <c r="F23" s="19">
        <v>141257693</v>
      </c>
      <c r="G23" s="19">
        <v>3397423</v>
      </c>
      <c r="H23" s="19">
        <v>1290427</v>
      </c>
      <c r="I23" s="19">
        <v>0</v>
      </c>
      <c r="J23" s="19">
        <v>25452222</v>
      </c>
      <c r="K23" s="19">
        <v>16392843</v>
      </c>
      <c r="L23" s="19">
        <v>133969274</v>
      </c>
      <c r="M23" s="19">
        <v>128675</v>
      </c>
      <c r="N23" s="19">
        <v>24106289</v>
      </c>
      <c r="O23" s="19">
        <v>3977786</v>
      </c>
      <c r="P23" s="19">
        <v>4706295</v>
      </c>
      <c r="Q23" s="19">
        <v>425235</v>
      </c>
      <c r="R23" s="19">
        <v>3368565</v>
      </c>
      <c r="S23" s="19">
        <v>4657989</v>
      </c>
      <c r="T23" s="19">
        <v>5124936</v>
      </c>
      <c r="U23" s="20">
        <f t="shared" si="0"/>
        <v>3968007954</v>
      </c>
    </row>
    <row r="24" spans="1:21" ht="14.25" customHeight="1" x14ac:dyDescent="0.2">
      <c r="A24" s="17" t="s">
        <v>30</v>
      </c>
      <c r="B24" s="18" t="str">
        <f>'Parcel Ct by Type'!B24</f>
        <v>R-Prelim</v>
      </c>
      <c r="C24" s="19">
        <v>93525108</v>
      </c>
      <c r="D24" s="19">
        <v>1071640834</v>
      </c>
      <c r="E24" s="19">
        <v>153479786</v>
      </c>
      <c r="F24" s="19">
        <v>0</v>
      </c>
      <c r="G24" s="19">
        <v>16483255</v>
      </c>
      <c r="H24" s="19">
        <v>13398674</v>
      </c>
      <c r="I24" s="19">
        <v>0</v>
      </c>
      <c r="J24" s="19">
        <v>356219</v>
      </c>
      <c r="K24" s="19">
        <v>21535879</v>
      </c>
      <c r="L24" s="19">
        <v>193065607</v>
      </c>
      <c r="M24" s="19">
        <v>0</v>
      </c>
      <c r="N24" s="19">
        <v>103847282</v>
      </c>
      <c r="O24" s="19">
        <v>208301865</v>
      </c>
      <c r="P24" s="19">
        <v>23017943</v>
      </c>
      <c r="Q24" s="19">
        <v>1536365</v>
      </c>
      <c r="R24" s="19">
        <v>28545</v>
      </c>
      <c r="S24" s="19">
        <v>16442253</v>
      </c>
      <c r="T24" s="19">
        <v>46180350</v>
      </c>
      <c r="U24" s="20">
        <f t="shared" si="0"/>
        <v>1962839965</v>
      </c>
    </row>
    <row r="25" spans="1:21" ht="14.25" customHeight="1" x14ac:dyDescent="0.2">
      <c r="A25" s="17" t="s">
        <v>31</v>
      </c>
      <c r="B25" s="18" t="str">
        <f>'Parcel Ct by Type'!B25</f>
        <v>R-Prelim</v>
      </c>
      <c r="C25" s="19">
        <v>68653972</v>
      </c>
      <c r="D25" s="19">
        <v>464988104</v>
      </c>
      <c r="E25" s="19">
        <v>196309427</v>
      </c>
      <c r="F25" s="19">
        <v>0</v>
      </c>
      <c r="G25" s="19">
        <v>4195692</v>
      </c>
      <c r="H25" s="19">
        <v>2051973</v>
      </c>
      <c r="I25" s="19">
        <v>0</v>
      </c>
      <c r="J25" s="19">
        <v>20626010</v>
      </c>
      <c r="K25" s="19">
        <v>2780748</v>
      </c>
      <c r="L25" s="19">
        <v>45286116</v>
      </c>
      <c r="M25" s="19">
        <v>338503</v>
      </c>
      <c r="N25" s="19">
        <v>17631516</v>
      </c>
      <c r="O25" s="19">
        <v>222777827</v>
      </c>
      <c r="P25" s="19">
        <v>4901117</v>
      </c>
      <c r="Q25" s="19">
        <v>134320</v>
      </c>
      <c r="R25" s="19">
        <v>0</v>
      </c>
      <c r="S25" s="19">
        <v>17293004</v>
      </c>
      <c r="T25" s="19">
        <v>27800080</v>
      </c>
      <c r="U25" s="20">
        <f t="shared" si="0"/>
        <v>1095768409</v>
      </c>
    </row>
    <row r="26" spans="1:21" ht="14.25" customHeight="1" x14ac:dyDescent="0.2">
      <c r="A26" s="17" t="s">
        <v>32</v>
      </c>
      <c r="B26" s="18" t="str">
        <f>'Parcel Ct by Type'!B26</f>
        <v>R-Prelim</v>
      </c>
      <c r="C26" s="19">
        <v>59052450</v>
      </c>
      <c r="D26" s="19">
        <v>307710282</v>
      </c>
      <c r="E26" s="19">
        <v>166368841</v>
      </c>
      <c r="F26" s="19">
        <v>14604398</v>
      </c>
      <c r="G26" s="19">
        <v>27577852</v>
      </c>
      <c r="H26" s="19">
        <v>544508</v>
      </c>
      <c r="I26" s="19">
        <v>0</v>
      </c>
      <c r="J26" s="19">
        <v>8647185</v>
      </c>
      <c r="K26" s="19">
        <v>4393821</v>
      </c>
      <c r="L26" s="19">
        <v>91283232</v>
      </c>
      <c r="M26" s="19">
        <v>4884126</v>
      </c>
      <c r="N26" s="19">
        <v>27541023</v>
      </c>
      <c r="O26" s="19">
        <v>263952423</v>
      </c>
      <c r="P26" s="19">
        <v>885009</v>
      </c>
      <c r="Q26" s="19">
        <v>0</v>
      </c>
      <c r="R26" s="19">
        <v>0</v>
      </c>
      <c r="S26" s="19">
        <v>26557052</v>
      </c>
      <c r="T26" s="19">
        <v>17407085</v>
      </c>
      <c r="U26" s="20">
        <f t="shared" si="0"/>
        <v>1021409287</v>
      </c>
    </row>
    <row r="27" spans="1:21" ht="14.25" customHeight="1" x14ac:dyDescent="0.2">
      <c r="A27" s="17" t="s">
        <v>33</v>
      </c>
      <c r="B27" s="18" t="str">
        <f>'Parcel Ct by Type'!B27</f>
        <v>R-Prelim</v>
      </c>
      <c r="C27" s="19">
        <v>654147652</v>
      </c>
      <c r="D27" s="19">
        <v>2936631468</v>
      </c>
      <c r="E27" s="19">
        <v>117850191</v>
      </c>
      <c r="F27" s="19">
        <v>58209066</v>
      </c>
      <c r="G27" s="19">
        <v>6622675</v>
      </c>
      <c r="H27" s="19">
        <v>14897990</v>
      </c>
      <c r="I27" s="19">
        <v>0</v>
      </c>
      <c r="J27" s="19">
        <v>23508963</v>
      </c>
      <c r="K27" s="19">
        <v>2010901</v>
      </c>
      <c r="L27" s="19">
        <v>164353207</v>
      </c>
      <c r="M27" s="19">
        <v>0</v>
      </c>
      <c r="N27" s="19">
        <v>22181991</v>
      </c>
      <c r="O27" s="19">
        <v>72795702</v>
      </c>
      <c r="P27" s="19">
        <v>10813485</v>
      </c>
      <c r="Q27" s="19">
        <v>0</v>
      </c>
      <c r="R27" s="19">
        <v>732955</v>
      </c>
      <c r="S27" s="19">
        <v>7670569</v>
      </c>
      <c r="T27" s="19">
        <v>63068445</v>
      </c>
      <c r="U27" s="20">
        <f t="shared" si="0"/>
        <v>4155495260</v>
      </c>
    </row>
    <row r="28" spans="1:21" ht="14.25" customHeight="1" x14ac:dyDescent="0.2">
      <c r="A28" s="17" t="s">
        <v>34</v>
      </c>
      <c r="B28" s="18" t="str">
        <f>'Parcel Ct by Type'!B28</f>
        <v>R-Prelim</v>
      </c>
      <c r="C28" s="19">
        <v>69577021</v>
      </c>
      <c r="D28" s="19">
        <v>167376675</v>
      </c>
      <c r="E28" s="19">
        <v>80753338</v>
      </c>
      <c r="F28" s="19">
        <v>0</v>
      </c>
      <c r="G28" s="19">
        <v>19730617</v>
      </c>
      <c r="H28" s="19">
        <v>5306690</v>
      </c>
      <c r="I28" s="19">
        <v>0</v>
      </c>
      <c r="J28" s="19">
        <v>3755689</v>
      </c>
      <c r="K28" s="19">
        <v>7231216</v>
      </c>
      <c r="L28" s="19">
        <v>41646356</v>
      </c>
      <c r="M28" s="19">
        <v>33823</v>
      </c>
      <c r="N28" s="19">
        <v>6736580</v>
      </c>
      <c r="O28" s="19">
        <v>158730122</v>
      </c>
      <c r="P28" s="19">
        <v>1860086</v>
      </c>
      <c r="Q28" s="19">
        <v>641846</v>
      </c>
      <c r="R28" s="19">
        <v>0</v>
      </c>
      <c r="S28" s="19">
        <v>74812771</v>
      </c>
      <c r="T28" s="19">
        <v>19731041</v>
      </c>
      <c r="U28" s="20">
        <f t="shared" si="0"/>
        <v>657923871</v>
      </c>
    </row>
    <row r="29" spans="1:21" ht="14.25" customHeight="1" x14ac:dyDescent="0.2">
      <c r="A29" s="17" t="s">
        <v>35</v>
      </c>
      <c r="B29" s="18" t="str">
        <f>'Parcel Ct by Type'!B29</f>
        <v>R-Prelim</v>
      </c>
      <c r="C29" s="19">
        <v>75376761</v>
      </c>
      <c r="D29" s="19">
        <v>487774160</v>
      </c>
      <c r="E29" s="19">
        <v>114731719</v>
      </c>
      <c r="F29" s="19">
        <v>0</v>
      </c>
      <c r="G29" s="19">
        <v>30244808</v>
      </c>
      <c r="H29" s="19">
        <v>19900470</v>
      </c>
      <c r="I29" s="19">
        <v>0</v>
      </c>
      <c r="J29" s="19">
        <v>5403010</v>
      </c>
      <c r="K29" s="19">
        <v>13107938</v>
      </c>
      <c r="L29" s="19">
        <v>150515321</v>
      </c>
      <c r="M29" s="19">
        <v>1340701</v>
      </c>
      <c r="N29" s="19">
        <v>37459281</v>
      </c>
      <c r="O29" s="19">
        <v>472386575</v>
      </c>
      <c r="P29" s="19">
        <v>16147579</v>
      </c>
      <c r="Q29" s="19">
        <v>11853636</v>
      </c>
      <c r="R29" s="19">
        <v>0</v>
      </c>
      <c r="S29" s="19">
        <v>398302840</v>
      </c>
      <c r="T29" s="19">
        <v>38460859</v>
      </c>
      <c r="U29" s="20">
        <f t="shared" si="0"/>
        <v>1873005658</v>
      </c>
    </row>
    <row r="30" spans="1:21" ht="14.25" customHeight="1" x14ac:dyDescent="0.2">
      <c r="A30" s="17" t="s">
        <v>36</v>
      </c>
      <c r="B30" s="18" t="str">
        <f>'Parcel Ct by Type'!B30</f>
        <v>R-Prelim</v>
      </c>
      <c r="C30" s="19">
        <v>372812076</v>
      </c>
      <c r="D30" s="19">
        <v>1558105643</v>
      </c>
      <c r="E30" s="19">
        <v>355374596</v>
      </c>
      <c r="F30" s="19">
        <v>41645003</v>
      </c>
      <c r="G30" s="19">
        <v>67227275</v>
      </c>
      <c r="H30" s="19">
        <v>27733196</v>
      </c>
      <c r="I30" s="19">
        <v>0</v>
      </c>
      <c r="J30" s="19">
        <v>5409082</v>
      </c>
      <c r="K30" s="19">
        <v>38159182</v>
      </c>
      <c r="L30" s="19">
        <v>320543195</v>
      </c>
      <c r="M30" s="19">
        <v>60207424</v>
      </c>
      <c r="N30" s="19">
        <v>141941479</v>
      </c>
      <c r="O30" s="19">
        <v>453610581</v>
      </c>
      <c r="P30" s="19">
        <v>13863977</v>
      </c>
      <c r="Q30" s="19">
        <v>349169</v>
      </c>
      <c r="R30" s="19">
        <v>33923617</v>
      </c>
      <c r="S30" s="19">
        <v>38308234</v>
      </c>
      <c r="T30" s="19">
        <v>21675753</v>
      </c>
      <c r="U30" s="20">
        <f t="shared" si="0"/>
        <v>3550889482</v>
      </c>
    </row>
    <row r="31" spans="1:21" ht="14.25" customHeight="1" x14ac:dyDescent="0.2">
      <c r="A31" s="17" t="s">
        <v>37</v>
      </c>
      <c r="B31" s="18" t="str">
        <f>'Parcel Ct by Type'!B31</f>
        <v>R-Prelim</v>
      </c>
      <c r="C31" s="19">
        <v>604863152</v>
      </c>
      <c r="D31" s="19">
        <v>12217370266</v>
      </c>
      <c r="E31" s="19">
        <v>971604119</v>
      </c>
      <c r="F31" s="19">
        <v>53575002</v>
      </c>
      <c r="G31" s="19">
        <v>125694404</v>
      </c>
      <c r="H31" s="19">
        <v>318874625</v>
      </c>
      <c r="I31" s="19">
        <v>2241691</v>
      </c>
      <c r="J31" s="19">
        <v>303832</v>
      </c>
      <c r="K31" s="19">
        <v>303155332</v>
      </c>
      <c r="L31" s="19">
        <v>1619257962</v>
      </c>
      <c r="M31" s="19">
        <v>10315813</v>
      </c>
      <c r="N31" s="19">
        <v>499254447</v>
      </c>
      <c r="O31" s="19">
        <v>301479154</v>
      </c>
      <c r="P31" s="19">
        <v>235518807</v>
      </c>
      <c r="Q31" s="19">
        <v>0</v>
      </c>
      <c r="R31" s="19">
        <v>9559030</v>
      </c>
      <c r="S31" s="19">
        <v>46337638</v>
      </c>
      <c r="T31" s="19">
        <v>253066076</v>
      </c>
      <c r="U31" s="20">
        <f t="shared" si="0"/>
        <v>17572471350</v>
      </c>
    </row>
    <row r="32" spans="1:21" ht="14.25" customHeight="1" x14ac:dyDescent="0.2">
      <c r="A32" s="17" t="s">
        <v>38</v>
      </c>
      <c r="B32" s="18" t="str">
        <f>'Parcel Ct by Type'!B32</f>
        <v>R-Prelim</v>
      </c>
      <c r="C32" s="19">
        <v>412071688</v>
      </c>
      <c r="D32" s="19">
        <v>4992396067</v>
      </c>
      <c r="E32" s="19">
        <v>286902174</v>
      </c>
      <c r="F32" s="19">
        <v>124304666</v>
      </c>
      <c r="G32" s="19">
        <v>157430812</v>
      </c>
      <c r="H32" s="19">
        <v>77958466</v>
      </c>
      <c r="I32" s="19">
        <v>25396573</v>
      </c>
      <c r="J32" s="19">
        <v>166697653</v>
      </c>
      <c r="K32" s="19">
        <v>54958260</v>
      </c>
      <c r="L32" s="19">
        <v>1325787495</v>
      </c>
      <c r="M32" s="19">
        <v>7179781</v>
      </c>
      <c r="N32" s="19">
        <v>202902859</v>
      </c>
      <c r="O32" s="19">
        <v>434730586</v>
      </c>
      <c r="P32" s="19">
        <v>52060810</v>
      </c>
      <c r="Q32" s="19">
        <v>3970147</v>
      </c>
      <c r="R32" s="19">
        <v>105324974</v>
      </c>
      <c r="S32" s="19">
        <v>17647547</v>
      </c>
      <c r="T32" s="19">
        <v>63422739</v>
      </c>
      <c r="U32" s="20">
        <f t="shared" si="0"/>
        <v>8511143297</v>
      </c>
    </row>
    <row r="33" spans="1:21" ht="14.25" customHeight="1" x14ac:dyDescent="0.2">
      <c r="A33" s="17" t="s">
        <v>39</v>
      </c>
      <c r="B33" s="18" t="str">
        <f>'Parcel Ct by Type'!B33</f>
        <v>R-Prelim</v>
      </c>
      <c r="C33" s="19">
        <v>2273676308</v>
      </c>
      <c r="D33" s="19">
        <v>94896286334</v>
      </c>
      <c r="E33" s="19">
        <v>1283721311</v>
      </c>
      <c r="F33" s="19">
        <v>7178962695</v>
      </c>
      <c r="G33" s="19">
        <v>1339353571</v>
      </c>
      <c r="H33" s="19">
        <v>20860853608</v>
      </c>
      <c r="I33" s="19">
        <v>59491774</v>
      </c>
      <c r="J33" s="19">
        <v>786580684</v>
      </c>
      <c r="K33" s="19">
        <v>872661558</v>
      </c>
      <c r="L33" s="19">
        <v>27986712287</v>
      </c>
      <c r="M33" s="19">
        <v>136936657</v>
      </c>
      <c r="N33" s="19">
        <v>12899427016</v>
      </c>
      <c r="O33" s="19">
        <v>1014691804</v>
      </c>
      <c r="P33" s="19">
        <v>1029328156</v>
      </c>
      <c r="Q33" s="19">
        <v>14929685</v>
      </c>
      <c r="R33" s="19">
        <v>1517249886</v>
      </c>
      <c r="S33" s="19">
        <v>422084373</v>
      </c>
      <c r="T33" s="19">
        <v>299471744</v>
      </c>
      <c r="U33" s="20">
        <f t="shared" si="0"/>
        <v>174872419451</v>
      </c>
    </row>
    <row r="34" spans="1:21" ht="14.25" customHeight="1" x14ac:dyDescent="0.2">
      <c r="A34" s="17" t="s">
        <v>40</v>
      </c>
      <c r="B34" s="18" t="str">
        <f>'Parcel Ct by Type'!B34</f>
        <v>R-Prelim</v>
      </c>
      <c r="C34" s="19">
        <v>32748663</v>
      </c>
      <c r="D34" s="19">
        <v>225283919</v>
      </c>
      <c r="E34" s="19">
        <v>49618594</v>
      </c>
      <c r="F34" s="19">
        <v>0</v>
      </c>
      <c r="G34" s="19">
        <v>2896415</v>
      </c>
      <c r="H34" s="19">
        <v>3892595</v>
      </c>
      <c r="I34" s="19">
        <v>14406</v>
      </c>
      <c r="J34" s="19">
        <v>464059</v>
      </c>
      <c r="K34" s="19">
        <v>11924185</v>
      </c>
      <c r="L34" s="19">
        <v>71054449</v>
      </c>
      <c r="M34" s="19">
        <v>0</v>
      </c>
      <c r="N34" s="19">
        <v>7562816</v>
      </c>
      <c r="O34" s="19">
        <v>235073841</v>
      </c>
      <c r="P34" s="19">
        <v>2745382</v>
      </c>
      <c r="Q34" s="19">
        <v>1049186</v>
      </c>
      <c r="R34" s="19">
        <v>591869</v>
      </c>
      <c r="S34" s="19">
        <v>2427211</v>
      </c>
      <c r="T34" s="19">
        <v>5567334</v>
      </c>
      <c r="U34" s="20">
        <f t="shared" si="0"/>
        <v>652914924</v>
      </c>
    </row>
    <row r="35" spans="1:21" ht="14.25" customHeight="1" x14ac:dyDescent="0.2">
      <c r="A35" s="17" t="s">
        <v>41</v>
      </c>
      <c r="B35" s="18" t="str">
        <f>'Parcel Ct by Type'!B35</f>
        <v>R-Prelim</v>
      </c>
      <c r="C35" s="19">
        <v>853745326</v>
      </c>
      <c r="D35" s="19">
        <v>23201971908</v>
      </c>
      <c r="E35" s="19">
        <v>74101285</v>
      </c>
      <c r="F35" s="19">
        <v>4688888817</v>
      </c>
      <c r="G35" s="19">
        <v>243571887</v>
      </c>
      <c r="H35" s="19">
        <v>176737108</v>
      </c>
      <c r="I35" s="19">
        <v>7888104</v>
      </c>
      <c r="J35" s="19">
        <v>259616744</v>
      </c>
      <c r="K35" s="19">
        <v>131834428</v>
      </c>
      <c r="L35" s="19">
        <v>1573835237</v>
      </c>
      <c r="M35" s="19">
        <v>22739914</v>
      </c>
      <c r="N35" s="19">
        <v>358680742</v>
      </c>
      <c r="O35" s="19">
        <v>319911384</v>
      </c>
      <c r="P35" s="19">
        <v>245055502</v>
      </c>
      <c r="Q35" s="19">
        <v>9509451</v>
      </c>
      <c r="R35" s="19">
        <v>26312883</v>
      </c>
      <c r="S35" s="19">
        <v>23468473</v>
      </c>
      <c r="T35" s="19">
        <v>148122739</v>
      </c>
      <c r="U35" s="20">
        <f t="shared" si="0"/>
        <v>32365991932</v>
      </c>
    </row>
    <row r="36" spans="1:21" ht="14.25" customHeight="1" x14ac:dyDescent="0.2">
      <c r="A36" s="17" t="s">
        <v>42</v>
      </c>
      <c r="B36" s="18" t="str">
        <f>'Parcel Ct by Type'!B36</f>
        <v>R-Prelim</v>
      </c>
      <c r="C36" s="19">
        <v>163013448</v>
      </c>
      <c r="D36" s="19">
        <v>883342718</v>
      </c>
      <c r="E36" s="19">
        <v>123281420</v>
      </c>
      <c r="F36" s="19">
        <v>0</v>
      </c>
      <c r="G36" s="19">
        <v>9068044</v>
      </c>
      <c r="H36" s="19">
        <v>18529825</v>
      </c>
      <c r="I36" s="19">
        <v>0</v>
      </c>
      <c r="J36" s="19">
        <v>2791993</v>
      </c>
      <c r="K36" s="19">
        <v>21263457</v>
      </c>
      <c r="L36" s="19">
        <v>245073145</v>
      </c>
      <c r="M36" s="19">
        <v>851591</v>
      </c>
      <c r="N36" s="19">
        <v>87392294</v>
      </c>
      <c r="O36" s="19">
        <v>385133591</v>
      </c>
      <c r="P36" s="19">
        <v>18576307</v>
      </c>
      <c r="Q36" s="19">
        <v>3016234</v>
      </c>
      <c r="R36" s="19">
        <v>0</v>
      </c>
      <c r="S36" s="19">
        <v>33102225</v>
      </c>
      <c r="T36" s="19">
        <v>6901889</v>
      </c>
      <c r="U36" s="20">
        <f t="shared" si="0"/>
        <v>2001338181</v>
      </c>
    </row>
    <row r="37" spans="1:21" ht="14.25" customHeight="1" x14ac:dyDescent="0.2">
      <c r="A37" s="17" t="s">
        <v>43</v>
      </c>
      <c r="B37" s="18" t="str">
        <f>'Parcel Ct by Type'!B37</f>
        <v>R-Prelim</v>
      </c>
      <c r="C37" s="19">
        <v>48527445</v>
      </c>
      <c r="D37" s="19">
        <v>380631699</v>
      </c>
      <c r="E37" s="19">
        <v>67352497</v>
      </c>
      <c r="F37" s="19">
        <v>367537</v>
      </c>
      <c r="G37" s="19">
        <v>7588846</v>
      </c>
      <c r="H37" s="19">
        <v>6579628</v>
      </c>
      <c r="I37" s="19">
        <v>287935</v>
      </c>
      <c r="J37" s="19">
        <v>263174</v>
      </c>
      <c r="K37" s="19">
        <v>4745376</v>
      </c>
      <c r="L37" s="19">
        <v>47934727</v>
      </c>
      <c r="M37" s="19">
        <v>517223</v>
      </c>
      <c r="N37" s="19">
        <v>11964261</v>
      </c>
      <c r="O37" s="19">
        <v>357497386</v>
      </c>
      <c r="P37" s="19">
        <v>5573250</v>
      </c>
      <c r="Q37" s="19">
        <v>16943</v>
      </c>
      <c r="R37" s="19">
        <v>0</v>
      </c>
      <c r="S37" s="19">
        <v>22324741</v>
      </c>
      <c r="T37" s="19">
        <v>11237545</v>
      </c>
      <c r="U37" s="20">
        <f t="shared" si="0"/>
        <v>973410213</v>
      </c>
    </row>
    <row r="38" spans="1:21" ht="14.25" customHeight="1" x14ac:dyDescent="0.2">
      <c r="A38" s="17" t="s">
        <v>44</v>
      </c>
      <c r="B38" s="18" t="str">
        <f>'Parcel Ct by Type'!B38</f>
        <v>R-Prelim</v>
      </c>
      <c r="C38" s="19">
        <v>33935232</v>
      </c>
      <c r="D38" s="19">
        <v>107789898</v>
      </c>
      <c r="E38" s="19">
        <v>38121012</v>
      </c>
      <c r="F38" s="19">
        <v>0</v>
      </c>
      <c r="G38" s="19">
        <v>1626519</v>
      </c>
      <c r="H38" s="19">
        <v>1368325</v>
      </c>
      <c r="I38" s="19">
        <v>0</v>
      </c>
      <c r="J38" s="19">
        <v>1521042</v>
      </c>
      <c r="K38" s="19">
        <v>1083023</v>
      </c>
      <c r="L38" s="19">
        <v>12361675</v>
      </c>
      <c r="M38" s="19">
        <v>40000</v>
      </c>
      <c r="N38" s="19">
        <v>2591332</v>
      </c>
      <c r="O38" s="19">
        <v>131332033</v>
      </c>
      <c r="P38" s="19">
        <v>2383984</v>
      </c>
      <c r="Q38" s="19">
        <v>0</v>
      </c>
      <c r="R38" s="19">
        <v>0</v>
      </c>
      <c r="S38" s="19">
        <v>1695439</v>
      </c>
      <c r="T38" s="19">
        <v>3377568</v>
      </c>
      <c r="U38" s="20">
        <f t="shared" si="0"/>
        <v>339227082</v>
      </c>
    </row>
    <row r="39" spans="1:21" ht="14.25" customHeight="1" x14ac:dyDescent="0.2">
      <c r="A39" s="17" t="s">
        <v>45</v>
      </c>
      <c r="B39" s="18" t="str">
        <f>'Parcel Ct by Type'!B39</f>
        <v>R-Prelim</v>
      </c>
      <c r="C39" s="19">
        <v>1558966753</v>
      </c>
      <c r="D39" s="19">
        <v>32260032605</v>
      </c>
      <c r="E39" s="19">
        <v>1359388529</v>
      </c>
      <c r="F39" s="19">
        <v>630144004</v>
      </c>
      <c r="G39" s="19">
        <v>321590872</v>
      </c>
      <c r="H39" s="19">
        <v>1616261772</v>
      </c>
      <c r="I39" s="19">
        <v>140212206</v>
      </c>
      <c r="J39" s="19">
        <v>274583899</v>
      </c>
      <c r="K39" s="19">
        <v>587858925</v>
      </c>
      <c r="L39" s="19">
        <v>4501012787</v>
      </c>
      <c r="M39" s="19">
        <v>104322304</v>
      </c>
      <c r="N39" s="19">
        <v>1485999539</v>
      </c>
      <c r="O39" s="19">
        <v>610775638</v>
      </c>
      <c r="P39" s="19">
        <v>136822911</v>
      </c>
      <c r="Q39" s="19">
        <v>6224690</v>
      </c>
      <c r="R39" s="19">
        <v>0</v>
      </c>
      <c r="S39" s="19">
        <v>21929787</v>
      </c>
      <c r="T39" s="19">
        <v>559966390</v>
      </c>
      <c r="U39" s="20">
        <f t="shared" si="0"/>
        <v>46176093611</v>
      </c>
    </row>
    <row r="40" spans="1:21" ht="14.25" customHeight="1" x14ac:dyDescent="0.2">
      <c r="A40" s="17" t="s">
        <v>46</v>
      </c>
      <c r="B40" s="18" t="str">
        <f>'Parcel Ct by Type'!B40</f>
        <v>R-Prelim</v>
      </c>
      <c r="C40" s="19">
        <v>5057422486</v>
      </c>
      <c r="D40" s="19">
        <v>89539170717</v>
      </c>
      <c r="E40" s="19">
        <v>1432630052</v>
      </c>
      <c r="F40" s="19">
        <v>21084327709</v>
      </c>
      <c r="G40" s="19">
        <v>4302203243</v>
      </c>
      <c r="H40" s="19">
        <v>5146524276</v>
      </c>
      <c r="I40" s="19">
        <v>335479605</v>
      </c>
      <c r="J40" s="19">
        <v>764821676</v>
      </c>
      <c r="K40" s="19">
        <v>1974103288</v>
      </c>
      <c r="L40" s="19">
        <v>12761232111</v>
      </c>
      <c r="M40" s="19">
        <v>246216754</v>
      </c>
      <c r="N40" s="19">
        <v>4850919691</v>
      </c>
      <c r="O40" s="19">
        <v>429728311</v>
      </c>
      <c r="P40" s="19">
        <v>636251302</v>
      </c>
      <c r="Q40" s="19">
        <v>9402481</v>
      </c>
      <c r="R40" s="19">
        <v>150900838</v>
      </c>
      <c r="S40" s="19">
        <v>237840033</v>
      </c>
      <c r="T40" s="19">
        <v>259948332</v>
      </c>
      <c r="U40" s="20">
        <f t="shared" si="0"/>
        <v>149219122905</v>
      </c>
    </row>
    <row r="41" spans="1:21" ht="14.25" customHeight="1" x14ac:dyDescent="0.2">
      <c r="A41" s="17" t="s">
        <v>47</v>
      </c>
      <c r="B41" s="18" t="str">
        <f>'Parcel Ct by Type'!B41</f>
        <v>R-Prelim</v>
      </c>
      <c r="C41" s="19">
        <v>310643428</v>
      </c>
      <c r="D41" s="19">
        <v>15220623321</v>
      </c>
      <c r="E41" s="19">
        <v>241612409</v>
      </c>
      <c r="F41" s="19">
        <v>657737583</v>
      </c>
      <c r="G41" s="19">
        <v>577118536</v>
      </c>
      <c r="H41" s="19">
        <v>4402631081</v>
      </c>
      <c r="I41" s="19">
        <v>0</v>
      </c>
      <c r="J41" s="19">
        <v>127437908</v>
      </c>
      <c r="K41" s="19">
        <v>191553826</v>
      </c>
      <c r="L41" s="19">
        <v>3913727968</v>
      </c>
      <c r="M41" s="19">
        <v>15238543</v>
      </c>
      <c r="N41" s="19">
        <v>876425500</v>
      </c>
      <c r="O41" s="19">
        <v>214411910</v>
      </c>
      <c r="P41" s="19">
        <v>344341556</v>
      </c>
      <c r="Q41" s="19">
        <v>14817052</v>
      </c>
      <c r="R41" s="19">
        <v>0</v>
      </c>
      <c r="S41" s="19">
        <v>9978877</v>
      </c>
      <c r="T41" s="19">
        <v>96413282</v>
      </c>
      <c r="U41" s="20">
        <f t="shared" si="0"/>
        <v>27214712780</v>
      </c>
    </row>
    <row r="42" spans="1:21" ht="14.25" customHeight="1" x14ac:dyDescent="0.2">
      <c r="A42" s="17" t="s">
        <v>48</v>
      </c>
      <c r="B42" s="18" t="str">
        <f>'Parcel Ct by Type'!B42</f>
        <v>R-Prelim</v>
      </c>
      <c r="C42" s="19">
        <v>342309915</v>
      </c>
      <c r="D42" s="19">
        <v>1198008530</v>
      </c>
      <c r="E42" s="19">
        <v>620034487</v>
      </c>
      <c r="F42" s="19">
        <v>35689901</v>
      </c>
      <c r="G42" s="19">
        <v>14643506</v>
      </c>
      <c r="H42" s="19">
        <v>5311500</v>
      </c>
      <c r="I42" s="19">
        <v>0</v>
      </c>
      <c r="J42" s="19">
        <v>4088952</v>
      </c>
      <c r="K42" s="19">
        <v>21358982</v>
      </c>
      <c r="L42" s="19">
        <v>266149764</v>
      </c>
      <c r="M42" s="19">
        <v>368753</v>
      </c>
      <c r="N42" s="19">
        <v>33089536</v>
      </c>
      <c r="O42" s="19">
        <v>523554525</v>
      </c>
      <c r="P42" s="19">
        <v>5880473</v>
      </c>
      <c r="Q42" s="19">
        <v>0</v>
      </c>
      <c r="R42" s="19">
        <v>3345310</v>
      </c>
      <c r="S42" s="19">
        <v>17790560</v>
      </c>
      <c r="T42" s="19">
        <v>26693558</v>
      </c>
      <c r="U42" s="20">
        <f t="shared" si="0"/>
        <v>3118318252</v>
      </c>
    </row>
    <row r="43" spans="1:21" ht="14.25" customHeight="1" x14ac:dyDescent="0.2">
      <c r="A43" s="17" t="s">
        <v>49</v>
      </c>
      <c r="B43" s="18" t="str">
        <f>'Parcel Ct by Type'!B43</f>
        <v>R-Prelim</v>
      </c>
      <c r="C43" s="19">
        <v>11640916</v>
      </c>
      <c r="D43" s="19">
        <v>103298601</v>
      </c>
      <c r="E43" s="19">
        <v>19457220</v>
      </c>
      <c r="F43" s="19"/>
      <c r="G43" s="19">
        <v>2497912</v>
      </c>
      <c r="H43" s="19">
        <v>318314</v>
      </c>
      <c r="I43" s="19"/>
      <c r="J43" s="19">
        <v>274820</v>
      </c>
      <c r="K43" s="19">
        <v>723318</v>
      </c>
      <c r="L43" s="19">
        <v>17371461</v>
      </c>
      <c r="M43" s="19"/>
      <c r="N43" s="19">
        <v>21165592</v>
      </c>
      <c r="O43" s="19">
        <v>51746672</v>
      </c>
      <c r="P43" s="19">
        <v>343529</v>
      </c>
      <c r="Q43" s="19">
        <v>0</v>
      </c>
      <c r="R43" s="19"/>
      <c r="S43" s="19">
        <v>1368852</v>
      </c>
      <c r="T43" s="19">
        <v>1964376</v>
      </c>
      <c r="U43" s="20">
        <f t="shared" si="0"/>
        <v>232171583</v>
      </c>
    </row>
    <row r="44" spans="1:21" ht="14.25" customHeight="1" x14ac:dyDescent="0.2">
      <c r="A44" s="17" t="s">
        <v>50</v>
      </c>
      <c r="B44" s="18" t="str">
        <f>'Parcel Ct by Type'!B44</f>
        <v>R-Prelim</v>
      </c>
      <c r="C44" s="19">
        <v>89626785</v>
      </c>
      <c r="D44" s="19">
        <v>295637232</v>
      </c>
      <c r="E44" s="19">
        <v>87185983</v>
      </c>
      <c r="F44" s="19">
        <v>0</v>
      </c>
      <c r="G44" s="19">
        <v>19561125</v>
      </c>
      <c r="H44" s="19">
        <v>3980407</v>
      </c>
      <c r="I44" s="19">
        <v>0</v>
      </c>
      <c r="J44" s="19">
        <v>0</v>
      </c>
      <c r="K44" s="19">
        <v>3426959</v>
      </c>
      <c r="L44" s="19">
        <v>89265712</v>
      </c>
      <c r="M44" s="19">
        <v>117661</v>
      </c>
      <c r="N44" s="19">
        <v>92053287</v>
      </c>
      <c r="O44" s="19">
        <v>262282941</v>
      </c>
      <c r="P44" s="19">
        <v>16488634</v>
      </c>
      <c r="Q44" s="19">
        <v>0</v>
      </c>
      <c r="R44" s="19"/>
      <c r="S44" s="19">
        <v>8806530</v>
      </c>
      <c r="T44" s="19">
        <v>16173765</v>
      </c>
      <c r="U44" s="20">
        <f t="shared" si="0"/>
        <v>984607021</v>
      </c>
    </row>
    <row r="45" spans="1:21" ht="14.25" customHeight="1" x14ac:dyDescent="0.2">
      <c r="A45" s="17" t="s">
        <v>51</v>
      </c>
      <c r="B45" s="18" t="str">
        <f>'Parcel Ct by Type'!B45</f>
        <v>R-Prelim</v>
      </c>
      <c r="C45" s="19">
        <v>1897967886</v>
      </c>
      <c r="D45" s="19">
        <v>48776480020</v>
      </c>
      <c r="E45" s="19">
        <v>349493436</v>
      </c>
      <c r="F45" s="19">
        <v>7876467229</v>
      </c>
      <c r="G45" s="19">
        <v>1641978622</v>
      </c>
      <c r="H45" s="19">
        <v>3603177936</v>
      </c>
      <c r="I45" s="19">
        <v>386634685</v>
      </c>
      <c r="J45" s="19">
        <v>122777010</v>
      </c>
      <c r="K45" s="19">
        <v>320731224</v>
      </c>
      <c r="L45" s="19">
        <v>5674941109</v>
      </c>
      <c r="M45" s="19">
        <v>74909784</v>
      </c>
      <c r="N45" s="19">
        <v>2992691395</v>
      </c>
      <c r="O45" s="19">
        <v>413673156</v>
      </c>
      <c r="P45" s="19">
        <v>830493417</v>
      </c>
      <c r="Q45" s="19">
        <v>11119309</v>
      </c>
      <c r="R45" s="19">
        <v>25417597</v>
      </c>
      <c r="S45" s="19">
        <v>86769406</v>
      </c>
      <c r="T45" s="19">
        <v>405727740</v>
      </c>
      <c r="U45" s="20">
        <f t="shared" si="0"/>
        <v>75491450961</v>
      </c>
    </row>
    <row r="46" spans="1:21" ht="14.25" customHeight="1" x14ac:dyDescent="0.2">
      <c r="A46" s="17" t="s">
        <v>52</v>
      </c>
      <c r="B46" s="18" t="str">
        <f>'Parcel Ct by Type'!B46</f>
        <v>R-Prelim</v>
      </c>
      <c r="C46" s="19">
        <v>1323059965</v>
      </c>
      <c r="D46" s="19">
        <v>23595772023</v>
      </c>
      <c r="E46" s="19">
        <v>1429503754</v>
      </c>
      <c r="F46" s="19">
        <v>232384240</v>
      </c>
      <c r="G46" s="19">
        <v>899648018</v>
      </c>
      <c r="H46" s="19">
        <v>1205228437</v>
      </c>
      <c r="I46" s="19">
        <v>0</v>
      </c>
      <c r="J46" s="19">
        <v>175421182</v>
      </c>
      <c r="K46" s="19">
        <v>494914975</v>
      </c>
      <c r="L46" s="19">
        <v>4139280371</v>
      </c>
      <c r="M46" s="19">
        <v>78339876</v>
      </c>
      <c r="N46" s="19">
        <v>2207567564</v>
      </c>
      <c r="O46" s="19">
        <v>2221420707</v>
      </c>
      <c r="P46" s="19">
        <v>392675057</v>
      </c>
      <c r="Q46" s="19">
        <v>5051263</v>
      </c>
      <c r="R46" s="19">
        <v>14677970</v>
      </c>
      <c r="S46" s="19">
        <v>50056010</v>
      </c>
      <c r="T46" s="19">
        <v>296168593</v>
      </c>
      <c r="U46" s="20">
        <f t="shared" si="0"/>
        <v>38761170005</v>
      </c>
    </row>
    <row r="47" spans="1:21" ht="14.25" customHeight="1" x14ac:dyDescent="0.2">
      <c r="A47" s="17" t="s">
        <v>53</v>
      </c>
      <c r="B47" s="18" t="str">
        <f>'Parcel Ct by Type'!B47</f>
        <v>R-Prelim</v>
      </c>
      <c r="C47" s="19">
        <v>2538624641</v>
      </c>
      <c r="D47" s="19">
        <v>25406864019</v>
      </c>
      <c r="E47" s="19">
        <v>252864720</v>
      </c>
      <c r="F47" s="19">
        <v>2771502070</v>
      </c>
      <c r="G47" s="19">
        <v>366960271</v>
      </c>
      <c r="H47" s="19">
        <v>730389055</v>
      </c>
      <c r="I47" s="19">
        <v>50000377</v>
      </c>
      <c r="J47" s="19">
        <v>2648052</v>
      </c>
      <c r="K47" s="19">
        <v>230017832</v>
      </c>
      <c r="L47" s="19">
        <v>3169207730</v>
      </c>
      <c r="M47" s="19">
        <v>72353058</v>
      </c>
      <c r="N47" s="19">
        <v>1299891622</v>
      </c>
      <c r="O47" s="19">
        <v>549309530</v>
      </c>
      <c r="P47" s="19">
        <v>316011782</v>
      </c>
      <c r="Q47" s="19">
        <v>24876168</v>
      </c>
      <c r="R47" s="19">
        <v>33103336</v>
      </c>
      <c r="S47" s="19">
        <v>46899934</v>
      </c>
      <c r="T47" s="19">
        <v>221649958</v>
      </c>
      <c r="U47" s="20">
        <f t="shared" si="0"/>
        <v>38083174155</v>
      </c>
    </row>
    <row r="48" spans="1:21" ht="14.25" customHeight="1" x14ac:dyDescent="0.2">
      <c r="A48" s="17" t="s">
        <v>54</v>
      </c>
      <c r="B48" s="18" t="str">
        <f>'Parcel Ct by Type'!B48</f>
        <v>R-Prelim</v>
      </c>
      <c r="C48" s="19">
        <v>1568571036</v>
      </c>
      <c r="D48" s="19">
        <v>32338044764</v>
      </c>
      <c r="E48" s="19">
        <v>1571102015</v>
      </c>
      <c r="F48" s="19">
        <v>5698137267</v>
      </c>
      <c r="G48" s="19">
        <v>1749775044</v>
      </c>
      <c r="H48" s="19">
        <v>532531271</v>
      </c>
      <c r="I48" s="19">
        <v>16641633</v>
      </c>
      <c r="J48" s="19">
        <v>132491289</v>
      </c>
      <c r="K48" s="19">
        <v>168653499</v>
      </c>
      <c r="L48" s="19">
        <v>8023570427</v>
      </c>
      <c r="M48" s="19">
        <v>6954369</v>
      </c>
      <c r="N48" s="19">
        <v>322838805</v>
      </c>
      <c r="O48" s="19">
        <v>53197</v>
      </c>
      <c r="P48" s="19">
        <v>120575411</v>
      </c>
      <c r="Q48" s="19">
        <v>8602502</v>
      </c>
      <c r="R48" s="19">
        <v>3832865</v>
      </c>
      <c r="S48" s="19">
        <v>40070624</v>
      </c>
      <c r="T48" s="19">
        <v>6969535</v>
      </c>
      <c r="U48" s="20">
        <f t="shared" si="0"/>
        <v>52309415553</v>
      </c>
    </row>
    <row r="49" spans="1:21" ht="14.25" customHeight="1" x14ac:dyDescent="0.2">
      <c r="A49" s="17" t="s">
        <v>55</v>
      </c>
      <c r="B49" s="18" t="str">
        <f>'Parcel Ct by Type'!B49</f>
        <v>R-Prelim</v>
      </c>
      <c r="C49" s="19">
        <v>630027777</v>
      </c>
      <c r="D49" s="19">
        <v>11518142470</v>
      </c>
      <c r="E49" s="19">
        <v>595371219</v>
      </c>
      <c r="F49" s="19">
        <v>2476411599</v>
      </c>
      <c r="G49" s="19">
        <v>213599751</v>
      </c>
      <c r="H49" s="19">
        <v>463789696</v>
      </c>
      <c r="I49" s="19">
        <v>0</v>
      </c>
      <c r="J49" s="19">
        <v>108258313</v>
      </c>
      <c r="K49" s="19">
        <v>139893016</v>
      </c>
      <c r="L49" s="19">
        <v>1414307442</v>
      </c>
      <c r="M49" s="19">
        <v>16881761</v>
      </c>
      <c r="N49" s="19">
        <v>236547632</v>
      </c>
      <c r="O49" s="19">
        <v>362161098</v>
      </c>
      <c r="P49" s="19">
        <v>50092498</v>
      </c>
      <c r="Q49" s="19">
        <v>37189079</v>
      </c>
      <c r="R49" s="19">
        <v>2861527</v>
      </c>
      <c r="S49" s="19">
        <v>30691377</v>
      </c>
      <c r="T49" s="19">
        <v>192598910</v>
      </c>
      <c r="U49" s="20">
        <f t="shared" si="0"/>
        <v>18488825165</v>
      </c>
    </row>
    <row r="50" spans="1:21" ht="14.25" customHeight="1" x14ac:dyDescent="0.2">
      <c r="A50" s="17" t="s">
        <v>56</v>
      </c>
      <c r="B50" s="18" t="str">
        <f>'Parcel Ct by Type'!B50</f>
        <v>R-Prelim</v>
      </c>
      <c r="C50" s="19">
        <v>717105956</v>
      </c>
      <c r="D50" s="19">
        <v>17602383834</v>
      </c>
      <c r="E50" s="19">
        <v>265641129</v>
      </c>
      <c r="F50" s="19">
        <v>5975202159</v>
      </c>
      <c r="G50" s="19">
        <v>362545205</v>
      </c>
      <c r="H50" s="19">
        <v>928757136</v>
      </c>
      <c r="I50" s="19">
        <v>840000</v>
      </c>
      <c r="J50" s="19">
        <v>0</v>
      </c>
      <c r="K50" s="19">
        <v>198033183</v>
      </c>
      <c r="L50" s="19">
        <v>2984318271</v>
      </c>
      <c r="M50" s="19">
        <v>2472957</v>
      </c>
      <c r="N50" s="19">
        <v>565182946</v>
      </c>
      <c r="O50" s="19">
        <v>213108668</v>
      </c>
      <c r="P50" s="19">
        <v>165747841</v>
      </c>
      <c r="Q50" s="19">
        <v>33021942</v>
      </c>
      <c r="R50" s="19">
        <v>0</v>
      </c>
      <c r="S50" s="19">
        <v>13453996</v>
      </c>
      <c r="T50" s="19">
        <v>102075406</v>
      </c>
      <c r="U50" s="20">
        <f t="shared" si="0"/>
        <v>30129890629</v>
      </c>
    </row>
    <row r="51" spans="1:21" ht="14.25" customHeight="1" x14ac:dyDescent="0.2">
      <c r="A51" s="17" t="s">
        <v>57</v>
      </c>
      <c r="B51" s="18" t="str">
        <f>'Parcel Ct by Type'!B51</f>
        <v>R-Prelim</v>
      </c>
      <c r="C51" s="19">
        <v>251647210</v>
      </c>
      <c r="D51" s="19">
        <v>1321108682</v>
      </c>
      <c r="E51" s="19">
        <v>478715588</v>
      </c>
      <c r="F51" s="19">
        <v>17443110</v>
      </c>
      <c r="G51" s="19">
        <v>73922515</v>
      </c>
      <c r="H51" s="19">
        <v>12744773</v>
      </c>
      <c r="I51" s="19">
        <v>0</v>
      </c>
      <c r="J51" s="19">
        <v>1109749</v>
      </c>
      <c r="K51" s="19">
        <v>25867354</v>
      </c>
      <c r="L51" s="19">
        <v>496183634</v>
      </c>
      <c r="M51" s="19">
        <v>10214560</v>
      </c>
      <c r="N51" s="19">
        <v>112483314</v>
      </c>
      <c r="O51" s="19">
        <v>426669461</v>
      </c>
      <c r="P51" s="19">
        <v>38156887</v>
      </c>
      <c r="Q51" s="19">
        <v>0</v>
      </c>
      <c r="R51" s="19">
        <v>5936846</v>
      </c>
      <c r="S51" s="19">
        <v>89426542</v>
      </c>
      <c r="T51" s="19">
        <v>36638192</v>
      </c>
      <c r="U51" s="20">
        <f t="shared" si="0"/>
        <v>3398268417</v>
      </c>
    </row>
    <row r="52" spans="1:21" ht="14.25" customHeight="1" x14ac:dyDescent="0.2">
      <c r="A52" s="17" t="s">
        <v>58</v>
      </c>
      <c r="B52" s="18" t="str">
        <f>'Parcel Ct by Type'!B52</f>
        <v>R-Prelim</v>
      </c>
      <c r="C52" s="19">
        <v>1964185724</v>
      </c>
      <c r="D52" s="19">
        <v>109520542826</v>
      </c>
      <c r="E52" s="19">
        <v>494842653</v>
      </c>
      <c r="F52" s="19">
        <v>8298656567</v>
      </c>
      <c r="G52" s="19">
        <v>1330197970</v>
      </c>
      <c r="H52" s="19">
        <v>25515323550</v>
      </c>
      <c r="I52" s="19">
        <v>0</v>
      </c>
      <c r="J52" s="19">
        <v>83208592</v>
      </c>
      <c r="K52" s="19">
        <v>2352454553</v>
      </c>
      <c r="L52" s="19">
        <v>64742720420</v>
      </c>
      <c r="M52" s="19">
        <v>547630388</v>
      </c>
      <c r="N52" s="19">
        <v>17536220902</v>
      </c>
      <c r="O52" s="19">
        <v>408692422</v>
      </c>
      <c r="P52" s="19">
        <v>1157092834</v>
      </c>
      <c r="Q52" s="19">
        <v>762684773</v>
      </c>
      <c r="R52" s="19">
        <v>4260087</v>
      </c>
      <c r="S52" s="19">
        <v>113565152</v>
      </c>
      <c r="T52" s="19">
        <v>558814658</v>
      </c>
      <c r="U52" s="20">
        <f t="shared" si="0"/>
        <v>235391094071</v>
      </c>
    </row>
    <row r="53" spans="1:21" ht="14.25" customHeight="1" x14ac:dyDescent="0.2">
      <c r="A53" s="17" t="s">
        <v>59</v>
      </c>
      <c r="B53" s="18" t="str">
        <f>'Parcel Ct by Type'!B53</f>
        <v>R-Prelim</v>
      </c>
      <c r="C53" s="19">
        <v>963814822</v>
      </c>
      <c r="D53" s="19">
        <v>37127810166</v>
      </c>
      <c r="E53" s="19">
        <v>554885481</v>
      </c>
      <c r="F53" s="19">
        <v>5619786784</v>
      </c>
      <c r="G53" s="19">
        <v>330446090</v>
      </c>
      <c r="H53" s="19">
        <v>4417754876</v>
      </c>
      <c r="I53" s="19">
        <v>0</v>
      </c>
      <c r="J53" s="19">
        <v>14949524</v>
      </c>
      <c r="K53" s="19">
        <v>739242030</v>
      </c>
      <c r="L53" s="19">
        <v>6648326940</v>
      </c>
      <c r="M53" s="19">
        <v>63798921</v>
      </c>
      <c r="N53" s="19">
        <v>1422678329</v>
      </c>
      <c r="O53" s="19">
        <v>225322143</v>
      </c>
      <c r="P53" s="19">
        <v>422830359</v>
      </c>
      <c r="Q53" s="19">
        <v>9488244</v>
      </c>
      <c r="R53" s="19">
        <v>5685241</v>
      </c>
      <c r="S53" s="19">
        <v>66226329</v>
      </c>
      <c r="T53" s="19">
        <v>165221356</v>
      </c>
      <c r="U53" s="20">
        <f t="shared" si="0"/>
        <v>58798267635</v>
      </c>
    </row>
    <row r="54" spans="1:21" ht="14.25" customHeight="1" x14ac:dyDescent="0.2">
      <c r="A54" s="17" t="s">
        <v>60</v>
      </c>
      <c r="B54" s="18" t="str">
        <f>'Parcel Ct by Type'!B54</f>
        <v>R-Prelim</v>
      </c>
      <c r="C54" s="19">
        <v>7334741559</v>
      </c>
      <c r="D54" s="19">
        <v>202858595795</v>
      </c>
      <c r="E54" s="19">
        <v>370183180</v>
      </c>
      <c r="F54" s="19">
        <v>55150636603</v>
      </c>
      <c r="G54" s="19">
        <v>4846362486</v>
      </c>
      <c r="H54" s="19">
        <v>16372561130</v>
      </c>
      <c r="I54" s="19">
        <v>1665273364</v>
      </c>
      <c r="J54" s="19">
        <v>2661949326</v>
      </c>
      <c r="K54" s="19">
        <v>1853229259</v>
      </c>
      <c r="L54" s="19">
        <v>40372880627</v>
      </c>
      <c r="M54" s="19">
        <v>268668708</v>
      </c>
      <c r="N54" s="19">
        <v>12377409252</v>
      </c>
      <c r="O54" s="19">
        <v>3533240976</v>
      </c>
      <c r="P54" s="19">
        <v>1681717914</v>
      </c>
      <c r="Q54" s="19">
        <v>55775198</v>
      </c>
      <c r="R54" s="19">
        <v>501479182</v>
      </c>
      <c r="S54" s="19">
        <v>516490021</v>
      </c>
      <c r="T54" s="19">
        <v>8491065</v>
      </c>
      <c r="U54" s="20">
        <f t="shared" si="0"/>
        <v>352429685645</v>
      </c>
    </row>
    <row r="55" spans="1:21" ht="14.25" customHeight="1" x14ac:dyDescent="0.2">
      <c r="A55" s="17" t="s">
        <v>61</v>
      </c>
      <c r="B55" s="18" t="str">
        <f>'Parcel Ct by Type'!B55</f>
        <v>R-Prelim</v>
      </c>
      <c r="C55" s="19">
        <v>1364633847</v>
      </c>
      <c r="D55" s="19">
        <v>43881480741</v>
      </c>
      <c r="E55" s="19">
        <v>1684958795</v>
      </c>
      <c r="F55" s="19">
        <v>996983880</v>
      </c>
      <c r="G55" s="19">
        <v>546516727</v>
      </c>
      <c r="H55" s="19">
        <v>3411495268</v>
      </c>
      <c r="I55" s="19">
        <v>0</v>
      </c>
      <c r="J55" s="19">
        <v>49938059</v>
      </c>
      <c r="K55" s="19">
        <v>814506006</v>
      </c>
      <c r="L55" s="19">
        <v>5631824324</v>
      </c>
      <c r="M55" s="19">
        <v>54636783</v>
      </c>
      <c r="N55" s="19">
        <v>1910010481</v>
      </c>
      <c r="O55" s="19">
        <v>398906946</v>
      </c>
      <c r="P55" s="19">
        <v>537299726</v>
      </c>
      <c r="Q55" s="19">
        <v>6984125</v>
      </c>
      <c r="R55" s="19">
        <v>269424</v>
      </c>
      <c r="S55" s="19">
        <v>67915307</v>
      </c>
      <c r="T55" s="19">
        <v>174705492</v>
      </c>
      <c r="U55" s="20">
        <f t="shared" si="0"/>
        <v>61533065931</v>
      </c>
    </row>
    <row r="56" spans="1:21" ht="14.25" customHeight="1" x14ac:dyDescent="0.2">
      <c r="A56" s="17" t="s">
        <v>62</v>
      </c>
      <c r="B56" s="18" t="str">
        <f>'Parcel Ct by Type'!B56</f>
        <v>R-Prelim</v>
      </c>
      <c r="C56" s="19">
        <v>2043664091</v>
      </c>
      <c r="D56" s="19">
        <v>68548653718</v>
      </c>
      <c r="E56" s="19">
        <v>1107157830</v>
      </c>
      <c r="F56" s="19">
        <v>24586622587</v>
      </c>
      <c r="G56" s="19">
        <v>5343833543</v>
      </c>
      <c r="H56" s="19">
        <v>9829508778</v>
      </c>
      <c r="I56" s="19">
        <v>148218529</v>
      </c>
      <c r="J56" s="19">
        <v>31808825</v>
      </c>
      <c r="K56" s="19">
        <v>1004124523</v>
      </c>
      <c r="L56" s="19">
        <v>19019101093</v>
      </c>
      <c r="M56" s="19">
        <v>172606172</v>
      </c>
      <c r="N56" s="19">
        <v>6127795902</v>
      </c>
      <c r="O56" s="19">
        <v>30162159</v>
      </c>
      <c r="P56" s="19">
        <v>1401964425</v>
      </c>
      <c r="Q56" s="19">
        <v>1773880</v>
      </c>
      <c r="R56" s="19">
        <v>145947950</v>
      </c>
      <c r="S56" s="19">
        <v>237019844</v>
      </c>
      <c r="T56" s="19">
        <v>5941225</v>
      </c>
      <c r="U56" s="20">
        <f t="shared" si="0"/>
        <v>139785905074</v>
      </c>
    </row>
    <row r="57" spans="1:21" ht="14.25" customHeight="1" x14ac:dyDescent="0.2">
      <c r="A57" s="17" t="s">
        <v>63</v>
      </c>
      <c r="B57" s="18" t="str">
        <f>'Parcel Ct by Type'!B57</f>
        <v>R-Prelim</v>
      </c>
      <c r="C57" s="19">
        <v>1687906961</v>
      </c>
      <c r="D57" s="19">
        <v>42385111182</v>
      </c>
      <c r="E57" s="19">
        <v>2345752628</v>
      </c>
      <c r="F57" s="19">
        <v>771778600</v>
      </c>
      <c r="G57" s="19">
        <v>1189730867</v>
      </c>
      <c r="H57" s="19">
        <v>4024883739</v>
      </c>
      <c r="I57" s="19">
        <v>8969637</v>
      </c>
      <c r="J57" s="19">
        <v>334121069</v>
      </c>
      <c r="K57" s="19">
        <v>580544659</v>
      </c>
      <c r="L57" s="19">
        <v>7238781005</v>
      </c>
      <c r="M57" s="19">
        <v>129756256</v>
      </c>
      <c r="N57" s="19">
        <v>5792931939</v>
      </c>
      <c r="O57" s="19">
        <v>721369983</v>
      </c>
      <c r="P57" s="19">
        <v>91330246</v>
      </c>
      <c r="Q57" s="19">
        <v>6408760</v>
      </c>
      <c r="R57" s="19">
        <v>0</v>
      </c>
      <c r="S57" s="19">
        <v>231912763</v>
      </c>
      <c r="T57" s="19">
        <v>454850787</v>
      </c>
      <c r="U57" s="20">
        <f t="shared" si="0"/>
        <v>67996141081</v>
      </c>
    </row>
    <row r="58" spans="1:21" ht="14.25" customHeight="1" x14ac:dyDescent="0.2">
      <c r="A58" s="17" t="s">
        <v>64</v>
      </c>
      <c r="B58" s="18" t="str">
        <f>'Parcel Ct by Type'!B58</f>
        <v>R-Prelim</v>
      </c>
      <c r="C58" s="19">
        <v>357188754</v>
      </c>
      <c r="D58" s="19">
        <v>2303872828</v>
      </c>
      <c r="E58" s="19">
        <v>955219492</v>
      </c>
      <c r="F58" s="19">
        <v>36356979</v>
      </c>
      <c r="G58" s="19">
        <v>26895080</v>
      </c>
      <c r="H58" s="19">
        <v>43323938</v>
      </c>
      <c r="I58" s="19">
        <v>0</v>
      </c>
      <c r="J58" s="19">
        <v>134093971</v>
      </c>
      <c r="K58" s="19">
        <v>29297925</v>
      </c>
      <c r="L58" s="19">
        <v>580788741</v>
      </c>
      <c r="M58" s="19">
        <v>7508335</v>
      </c>
      <c r="N58" s="19">
        <v>700643050</v>
      </c>
      <c r="O58" s="19">
        <v>82843928</v>
      </c>
      <c r="P58" s="19">
        <v>57795064</v>
      </c>
      <c r="Q58" s="19">
        <v>6691390</v>
      </c>
      <c r="R58" s="19">
        <v>11300660</v>
      </c>
      <c r="S58" s="19">
        <v>106811796</v>
      </c>
      <c r="T58" s="19">
        <v>99857642</v>
      </c>
      <c r="U58" s="20">
        <f t="shared" si="0"/>
        <v>5540489573</v>
      </c>
    </row>
    <row r="59" spans="1:21" ht="14.25" customHeight="1" x14ac:dyDescent="0.2">
      <c r="A59" s="17" t="s">
        <v>65</v>
      </c>
      <c r="B59" s="18" t="str">
        <f>'Parcel Ct by Type'!B59</f>
        <v>R-Prelim</v>
      </c>
      <c r="C59" s="19">
        <v>1715060199</v>
      </c>
      <c r="D59" s="19">
        <v>44346273771</v>
      </c>
      <c r="E59" s="19">
        <v>537807476</v>
      </c>
      <c r="F59" s="19">
        <v>4217087385</v>
      </c>
      <c r="G59" s="19">
        <v>892014711</v>
      </c>
      <c r="H59" s="19">
        <v>1188313244</v>
      </c>
      <c r="I59" s="19">
        <v>0</v>
      </c>
      <c r="J59" s="19">
        <v>385093</v>
      </c>
      <c r="K59" s="19">
        <v>665427402</v>
      </c>
      <c r="L59" s="19">
        <v>5044497900</v>
      </c>
      <c r="M59" s="19">
        <v>1681603</v>
      </c>
      <c r="N59" s="19">
        <v>1145841651</v>
      </c>
      <c r="O59" s="19">
        <v>194368071</v>
      </c>
      <c r="P59" s="19">
        <v>592809769</v>
      </c>
      <c r="Q59" s="19">
        <v>0</v>
      </c>
      <c r="R59" s="19">
        <v>12908810</v>
      </c>
      <c r="S59" s="19">
        <v>39710709</v>
      </c>
      <c r="T59" s="19">
        <v>267693168</v>
      </c>
      <c r="U59" s="20">
        <f t="shared" si="0"/>
        <v>60861880962</v>
      </c>
    </row>
    <row r="60" spans="1:21" ht="14.25" customHeight="1" x14ac:dyDescent="0.2">
      <c r="A60" s="17" t="s">
        <v>66</v>
      </c>
      <c r="B60" s="18" t="str">
        <f>'Parcel Ct by Type'!B60</f>
        <v>R-Prelim</v>
      </c>
      <c r="C60" s="19">
        <v>1241851807</v>
      </c>
      <c r="D60" s="19">
        <v>28363233271</v>
      </c>
      <c r="E60" s="19">
        <v>535246458</v>
      </c>
      <c r="F60" s="19">
        <v>3264495692</v>
      </c>
      <c r="G60" s="19">
        <v>356691755</v>
      </c>
      <c r="H60" s="19">
        <v>1087394071</v>
      </c>
      <c r="I60" s="19">
        <v>0</v>
      </c>
      <c r="J60" s="19">
        <v>21756278</v>
      </c>
      <c r="K60" s="19">
        <v>528872192</v>
      </c>
      <c r="L60" s="19">
        <v>3632986105</v>
      </c>
      <c r="M60" s="19">
        <v>133012477</v>
      </c>
      <c r="N60" s="19">
        <v>1992173742</v>
      </c>
      <c r="O60" s="19">
        <v>229421544</v>
      </c>
      <c r="P60" s="19">
        <v>519637651</v>
      </c>
      <c r="Q60" s="19">
        <v>2546243</v>
      </c>
      <c r="R60" s="19">
        <v>0</v>
      </c>
      <c r="S60" s="19">
        <v>244895152</v>
      </c>
      <c r="T60" s="19">
        <v>141961246</v>
      </c>
      <c r="U60" s="20">
        <f t="shared" si="0"/>
        <v>42296175684</v>
      </c>
    </row>
    <row r="61" spans="1:21" ht="14.25" customHeight="1" x14ac:dyDescent="0.2">
      <c r="A61" s="17" t="s">
        <v>67</v>
      </c>
      <c r="B61" s="18" t="str">
        <f>'Parcel Ct by Type'!B61</f>
        <v>R-Prelim</v>
      </c>
      <c r="C61" s="19">
        <v>856756573</v>
      </c>
      <c r="D61" s="19">
        <v>13965479977</v>
      </c>
      <c r="E61" s="19">
        <v>393504569</v>
      </c>
      <c r="F61" s="19">
        <v>738296773</v>
      </c>
      <c r="G61" s="19">
        <v>155300118</v>
      </c>
      <c r="H61" s="19">
        <v>402923894</v>
      </c>
      <c r="I61" s="19">
        <v>0</v>
      </c>
      <c r="J61" s="19">
        <v>68132863</v>
      </c>
      <c r="K61" s="19">
        <v>234051684</v>
      </c>
      <c r="L61" s="19">
        <v>1440813160</v>
      </c>
      <c r="M61" s="19">
        <v>28768781</v>
      </c>
      <c r="N61" s="19">
        <v>385202244</v>
      </c>
      <c r="O61" s="19">
        <v>274664918</v>
      </c>
      <c r="P61" s="19">
        <v>75384039</v>
      </c>
      <c r="Q61" s="19">
        <v>1987886</v>
      </c>
      <c r="R61" s="19">
        <v>0</v>
      </c>
      <c r="S61" s="19">
        <v>91369946</v>
      </c>
      <c r="T61" s="19">
        <v>111534839</v>
      </c>
      <c r="U61" s="20">
        <f t="shared" si="0"/>
        <v>19224172264</v>
      </c>
    </row>
    <row r="62" spans="1:21" ht="14.25" customHeight="1" x14ac:dyDescent="0.2">
      <c r="A62" s="17" t="s">
        <v>68</v>
      </c>
      <c r="B62" s="18" t="str">
        <f>'Parcel Ct by Type'!B62</f>
        <v>R-Prelim</v>
      </c>
      <c r="C62" s="19">
        <v>3041130296</v>
      </c>
      <c r="D62" s="19">
        <v>60097767606</v>
      </c>
      <c r="E62" s="19">
        <v>939655202</v>
      </c>
      <c r="F62" s="19">
        <v>20871387905</v>
      </c>
      <c r="G62" s="19">
        <v>3281051604</v>
      </c>
      <c r="H62" s="19">
        <v>3569656849</v>
      </c>
      <c r="I62" s="19">
        <v>86223702</v>
      </c>
      <c r="J62" s="19">
        <v>819679067</v>
      </c>
      <c r="K62" s="19">
        <v>835817122</v>
      </c>
      <c r="L62" s="19">
        <v>11169787057</v>
      </c>
      <c r="M62" s="19">
        <v>62453278</v>
      </c>
      <c r="N62" s="19">
        <v>2788793877</v>
      </c>
      <c r="O62" s="19">
        <v>157789363</v>
      </c>
      <c r="P62" s="19">
        <v>937088813</v>
      </c>
      <c r="Q62" s="19">
        <v>28303644</v>
      </c>
      <c r="R62" s="19">
        <v>1287290</v>
      </c>
      <c r="S62" s="19">
        <v>116225259</v>
      </c>
      <c r="T62" s="19">
        <v>395558872</v>
      </c>
      <c r="U62" s="20">
        <f t="shared" si="0"/>
        <v>109199656806</v>
      </c>
    </row>
    <row r="63" spans="1:21" ht="14.25" customHeight="1" x14ac:dyDescent="0.2">
      <c r="A63" s="17" t="s">
        <v>69</v>
      </c>
      <c r="B63" s="18" t="str">
        <f>'Parcel Ct by Type'!B63</f>
        <v>R-Prelim</v>
      </c>
      <c r="C63" s="19">
        <v>506330480</v>
      </c>
      <c r="D63" s="19">
        <v>35674447955</v>
      </c>
      <c r="E63" s="19">
        <v>164403142</v>
      </c>
      <c r="F63" s="19">
        <v>1790876748</v>
      </c>
      <c r="G63" s="19">
        <v>329745178</v>
      </c>
      <c r="H63" s="19">
        <v>6384350556</v>
      </c>
      <c r="I63" s="19">
        <v>0</v>
      </c>
      <c r="J63" s="19">
        <v>62275790</v>
      </c>
      <c r="K63" s="19">
        <v>566545996</v>
      </c>
      <c r="L63" s="19">
        <v>7556296838</v>
      </c>
      <c r="M63" s="19">
        <v>109275707</v>
      </c>
      <c r="N63" s="19">
        <v>3078914556</v>
      </c>
      <c r="O63" s="19">
        <v>50336094</v>
      </c>
      <c r="P63" s="19">
        <v>881103513</v>
      </c>
      <c r="Q63" s="19">
        <v>2682340</v>
      </c>
      <c r="R63" s="19"/>
      <c r="S63" s="19">
        <v>71273627</v>
      </c>
      <c r="T63" s="19">
        <v>525850</v>
      </c>
      <c r="U63" s="20">
        <f t="shared" si="0"/>
        <v>57229384370</v>
      </c>
    </row>
    <row r="64" spans="1:21" ht="14.25" customHeight="1" x14ac:dyDescent="0.2">
      <c r="A64" s="17" t="s">
        <v>70</v>
      </c>
      <c r="B64" s="18" t="str">
        <f>'Parcel Ct by Type'!B64</f>
        <v>R-Prelim</v>
      </c>
      <c r="C64" s="19">
        <v>288294219</v>
      </c>
      <c r="D64" s="19">
        <v>20339566486</v>
      </c>
      <c r="E64" s="19">
        <v>266355768</v>
      </c>
      <c r="F64" s="19">
        <v>49875196</v>
      </c>
      <c r="G64" s="19">
        <v>16786007</v>
      </c>
      <c r="H64" s="19">
        <v>525194140</v>
      </c>
      <c r="I64" s="19">
        <v>0</v>
      </c>
      <c r="J64" s="19">
        <v>1989850</v>
      </c>
      <c r="K64" s="19">
        <v>137789721</v>
      </c>
      <c r="L64" s="19">
        <v>1839202898</v>
      </c>
      <c r="M64" s="19">
        <v>15845660</v>
      </c>
      <c r="N64" s="19">
        <v>451879920</v>
      </c>
      <c r="O64" s="19">
        <v>378603579</v>
      </c>
      <c r="P64" s="19">
        <v>352877659</v>
      </c>
      <c r="Q64" s="19">
        <v>3794960</v>
      </c>
      <c r="R64" s="19">
        <v>0</v>
      </c>
      <c r="S64" s="19">
        <v>34434041</v>
      </c>
      <c r="T64" s="19">
        <v>131683755</v>
      </c>
      <c r="U64" s="20">
        <f t="shared" si="0"/>
        <v>24834173859</v>
      </c>
    </row>
    <row r="65" spans="1:21" ht="14.25" customHeight="1" x14ac:dyDescent="0.2">
      <c r="A65" s="17" t="s">
        <v>71</v>
      </c>
      <c r="B65" s="18" t="str">
        <f>'Parcel Ct by Type'!B65</f>
        <v>R-Prelim</v>
      </c>
      <c r="C65" s="19">
        <v>232450135</v>
      </c>
      <c r="D65" s="19">
        <v>706449955</v>
      </c>
      <c r="E65" s="19">
        <v>442823648</v>
      </c>
      <c r="F65" s="19">
        <v>0</v>
      </c>
      <c r="G65" s="19">
        <v>9643905</v>
      </c>
      <c r="H65" s="19">
        <v>8239003</v>
      </c>
      <c r="I65" s="19">
        <v>0</v>
      </c>
      <c r="J65" s="19">
        <v>237596</v>
      </c>
      <c r="K65" s="19">
        <v>38269218</v>
      </c>
      <c r="L65" s="19">
        <v>209062166</v>
      </c>
      <c r="M65" s="19">
        <v>43827</v>
      </c>
      <c r="N65" s="19">
        <v>110115996</v>
      </c>
      <c r="O65" s="19">
        <v>396427362</v>
      </c>
      <c r="P65" s="19">
        <v>19252577</v>
      </c>
      <c r="Q65" s="19">
        <v>3910346</v>
      </c>
      <c r="R65" s="19">
        <v>0</v>
      </c>
      <c r="S65" s="19">
        <v>14248769</v>
      </c>
      <c r="T65" s="19">
        <v>53661960</v>
      </c>
      <c r="U65" s="20">
        <f t="shared" si="0"/>
        <v>2244836463</v>
      </c>
    </row>
    <row r="66" spans="1:21" ht="14.25" customHeight="1" x14ac:dyDescent="0.2">
      <c r="A66" s="17" t="s">
        <v>72</v>
      </c>
      <c r="B66" s="18" t="str">
        <f>'Parcel Ct by Type'!B66</f>
        <v>R-Prelim</v>
      </c>
      <c r="C66" s="19">
        <v>206290843</v>
      </c>
      <c r="D66" s="19">
        <v>517948920</v>
      </c>
      <c r="E66" s="19">
        <v>176312183</v>
      </c>
      <c r="F66" s="19">
        <v>11836709</v>
      </c>
      <c r="G66" s="19">
        <v>4422067</v>
      </c>
      <c r="H66" s="19">
        <v>26153521</v>
      </c>
      <c r="I66" s="19">
        <v>0</v>
      </c>
      <c r="J66" s="19">
        <v>0</v>
      </c>
      <c r="K66" s="19">
        <v>3829299</v>
      </c>
      <c r="L66" s="19">
        <v>120860120</v>
      </c>
      <c r="M66" s="19">
        <v>0</v>
      </c>
      <c r="N66" s="19">
        <v>31500624</v>
      </c>
      <c r="O66" s="19">
        <v>222883856</v>
      </c>
      <c r="P66" s="19">
        <v>2890120</v>
      </c>
      <c r="Q66" s="19">
        <v>774517</v>
      </c>
      <c r="R66" s="19">
        <v>150290</v>
      </c>
      <c r="S66" s="19">
        <v>6268456</v>
      </c>
      <c r="T66" s="19">
        <v>23301256</v>
      </c>
      <c r="U66" s="20">
        <f t="shared" si="0"/>
        <v>1355422781</v>
      </c>
    </row>
    <row r="67" spans="1:21" ht="14.25" customHeight="1" x14ac:dyDescent="0.2">
      <c r="A67" s="17" t="s">
        <v>73</v>
      </c>
      <c r="B67" s="18" t="str">
        <f>'Parcel Ct by Type'!B67</f>
        <v>R-Prelim</v>
      </c>
      <c r="C67" s="19">
        <v>11207820</v>
      </c>
      <c r="D67" s="19">
        <v>114323590</v>
      </c>
      <c r="E67" s="19">
        <v>50553950</v>
      </c>
      <c r="F67" s="19">
        <v>1170000</v>
      </c>
      <c r="G67" s="19">
        <v>54507</v>
      </c>
      <c r="H67" s="19">
        <v>2143307</v>
      </c>
      <c r="I67" s="19">
        <v>0</v>
      </c>
      <c r="J67" s="19">
        <v>1960185</v>
      </c>
      <c r="K67" s="19">
        <v>931614</v>
      </c>
      <c r="L67" s="19">
        <v>17983174</v>
      </c>
      <c r="M67" s="19">
        <v>250000</v>
      </c>
      <c r="N67" s="19">
        <v>3492599</v>
      </c>
      <c r="O67" s="19">
        <v>110249323</v>
      </c>
      <c r="P67" s="19">
        <v>1428599</v>
      </c>
      <c r="Q67" s="19">
        <v>76927</v>
      </c>
      <c r="R67" s="19">
        <v>118587</v>
      </c>
      <c r="S67" s="19">
        <v>11736435</v>
      </c>
      <c r="T67" s="19">
        <v>0</v>
      </c>
      <c r="U67" s="20">
        <f t="shared" si="0"/>
        <v>327680617</v>
      </c>
    </row>
    <row r="68" spans="1:21" ht="14.25" customHeight="1" x14ac:dyDescent="0.2">
      <c r="A68" s="17" t="s">
        <v>74</v>
      </c>
      <c r="B68" s="18" t="str">
        <f>'Parcel Ct by Type'!B68</f>
        <v>R-Prelim</v>
      </c>
      <c r="C68" s="19">
        <v>1174365732</v>
      </c>
      <c r="D68" s="19">
        <v>39208543024</v>
      </c>
      <c r="E68" s="19">
        <v>624963190</v>
      </c>
      <c r="F68" s="19">
        <v>7053470129</v>
      </c>
      <c r="G68" s="19">
        <v>801657382</v>
      </c>
      <c r="H68" s="19">
        <v>3005800516</v>
      </c>
      <c r="I68" s="19">
        <v>41909022</v>
      </c>
      <c r="J68" s="19">
        <v>107771</v>
      </c>
      <c r="K68" s="19">
        <v>760106885</v>
      </c>
      <c r="L68" s="19">
        <v>7915426036</v>
      </c>
      <c r="M68" s="19">
        <v>80685456</v>
      </c>
      <c r="N68" s="19">
        <v>2375789205</v>
      </c>
      <c r="O68" s="19">
        <v>471461834</v>
      </c>
      <c r="P68" s="19">
        <v>623928532</v>
      </c>
      <c r="Q68" s="19">
        <v>76784200</v>
      </c>
      <c r="R68" s="19">
        <v>106614643</v>
      </c>
      <c r="S68" s="19">
        <v>75020402</v>
      </c>
      <c r="T68" s="19">
        <v>154332140</v>
      </c>
      <c r="U68" s="20">
        <f t="shared" si="0"/>
        <v>64550966099</v>
      </c>
    </row>
    <row r="69" spans="1:21" ht="14.25" customHeight="1" x14ac:dyDescent="0.2">
      <c r="A69" s="17" t="s">
        <v>75</v>
      </c>
      <c r="B69" s="18" t="str">
        <f>'Parcel Ct by Type'!B69</f>
        <v>R-Prelim</v>
      </c>
      <c r="C69" s="19">
        <v>132867117</v>
      </c>
      <c r="D69" s="19">
        <v>1637902255</v>
      </c>
      <c r="E69" s="19">
        <v>153455093</v>
      </c>
      <c r="F69" s="19">
        <v>71444176</v>
      </c>
      <c r="G69" s="19">
        <v>5395960</v>
      </c>
      <c r="H69" s="19">
        <v>9203537</v>
      </c>
      <c r="I69" s="19">
        <v>0</v>
      </c>
      <c r="J69" s="19">
        <v>76922</v>
      </c>
      <c r="K69" s="19">
        <v>26405910</v>
      </c>
      <c r="L69" s="19">
        <v>177803461</v>
      </c>
      <c r="M69" s="19">
        <v>824808</v>
      </c>
      <c r="N69" s="19">
        <v>32096072</v>
      </c>
      <c r="O69" s="19">
        <v>153241920</v>
      </c>
      <c r="P69" s="19">
        <v>4664570</v>
      </c>
      <c r="Q69" s="19">
        <v>83803</v>
      </c>
      <c r="R69" s="19"/>
      <c r="S69" s="19">
        <v>4483795</v>
      </c>
      <c r="T69" s="19">
        <v>23986421</v>
      </c>
      <c r="U69" s="20">
        <f t="shared" si="0"/>
        <v>2433935820</v>
      </c>
    </row>
    <row r="70" spans="1:21" ht="14.25" customHeight="1" x14ac:dyDescent="0.2">
      <c r="A70" s="17" t="s">
        <v>76</v>
      </c>
      <c r="B70" s="18" t="str">
        <f>'Parcel Ct by Type'!B70</f>
        <v>R-Prelim</v>
      </c>
      <c r="C70" s="19">
        <v>2688942359</v>
      </c>
      <c r="D70" s="19">
        <v>33686680049</v>
      </c>
      <c r="E70" s="19">
        <v>309469423</v>
      </c>
      <c r="F70" s="19">
        <v>7184315655</v>
      </c>
      <c r="G70" s="19">
        <v>174305263</v>
      </c>
      <c r="H70" s="19">
        <v>768534690</v>
      </c>
      <c r="I70" s="19">
        <v>0</v>
      </c>
      <c r="J70" s="19">
        <v>76672616</v>
      </c>
      <c r="K70" s="19">
        <v>126122374</v>
      </c>
      <c r="L70" s="19">
        <v>2159408999</v>
      </c>
      <c r="M70" s="19">
        <v>3073339</v>
      </c>
      <c r="N70" s="19">
        <v>351617291</v>
      </c>
      <c r="O70" s="19">
        <v>210437646</v>
      </c>
      <c r="P70" s="19">
        <v>136648548</v>
      </c>
      <c r="Q70" s="19">
        <v>6243928</v>
      </c>
      <c r="R70" s="19">
        <v>0</v>
      </c>
      <c r="S70" s="19">
        <v>24288279</v>
      </c>
      <c r="T70" s="19">
        <v>142345247</v>
      </c>
      <c r="U70" s="20">
        <f t="shared" ref="U70:U71" si="1">SUM(C70:T70)</f>
        <v>48049105706</v>
      </c>
    </row>
    <row r="71" spans="1:21" ht="14.25" customHeight="1" x14ac:dyDescent="0.2">
      <c r="A71" s="17" t="s">
        <v>77</v>
      </c>
      <c r="B71" s="18" t="str">
        <f>'Parcel Ct by Type'!B71</f>
        <v>R-Prelim</v>
      </c>
      <c r="C71" s="19">
        <v>165564755</v>
      </c>
      <c r="D71" s="19">
        <v>568079375</v>
      </c>
      <c r="E71" s="19">
        <v>161843789</v>
      </c>
      <c r="F71" s="19">
        <v>0</v>
      </c>
      <c r="G71" s="19">
        <v>10247962</v>
      </c>
      <c r="H71" s="19">
        <v>0</v>
      </c>
      <c r="I71" s="19">
        <v>0</v>
      </c>
      <c r="J71" s="19">
        <v>65184</v>
      </c>
      <c r="K71" s="19">
        <v>11174468</v>
      </c>
      <c r="L71" s="19">
        <v>87909382</v>
      </c>
      <c r="M71" s="19">
        <v>56750</v>
      </c>
      <c r="N71" s="19">
        <v>23606945</v>
      </c>
      <c r="O71" s="19">
        <v>187043299</v>
      </c>
      <c r="P71" s="19">
        <v>4559131</v>
      </c>
      <c r="Q71" s="19">
        <v>8560610</v>
      </c>
      <c r="R71" s="19">
        <v>0</v>
      </c>
      <c r="S71" s="19">
        <v>7566554</v>
      </c>
      <c r="T71" s="19">
        <v>32394403</v>
      </c>
      <c r="U71" s="20">
        <f t="shared" si="1"/>
        <v>1268672607</v>
      </c>
    </row>
    <row r="72" spans="1:21" ht="14.25" customHeight="1" x14ac:dyDescent="0.2">
      <c r="A72" s="17"/>
      <c r="B72" s="18"/>
      <c r="C72" s="19"/>
      <c r="D72" s="19"/>
      <c r="E72" s="19"/>
      <c r="F72" s="19"/>
      <c r="G72" s="19"/>
      <c r="H72" s="19"/>
      <c r="I72" s="19"/>
      <c r="J72" s="19"/>
      <c r="K72" s="19"/>
      <c r="L72" s="19"/>
      <c r="M72" s="19"/>
      <c r="N72" s="19"/>
      <c r="O72" s="19"/>
      <c r="P72" s="19"/>
      <c r="Q72" s="19"/>
      <c r="R72" s="19"/>
      <c r="S72" s="19"/>
      <c r="T72" s="19"/>
      <c r="U72" s="20"/>
    </row>
    <row r="73" spans="1:21" ht="14.25" customHeight="1" thickBot="1" x14ac:dyDescent="0.3">
      <c r="A73" s="21" t="s">
        <v>11</v>
      </c>
      <c r="B73" s="22"/>
      <c r="C73" s="23">
        <f>SUM(C5:C71)</f>
        <v>74200404737</v>
      </c>
      <c r="D73" s="23">
        <f t="shared" ref="D73:T73" si="2">SUM(D5:D71)</f>
        <v>1861272063453</v>
      </c>
      <c r="E73" s="23">
        <f t="shared" si="2"/>
        <v>32213111698</v>
      </c>
      <c r="F73" s="23">
        <f t="shared" si="2"/>
        <v>492366612041</v>
      </c>
      <c r="G73" s="23">
        <f t="shared" si="2"/>
        <v>64680650966</v>
      </c>
      <c r="H73" s="23">
        <f t="shared" si="2"/>
        <v>206530016950</v>
      </c>
      <c r="I73" s="23">
        <f t="shared" si="2"/>
        <v>6623379201</v>
      </c>
      <c r="J73" s="23">
        <f t="shared" si="2"/>
        <v>11478998034</v>
      </c>
      <c r="K73" s="23">
        <f t="shared" si="2"/>
        <v>32773656000</v>
      </c>
      <c r="L73" s="23">
        <f t="shared" si="2"/>
        <v>444016786693</v>
      </c>
      <c r="M73" s="23">
        <f t="shared" si="2"/>
        <v>5389699510</v>
      </c>
      <c r="N73" s="23">
        <f t="shared" si="2"/>
        <v>170146712923</v>
      </c>
      <c r="O73" s="23">
        <f t="shared" si="2"/>
        <v>25535439975</v>
      </c>
      <c r="P73" s="23">
        <f t="shared" si="2"/>
        <v>21624237041</v>
      </c>
      <c r="Q73" s="23">
        <f t="shared" si="2"/>
        <v>1866114913</v>
      </c>
      <c r="R73" s="23">
        <f t="shared" si="2"/>
        <v>4735426046</v>
      </c>
      <c r="S73" s="23">
        <f t="shared" si="2"/>
        <v>6046027242</v>
      </c>
      <c r="T73" s="23">
        <f t="shared" si="2"/>
        <v>9467671593</v>
      </c>
      <c r="U73" s="25">
        <f>SUM(U5:U71)</f>
        <v>3470967009016</v>
      </c>
    </row>
    <row r="75" spans="1:21" x14ac:dyDescent="0.2">
      <c r="A75" s="3" t="s">
        <v>110</v>
      </c>
    </row>
    <row r="76" spans="1:21" x14ac:dyDescent="0.2">
      <c r="C76" s="24"/>
      <c r="D76" s="24"/>
      <c r="E76" s="24"/>
      <c r="F76" s="24"/>
      <c r="G76" s="24"/>
      <c r="H76" s="24"/>
      <c r="I76" s="24"/>
      <c r="J76" s="24"/>
      <c r="K76" s="24"/>
      <c r="L76" s="24"/>
      <c r="M76" s="24"/>
      <c r="N76" s="24"/>
      <c r="O76" s="24"/>
      <c r="P76" s="24"/>
      <c r="Q76" s="24"/>
      <c r="R76" s="24"/>
      <c r="S76" s="24"/>
      <c r="T76" s="24"/>
      <c r="U76" s="24"/>
    </row>
  </sheetData>
  <phoneticPr fontId="0" type="noConversion"/>
  <conditionalFormatting sqref="A4:U73">
    <cfRule type="expression" dxfId="0" priority="1" stopIfTrue="1">
      <formula>MOD(ROW(),3)=1</formula>
    </cfRule>
  </conditionalFormatting>
  <pageMargins left="0.7" right="0.7" top="0.75" bottom="0.75" header="0.3" footer="0.3"/>
  <pageSetup scale="61" fitToWidth="2" fitToHeight="2"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E8CCF48F7F21843AAD247617866AB0F" ma:contentTypeVersion="26" ma:contentTypeDescription="Create a new document." ma:contentTypeScope="" ma:versionID="035bff02668bf00af84ba8f60763016b">
  <xsd:schema xmlns:xsd="http://www.w3.org/2001/XMLSchema" xmlns:xs="http://www.w3.org/2001/XMLSchema" xmlns:p="http://schemas.microsoft.com/office/2006/metadata/properties" xmlns:ns1="http://schemas.microsoft.com/sharepoint/v3" xmlns:ns2="971ecb86-dbcb-4cad-aa0a-8e3edd121c88" targetNamespace="http://schemas.microsoft.com/office/2006/metadata/properties" ma:root="true" ma:fieldsID="4eb80cc09e6d4e7765fe98acf63822e8" ns1:_="" ns2:_="">
    <xsd:import namespace="http://schemas.microsoft.com/sharepoint/v3"/>
    <xsd:import namespace="971ecb86-dbcb-4cad-aa0a-8e3edd121c88"/>
    <xsd:element name="properties">
      <xsd:complexType>
        <xsd:sequence>
          <xsd:element name="documentManagement">
            <xsd:complexType>
              <xsd:all>
                <xsd:element ref="ns2:DocumentName" minOccurs="0"/>
                <xsd:element ref="ns2:Web_x0020_Category" minOccurs="0"/>
                <xsd:element ref="ns2:DocumentDescription" minOccurs="0"/>
                <xsd:element ref="ns2:Forms_Description" minOccurs="0"/>
                <xsd:element ref="ns2:Review_x0020_Frequency_x0020_Period" minOccurs="0"/>
                <xsd:element ref="ns2:Review_x0020_Frequency_x0020_by_x0020_Month" minOccurs="0"/>
                <xsd:element ref="ns2:Legal_x0020_Review_x0020_Date" minOccurs="0"/>
                <xsd:element ref="ns2:Language_x0020_Review_x0020_Date" minOccurs="0"/>
                <xsd:element ref="ns2:Date_x0020_last_x0020_reviewed" minOccurs="0"/>
                <xsd:element ref="ns2:Is_x0020_this_x0020_Legally_x0020_required_x003f_" minOccurs="0"/>
                <xsd:element ref="ns2:Notes0" minOccurs="0"/>
                <xsd:element ref="ns2:Automated_x0020_Content" minOccurs="0"/>
                <xsd:element ref="ns2:statutesRulesPolicies" minOccurs="0"/>
                <xsd:element ref="ns2:Historical" minOccurs="0"/>
                <xsd:element ref="ns1:PublishingStartDate" minOccurs="0"/>
                <xsd:element ref="ns1:PublishingExpirationDat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16" nillable="true" ma:displayName="Scheduling Start Date" ma:description="Scheduling Start Date is a site column created by the Publishing feature. It is used to specify the date and time on which this page will first appear to site visitors." ma:internalName="PublishingStartDate" ma:readOnly="false">
      <xsd:simpleType>
        <xsd:restriction base="dms:Unknown"/>
      </xsd:simpleType>
    </xsd:element>
    <xsd:element name="PublishingExpirationDate" ma:index="17" nillable="true" ma:displayName="Scheduling End Date" ma:description="Scheduling End Date is a site column created by the Publishing feature. It is used to specify the date and time on which this page will no longer appear to site visitors." ma:internalName="PublishingExpirationDate" ma:readOnly="fals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71ecb86-dbcb-4cad-aa0a-8e3edd121c88" elementFormDefault="qualified">
    <xsd:import namespace="http://schemas.microsoft.com/office/2006/documentManagement/types"/>
    <xsd:import namespace="http://schemas.microsoft.com/office/infopath/2007/PartnerControls"/>
    <xsd:element name="DocumentName" ma:index="2" nillable="true" ma:displayName="Document" ma:description="This is the formatted name of the document and MUST be filled out for all documents." ma:internalName="DocumentName" ma:readOnly="false">
      <xsd:simpleType>
        <xsd:restriction base="dms:Text">
          <xsd:maxLength value="255"/>
        </xsd:restriction>
      </xsd:simpleType>
    </xsd:element>
    <xsd:element name="Web_x0020_Category" ma:index="3" nillable="true" ma:displayName="Web Category" ma:list="{68a30688-8426-42e5-bc98-ed9a40a81362}" ma:internalName="Web_x0020_Category" ma:readOnly="false" ma:showField="Title">
      <xsd:simpleType>
        <xsd:restriction base="dms:Lookup"/>
      </xsd:simpleType>
    </xsd:element>
    <xsd:element name="DocumentDescription" ma:index="4" nillable="true" ma:displayName="Description" ma:description="If this document is meant to appear on the forms page you MUST fill in the &quot;Forms Description&quot; field as well as this one." ma:internalName="DocumentDescription" ma:readOnly="false">
      <xsd:simpleType>
        <xsd:restriction base="dms:Text">
          <xsd:maxLength value="255"/>
        </xsd:restriction>
      </xsd:simpleType>
    </xsd:element>
    <xsd:element name="Forms_Description" ma:index="5" nillable="true" ma:displayName="Forms_Description" ma:internalName="Forms_Description" ma:readOnly="false">
      <xsd:simpleType>
        <xsd:restriction base="dms:Text">
          <xsd:maxLength value="255"/>
        </xsd:restriction>
      </xsd:simpleType>
    </xsd:element>
    <xsd:element name="Review_x0020_Frequency_x0020_Period" ma:index="6" nillable="true" ma:displayName="Review Frequency Period" ma:default="Annually" ma:description="How often should this content be reviewed by the Content Owner?" ma:format="Dropdown" ma:internalName="Review_x0020_Frequency_x0020_Period" ma:readOnly="false">
      <xsd:simpleType>
        <xsd:restriction base="dms:Choice">
          <xsd:enumeration value="Monthly"/>
          <xsd:enumeration value="Quarterly"/>
          <xsd:enumeration value="Semi-Annually"/>
          <xsd:enumeration value="Annually"/>
          <xsd:enumeration value="None"/>
        </xsd:restriction>
      </xsd:simpleType>
    </xsd:element>
    <xsd:element name="Review_x0020_Frequency_x0020_by_x0020_Month" ma:index="7" nillable="true" ma:displayName="Review Frequency by Month" ma:internalName="Review_x0020_Frequency_x0020_by_x0020_Month" ma:readOnly="false">
      <xsd:complexType>
        <xsd:complexContent>
          <xsd:extension base="dms:MultiChoice">
            <xsd:sequence>
              <xsd:element name="Value" maxOccurs="unbounded" minOccurs="0" nillable="true">
                <xsd:simpleType>
                  <xsd:restriction base="dms:Choice">
                    <xsd:enumeration value="January"/>
                    <xsd:enumeration value="February"/>
                    <xsd:enumeration value="March"/>
                    <xsd:enumeration value="April"/>
                    <xsd:enumeration value="May"/>
                    <xsd:enumeration value="June"/>
                    <xsd:enumeration value="July"/>
                    <xsd:enumeration value="August"/>
                    <xsd:enumeration value="September"/>
                    <xsd:enumeration value="October"/>
                    <xsd:enumeration value="November"/>
                    <xsd:enumeration value="December"/>
                  </xsd:restriction>
                </xsd:simpleType>
              </xsd:element>
            </xsd:sequence>
          </xsd:extension>
        </xsd:complexContent>
      </xsd:complexType>
    </xsd:element>
    <xsd:element name="Legal_x0020_Review_x0020_Date" ma:index="8" nillable="true" ma:displayName="Legal Review Date" ma:format="DateOnly" ma:internalName="Legal_x0020_Review_x0020_Date" ma:readOnly="false">
      <xsd:simpleType>
        <xsd:restriction base="dms:DateTime"/>
      </xsd:simpleType>
    </xsd:element>
    <xsd:element name="Language_x0020_Review_x0020_Date" ma:index="9" nillable="true" ma:displayName="Language Review Date" ma:description="Date of last Language Review" ma:format="DateOnly" ma:internalName="Language_x0020_Review_x0020_Date" ma:readOnly="false">
      <xsd:simpleType>
        <xsd:restriction base="dms:DateTime"/>
      </xsd:simpleType>
    </xsd:element>
    <xsd:element name="Date_x0020_last_x0020_reviewed" ma:index="10" nillable="true" ma:displayName="Date last reviewed" ma:description="The date the document was last reviewed by content owner." ma:format="DateOnly" ma:internalName="Date_x0020_last_x0020_reviewed" ma:readOnly="false">
      <xsd:simpleType>
        <xsd:restriction base="dms:DateTime"/>
      </xsd:simpleType>
    </xsd:element>
    <xsd:element name="Is_x0020_this_x0020_Legally_x0020_required_x003f_" ma:index="11" nillable="true" ma:displayName="Is this Legally required?" ma:default="No" ma:format="Dropdown" ma:internalName="Is_x0020_this_x0020_Legally_x0020_required_x003f_" ma:readOnly="false">
      <xsd:simpleType>
        <xsd:restriction base="dms:Choice">
          <xsd:enumeration value="Yes"/>
          <xsd:enumeration value="No"/>
        </xsd:restriction>
      </xsd:simpleType>
    </xsd:element>
    <xsd:element name="Notes0" ma:index="12" nillable="true" ma:displayName="Notes" ma:internalName="Notes0" ma:readOnly="false">
      <xsd:simpleType>
        <xsd:restriction base="dms:Note">
          <xsd:maxLength value="255"/>
        </xsd:restriction>
      </xsd:simpleType>
    </xsd:element>
    <xsd:element name="Automated_x0020_Content" ma:index="13" nillable="true" ma:displayName="Automated Content" ma:default="No" ma:format="Dropdown" ma:internalName="Automated_x0020_Content" ma:readOnly="false">
      <xsd:simpleType>
        <xsd:restriction base="dms:Choice">
          <xsd:enumeration value="Yes"/>
          <xsd:enumeration value="No"/>
        </xsd:restriction>
      </xsd:simpleType>
    </xsd:element>
    <xsd:element name="statutesRulesPolicies" ma:index="14" nillable="true" ma:displayName="statutesRulesPolicies" ma:description="This column contains the statutes, rules, or policy that governs" ma:list="{17a373b7-8334-4f0f-90d4-3ea48205243f}" ma:internalName="statutesRulesPolicies" ma:readOnly="false" ma:showField="Titl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Historical" ma:index="15" nillable="true" ma:displayName="Historical" ma:default="No" ma:description="If this is checked as yes, it doesn't need to be reviewed annually." ma:format="Dropdown" ma:internalName="Historical" ma:readOnly="false">
      <xsd:simpleType>
        <xsd:restriction base="dms:Choice">
          <xsd:enumeration value="Yes"/>
          <xsd:enumeration value="No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19" ma:displayName="Content Type"/>
        <xsd:element ref="dc:title" minOccurs="0" maxOccurs="1" ma:index="1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Historical xmlns="971ecb86-dbcb-4cad-aa0a-8e3edd121c88">No</Historical>
    <Forms_Description xmlns="971ecb86-dbcb-4cad-aa0a-8e3edd121c88" xsi:nil="true"/>
    <Review_x0020_Frequency_x0020_Period xmlns="971ecb86-dbcb-4cad-aa0a-8e3edd121c88">Annually</Review_x0020_Frequency_x0020_Period>
    <Language_x0020_Review_x0020_Date xmlns="971ecb86-dbcb-4cad-aa0a-8e3edd121c88" xsi:nil="true"/>
    <statutesRulesPolicies xmlns="971ecb86-dbcb-4cad-aa0a-8e3edd121c88"/>
    <Is_x0020_this_x0020_Legally_x0020_required_x003f_ xmlns="971ecb86-dbcb-4cad-aa0a-8e3edd121c88">No</Is_x0020_this_x0020_Legally_x0020_required_x003f_>
    <DocumentName xmlns="971ecb86-dbcb-4cad-aa0a-8e3edd121c88" xsi:nil="true"/>
    <Web_x0020_Category xmlns="971ecb86-dbcb-4cad-aa0a-8e3edd121c88" xsi:nil="true"/>
    <PublishingExpirationDate xmlns="http://schemas.microsoft.com/sharepoint/v3" xsi:nil="true"/>
    <Notes0 xmlns="971ecb86-dbcb-4cad-aa0a-8e3edd121c88" xsi:nil="true"/>
    <PublishingStartDate xmlns="http://schemas.microsoft.com/sharepoint/v3" xsi:nil="true"/>
    <DocumentDescription xmlns="971ecb86-dbcb-4cad-aa0a-8e3edd121c88" xsi:nil="true"/>
    <Review_x0020_Frequency_x0020_by_x0020_Month xmlns="971ecb86-dbcb-4cad-aa0a-8e3edd121c88"/>
    <Date_x0020_last_x0020_reviewed xmlns="971ecb86-dbcb-4cad-aa0a-8e3edd121c88" xsi:nil="true"/>
    <Legal_x0020_Review_x0020_Date xmlns="971ecb86-dbcb-4cad-aa0a-8e3edd121c88" xsi:nil="true"/>
    <Automated_x0020_Content xmlns="971ecb86-dbcb-4cad-aa0a-8e3edd121c88">No</Automated_x0020_Content>
  </documentManagement>
</p:properties>
</file>

<file path=customXml/itemProps1.xml><?xml version="1.0" encoding="utf-8"?>
<ds:datastoreItem xmlns:ds="http://schemas.openxmlformats.org/officeDocument/2006/customXml" ds:itemID="{732FE778-5178-4E0B-BAAD-A17458D0A8B6}"/>
</file>

<file path=customXml/itemProps2.xml><?xml version="1.0" encoding="utf-8"?>
<ds:datastoreItem xmlns:ds="http://schemas.openxmlformats.org/officeDocument/2006/customXml" ds:itemID="{780D5E31-F61F-45D0-A025-4D17CDE76050}"/>
</file>

<file path=customXml/itemProps3.xml><?xml version="1.0" encoding="utf-8"?>
<ds:datastoreItem xmlns:ds="http://schemas.openxmlformats.org/officeDocument/2006/customXml" ds:itemID="{F49AAE59-8930-480D-B7A7-82AE70EAB2F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Report Index</vt:lpstr>
      <vt:lpstr>State Summary by Type</vt:lpstr>
      <vt:lpstr>Parcel Ct by Type</vt:lpstr>
      <vt:lpstr>Just Value by Type </vt:lpstr>
      <vt:lpstr>Taxable Value by Type 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Florida Dept. of Revenue</dc:creator>
  <cp:lastModifiedBy>Brendan Savage</cp:lastModifiedBy>
  <cp:lastPrinted>2019-07-24T12:11:12Z</cp:lastPrinted>
  <dcterms:created xsi:type="dcterms:W3CDTF">2010-10-01T18:06:46Z</dcterms:created>
  <dcterms:modified xsi:type="dcterms:W3CDTF">2026-07-14T19:56:03Z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0x010100FE8CCF48F7F21843AAD247617866AB0F</vt:lpwstr>
  </property>
</Properties>
</file>