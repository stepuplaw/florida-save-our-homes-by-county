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J:\Research &amp; Analysis\Data Book Documentation\2026 Databook\Preliminary\For Review\"/>
    </mc:Choice>
  </mc:AlternateContent>
  <xr:revisionPtr revIDLastSave="0" documentId="13_ncr:1_{AD969F79-F3D8-4B25-A673-9AD45519BA43}" xr6:coauthVersionLast="47" xr6:coauthVersionMax="47" xr10:uidLastSave="{00000000-0000-0000-0000-000000000000}"/>
  <bookViews>
    <workbookView xWindow="28680" yWindow="-120" windowWidth="29040" windowHeight="15720" tabRatio="728" xr2:uid="{00000000-000D-0000-FFFF-FFFF00000000}"/>
  </bookViews>
  <sheets>
    <sheet name="Report Index" sheetId="10" r:id="rId1"/>
    <sheet name="Just Value All Property Types" sheetId="9" r:id="rId2"/>
    <sheet name="All Property Just Value" sheetId="4" r:id="rId3"/>
    <sheet name="Real Property Just Value" sheetId="6" r:id="rId4"/>
    <sheet name="Personal Property Just Value" sheetId="7" r:id="rId5"/>
    <sheet name="Centrally Assessed Just Value " sheetId="8" r:id="rId6"/>
  </sheets>
  <definedNames>
    <definedName name="_xlnm._FilterDatabase" localSheetId="2" hidden="1">'All Property Just Value'!$A$4:$G$4</definedName>
    <definedName name="_xlnm._FilterDatabase" localSheetId="5" hidden="1">'Centrally Assessed Just Value '!$A$4:$G$73</definedName>
    <definedName name="_xlnm._FilterDatabase" localSheetId="1" hidden="1">'Just Value All Property Types'!$A$4:$F$4</definedName>
    <definedName name="_xlnm._FilterDatabase" localSheetId="4" hidden="1">'Personal Property Just Value'!$A$4:$G$4</definedName>
    <definedName name="_xlnm._FilterDatabase" localSheetId="3" hidden="1">'Real Property Just Value'!$A$4:$G$4</definedName>
    <definedName name="_xlnm.Print_Area" localSheetId="2">'All Property Just Value'!$A$1:$G$75</definedName>
    <definedName name="_xlnm.Print_Area" localSheetId="5">'Centrally Assessed Just Value '!$A$1:$G$75</definedName>
    <definedName name="_xlnm.Print_Area" localSheetId="1">'Just Value All Property Types'!$A$1:$F$75</definedName>
    <definedName name="_xlnm.Print_Area" localSheetId="4">'Personal Property Just Value'!$A$1:$G$75</definedName>
    <definedName name="_xlnm.Print_Area" localSheetId="3">'Real Property Just Value'!$A$1:$G$75</definedName>
    <definedName name="_xlnm.Print_Area" localSheetId="0">'Report Index'!$A$1:$I$20</definedName>
    <definedName name="_xlnm.Print_Titles" localSheetId="2">'All Property Just Value'!$1:$4</definedName>
    <definedName name="_xlnm.Print_Titles" localSheetId="5">'Centrally Assessed Just Value '!$1:$4</definedName>
    <definedName name="_xlnm.Print_Titles" localSheetId="1">'Just Value All Property Types'!$1:$4</definedName>
    <definedName name="_xlnm.Print_Titles" localSheetId="4">'Personal Property Just Value'!$1:$4</definedName>
    <definedName name="_xlnm.Print_Titles" localSheetId="3">'Real Property Just Value'!$1:$4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3" i="9" l="1"/>
  <c r="C73" i="9"/>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71" i="8"/>
  <c r="F70" i="8"/>
  <c r="F68" i="8"/>
  <c r="F66" i="8"/>
  <c r="F65" i="8"/>
  <c r="F64" i="8"/>
  <c r="F63" i="8"/>
  <c r="F62" i="8"/>
  <c r="F61" i="8"/>
  <c r="F60" i="8"/>
  <c r="F59" i="8"/>
  <c r="F58" i="8"/>
  <c r="F57" i="8"/>
  <c r="F56" i="8"/>
  <c r="F55" i="8"/>
  <c r="F54" i="8"/>
  <c r="F53" i="8"/>
  <c r="F52" i="8"/>
  <c r="F51" i="8"/>
  <c r="F50" i="8"/>
  <c r="F49" i="8"/>
  <c r="F47" i="8"/>
  <c r="F46" i="8"/>
  <c r="F45" i="8"/>
  <c r="F44" i="8"/>
  <c r="F43" i="8"/>
  <c r="F42" i="8"/>
  <c r="F41" i="8"/>
  <c r="F40" i="8"/>
  <c r="F39" i="8"/>
  <c r="F37" i="8"/>
  <c r="F36" i="8"/>
  <c r="F35" i="8"/>
  <c r="F34" i="8"/>
  <c r="F33" i="8"/>
  <c r="F32" i="8"/>
  <c r="F31" i="8"/>
  <c r="F30" i="8"/>
  <c r="F29" i="8"/>
  <c r="F28" i="8"/>
  <c r="F27" i="8"/>
  <c r="F26" i="8"/>
  <c r="F24" i="8"/>
  <c r="F23" i="8"/>
  <c r="F22" i="8"/>
  <c r="F21" i="8"/>
  <c r="F20" i="8"/>
  <c r="F18" i="8"/>
  <c r="F17" i="8"/>
  <c r="F16" i="8"/>
  <c r="F15" i="8"/>
  <c r="F14" i="8"/>
  <c r="F13" i="8"/>
  <c r="F12" i="8"/>
  <c r="F10" i="8"/>
  <c r="F9" i="8"/>
  <c r="F8" i="8"/>
  <c r="F7" i="8"/>
  <c r="F6" i="8"/>
  <c r="F5" i="8"/>
  <c r="F70" i="4"/>
  <c r="F69" i="4"/>
  <c r="F68" i="4"/>
  <c r="F67" i="4"/>
  <c r="F65" i="4"/>
  <c r="F55" i="4"/>
  <c r="F54" i="4"/>
  <c r="F52" i="4"/>
  <c r="F44" i="4"/>
  <c r="F42" i="4"/>
  <c r="F50" i="4"/>
  <c r="F48" i="4"/>
  <c r="F38" i="4"/>
  <c r="F24" i="4"/>
  <c r="F23" i="4"/>
  <c r="F19" i="4"/>
  <c r="F18" i="4"/>
  <c r="F16" i="4"/>
  <c r="F15" i="4"/>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5" i="8"/>
  <c r="B5" i="7"/>
  <c r="B5" i="6"/>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G73" i="6"/>
  <c r="D18" i="8"/>
  <c r="B11" i="4"/>
  <c r="B27" i="4"/>
  <c r="B43" i="4"/>
  <c r="B59" i="4"/>
  <c r="D6" i="8"/>
  <c r="D7" i="8"/>
  <c r="D8" i="8"/>
  <c r="D9" i="8"/>
  <c r="D10" i="8"/>
  <c r="D12" i="8"/>
  <c r="D13" i="8"/>
  <c r="D14" i="8"/>
  <c r="D15" i="8"/>
  <c r="D16" i="8"/>
  <c r="D17" i="8"/>
  <c r="D20" i="8"/>
  <c r="D21" i="8"/>
  <c r="D22" i="8"/>
  <c r="D24" i="8"/>
  <c r="D26" i="8"/>
  <c r="D28" i="8"/>
  <c r="D29" i="8"/>
  <c r="D30" i="8"/>
  <c r="D31" i="8"/>
  <c r="D32" i="8"/>
  <c r="D33" i="8"/>
  <c r="D34" i="8"/>
  <c r="D35" i="8"/>
  <c r="D36" i="8"/>
  <c r="D37" i="8"/>
  <c r="D39" i="8"/>
  <c r="D40" i="8"/>
  <c r="D41" i="8"/>
  <c r="D42" i="8"/>
  <c r="D44" i="8"/>
  <c r="D45" i="8"/>
  <c r="D46" i="8"/>
  <c r="D47" i="8"/>
  <c r="D49" i="8"/>
  <c r="D50" i="8"/>
  <c r="D51" i="8"/>
  <c r="D52" i="8"/>
  <c r="D53" i="8"/>
  <c r="D54" i="8"/>
  <c r="D55" i="8"/>
  <c r="D56" i="8"/>
  <c r="D57" i="8"/>
  <c r="D58" i="8"/>
  <c r="D59" i="8"/>
  <c r="D60" i="8"/>
  <c r="D61" i="8"/>
  <c r="D62" i="8"/>
  <c r="D63" i="8"/>
  <c r="D64" i="8"/>
  <c r="D65" i="8"/>
  <c r="D66" i="8"/>
  <c r="D68" i="8"/>
  <c r="D70" i="8"/>
  <c r="D71" i="8"/>
  <c r="D5" i="8"/>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5" i="7"/>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5" i="6"/>
  <c r="B6" i="4"/>
  <c r="B7" i="4"/>
  <c r="B8" i="4"/>
  <c r="B9" i="4"/>
  <c r="B10" i="4"/>
  <c r="B12" i="4"/>
  <c r="B13" i="4"/>
  <c r="B14" i="4"/>
  <c r="B15" i="4"/>
  <c r="B16" i="4"/>
  <c r="B17" i="4"/>
  <c r="B18" i="4"/>
  <c r="B19" i="4"/>
  <c r="B20" i="4"/>
  <c r="B21" i="4"/>
  <c r="B22" i="4"/>
  <c r="B23" i="4"/>
  <c r="B24" i="4"/>
  <c r="B25" i="4"/>
  <c r="B26" i="4"/>
  <c r="B28" i="4"/>
  <c r="B29" i="4"/>
  <c r="B30" i="4"/>
  <c r="B31" i="4"/>
  <c r="B32" i="4"/>
  <c r="B33" i="4"/>
  <c r="B34" i="4"/>
  <c r="B35" i="4"/>
  <c r="B36" i="4"/>
  <c r="B37" i="4"/>
  <c r="B38" i="4"/>
  <c r="B39" i="4"/>
  <c r="B40" i="4"/>
  <c r="B41" i="4"/>
  <c r="B42" i="4"/>
  <c r="B44" i="4"/>
  <c r="B45" i="4"/>
  <c r="B46" i="4"/>
  <c r="B47" i="4"/>
  <c r="B48" i="4"/>
  <c r="B49" i="4"/>
  <c r="B50" i="4"/>
  <c r="B51" i="4"/>
  <c r="B52" i="4"/>
  <c r="B53" i="4"/>
  <c r="B54" i="4"/>
  <c r="B55" i="4"/>
  <c r="B56" i="4"/>
  <c r="B57" i="4"/>
  <c r="B58" i="4"/>
  <c r="B60" i="4"/>
  <c r="B61" i="4"/>
  <c r="B62" i="4"/>
  <c r="B63" i="4"/>
  <c r="B64" i="4"/>
  <c r="B65" i="4"/>
  <c r="B66" i="4"/>
  <c r="B67" i="4"/>
  <c r="B68" i="4"/>
  <c r="B69" i="4"/>
  <c r="B70" i="4"/>
  <c r="B71" i="4"/>
  <c r="B5" i="4"/>
  <c r="G73" i="8"/>
  <c r="E73" i="8"/>
  <c r="G73" i="7"/>
  <c r="E73" i="7"/>
  <c r="E73" i="6"/>
  <c r="D73" i="9"/>
  <c r="E73" i="9"/>
  <c r="F45" i="4"/>
  <c r="F25" i="4"/>
  <c r="F26" i="4"/>
  <c r="F29" i="4"/>
  <c r="F34" i="4"/>
  <c r="F35" i="4"/>
  <c r="F30" i="4"/>
  <c r="F36" i="4"/>
  <c r="F56" i="4"/>
  <c r="F71" i="4"/>
  <c r="F53" i="4"/>
  <c r="F31" i="4"/>
  <c r="F32" i="4"/>
  <c r="G73" i="4"/>
  <c r="F39" i="4"/>
  <c r="F14" i="4"/>
  <c r="F43" i="4"/>
  <c r="F51" i="4"/>
  <c r="F11" i="4"/>
  <c r="F12" i="4"/>
  <c r="F62" i="4"/>
  <c r="F40" i="4"/>
  <c r="F7" i="4"/>
  <c r="F10" i="4"/>
  <c r="F49" i="4"/>
  <c r="F33" i="4"/>
  <c r="F57" i="4"/>
  <c r="F63" i="4"/>
  <c r="E73" i="4"/>
  <c r="F6" i="4"/>
  <c r="F66" i="4"/>
  <c r="F28" i="4"/>
  <c r="F58" i="4"/>
  <c r="F61" i="4"/>
  <c r="F27" i="4"/>
  <c r="F13" i="4"/>
  <c r="F41" i="4"/>
  <c r="F59" i="4"/>
  <c r="F22" i="4"/>
  <c r="F60" i="4"/>
  <c r="F37" i="4"/>
  <c r="F21" i="4"/>
  <c r="F8" i="4"/>
  <c r="F20" i="4"/>
  <c r="F17" i="4"/>
  <c r="F46" i="4"/>
  <c r="F9" i="4"/>
  <c r="F47" i="4"/>
  <c r="F64" i="4"/>
  <c r="F5" i="4"/>
  <c r="C73" i="6"/>
  <c r="C73" i="7"/>
  <c r="C73" i="8"/>
  <c r="D5" i="4"/>
  <c r="C73" i="4"/>
  <c r="F73" i="9" l="1"/>
  <c r="D73" i="8"/>
  <c r="F73" i="8"/>
  <c r="F73" i="4"/>
  <c r="F73" i="6"/>
  <c r="D73" i="7"/>
  <c r="F73" i="7"/>
  <c r="D73" i="6"/>
  <c r="D73" i="4"/>
</calcChain>
</file>

<file path=xl/sharedStrings.xml><?xml version="1.0" encoding="utf-8"?>
<sst xmlns="http://schemas.openxmlformats.org/spreadsheetml/2006/main" count="482" uniqueCount="93">
  <si>
    <t>County</t>
  </si>
  <si>
    <t>Status</t>
  </si>
  <si>
    <t>Saint Johns</t>
  </si>
  <si>
    <t>Saint Lucie</t>
  </si>
  <si>
    <t>Alachua</t>
  </si>
  <si>
    <t>Baker</t>
  </si>
  <si>
    <t>Bay</t>
  </si>
  <si>
    <t>Bradford</t>
  </si>
  <si>
    <t>Brevard</t>
  </si>
  <si>
    <t>Broward</t>
  </si>
  <si>
    <t>Calhoun</t>
  </si>
  <si>
    <t>Charlotte</t>
  </si>
  <si>
    <t>Citrus</t>
  </si>
  <si>
    <t>Clay</t>
  </si>
  <si>
    <t>Collier</t>
  </si>
  <si>
    <t>Columbia</t>
  </si>
  <si>
    <t>DeSoto</t>
  </si>
  <si>
    <t>Dixie</t>
  </si>
  <si>
    <t>Duval</t>
  </si>
  <si>
    <t>Escambia</t>
  </si>
  <si>
    <t>Flagler</t>
  </si>
  <si>
    <t>Franklin</t>
  </si>
  <si>
    <t>Gadsden</t>
  </si>
  <si>
    <t>Gilchrist</t>
  </si>
  <si>
    <t>Glades</t>
  </si>
  <si>
    <t>Gulf</t>
  </si>
  <si>
    <t>Hamilton</t>
  </si>
  <si>
    <t>Hardee</t>
  </si>
  <si>
    <t>Hendry</t>
  </si>
  <si>
    <t>Hernando</t>
  </si>
  <si>
    <t>Highlands</t>
  </si>
  <si>
    <t>Hillsborough</t>
  </si>
  <si>
    <t>Holmes</t>
  </si>
  <si>
    <t>Indian River</t>
  </si>
  <si>
    <t>Jackson</t>
  </si>
  <si>
    <t>Jefferson</t>
  </si>
  <si>
    <t>Lafayette</t>
  </si>
  <si>
    <t>Lake</t>
  </si>
  <si>
    <t>Lee</t>
  </si>
  <si>
    <t>Leon</t>
  </si>
  <si>
    <t>Levy</t>
  </si>
  <si>
    <t>Liberty</t>
  </si>
  <si>
    <t>Madison</t>
  </si>
  <si>
    <t>Manatee</t>
  </si>
  <si>
    <t>Marion</t>
  </si>
  <si>
    <t>Martin</t>
  </si>
  <si>
    <t>Monroe</t>
  </si>
  <si>
    <t>Nassau</t>
  </si>
  <si>
    <t>Okaloosa</t>
  </si>
  <si>
    <t>Okeechobee</t>
  </si>
  <si>
    <t>Orange</t>
  </si>
  <si>
    <t>Osceola</t>
  </si>
  <si>
    <t>Palm Beach</t>
  </si>
  <si>
    <t>Pasco</t>
  </si>
  <si>
    <t>Pinellas</t>
  </si>
  <si>
    <t>Polk</t>
  </si>
  <si>
    <t>Putnam</t>
  </si>
  <si>
    <t>Santa Rosa</t>
  </si>
  <si>
    <t>Sarasota</t>
  </si>
  <si>
    <t>Seminole</t>
  </si>
  <si>
    <t>Sumter</t>
  </si>
  <si>
    <t>Suwannee</t>
  </si>
  <si>
    <t>Taylor</t>
  </si>
  <si>
    <t>Union</t>
  </si>
  <si>
    <t>Volusia</t>
  </si>
  <si>
    <t>Wakulla</t>
  </si>
  <si>
    <t>Walton</t>
  </si>
  <si>
    <t>Washington</t>
  </si>
  <si>
    <t>Statewide</t>
  </si>
  <si>
    <t>Real Property Just Value and Growth Rate</t>
  </si>
  <si>
    <t>Personal Property Just Value and Growth Rate</t>
  </si>
  <si>
    <t>Centrally Assessed Property Just Value and Growth Rate</t>
  </si>
  <si>
    <t>Just Value All Property Types</t>
  </si>
  <si>
    <t>All Property Types Just Value and Growth Rate</t>
  </si>
  <si>
    <t>Statewide Just Value Summary Information by County</t>
  </si>
  <si>
    <t>Just Value is the value of the property without regard to a possible agricultural classification or Save Our Homes Deferred Amount.  Just Value is the reflection of the value of land if it were not classified as agricultural and had no SOH deferred amount.</t>
  </si>
  <si>
    <t xml:space="preserve">Contact Information: </t>
  </si>
  <si>
    <t xml:space="preserve">Property Tax Oversight, Research &amp; Analysis  </t>
  </si>
  <si>
    <t>Miami-Dade</t>
  </si>
  <si>
    <t xml:space="preserve">n/a </t>
  </si>
  <si>
    <t>PTOResearchAnalysis@floridarevenue.com</t>
  </si>
  <si>
    <t>R-Prelim</t>
  </si>
  <si>
    <t>2024 Value</t>
  </si>
  <si>
    <t>2025 Value</t>
  </si>
  <si>
    <t>Percent increase 2024-2025</t>
  </si>
  <si>
    <t xml:space="preserve"> 2026 Real Property
 Just Value</t>
  </si>
  <si>
    <t>2026 Personal Property Just Value</t>
  </si>
  <si>
    <t xml:space="preserve"> 2026 Central Assessment Just Value</t>
  </si>
  <si>
    <t>2026 Total
 Just Value</t>
  </si>
  <si>
    <t>Data Extract: July 2026</t>
  </si>
  <si>
    <t>2024-2026</t>
  </si>
  <si>
    <t>2026 Value</t>
  </si>
  <si>
    <t>Percent increase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</si>
</sst>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0"/>
      <name val="Arial"/>
    </font>
    <font>
      <sz val="10"/>
      <name val="Arial"/>
      <family val="2"/>
    </font>
    <font>
      <sz val="10"/>
      <name val="Arial"/>
      <family val="2"/>
    </font>
    <font>
      <sz val="8"/>
      <name val="Arial"/>
      <family val="2"/>
    </font>
    <font>
      <u/>
      <sz val="10"/>
      <color indexed="12"/>
      <name val="Arial"/>
      <family val="2"/>
    </font>
    <font>
      <sz val="10"/>
      <name val="Arial"/>
      <family val="2"/>
    </font>
    <font>
      <b/>
      <sz val="11"/>
      <name val="Arial"/>
      <family val="2"/>
    </font>
    <font>
      <sz val="11"/>
      <name val="Arial"/>
      <family val="2"/>
    </font>
    <font>
      <u/>
      <sz val="11"/>
      <color indexed="12"/>
      <name val="Arial"/>
      <family val="2"/>
    </font>
    <font>
      <i/>
      <sz val="11"/>
      <name val="Arial"/>
      <family val="2"/>
    </font>
    <font>
      <b/>
      <sz val="18"/>
      <name val="Arial"/>
      <family val="2"/>
    </font>
    <font>
      <b/>
      <sz val="1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xf numFmtId="9" fontId="1" fillId="0" borderId="0" applyFont="0" applyFill="0" applyBorder="0" applyAlignment="0" applyProtection="0"/>
  </cellStyleXfs>
  <cellXfs count="54">
    <xf numFmtId="0" fontId="0" fillId="0" borderId="0" xfId="0"/>
    <xf numFmtId="0" fontId="6" fillId="0" borderId="0" xfId="0" applyFont="1"/>
    <xf numFmtId="0" fontId="7" fillId="0" borderId="0" xfId="0" applyFont="1"/>
    <xf numFmtId="3" fontId="7" fillId="0" borderId="0" xfId="0" applyNumberFormat="1" applyFont="1" applyAlignment="1">
      <alignment wrapText="1"/>
    </xf>
    <xf numFmtId="0" fontId="7" fillId="0" borderId="0" xfId="0" applyFont="1" applyAlignment="1">
      <alignment horizontal="left"/>
    </xf>
    <xf numFmtId="0" fontId="9" fillId="0" borderId="0" xfId="0" applyFont="1"/>
    <xf numFmtId="0" fontId="8" fillId="0" borderId="0" xfId="3" applyFont="1" applyAlignment="1" applyProtection="1"/>
    <xf numFmtId="0" fontId="10" fillId="0" borderId="0" xfId="0" applyFont="1" applyAlignment="1"/>
    <xf numFmtId="0" fontId="6" fillId="0" borderId="0" xfId="0" applyFont="1" applyAlignment="1">
      <alignment horizontal="center"/>
    </xf>
    <xf numFmtId="0" fontId="6" fillId="0" borderId="0" xfId="0" applyFont="1" applyAlignment="1"/>
    <xf numFmtId="0" fontId="6" fillId="0" borderId="0" xfId="0" applyFont="1" applyAlignment="1">
      <alignment horizontal="left"/>
    </xf>
    <xf numFmtId="0" fontId="7" fillId="0" borderId="0" xfId="0" applyFont="1" applyAlignment="1">
      <alignment horizontal="center"/>
    </xf>
    <xf numFmtId="0" fontId="7" fillId="0" borderId="1" xfId="0" applyFont="1" applyBorder="1"/>
    <xf numFmtId="0" fontId="7" fillId="0" borderId="2" xfId="0" applyFont="1" applyBorder="1" applyAlignment="1">
      <alignment horizontal="center"/>
    </xf>
    <xf numFmtId="3" fontId="7" fillId="0" borderId="2" xfId="0" applyNumberFormat="1" applyFont="1" applyBorder="1"/>
    <xf numFmtId="10" fontId="7" fillId="0" borderId="2" xfId="5" applyNumberFormat="1" applyFont="1" applyBorder="1" applyAlignment="1">
      <alignment horizontal="right"/>
    </xf>
    <xf numFmtId="3" fontId="7" fillId="0" borderId="3" xfId="0" applyNumberFormat="1" applyFont="1" applyBorder="1"/>
    <xf numFmtId="3" fontId="7" fillId="0" borderId="0" xfId="0" applyNumberFormat="1" applyFont="1"/>
    <xf numFmtId="0" fontId="7" fillId="0" borderId="4" xfId="0" applyFont="1" applyBorder="1"/>
    <xf numFmtId="0" fontId="7" fillId="0" borderId="5" xfId="0" applyFont="1" applyBorder="1" applyAlignment="1">
      <alignment horizontal="center"/>
    </xf>
    <xf numFmtId="2" fontId="7" fillId="0" borderId="5" xfId="0" applyNumberFormat="1" applyFont="1" applyBorder="1" applyAlignment="1">
      <alignment horizontal="center"/>
    </xf>
    <xf numFmtId="0" fontId="6" fillId="2" borderId="6" xfId="0" applyFont="1" applyFill="1" applyBorder="1"/>
    <xf numFmtId="0" fontId="6" fillId="2" borderId="7" xfId="0" applyFont="1" applyFill="1" applyBorder="1" applyAlignment="1">
      <alignment horizontal="center"/>
    </xf>
    <xf numFmtId="3" fontId="6" fillId="2" borderId="7" xfId="0" applyNumberFormat="1" applyFont="1" applyFill="1" applyBorder="1"/>
    <xf numFmtId="10" fontId="6" fillId="2" borderId="7" xfId="5" applyNumberFormat="1" applyFont="1" applyFill="1" applyBorder="1" applyAlignment="1">
      <alignment horizontal="right"/>
    </xf>
    <xf numFmtId="3" fontId="6" fillId="2" borderId="8" xfId="0" applyNumberFormat="1" applyFont="1" applyFill="1" applyBorder="1"/>
    <xf numFmtId="0" fontId="7" fillId="0" borderId="0" xfId="0" applyFont="1" applyFill="1" applyBorder="1"/>
    <xf numFmtId="3" fontId="7" fillId="0" borderId="2" xfId="0" applyNumberFormat="1" applyFont="1" applyBorder="1" applyAlignment="1">
      <alignment horizontal="right"/>
    </xf>
    <xf numFmtId="3" fontId="7" fillId="0" borderId="2" xfId="4" applyNumberFormat="1" applyFont="1" applyBorder="1"/>
    <xf numFmtId="3" fontId="7" fillId="0" borderId="3" xfId="1" applyNumberFormat="1" applyFont="1" applyBorder="1"/>
    <xf numFmtId="3" fontId="7" fillId="0" borderId="2" xfId="0" applyNumberFormat="1" applyFont="1" applyFill="1" applyBorder="1" applyAlignment="1">
      <alignment horizontal="right"/>
    </xf>
    <xf numFmtId="3" fontId="7" fillId="0" borderId="2" xfId="1" applyNumberFormat="1" applyFont="1" applyBorder="1" applyAlignment="1"/>
    <xf numFmtId="3" fontId="7" fillId="0" borderId="2" xfId="1" applyNumberFormat="1" applyFont="1" applyBorder="1"/>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2" fillId="0" borderId="0" xfId="0" applyFont="1" applyAlignment="1">
      <alignment horizontal="center" vertical="center"/>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1" fontId="0" fillId="0" borderId="0" xfId="0" applyNumberFormat="1"/>
    <xf numFmtId="0" fontId="7" fillId="3" borderId="0" xfId="0" applyFont="1" applyFill="1"/>
    <xf numFmtId="0" fontId="7" fillId="3" borderId="0" xfId="0" applyFont="1" applyFill="1" applyAlignment="1">
      <alignment horizontal="center"/>
    </xf>
    <xf numFmtId="0" fontId="7" fillId="0" borderId="0" xfId="0" applyFont="1" applyFill="1"/>
    <xf numFmtId="0" fontId="2" fillId="0" borderId="0" xfId="0" applyFont="1" applyFill="1" applyAlignment="1">
      <alignment horizontal="center" vertical="center"/>
    </xf>
    <xf numFmtId="0" fontId="8" fillId="0" borderId="0" xfId="3" applyFont="1" applyAlignment="1" applyProtection="1">
      <alignment horizontal="left"/>
    </xf>
    <xf numFmtId="3" fontId="7" fillId="0" borderId="14" xfId="0" applyNumberFormat="1" applyFont="1" applyBorder="1" applyAlignment="1">
      <alignment horizontal="left" vertical="center" wrapText="1"/>
    </xf>
    <xf numFmtId="3" fontId="7" fillId="0" borderId="15" xfId="0" applyNumberFormat="1" applyFont="1" applyBorder="1" applyAlignment="1">
      <alignment horizontal="left" vertical="center" wrapText="1"/>
    </xf>
    <xf numFmtId="3" fontId="7" fillId="0" borderId="16" xfId="0" applyNumberFormat="1" applyFont="1" applyBorder="1" applyAlignment="1">
      <alignment horizontal="left" vertical="center" wrapText="1"/>
    </xf>
    <xf numFmtId="3" fontId="7" fillId="0" borderId="17" xfId="0" applyNumberFormat="1" applyFont="1" applyBorder="1" applyAlignment="1">
      <alignment horizontal="left" vertical="center" wrapText="1"/>
    </xf>
    <xf numFmtId="3" fontId="7" fillId="0" borderId="0" xfId="0" applyNumberFormat="1" applyFont="1" applyBorder="1" applyAlignment="1">
      <alignment horizontal="left" vertical="center" wrapText="1"/>
    </xf>
    <xf numFmtId="3" fontId="7" fillId="0" borderId="18" xfId="0" applyNumberFormat="1" applyFont="1" applyBorder="1" applyAlignment="1">
      <alignment horizontal="left" vertical="center" wrapText="1"/>
    </xf>
    <xf numFmtId="3" fontId="7" fillId="0" borderId="19" xfId="0" applyNumberFormat="1" applyFont="1" applyBorder="1" applyAlignment="1">
      <alignment horizontal="left" vertical="center" wrapText="1"/>
    </xf>
    <xf numFmtId="3" fontId="7" fillId="0" borderId="20" xfId="0" applyNumberFormat="1" applyFont="1" applyBorder="1" applyAlignment="1">
      <alignment horizontal="left" vertical="center" wrapText="1"/>
    </xf>
    <xf numFmtId="3" fontId="7" fillId="0" borderId="21" xfId="0" applyNumberFormat="1" applyFont="1" applyBorder="1" applyAlignment="1">
      <alignment horizontal="left" vertical="center" wrapText="1"/>
    </xf>
  </cellXfs>
  <cellStyles count="6">
    <cellStyle name="Comma" xfId="1" builtinId="3"/>
    <cellStyle name="Comma 2" xfId="2" xr:uid="{00000000-0005-0000-0000-000001000000}"/>
    <cellStyle name="Hyperlink" xfId="3" builtinId="8"/>
    <cellStyle name="Normal" xfId="0" builtinId="0"/>
    <cellStyle name="Normal 2" xfId="4" xr:uid="{00000000-0005-0000-0000-000004000000}"/>
    <cellStyle name="Percent" xfId="5" builtinId="5"/>
  </cellStyles>
  <dxfs count="11">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TOResearchAnalysis@floridarevenu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6"/>
  <sheetViews>
    <sheetView tabSelected="1" workbookViewId="0"/>
  </sheetViews>
  <sheetFormatPr defaultRowHeight="14.25" x14ac:dyDescent="0.2"/>
  <cols>
    <col min="1" max="16384" width="9.140625" style="2"/>
  </cols>
  <sheetData>
    <row r="2" spans="1:11" ht="15" x14ac:dyDescent="0.25">
      <c r="A2" s="1" t="s">
        <v>74</v>
      </c>
    </row>
    <row r="3" spans="1:11" ht="15" thickBot="1" x14ac:dyDescent="0.25"/>
    <row r="4" spans="1:11" x14ac:dyDescent="0.2">
      <c r="B4" s="45" t="s">
        <v>75</v>
      </c>
      <c r="C4" s="46"/>
      <c r="D4" s="46"/>
      <c r="E4" s="46"/>
      <c r="F4" s="46"/>
      <c r="G4" s="46"/>
      <c r="H4" s="47"/>
      <c r="I4" s="3"/>
      <c r="J4" s="3"/>
      <c r="K4" s="3"/>
    </row>
    <row r="5" spans="1:11" x14ac:dyDescent="0.2">
      <c r="B5" s="48"/>
      <c r="C5" s="49"/>
      <c r="D5" s="49"/>
      <c r="E5" s="49"/>
      <c r="F5" s="49"/>
      <c r="G5" s="49"/>
      <c r="H5" s="50"/>
      <c r="I5" s="3"/>
      <c r="J5" s="3"/>
      <c r="K5" s="3"/>
    </row>
    <row r="6" spans="1:11" x14ac:dyDescent="0.2">
      <c r="B6" s="48"/>
      <c r="C6" s="49"/>
      <c r="D6" s="49"/>
      <c r="E6" s="49"/>
      <c r="F6" s="49"/>
      <c r="G6" s="49"/>
      <c r="H6" s="50"/>
      <c r="I6" s="3"/>
      <c r="J6" s="3"/>
      <c r="K6" s="3"/>
    </row>
    <row r="7" spans="1:11" x14ac:dyDescent="0.2">
      <c r="B7" s="48"/>
      <c r="C7" s="49"/>
      <c r="D7" s="49"/>
      <c r="E7" s="49"/>
      <c r="F7" s="49"/>
      <c r="G7" s="49"/>
      <c r="H7" s="50"/>
      <c r="I7" s="3"/>
      <c r="J7" s="3"/>
      <c r="K7" s="3"/>
    </row>
    <row r="8" spans="1:11" x14ac:dyDescent="0.2">
      <c r="B8" s="48"/>
      <c r="C8" s="49"/>
      <c r="D8" s="49"/>
      <c r="E8" s="49"/>
      <c r="F8" s="49"/>
      <c r="G8" s="49"/>
      <c r="H8" s="50"/>
      <c r="I8" s="3"/>
      <c r="J8" s="3"/>
      <c r="K8" s="3"/>
    </row>
    <row r="9" spans="1:11" ht="15" thickBot="1" x14ac:dyDescent="0.25">
      <c r="B9" s="51"/>
      <c r="C9" s="52"/>
      <c r="D9" s="52"/>
      <c r="E9" s="52"/>
      <c r="F9" s="52"/>
      <c r="G9" s="52"/>
      <c r="H9" s="53"/>
      <c r="I9" s="3"/>
      <c r="J9" s="3"/>
      <c r="K9" s="3"/>
    </row>
    <row r="10" spans="1:11" x14ac:dyDescent="0.2">
      <c r="B10" s="3"/>
      <c r="C10" s="3"/>
      <c r="D10" s="3"/>
      <c r="E10" s="3"/>
      <c r="F10" s="3"/>
      <c r="G10" s="3"/>
      <c r="H10" s="3"/>
      <c r="I10" s="3"/>
      <c r="J10" s="3"/>
      <c r="K10" s="3"/>
    </row>
    <row r="11" spans="1:11" x14ac:dyDescent="0.2">
      <c r="B11" s="44" t="s">
        <v>72</v>
      </c>
      <c r="C11" s="44"/>
      <c r="D11" s="44"/>
      <c r="E11" s="44"/>
      <c r="F11" s="44"/>
      <c r="G11" s="44"/>
      <c r="H11" s="44"/>
      <c r="I11" s="3"/>
      <c r="J11" s="3"/>
      <c r="K11" s="3"/>
    </row>
    <row r="12" spans="1:11" x14ac:dyDescent="0.2">
      <c r="B12" s="4"/>
      <c r="C12" s="3"/>
      <c r="D12" s="3"/>
      <c r="E12" s="3"/>
      <c r="F12" s="3"/>
      <c r="G12" s="3"/>
      <c r="H12" s="3"/>
      <c r="I12" s="3"/>
      <c r="J12" s="3"/>
      <c r="K12" s="3"/>
    </row>
    <row r="13" spans="1:11" x14ac:dyDescent="0.2">
      <c r="B13" s="44" t="s">
        <v>73</v>
      </c>
      <c r="C13" s="44"/>
      <c r="D13" s="44"/>
      <c r="E13" s="44"/>
      <c r="F13" s="44"/>
      <c r="G13" s="44"/>
      <c r="H13" s="44"/>
    </row>
    <row r="15" spans="1:11" x14ac:dyDescent="0.2">
      <c r="B15" s="44" t="s">
        <v>69</v>
      </c>
      <c r="C15" s="44"/>
      <c r="D15" s="44"/>
      <c r="E15" s="44"/>
      <c r="F15" s="44"/>
      <c r="G15" s="44"/>
      <c r="H15" s="44"/>
    </row>
    <row r="17" spans="1:8" x14ac:dyDescent="0.2">
      <c r="B17" s="44" t="s">
        <v>70</v>
      </c>
      <c r="C17" s="44"/>
      <c r="D17" s="44"/>
      <c r="E17" s="44"/>
      <c r="F17" s="44"/>
      <c r="G17" s="44"/>
      <c r="H17" s="44"/>
    </row>
    <row r="19" spans="1:8" x14ac:dyDescent="0.2">
      <c r="B19" s="44" t="s">
        <v>71</v>
      </c>
      <c r="C19" s="44"/>
      <c r="D19" s="44"/>
      <c r="E19" s="44"/>
      <c r="F19" s="44"/>
      <c r="G19" s="44"/>
      <c r="H19" s="44"/>
    </row>
    <row r="25" spans="1:8" x14ac:dyDescent="0.2">
      <c r="A25" s="5" t="s">
        <v>76</v>
      </c>
      <c r="D25" s="5" t="s">
        <v>77</v>
      </c>
    </row>
    <row r="26" spans="1:8" x14ac:dyDescent="0.2">
      <c r="D26" s="6" t="s">
        <v>80</v>
      </c>
    </row>
  </sheetData>
  <mergeCells count="6">
    <mergeCell ref="B17:H17"/>
    <mergeCell ref="B19:H19"/>
    <mergeCell ref="B4:H9"/>
    <mergeCell ref="B11:H11"/>
    <mergeCell ref="B13:H13"/>
    <mergeCell ref="B15:H15"/>
  </mergeCells>
  <phoneticPr fontId="3" type="noConversion"/>
  <hyperlinks>
    <hyperlink ref="B11" location="'Just Value All Property Types'!A1" display="Just Value All Property Types 2010" xr:uid="{00000000-0004-0000-0000-000000000000}"/>
    <hyperlink ref="B13" location="'All Property Just Value'!A1" display="All Property Types Just Value and Growth Rate 2008 - 2010" xr:uid="{00000000-0004-0000-0000-000001000000}"/>
    <hyperlink ref="B15" location="'Real Property Just Value'!A1" display="Real Property Just Value and Growth Rate 2008 - 2010" xr:uid="{00000000-0004-0000-0000-000002000000}"/>
    <hyperlink ref="B17" location="'Personal Property Just Value'!A1" display="Personal Property Just Value and Growth Rate 2008 - 2010" xr:uid="{00000000-0004-0000-0000-000003000000}"/>
    <hyperlink ref="B19" location="'Centrally Assessed Just Value '!A1" display="Centrally Assessed Property Just Value and Growth Rate 2008 - 2010" xr:uid="{00000000-0004-0000-0000-000004000000}"/>
    <hyperlink ref="D26" r:id="rId1" xr:uid="{00000000-0004-0000-0000-000005000000}"/>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5"/>
  <sheetViews>
    <sheetView zoomScaleNormal="100" workbookViewId="0">
      <pane ySplit="4" topLeftCell="A14" activePane="bottomLeft" state="frozen"/>
      <selection activeCell="A3" sqref="A3"/>
      <selection pane="bottomLeft" activeCell="F43" sqref="F43"/>
    </sheetView>
  </sheetViews>
  <sheetFormatPr defaultRowHeight="14.25" x14ac:dyDescent="0.2"/>
  <cols>
    <col min="1" max="1" width="51.42578125" style="2" bestFit="1" customWidth="1"/>
    <col min="2" max="2" width="9.28515625" style="11" bestFit="1" customWidth="1"/>
    <col min="3" max="3" width="19.28515625" style="2" bestFit="1" customWidth="1"/>
    <col min="4" max="4" width="19.140625" style="2" bestFit="1" customWidth="1"/>
    <col min="5" max="5" width="22" style="2" bestFit="1" customWidth="1"/>
    <col min="6" max="6" width="18.42578125" style="2" bestFit="1" customWidth="1"/>
    <col min="7" max="7" width="9.140625" style="2"/>
    <col min="8" max="8" width="14.28515625" style="2" bestFit="1" customWidth="1"/>
    <col min="9" max="16384" width="9.140625" style="2"/>
  </cols>
  <sheetData>
    <row r="1" spans="1:11" ht="23.25" x14ac:dyDescent="0.35">
      <c r="A1" s="7" t="s">
        <v>72</v>
      </c>
      <c r="B1" s="8"/>
      <c r="C1" s="9"/>
      <c r="D1" s="9"/>
      <c r="E1" s="9"/>
      <c r="F1" s="9"/>
    </row>
    <row r="2" spans="1:11" ht="15" x14ac:dyDescent="0.25">
      <c r="A2" s="10">
        <v>2026</v>
      </c>
      <c r="B2" s="10"/>
      <c r="C2" s="10"/>
      <c r="D2" s="10"/>
      <c r="E2" s="10"/>
      <c r="F2" s="10"/>
    </row>
    <row r="3" spans="1:11" s="40" customFormat="1" ht="15" thickBot="1" x14ac:dyDescent="0.25">
      <c r="B3" s="41"/>
    </row>
    <row r="4" spans="1:11" s="36" customFormat="1" ht="25.5" x14ac:dyDescent="0.2">
      <c r="A4" s="33" t="s">
        <v>0</v>
      </c>
      <c r="B4" s="34" t="s">
        <v>1</v>
      </c>
      <c r="C4" s="34" t="s">
        <v>85</v>
      </c>
      <c r="D4" s="34" t="s">
        <v>86</v>
      </c>
      <c r="E4" s="34" t="s">
        <v>87</v>
      </c>
      <c r="F4" s="35" t="s">
        <v>88</v>
      </c>
    </row>
    <row r="5" spans="1:11" x14ac:dyDescent="0.2">
      <c r="A5" s="12" t="s">
        <v>4</v>
      </c>
      <c r="B5" s="13" t="s">
        <v>81</v>
      </c>
      <c r="C5" s="27">
        <v>43217111416</v>
      </c>
      <c r="D5" s="28">
        <v>4440410083</v>
      </c>
      <c r="E5" s="27">
        <v>35914609</v>
      </c>
      <c r="F5" s="29">
        <v>47693436108</v>
      </c>
    </row>
    <row r="6" spans="1:11" x14ac:dyDescent="0.2">
      <c r="A6" s="12" t="s">
        <v>5</v>
      </c>
      <c r="B6" s="13" t="s">
        <v>81</v>
      </c>
      <c r="C6" s="27">
        <v>3255925793</v>
      </c>
      <c r="D6" s="28">
        <v>285846355</v>
      </c>
      <c r="E6" s="27">
        <v>14305251</v>
      </c>
      <c r="F6" s="29">
        <v>3556077399</v>
      </c>
      <c r="I6" s="17"/>
      <c r="K6" s="17"/>
    </row>
    <row r="7" spans="1:11" x14ac:dyDescent="0.2">
      <c r="A7" s="12" t="s">
        <v>6</v>
      </c>
      <c r="B7" s="13" t="s">
        <v>81</v>
      </c>
      <c r="C7" s="27">
        <v>44337084689</v>
      </c>
      <c r="D7" s="28">
        <v>2778575568</v>
      </c>
      <c r="E7" s="27">
        <v>30583860</v>
      </c>
      <c r="F7" s="29">
        <v>47146244117</v>
      </c>
      <c r="I7" s="17"/>
      <c r="K7" s="17"/>
    </row>
    <row r="8" spans="1:11" x14ac:dyDescent="0.2">
      <c r="A8" s="12" t="s">
        <v>7</v>
      </c>
      <c r="B8" s="13" t="s">
        <v>81</v>
      </c>
      <c r="C8" s="27">
        <v>2714603638</v>
      </c>
      <c r="D8" s="28">
        <v>350449535</v>
      </c>
      <c r="E8" s="27">
        <v>20294348</v>
      </c>
      <c r="F8" s="29">
        <v>3085347521</v>
      </c>
      <c r="I8" s="17"/>
      <c r="K8" s="17"/>
    </row>
    <row r="9" spans="1:11" x14ac:dyDescent="0.2">
      <c r="A9" s="12" t="s">
        <v>8</v>
      </c>
      <c r="B9" s="13" t="s">
        <v>81</v>
      </c>
      <c r="C9" s="27">
        <v>117514636780</v>
      </c>
      <c r="D9" s="28">
        <v>12794579185</v>
      </c>
      <c r="E9" s="27">
        <v>134802936</v>
      </c>
      <c r="F9" s="29">
        <v>130444018901</v>
      </c>
      <c r="I9" s="17"/>
      <c r="K9" s="17"/>
    </row>
    <row r="10" spans="1:11" x14ac:dyDescent="0.2">
      <c r="A10" s="12" t="s">
        <v>9</v>
      </c>
      <c r="B10" s="13" t="s">
        <v>81</v>
      </c>
      <c r="C10" s="27">
        <v>492053423490</v>
      </c>
      <c r="D10" s="28">
        <v>13399369946</v>
      </c>
      <c r="E10" s="27">
        <v>104719059</v>
      </c>
      <c r="F10" s="29">
        <v>505557512495</v>
      </c>
      <c r="I10" s="17"/>
      <c r="K10" s="17"/>
    </row>
    <row r="11" spans="1:11" x14ac:dyDescent="0.2">
      <c r="A11" s="12" t="s">
        <v>10</v>
      </c>
      <c r="B11" s="13" t="s">
        <v>81</v>
      </c>
      <c r="C11" s="27">
        <v>1195026544</v>
      </c>
      <c r="D11" s="28">
        <v>886504405</v>
      </c>
      <c r="E11" s="27"/>
      <c r="F11" s="29">
        <v>2081530949</v>
      </c>
      <c r="I11" s="17"/>
      <c r="K11" s="17"/>
    </row>
    <row r="12" spans="1:11" x14ac:dyDescent="0.2">
      <c r="A12" s="12" t="s">
        <v>11</v>
      </c>
      <c r="B12" s="13" t="s">
        <v>81</v>
      </c>
      <c r="C12" s="27">
        <v>48753531748</v>
      </c>
      <c r="D12" s="28">
        <v>2206355616</v>
      </c>
      <c r="E12" s="27">
        <v>3292614</v>
      </c>
      <c r="F12" s="29">
        <v>50963179978</v>
      </c>
      <c r="I12" s="17"/>
      <c r="K12" s="17"/>
    </row>
    <row r="13" spans="1:11" x14ac:dyDescent="0.2">
      <c r="A13" s="12" t="s">
        <v>12</v>
      </c>
      <c r="B13" s="13" t="s">
        <v>81</v>
      </c>
      <c r="C13" s="27">
        <v>25479953042</v>
      </c>
      <c r="D13" s="28">
        <v>4309568309</v>
      </c>
      <c r="E13" s="27">
        <v>1459025</v>
      </c>
      <c r="F13" s="29">
        <v>29790980376</v>
      </c>
      <c r="I13" s="17"/>
      <c r="K13" s="17"/>
    </row>
    <row r="14" spans="1:11" x14ac:dyDescent="0.2">
      <c r="A14" s="12" t="s">
        <v>13</v>
      </c>
      <c r="B14" s="13" t="s">
        <v>81</v>
      </c>
      <c r="C14" s="27">
        <v>33497470333</v>
      </c>
      <c r="D14" s="28">
        <v>2383136157</v>
      </c>
      <c r="E14" s="27">
        <v>36095467</v>
      </c>
      <c r="F14" s="29">
        <v>35916701957</v>
      </c>
      <c r="I14" s="17"/>
      <c r="K14" s="17"/>
    </row>
    <row r="15" spans="1:11" x14ac:dyDescent="0.2">
      <c r="A15" s="12" t="s">
        <v>14</v>
      </c>
      <c r="B15" s="13" t="s">
        <v>81</v>
      </c>
      <c r="C15" s="27">
        <v>217719017202</v>
      </c>
      <c r="D15" s="28">
        <v>3895753249</v>
      </c>
      <c r="E15" s="27">
        <v>224358</v>
      </c>
      <c r="F15" s="29">
        <v>221614994809</v>
      </c>
      <c r="I15" s="17"/>
      <c r="K15" s="17"/>
    </row>
    <row r="16" spans="1:11" x14ac:dyDescent="0.2">
      <c r="A16" s="12" t="s">
        <v>15</v>
      </c>
      <c r="B16" s="13" t="s">
        <v>81</v>
      </c>
      <c r="C16" s="27">
        <v>8051384740</v>
      </c>
      <c r="D16" s="28">
        <v>1151389631</v>
      </c>
      <c r="E16" s="27">
        <v>14097826</v>
      </c>
      <c r="F16" s="29">
        <v>9216872197</v>
      </c>
      <c r="I16" s="17"/>
      <c r="K16" s="17"/>
    </row>
    <row r="17" spans="1:11" x14ac:dyDescent="0.2">
      <c r="A17" s="12" t="s">
        <v>78</v>
      </c>
      <c r="B17" s="13" t="s">
        <v>81</v>
      </c>
      <c r="C17" s="27">
        <v>773236203027</v>
      </c>
      <c r="D17" s="28">
        <v>25452592288</v>
      </c>
      <c r="E17" s="27">
        <v>195621363</v>
      </c>
      <c r="F17" s="29">
        <v>798884416678</v>
      </c>
      <c r="I17" s="17"/>
      <c r="K17" s="17"/>
    </row>
    <row r="18" spans="1:11" x14ac:dyDescent="0.2">
      <c r="A18" s="12" t="s">
        <v>16</v>
      </c>
      <c r="B18" s="13" t="s">
        <v>81</v>
      </c>
      <c r="C18" s="27">
        <v>5757382171</v>
      </c>
      <c r="D18" s="28">
        <v>830779663</v>
      </c>
      <c r="E18" s="27">
        <v>4975377</v>
      </c>
      <c r="F18" s="29">
        <v>6593137211</v>
      </c>
      <c r="I18" s="17"/>
      <c r="K18" s="17"/>
    </row>
    <row r="19" spans="1:11" x14ac:dyDescent="0.2">
      <c r="A19" s="12" t="s">
        <v>17</v>
      </c>
      <c r="B19" s="13" t="s">
        <v>81</v>
      </c>
      <c r="C19" s="27">
        <v>1863562259</v>
      </c>
      <c r="D19" s="28">
        <v>138064684</v>
      </c>
      <c r="E19" s="27"/>
      <c r="F19" s="29">
        <v>2001626943</v>
      </c>
      <c r="I19" s="17"/>
      <c r="K19" s="17"/>
    </row>
    <row r="20" spans="1:11" x14ac:dyDescent="0.2">
      <c r="A20" s="12" t="s">
        <v>18</v>
      </c>
      <c r="B20" s="13" t="s">
        <v>81</v>
      </c>
      <c r="C20" s="27">
        <v>173627214325</v>
      </c>
      <c r="D20" s="28">
        <v>18689887949</v>
      </c>
      <c r="E20" s="27">
        <v>227348937</v>
      </c>
      <c r="F20" s="29">
        <v>192544451211</v>
      </c>
      <c r="I20" s="17"/>
      <c r="K20" s="17"/>
    </row>
    <row r="21" spans="1:11" x14ac:dyDescent="0.2">
      <c r="A21" s="12" t="s">
        <v>19</v>
      </c>
      <c r="B21" s="13" t="s">
        <v>81</v>
      </c>
      <c r="C21" s="27">
        <v>49562382824</v>
      </c>
      <c r="D21" s="28">
        <v>5458066849</v>
      </c>
      <c r="E21" s="27">
        <v>34334287</v>
      </c>
      <c r="F21" s="29">
        <v>55054783960</v>
      </c>
      <c r="I21" s="17"/>
      <c r="K21" s="17"/>
    </row>
    <row r="22" spans="1:11" x14ac:dyDescent="0.2">
      <c r="A22" s="12" t="s">
        <v>20</v>
      </c>
      <c r="B22" s="13" t="s">
        <v>81</v>
      </c>
      <c r="C22" s="27">
        <v>26677979300</v>
      </c>
      <c r="D22" s="28">
        <v>1146680543</v>
      </c>
      <c r="E22" s="27">
        <v>23937098</v>
      </c>
      <c r="F22" s="29">
        <v>27848596941</v>
      </c>
      <c r="I22" s="17"/>
      <c r="K22" s="17"/>
    </row>
    <row r="23" spans="1:11" x14ac:dyDescent="0.2">
      <c r="A23" s="12" t="s">
        <v>21</v>
      </c>
      <c r="B23" s="13" t="s">
        <v>81</v>
      </c>
      <c r="C23" s="27">
        <v>6144135125</v>
      </c>
      <c r="D23" s="28">
        <v>105478236</v>
      </c>
      <c r="E23" s="27"/>
      <c r="F23" s="29">
        <v>6249613361</v>
      </c>
      <c r="I23" s="17"/>
      <c r="K23" s="17"/>
    </row>
    <row r="24" spans="1:11" x14ac:dyDescent="0.2">
      <c r="A24" s="12" t="s">
        <v>22</v>
      </c>
      <c r="B24" s="13" t="s">
        <v>81</v>
      </c>
      <c r="C24" s="27">
        <v>4533976304</v>
      </c>
      <c r="D24" s="28">
        <v>984926654</v>
      </c>
      <c r="E24" s="27">
        <v>11800475</v>
      </c>
      <c r="F24" s="29">
        <v>5530703433</v>
      </c>
      <c r="I24" s="17"/>
      <c r="K24" s="17"/>
    </row>
    <row r="25" spans="1:11" x14ac:dyDescent="0.2">
      <c r="A25" s="12" t="s">
        <v>23</v>
      </c>
      <c r="B25" s="13" t="s">
        <v>81</v>
      </c>
      <c r="C25" s="27">
        <v>2981218248</v>
      </c>
      <c r="D25" s="28">
        <v>491957571</v>
      </c>
      <c r="E25" s="27"/>
      <c r="F25" s="29">
        <v>3473175819</v>
      </c>
      <c r="I25" s="17"/>
      <c r="K25" s="17"/>
    </row>
    <row r="26" spans="1:11" x14ac:dyDescent="0.2">
      <c r="A26" s="12" t="s">
        <v>24</v>
      </c>
      <c r="B26" s="13" t="s">
        <v>81</v>
      </c>
      <c r="C26" s="27">
        <v>6406113816</v>
      </c>
      <c r="D26" s="28">
        <v>231848106</v>
      </c>
      <c r="E26" s="27">
        <v>14421555</v>
      </c>
      <c r="F26" s="29">
        <v>6652383477</v>
      </c>
      <c r="I26" s="17"/>
      <c r="K26" s="17"/>
    </row>
    <row r="27" spans="1:11" x14ac:dyDescent="0.2">
      <c r="A27" s="12" t="s">
        <v>25</v>
      </c>
      <c r="B27" s="13" t="s">
        <v>81</v>
      </c>
      <c r="C27" s="27">
        <v>7140518014</v>
      </c>
      <c r="D27" s="28">
        <v>179777182</v>
      </c>
      <c r="E27" s="27"/>
      <c r="F27" s="29">
        <v>7320295196</v>
      </c>
      <c r="I27" s="17"/>
      <c r="K27" s="17"/>
    </row>
    <row r="28" spans="1:11" x14ac:dyDescent="0.2">
      <c r="A28" s="12" t="s">
        <v>26</v>
      </c>
      <c r="B28" s="13" t="s">
        <v>81</v>
      </c>
      <c r="C28" s="27">
        <v>2065850122</v>
      </c>
      <c r="D28" s="28">
        <v>759110094</v>
      </c>
      <c r="E28" s="27">
        <v>22656763</v>
      </c>
      <c r="F28" s="29">
        <v>2847616979</v>
      </c>
      <c r="I28" s="17"/>
      <c r="K28" s="17"/>
    </row>
    <row r="29" spans="1:11" x14ac:dyDescent="0.2">
      <c r="A29" s="12" t="s">
        <v>27</v>
      </c>
      <c r="B29" s="13" t="s">
        <v>81</v>
      </c>
      <c r="C29" s="27">
        <v>5642622095</v>
      </c>
      <c r="D29" s="28">
        <v>1247898032</v>
      </c>
      <c r="E29" s="27">
        <v>10098411</v>
      </c>
      <c r="F29" s="29">
        <v>6900618538</v>
      </c>
      <c r="I29" s="17"/>
      <c r="K29" s="17"/>
    </row>
    <row r="30" spans="1:11" x14ac:dyDescent="0.2">
      <c r="A30" s="12" t="s">
        <v>28</v>
      </c>
      <c r="B30" s="13" t="s">
        <v>81</v>
      </c>
      <c r="C30" s="27">
        <v>9263033197</v>
      </c>
      <c r="D30" s="28">
        <v>1920469173</v>
      </c>
      <c r="E30" s="27">
        <v>4999064</v>
      </c>
      <c r="F30" s="29">
        <v>11188501434</v>
      </c>
      <c r="I30" s="17"/>
      <c r="K30" s="17"/>
    </row>
    <row r="31" spans="1:11" x14ac:dyDescent="0.2">
      <c r="A31" s="12" t="s">
        <v>29</v>
      </c>
      <c r="B31" s="13" t="s">
        <v>81</v>
      </c>
      <c r="C31" s="27">
        <v>31613145747</v>
      </c>
      <c r="D31" s="28">
        <v>2576932922</v>
      </c>
      <c r="E31" s="27">
        <v>12906416</v>
      </c>
      <c r="F31" s="29">
        <v>34202985085</v>
      </c>
      <c r="I31" s="17"/>
      <c r="K31" s="17"/>
    </row>
    <row r="32" spans="1:11" x14ac:dyDescent="0.2">
      <c r="A32" s="12" t="s">
        <v>30</v>
      </c>
      <c r="B32" s="13" t="s">
        <v>81</v>
      </c>
      <c r="C32" s="27">
        <v>17041621315</v>
      </c>
      <c r="D32" s="28">
        <v>773819095</v>
      </c>
      <c r="E32" s="27">
        <v>35810333</v>
      </c>
      <c r="F32" s="29">
        <v>17851250743</v>
      </c>
      <c r="I32" s="17"/>
      <c r="K32" s="17"/>
    </row>
    <row r="33" spans="1:11" x14ac:dyDescent="0.2">
      <c r="A33" s="12" t="s">
        <v>31</v>
      </c>
      <c r="B33" s="13" t="s">
        <v>81</v>
      </c>
      <c r="C33" s="27">
        <v>265186702552</v>
      </c>
      <c r="D33" s="28">
        <v>14566096400</v>
      </c>
      <c r="E33" s="27">
        <v>137336207</v>
      </c>
      <c r="F33" s="29">
        <v>279890135159</v>
      </c>
      <c r="I33" s="17"/>
      <c r="K33" s="17"/>
    </row>
    <row r="34" spans="1:11" x14ac:dyDescent="0.2">
      <c r="A34" s="12" t="s">
        <v>32</v>
      </c>
      <c r="B34" s="13" t="s">
        <v>81</v>
      </c>
      <c r="C34" s="27">
        <v>1990879130</v>
      </c>
      <c r="D34" s="28">
        <v>144860255</v>
      </c>
      <c r="E34" s="27">
        <v>4977993</v>
      </c>
      <c r="F34" s="29">
        <v>2140717378</v>
      </c>
      <c r="I34" s="17"/>
      <c r="K34" s="17"/>
    </row>
    <row r="35" spans="1:11" x14ac:dyDescent="0.2">
      <c r="A35" s="12" t="s">
        <v>33</v>
      </c>
      <c r="B35" s="13" t="s">
        <v>81</v>
      </c>
      <c r="C35" s="27">
        <v>50339655042</v>
      </c>
      <c r="D35" s="28">
        <v>1613877666</v>
      </c>
      <c r="E35" s="27">
        <v>46105678</v>
      </c>
      <c r="F35" s="29">
        <v>51999638386</v>
      </c>
      <c r="I35" s="17"/>
      <c r="K35" s="17"/>
    </row>
    <row r="36" spans="1:11" x14ac:dyDescent="0.2">
      <c r="A36" s="12" t="s">
        <v>34</v>
      </c>
      <c r="B36" s="13" t="s">
        <v>81</v>
      </c>
      <c r="C36" s="27">
        <v>4480947342</v>
      </c>
      <c r="D36" s="28">
        <v>648172701</v>
      </c>
      <c r="E36" s="27">
        <v>27975971</v>
      </c>
      <c r="F36" s="29">
        <v>5157096014</v>
      </c>
      <c r="I36" s="17"/>
      <c r="K36" s="17"/>
    </row>
    <row r="37" spans="1:11" x14ac:dyDescent="0.2">
      <c r="A37" s="12" t="s">
        <v>35</v>
      </c>
      <c r="B37" s="13" t="s">
        <v>81</v>
      </c>
      <c r="C37" s="27">
        <v>2607651480</v>
      </c>
      <c r="D37" s="28">
        <v>275524636</v>
      </c>
      <c r="E37" s="27">
        <v>3883407</v>
      </c>
      <c r="F37" s="29">
        <v>2887059523</v>
      </c>
      <c r="I37" s="17"/>
      <c r="K37" s="17"/>
    </row>
    <row r="38" spans="1:11" x14ac:dyDescent="0.2">
      <c r="A38" s="12" t="s">
        <v>36</v>
      </c>
      <c r="B38" s="13" t="s">
        <v>81</v>
      </c>
      <c r="C38" s="27">
        <v>1113933508</v>
      </c>
      <c r="D38" s="28">
        <v>84705720</v>
      </c>
      <c r="E38" s="27"/>
      <c r="F38" s="29">
        <v>1198639228</v>
      </c>
      <c r="I38" s="17"/>
      <c r="K38" s="17"/>
    </row>
    <row r="39" spans="1:11" x14ac:dyDescent="0.2">
      <c r="A39" s="12" t="s">
        <v>37</v>
      </c>
      <c r="B39" s="13" t="s">
        <v>81</v>
      </c>
      <c r="C39" s="27">
        <v>70473258696</v>
      </c>
      <c r="D39" s="28">
        <v>3188407661</v>
      </c>
      <c r="E39" s="27">
        <v>5784065</v>
      </c>
      <c r="F39" s="29">
        <v>73667450422</v>
      </c>
      <c r="I39" s="17"/>
      <c r="K39" s="17"/>
    </row>
    <row r="40" spans="1:11" x14ac:dyDescent="0.2">
      <c r="A40" s="12" t="s">
        <v>38</v>
      </c>
      <c r="B40" s="13" t="s">
        <v>81</v>
      </c>
      <c r="C40" s="27">
        <v>209743920975</v>
      </c>
      <c r="D40" s="28">
        <v>7977791393</v>
      </c>
      <c r="E40" s="27">
        <v>5602644</v>
      </c>
      <c r="F40" s="29">
        <v>217727315012</v>
      </c>
      <c r="I40" s="17"/>
      <c r="K40" s="17"/>
    </row>
    <row r="41" spans="1:11" x14ac:dyDescent="0.2">
      <c r="A41" s="12" t="s">
        <v>39</v>
      </c>
      <c r="B41" s="13" t="s">
        <v>81</v>
      </c>
      <c r="C41" s="27">
        <v>44550023667</v>
      </c>
      <c r="D41" s="28">
        <v>2590484876</v>
      </c>
      <c r="E41" s="27">
        <v>7355231</v>
      </c>
      <c r="F41" s="29">
        <v>47147863774</v>
      </c>
      <c r="I41" s="17"/>
      <c r="K41" s="17"/>
    </row>
    <row r="42" spans="1:11" x14ac:dyDescent="0.2">
      <c r="A42" s="12" t="s">
        <v>40</v>
      </c>
      <c r="B42" s="13" t="s">
        <v>81</v>
      </c>
      <c r="C42" s="27">
        <v>7920858722</v>
      </c>
      <c r="D42" s="28">
        <v>899351076</v>
      </c>
      <c r="E42" s="27">
        <v>3185083</v>
      </c>
      <c r="F42" s="29">
        <v>8823394881</v>
      </c>
      <c r="I42" s="17"/>
      <c r="K42" s="17"/>
    </row>
    <row r="43" spans="1:11" x14ac:dyDescent="0.2">
      <c r="A43" s="12" t="s">
        <v>41</v>
      </c>
      <c r="B43" s="13" t="s">
        <v>81</v>
      </c>
      <c r="C43" s="27">
        <v>966812699</v>
      </c>
      <c r="D43" s="28">
        <v>173662484</v>
      </c>
      <c r="E43" s="27"/>
      <c r="F43" s="29">
        <f>C43+D43</f>
        <v>1140475183</v>
      </c>
      <c r="H43" s="17"/>
      <c r="I43" s="17"/>
      <c r="K43" s="17"/>
    </row>
    <row r="44" spans="1:11" x14ac:dyDescent="0.2">
      <c r="A44" s="12" t="s">
        <v>42</v>
      </c>
      <c r="B44" s="13" t="s">
        <v>81</v>
      </c>
      <c r="C44" s="27">
        <v>2308615677</v>
      </c>
      <c r="D44" s="28">
        <v>463086060</v>
      </c>
      <c r="E44" s="27">
        <v>8934773</v>
      </c>
      <c r="F44" s="29">
        <v>2780636510</v>
      </c>
      <c r="I44" s="17"/>
      <c r="K44" s="17"/>
    </row>
    <row r="45" spans="1:11" x14ac:dyDescent="0.2">
      <c r="A45" s="12" t="s">
        <v>43</v>
      </c>
      <c r="B45" s="13" t="s">
        <v>81</v>
      </c>
      <c r="C45" s="27">
        <v>103474800388</v>
      </c>
      <c r="D45" s="28">
        <v>5516783645</v>
      </c>
      <c r="E45" s="27">
        <v>9161199</v>
      </c>
      <c r="F45" s="29">
        <v>109000745232</v>
      </c>
      <c r="I45" s="17"/>
      <c r="K45" s="17"/>
    </row>
    <row r="46" spans="1:11" x14ac:dyDescent="0.2">
      <c r="A46" s="12" t="s">
        <v>44</v>
      </c>
      <c r="B46" s="13" t="s">
        <v>81</v>
      </c>
      <c r="C46" s="27">
        <v>67705579905</v>
      </c>
      <c r="D46" s="28">
        <v>3335938535</v>
      </c>
      <c r="E46" s="27">
        <v>29711175</v>
      </c>
      <c r="F46" s="29">
        <v>71071229615</v>
      </c>
      <c r="I46" s="17"/>
      <c r="K46" s="17"/>
    </row>
    <row r="47" spans="1:11" x14ac:dyDescent="0.2">
      <c r="A47" s="12" t="s">
        <v>45</v>
      </c>
      <c r="B47" s="13" t="s">
        <v>81</v>
      </c>
      <c r="C47" s="27">
        <v>58995492310</v>
      </c>
      <c r="D47" s="28">
        <v>4150521679</v>
      </c>
      <c r="E47" s="27">
        <v>97624340</v>
      </c>
      <c r="F47" s="29">
        <v>63243638329</v>
      </c>
      <c r="I47" s="17"/>
      <c r="K47" s="17"/>
    </row>
    <row r="48" spans="1:11" x14ac:dyDescent="0.2">
      <c r="A48" s="12" t="s">
        <v>46</v>
      </c>
      <c r="B48" s="13" t="s">
        <v>81</v>
      </c>
      <c r="C48" s="27">
        <v>72303968731</v>
      </c>
      <c r="D48" s="28">
        <v>1176483660</v>
      </c>
      <c r="E48" s="27"/>
      <c r="F48" s="29">
        <v>73480452391</v>
      </c>
      <c r="I48" s="17"/>
      <c r="K48" s="17"/>
    </row>
    <row r="49" spans="1:11" x14ac:dyDescent="0.2">
      <c r="A49" s="12" t="s">
        <v>47</v>
      </c>
      <c r="B49" s="13" t="s">
        <v>81</v>
      </c>
      <c r="C49" s="27">
        <v>31338449395</v>
      </c>
      <c r="D49" s="28">
        <v>1942271074</v>
      </c>
      <c r="E49" s="27">
        <v>54180695</v>
      </c>
      <c r="F49" s="29">
        <v>33334901164</v>
      </c>
      <c r="I49" s="17"/>
      <c r="K49" s="17"/>
    </row>
    <row r="50" spans="1:11" x14ac:dyDescent="0.2">
      <c r="A50" s="12" t="s">
        <v>48</v>
      </c>
      <c r="B50" s="13" t="s">
        <v>81</v>
      </c>
      <c r="C50" s="27">
        <v>43237460069</v>
      </c>
      <c r="D50" s="28">
        <v>1807977198</v>
      </c>
      <c r="E50" s="27">
        <v>5393594</v>
      </c>
      <c r="F50" s="29">
        <v>45050830861</v>
      </c>
      <c r="I50" s="17"/>
      <c r="K50" s="17"/>
    </row>
    <row r="51" spans="1:11" x14ac:dyDescent="0.2">
      <c r="A51" s="12" t="s">
        <v>49</v>
      </c>
      <c r="B51" s="13" t="s">
        <v>81</v>
      </c>
      <c r="C51" s="27">
        <v>9473394902</v>
      </c>
      <c r="D51" s="28">
        <v>2412989266</v>
      </c>
      <c r="E51" s="27">
        <v>13160492</v>
      </c>
      <c r="F51" s="29">
        <v>11899544660</v>
      </c>
      <c r="I51" s="17"/>
      <c r="K51" s="17"/>
    </row>
    <row r="52" spans="1:11" x14ac:dyDescent="0.2">
      <c r="A52" s="12" t="s">
        <v>50</v>
      </c>
      <c r="B52" s="13" t="s">
        <v>81</v>
      </c>
      <c r="C52" s="27">
        <v>339759602594</v>
      </c>
      <c r="D52" s="28">
        <v>21518663972</v>
      </c>
      <c r="E52" s="27">
        <v>111107383</v>
      </c>
      <c r="F52" s="29">
        <v>361389373949</v>
      </c>
      <c r="I52" s="17"/>
      <c r="K52" s="17"/>
    </row>
    <row r="53" spans="1:11" x14ac:dyDescent="0.2">
      <c r="A53" s="12" t="s">
        <v>51</v>
      </c>
      <c r="B53" s="13" t="s">
        <v>81</v>
      </c>
      <c r="C53" s="27">
        <v>81325312758</v>
      </c>
      <c r="D53" s="28">
        <v>4549454337</v>
      </c>
      <c r="E53" s="27">
        <v>7385033</v>
      </c>
      <c r="F53" s="29">
        <v>85882152128</v>
      </c>
      <c r="I53" s="17"/>
      <c r="K53" s="17"/>
    </row>
    <row r="54" spans="1:11" x14ac:dyDescent="0.2">
      <c r="A54" s="12" t="s">
        <v>52</v>
      </c>
      <c r="B54" s="13" t="s">
        <v>81</v>
      </c>
      <c r="C54" s="27">
        <v>535116134411</v>
      </c>
      <c r="D54" s="28">
        <v>16594830602</v>
      </c>
      <c r="E54" s="27">
        <v>229609713</v>
      </c>
      <c r="F54" s="29">
        <v>551940574726</v>
      </c>
      <c r="I54" s="17"/>
      <c r="K54" s="17"/>
    </row>
    <row r="55" spans="1:11" x14ac:dyDescent="0.2">
      <c r="A55" s="12" t="s">
        <v>53</v>
      </c>
      <c r="B55" s="13" t="s">
        <v>81</v>
      </c>
      <c r="C55" s="27">
        <v>94853161378</v>
      </c>
      <c r="D55" s="28">
        <v>4231080415</v>
      </c>
      <c r="E55" s="27">
        <v>24753439</v>
      </c>
      <c r="F55" s="29">
        <v>99108995232</v>
      </c>
      <c r="I55" s="17"/>
      <c r="K55" s="17"/>
    </row>
    <row r="56" spans="1:11" x14ac:dyDescent="0.2">
      <c r="A56" s="12" t="s">
        <v>54</v>
      </c>
      <c r="B56" s="13" t="s">
        <v>81</v>
      </c>
      <c r="C56" s="27">
        <v>213206164721</v>
      </c>
      <c r="D56" s="28">
        <v>8154585071</v>
      </c>
      <c r="E56" s="27">
        <v>14433637</v>
      </c>
      <c r="F56" s="29">
        <v>221375183429</v>
      </c>
      <c r="I56" s="17"/>
      <c r="K56" s="17"/>
    </row>
    <row r="57" spans="1:11" x14ac:dyDescent="0.2">
      <c r="A57" s="12" t="s">
        <v>55</v>
      </c>
      <c r="B57" s="13" t="s">
        <v>81</v>
      </c>
      <c r="C57" s="27">
        <v>102791602492</v>
      </c>
      <c r="D57" s="28">
        <v>10122913589</v>
      </c>
      <c r="E57" s="27">
        <v>137411027</v>
      </c>
      <c r="F57" s="29">
        <v>113051927108</v>
      </c>
      <c r="I57" s="17"/>
      <c r="K57" s="17"/>
    </row>
    <row r="58" spans="1:11" x14ac:dyDescent="0.2">
      <c r="A58" s="12" t="s">
        <v>56</v>
      </c>
      <c r="B58" s="13" t="s">
        <v>81</v>
      </c>
      <c r="C58" s="27">
        <v>10194698004</v>
      </c>
      <c r="D58" s="28">
        <v>3789577838</v>
      </c>
      <c r="E58" s="27">
        <v>28130484</v>
      </c>
      <c r="F58" s="29">
        <v>14012406326</v>
      </c>
      <c r="I58" s="17"/>
      <c r="K58" s="17"/>
    </row>
    <row r="59" spans="1:11" x14ac:dyDescent="0.2">
      <c r="A59" s="12" t="s">
        <v>2</v>
      </c>
      <c r="B59" s="13" t="s">
        <v>81</v>
      </c>
      <c r="C59" s="27">
        <v>90378801877</v>
      </c>
      <c r="D59" s="28">
        <v>2455650280</v>
      </c>
      <c r="E59" s="27">
        <v>36549040</v>
      </c>
      <c r="F59" s="29">
        <v>92871001197</v>
      </c>
      <c r="I59" s="17"/>
      <c r="K59" s="17"/>
    </row>
    <row r="60" spans="1:11" x14ac:dyDescent="0.2">
      <c r="A60" s="12" t="s">
        <v>3</v>
      </c>
      <c r="B60" s="13" t="s">
        <v>81</v>
      </c>
      <c r="C60" s="27">
        <v>69428894254</v>
      </c>
      <c r="D60" s="28">
        <v>7488758544</v>
      </c>
      <c r="E60" s="27">
        <v>70927665</v>
      </c>
      <c r="F60" s="29">
        <v>76988580463</v>
      </c>
      <c r="I60" s="17"/>
      <c r="K60" s="17"/>
    </row>
    <row r="61" spans="1:11" x14ac:dyDescent="0.2">
      <c r="A61" s="12" t="s">
        <v>57</v>
      </c>
      <c r="B61" s="13" t="s">
        <v>81</v>
      </c>
      <c r="C61" s="27">
        <v>34051052924</v>
      </c>
      <c r="D61" s="28">
        <v>1261404937</v>
      </c>
      <c r="E61" s="27">
        <v>5103325</v>
      </c>
      <c r="F61" s="29">
        <v>35317561186</v>
      </c>
      <c r="I61" s="17"/>
      <c r="K61" s="17"/>
    </row>
    <row r="62" spans="1:11" x14ac:dyDescent="0.2">
      <c r="A62" s="12" t="s">
        <v>58</v>
      </c>
      <c r="B62" s="13" t="s">
        <v>81</v>
      </c>
      <c r="C62" s="27">
        <v>147405516400</v>
      </c>
      <c r="D62" s="28">
        <v>4402329481</v>
      </c>
      <c r="E62" s="27">
        <v>956732</v>
      </c>
      <c r="F62" s="29">
        <v>151808802613</v>
      </c>
      <c r="I62" s="17"/>
      <c r="K62" s="17"/>
    </row>
    <row r="63" spans="1:11" x14ac:dyDescent="0.2">
      <c r="A63" s="12" t="s">
        <v>59</v>
      </c>
      <c r="B63" s="13" t="s">
        <v>81</v>
      </c>
      <c r="C63" s="27">
        <v>88020033422</v>
      </c>
      <c r="D63" s="28">
        <v>3804560917</v>
      </c>
      <c r="E63" s="27">
        <v>13295524</v>
      </c>
      <c r="F63" s="29">
        <v>91837889863</v>
      </c>
      <c r="I63" s="17"/>
      <c r="K63" s="17"/>
    </row>
    <row r="64" spans="1:11" x14ac:dyDescent="0.2">
      <c r="A64" s="12" t="s">
        <v>60</v>
      </c>
      <c r="B64" s="13" t="s">
        <v>81</v>
      </c>
      <c r="C64" s="27">
        <v>35569194023</v>
      </c>
      <c r="D64" s="28">
        <v>1926059974</v>
      </c>
      <c r="E64" s="27">
        <v>18580645</v>
      </c>
      <c r="F64" s="29">
        <v>37513834642</v>
      </c>
      <c r="I64" s="17"/>
      <c r="K64" s="17"/>
    </row>
    <row r="65" spans="1:11" x14ac:dyDescent="0.2">
      <c r="A65" s="12" t="s">
        <v>61</v>
      </c>
      <c r="B65" s="13" t="s">
        <v>81</v>
      </c>
      <c r="C65" s="27">
        <v>4548252367</v>
      </c>
      <c r="D65" s="28">
        <v>1154832296</v>
      </c>
      <c r="E65" s="27">
        <v>5201296</v>
      </c>
      <c r="F65" s="29">
        <v>5708285959</v>
      </c>
      <c r="I65" s="17"/>
      <c r="K65" s="17"/>
    </row>
    <row r="66" spans="1:11" x14ac:dyDescent="0.2">
      <c r="A66" s="12" t="s">
        <v>62</v>
      </c>
      <c r="B66" s="13" t="s">
        <v>81</v>
      </c>
      <c r="C66" s="27">
        <v>2763475703</v>
      </c>
      <c r="D66" s="28">
        <v>451166015</v>
      </c>
      <c r="E66" s="27">
        <v>1896944</v>
      </c>
      <c r="F66" s="29">
        <v>3216538662</v>
      </c>
      <c r="I66" s="17"/>
      <c r="K66" s="17"/>
    </row>
    <row r="67" spans="1:11" x14ac:dyDescent="0.2">
      <c r="A67" s="12" t="s">
        <v>63</v>
      </c>
      <c r="B67" s="13" t="s">
        <v>81</v>
      </c>
      <c r="C67" s="27">
        <v>1107058160</v>
      </c>
      <c r="D67" s="28">
        <v>107948966</v>
      </c>
      <c r="E67" s="27"/>
      <c r="F67" s="29">
        <v>1215007126</v>
      </c>
      <c r="I67" s="17"/>
      <c r="K67" s="17"/>
    </row>
    <row r="68" spans="1:11" x14ac:dyDescent="0.2">
      <c r="A68" s="12" t="s">
        <v>64</v>
      </c>
      <c r="B68" s="13" t="s">
        <v>81</v>
      </c>
      <c r="C68" s="27">
        <v>104077543530</v>
      </c>
      <c r="D68" s="28">
        <v>5863710826</v>
      </c>
      <c r="E68" s="27">
        <v>70075854</v>
      </c>
      <c r="F68" s="29">
        <v>110011330210</v>
      </c>
      <c r="I68" s="17"/>
      <c r="K68" s="17"/>
    </row>
    <row r="69" spans="1:11" x14ac:dyDescent="0.2">
      <c r="A69" s="12" t="s">
        <v>65</v>
      </c>
      <c r="B69" s="13" t="s">
        <v>81</v>
      </c>
      <c r="C69" s="27">
        <v>4734574715</v>
      </c>
      <c r="D69" s="28">
        <v>249522982</v>
      </c>
      <c r="E69" s="27"/>
      <c r="F69" s="29">
        <v>4984097697</v>
      </c>
      <c r="I69" s="17"/>
      <c r="K69" s="17"/>
    </row>
    <row r="70" spans="1:11" x14ac:dyDescent="0.2">
      <c r="A70" s="12" t="s">
        <v>66</v>
      </c>
      <c r="B70" s="13" t="s">
        <v>81</v>
      </c>
      <c r="C70" s="27">
        <v>60454950293</v>
      </c>
      <c r="D70" s="28">
        <v>1481668354</v>
      </c>
      <c r="E70" s="27">
        <v>4403651</v>
      </c>
      <c r="F70" s="29">
        <v>61941022298</v>
      </c>
      <c r="I70" s="17"/>
      <c r="K70" s="17"/>
    </row>
    <row r="71" spans="1:11" x14ac:dyDescent="0.2">
      <c r="A71" s="12" t="s">
        <v>67</v>
      </c>
      <c r="B71" s="13" t="s">
        <v>81</v>
      </c>
      <c r="C71" s="30">
        <v>2721836252</v>
      </c>
      <c r="D71" s="28">
        <v>378513165</v>
      </c>
      <c r="E71" s="30">
        <v>2613253</v>
      </c>
      <c r="F71" s="29">
        <v>3102962670</v>
      </c>
      <c r="I71" s="17"/>
      <c r="K71" s="17"/>
    </row>
    <row r="72" spans="1:11" x14ac:dyDescent="0.2">
      <c r="A72" s="12"/>
      <c r="B72" s="13"/>
      <c r="C72" s="31"/>
      <c r="D72" s="31"/>
      <c r="E72" s="32"/>
      <c r="F72" s="29"/>
      <c r="I72" s="17"/>
      <c r="K72" s="17"/>
    </row>
    <row r="73" spans="1:11" ht="15.75" thickBot="1" x14ac:dyDescent="0.3">
      <c r="A73" s="21" t="s">
        <v>68</v>
      </c>
      <c r="B73" s="22"/>
      <c r="C73" s="23">
        <f>SUM(C5:C71)</f>
        <v>5232066392772</v>
      </c>
      <c r="D73" s="23">
        <f>SUM(D5:D71)</f>
        <v>262826445626</v>
      </c>
      <c r="E73" s="23">
        <f>SUM(E5:E71)</f>
        <v>2237506624</v>
      </c>
      <c r="F73" s="25">
        <f>SUM(F5:F71)</f>
        <v>5497130345022</v>
      </c>
      <c r="I73" s="17"/>
      <c r="K73" s="17"/>
    </row>
    <row r="74" spans="1:11" x14ac:dyDescent="0.2">
      <c r="I74" s="17"/>
      <c r="K74" s="17"/>
    </row>
    <row r="75" spans="1:11" x14ac:dyDescent="0.2">
      <c r="A75" s="26" t="s">
        <v>89</v>
      </c>
      <c r="F75" s="17"/>
    </row>
  </sheetData>
  <phoneticPr fontId="3" type="noConversion"/>
  <conditionalFormatting sqref="A75">
    <cfRule type="expression" dxfId="10" priority="1" stopIfTrue="1">
      <formula>MOD(ROW(),5)=1</formula>
    </cfRule>
  </conditionalFormatting>
  <conditionalFormatting sqref="A4:F73">
    <cfRule type="expression" dxfId="9" priority="2" stopIfTrue="1">
      <formula>MOD(ROW(),3)=1</formula>
    </cfRule>
  </conditionalFormatting>
  <pageMargins left="0.75" right="0.75" top="1" bottom="1" header="0.5" footer="0.5"/>
  <pageSetup scale="8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6"/>
  <sheetViews>
    <sheetView zoomScaleNormal="100" zoomScaleSheetLayoutView="100" workbookViewId="0">
      <pane ySplit="4" topLeftCell="A26" activePane="bottomLeft" state="frozen"/>
      <selection activeCell="B19" sqref="B19:H19"/>
      <selection pane="bottomLeft" activeCell="L32" sqref="L32"/>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9" width="9.140625" style="2"/>
    <col min="10" max="10" width="14.140625" style="2" bestFit="1" customWidth="1"/>
    <col min="11" max="16384" width="9.140625" style="2"/>
  </cols>
  <sheetData>
    <row r="1" spans="1:18" ht="23.25" x14ac:dyDescent="0.35">
      <c r="A1" s="7" t="s">
        <v>73</v>
      </c>
      <c r="B1" s="8"/>
      <c r="C1" s="9"/>
      <c r="D1" s="8"/>
      <c r="E1" s="9"/>
      <c r="F1" s="8"/>
      <c r="G1" s="9"/>
    </row>
    <row r="2" spans="1:18" ht="15" x14ac:dyDescent="0.25">
      <c r="A2" s="10" t="s">
        <v>90</v>
      </c>
      <c r="B2" s="10"/>
      <c r="C2" s="10"/>
      <c r="D2" s="10"/>
      <c r="E2" s="10"/>
      <c r="F2" s="10"/>
      <c r="G2" s="10"/>
    </row>
    <row r="3" spans="1:18" s="40" customFormat="1" ht="15" thickBot="1" x14ac:dyDescent="0.25">
      <c r="B3" s="41"/>
      <c r="D3" s="41"/>
      <c r="F3" s="41"/>
    </row>
    <row r="4" spans="1:18" s="36" customFormat="1" ht="25.5" x14ac:dyDescent="0.2">
      <c r="A4" s="33" t="s">
        <v>0</v>
      </c>
      <c r="B4" s="34" t="s">
        <v>1</v>
      </c>
      <c r="C4" s="37" t="s">
        <v>91</v>
      </c>
      <c r="D4" s="37" t="s">
        <v>92</v>
      </c>
      <c r="E4" s="37" t="s">
        <v>83</v>
      </c>
      <c r="F4" s="37" t="s">
        <v>84</v>
      </c>
      <c r="G4" s="38" t="s">
        <v>82</v>
      </c>
    </row>
    <row r="5" spans="1:18" x14ac:dyDescent="0.2">
      <c r="A5" s="12" t="s">
        <v>4</v>
      </c>
      <c r="B5" s="13" t="str">
        <f>'Just Value All Property Types'!B5</f>
        <v>R-Prelim</v>
      </c>
      <c r="C5" s="14">
        <v>47693436108</v>
      </c>
      <c r="D5" s="15">
        <f>((C5-E5)/E5)</f>
        <v>1.3488901334441555E-2</v>
      </c>
      <c r="E5" s="14">
        <v>47058666400</v>
      </c>
      <c r="F5" s="15">
        <f>((E5-G5)/G5)</f>
        <v>5.3202433246127792E-2</v>
      </c>
      <c r="G5" s="16">
        <v>44681501784</v>
      </c>
    </row>
    <row r="6" spans="1:18" x14ac:dyDescent="0.2">
      <c r="A6" s="12" t="s">
        <v>5</v>
      </c>
      <c r="B6" s="13" t="str">
        <f>'Just Value All Property Types'!B6</f>
        <v>R-Prelim</v>
      </c>
      <c r="C6" s="14">
        <v>3556077399</v>
      </c>
      <c r="D6" s="15">
        <f t="shared" ref="D6:F69" si="0">((C6-E6)/E6)</f>
        <v>1.7665006217508814E-2</v>
      </c>
      <c r="E6" s="14">
        <v>3494349690</v>
      </c>
      <c r="F6" s="15">
        <f t="shared" si="0"/>
        <v>6.313541750001038E-2</v>
      </c>
      <c r="G6" s="16">
        <v>3286834050</v>
      </c>
    </row>
    <row r="7" spans="1:18" x14ac:dyDescent="0.2">
      <c r="A7" s="12" t="s">
        <v>6</v>
      </c>
      <c r="B7" s="13" t="str">
        <f>'Just Value All Property Types'!B7</f>
        <v>R-Prelim</v>
      </c>
      <c r="C7" s="14">
        <v>47146244117</v>
      </c>
      <c r="D7" s="15">
        <f t="shared" si="0"/>
        <v>3.5044820227979577E-2</v>
      </c>
      <c r="E7" s="14">
        <v>45549954162</v>
      </c>
      <c r="F7" s="15">
        <f t="shared" si="0"/>
        <v>4.223135877045199E-2</v>
      </c>
      <c r="G7" s="16">
        <v>43704263721</v>
      </c>
      <c r="R7" s="17"/>
    </row>
    <row r="8" spans="1:18" x14ac:dyDescent="0.2">
      <c r="A8" s="12" t="s">
        <v>7</v>
      </c>
      <c r="B8" s="13" t="str">
        <f>'Just Value All Property Types'!B8</f>
        <v>R-Prelim</v>
      </c>
      <c r="C8" s="14">
        <v>3085347521</v>
      </c>
      <c r="D8" s="15">
        <f t="shared" si="0"/>
        <v>2.9298033009695006E-2</v>
      </c>
      <c r="E8" s="14">
        <v>2997525908</v>
      </c>
      <c r="F8" s="15">
        <f t="shared" si="0"/>
        <v>7.4077743099629709E-2</v>
      </c>
      <c r="G8" s="16">
        <v>2790790450</v>
      </c>
      <c r="R8" s="17"/>
    </row>
    <row r="9" spans="1:18" x14ac:dyDescent="0.2">
      <c r="A9" s="12" t="s">
        <v>8</v>
      </c>
      <c r="B9" s="13" t="str">
        <f>'Just Value All Property Types'!B9</f>
        <v>R-Prelim</v>
      </c>
      <c r="C9" s="14">
        <v>130444018901</v>
      </c>
      <c r="D9" s="15">
        <f t="shared" si="0"/>
        <v>2.0801145463828493E-2</v>
      </c>
      <c r="E9" s="14">
        <v>127785925281</v>
      </c>
      <c r="F9" s="15">
        <f t="shared" si="0"/>
        <v>2.1643980047815401E-2</v>
      </c>
      <c r="G9" s="16">
        <v>125078723877</v>
      </c>
      <c r="R9" s="17"/>
    </row>
    <row r="10" spans="1:18" x14ac:dyDescent="0.2">
      <c r="A10" s="12" t="s">
        <v>9</v>
      </c>
      <c r="B10" s="13" t="str">
        <f>'Just Value All Property Types'!B10</f>
        <v>R-Prelim</v>
      </c>
      <c r="C10" s="14">
        <v>505557512495</v>
      </c>
      <c r="D10" s="15">
        <f t="shared" si="0"/>
        <v>2.0637230595611913E-2</v>
      </c>
      <c r="E10" s="14">
        <v>495335166443</v>
      </c>
      <c r="F10" s="15">
        <f t="shared" si="0"/>
        <v>8.743878056929312E-2</v>
      </c>
      <c r="G10" s="16">
        <v>455506254967</v>
      </c>
      <c r="R10" s="17"/>
    </row>
    <row r="11" spans="1:18" x14ac:dyDescent="0.2">
      <c r="A11" s="12" t="s">
        <v>10</v>
      </c>
      <c r="B11" s="13" t="str">
        <f>'Just Value All Property Types'!B11</f>
        <v>R-Prelim</v>
      </c>
      <c r="C11" s="14">
        <v>2081530949</v>
      </c>
      <c r="D11" s="15">
        <f t="shared" si="0"/>
        <v>0.27949513629392314</v>
      </c>
      <c r="E11" s="14">
        <v>1626837719</v>
      </c>
      <c r="F11" s="15">
        <f t="shared" si="0"/>
        <v>0.10654670580936135</v>
      </c>
      <c r="G11" s="16">
        <v>1470193450</v>
      </c>
      <c r="R11" s="17"/>
    </row>
    <row r="12" spans="1:18" x14ac:dyDescent="0.2">
      <c r="A12" s="12" t="s">
        <v>11</v>
      </c>
      <c r="B12" s="13" t="str">
        <f>'Just Value All Property Types'!B12</f>
        <v>R-Prelim</v>
      </c>
      <c r="C12" s="14">
        <v>50963179978</v>
      </c>
      <c r="D12" s="15">
        <f t="shared" si="0"/>
        <v>-1.7406580889618783E-2</v>
      </c>
      <c r="E12" s="14">
        <v>51865989520</v>
      </c>
      <c r="F12" s="15">
        <f t="shared" si="0"/>
        <v>-2.0986587431899753E-2</v>
      </c>
      <c r="G12" s="16">
        <v>52977813025</v>
      </c>
      <c r="R12" s="17"/>
    </row>
    <row r="13" spans="1:18" x14ac:dyDescent="0.2">
      <c r="A13" s="12" t="s">
        <v>12</v>
      </c>
      <c r="B13" s="13" t="str">
        <f>'Just Value All Property Types'!B13</f>
        <v>R-Prelim</v>
      </c>
      <c r="C13" s="14">
        <v>29790980376</v>
      </c>
      <c r="D13" s="15">
        <f t="shared" si="0"/>
        <v>2.6403543493003601E-2</v>
      </c>
      <c r="E13" s="14">
        <v>29024627365</v>
      </c>
      <c r="F13" s="15">
        <f t="shared" si="0"/>
        <v>2.9698592290230381E-2</v>
      </c>
      <c r="G13" s="16">
        <v>28187498344</v>
      </c>
      <c r="R13" s="17"/>
    </row>
    <row r="14" spans="1:18" x14ac:dyDescent="0.2">
      <c r="A14" s="12" t="s">
        <v>13</v>
      </c>
      <c r="B14" s="13" t="str">
        <f>'Just Value All Property Types'!B14</f>
        <v>R-Prelim</v>
      </c>
      <c r="C14" s="14">
        <v>35916701957</v>
      </c>
      <c r="D14" s="15">
        <f t="shared" si="0"/>
        <v>2.7774316985256675E-2</v>
      </c>
      <c r="E14" s="14">
        <v>34946097955</v>
      </c>
      <c r="F14" s="15">
        <f t="shared" si="0"/>
        <v>6.1101225905541595E-2</v>
      </c>
      <c r="G14" s="16">
        <v>32933802263</v>
      </c>
      <c r="R14" s="17"/>
    </row>
    <row r="15" spans="1:18" x14ac:dyDescent="0.2">
      <c r="A15" s="12" t="s">
        <v>14</v>
      </c>
      <c r="B15" s="13" t="str">
        <f>'Just Value All Property Types'!B15</f>
        <v>R-Prelim</v>
      </c>
      <c r="C15" s="14">
        <v>221614994809</v>
      </c>
      <c r="D15" s="15">
        <f t="shared" si="0"/>
        <v>-3.028239044069525E-2</v>
      </c>
      <c r="E15" s="14">
        <v>228535599049</v>
      </c>
      <c r="F15" s="15">
        <f t="shared" si="0"/>
        <v>2.6527425264800623E-2</v>
      </c>
      <c r="G15" s="16">
        <v>222629803573</v>
      </c>
      <c r="R15" s="17"/>
    </row>
    <row r="16" spans="1:18" x14ac:dyDescent="0.2">
      <c r="A16" s="12" t="s">
        <v>15</v>
      </c>
      <c r="B16" s="13" t="str">
        <f>'Just Value All Property Types'!B16</f>
        <v>R-Prelim</v>
      </c>
      <c r="C16" s="14">
        <v>9216872197</v>
      </c>
      <c r="D16" s="15">
        <f t="shared" si="0"/>
        <v>4.0590954249233258E-2</v>
      </c>
      <c r="E16" s="14">
        <v>8857344146</v>
      </c>
      <c r="F16" s="15">
        <f t="shared" si="0"/>
        <v>9.5475077215166584E-2</v>
      </c>
      <c r="G16" s="16">
        <v>8085390832</v>
      </c>
      <c r="R16" s="17"/>
    </row>
    <row r="17" spans="1:18" x14ac:dyDescent="0.2">
      <c r="A17" s="12" t="s">
        <v>78</v>
      </c>
      <c r="B17" s="13" t="str">
        <f>'Just Value All Property Types'!B17</f>
        <v>R-Prelim</v>
      </c>
      <c r="C17" s="14">
        <v>798884416678</v>
      </c>
      <c r="D17" s="15">
        <f t="shared" si="0"/>
        <v>3.4541470338060085E-2</v>
      </c>
      <c r="E17" s="14">
        <v>772211109543</v>
      </c>
      <c r="F17" s="15">
        <f t="shared" si="0"/>
        <v>3.2704353241549189E-2</v>
      </c>
      <c r="G17" s="16">
        <v>747756225796</v>
      </c>
      <c r="R17" s="17"/>
    </row>
    <row r="18" spans="1:18" x14ac:dyDescent="0.2">
      <c r="A18" s="12" t="s">
        <v>16</v>
      </c>
      <c r="B18" s="13" t="str">
        <f>'Just Value All Property Types'!B18</f>
        <v>R-Prelim</v>
      </c>
      <c r="C18" s="14">
        <v>6593137211</v>
      </c>
      <c r="D18" s="15">
        <f t="shared" si="0"/>
        <v>1.3325211106763565E-2</v>
      </c>
      <c r="E18" s="14">
        <v>6506437557</v>
      </c>
      <c r="F18" s="15">
        <f t="shared" si="0"/>
        <v>4.7048269685542203E-2</v>
      </c>
      <c r="G18" s="16">
        <v>6214076032</v>
      </c>
      <c r="R18" s="17"/>
    </row>
    <row r="19" spans="1:18" x14ac:dyDescent="0.2">
      <c r="A19" s="12" t="s">
        <v>17</v>
      </c>
      <c r="B19" s="13" t="str">
        <f>'Just Value All Property Types'!B19</f>
        <v>R-Prelim</v>
      </c>
      <c r="C19" s="14">
        <v>2001626943</v>
      </c>
      <c r="D19" s="15">
        <f t="shared" si="0"/>
        <v>2.349707233104429E-2</v>
      </c>
      <c r="E19" s="14">
        <v>1955674322</v>
      </c>
      <c r="F19" s="15">
        <f t="shared" si="0"/>
        <v>1.5250283726258963E-2</v>
      </c>
      <c r="G19" s="16">
        <v>1926297735</v>
      </c>
      <c r="R19" s="17"/>
    </row>
    <row r="20" spans="1:18" x14ac:dyDescent="0.2">
      <c r="A20" s="12" t="s">
        <v>18</v>
      </c>
      <c r="B20" s="13" t="str">
        <f>'Just Value All Property Types'!B20</f>
        <v>R-Prelim</v>
      </c>
      <c r="C20" s="14">
        <v>192544451211</v>
      </c>
      <c r="D20" s="15">
        <f t="shared" si="0"/>
        <v>5.0794614566345833E-2</v>
      </c>
      <c r="E20" s="14">
        <v>183236998498</v>
      </c>
      <c r="F20" s="15">
        <f t="shared" si="0"/>
        <v>5.3310422156336933E-2</v>
      </c>
      <c r="G20" s="16">
        <v>173962959678</v>
      </c>
      <c r="R20" s="17"/>
    </row>
    <row r="21" spans="1:18" x14ac:dyDescent="0.2">
      <c r="A21" s="12" t="s">
        <v>19</v>
      </c>
      <c r="B21" s="13" t="str">
        <f>'Just Value All Property Types'!B21</f>
        <v>R-Prelim</v>
      </c>
      <c r="C21" s="14">
        <v>55054783960</v>
      </c>
      <c r="D21" s="15">
        <f t="shared" si="0"/>
        <v>3.1781452328458554E-2</v>
      </c>
      <c r="E21" s="14">
        <v>53358958756</v>
      </c>
      <c r="F21" s="15">
        <f t="shared" si="0"/>
        <v>4.0248079940361878E-2</v>
      </c>
      <c r="G21" s="16">
        <v>51294455414</v>
      </c>
      <c r="R21" s="17"/>
    </row>
    <row r="22" spans="1:18" x14ac:dyDescent="0.2">
      <c r="A22" s="12" t="s">
        <v>20</v>
      </c>
      <c r="B22" s="13" t="str">
        <f>'Just Value All Property Types'!B22</f>
        <v>R-Prelim</v>
      </c>
      <c r="C22" s="14">
        <v>27848596941</v>
      </c>
      <c r="D22" s="15">
        <f t="shared" si="0"/>
        <v>-1.4189926332312679E-2</v>
      </c>
      <c r="E22" s="14">
        <v>28249454621</v>
      </c>
      <c r="F22" s="15">
        <f t="shared" si="0"/>
        <v>5.8260668046931544E-2</v>
      </c>
      <c r="G22" s="16">
        <v>26694230896</v>
      </c>
      <c r="R22" s="17"/>
    </row>
    <row r="23" spans="1:18" x14ac:dyDescent="0.2">
      <c r="A23" s="12" t="s">
        <v>21</v>
      </c>
      <c r="B23" s="13" t="str">
        <f>'Just Value All Property Types'!B23</f>
        <v>R-Prelim</v>
      </c>
      <c r="C23" s="14">
        <v>6249613361</v>
      </c>
      <c r="D23" s="15">
        <f t="shared" si="0"/>
        <v>1.4364257603726007E-2</v>
      </c>
      <c r="E23" s="14">
        <v>6161113539</v>
      </c>
      <c r="F23" s="15">
        <f t="shared" si="0"/>
        <v>1.005604943641984E-2</v>
      </c>
      <c r="G23" s="16">
        <v>6099773911</v>
      </c>
      <c r="R23" s="17"/>
    </row>
    <row r="24" spans="1:18" x14ac:dyDescent="0.2">
      <c r="A24" s="12" t="s">
        <v>22</v>
      </c>
      <c r="B24" s="13" t="str">
        <f>'Just Value All Property Types'!B24</f>
        <v>R-Prelim</v>
      </c>
      <c r="C24" s="14">
        <v>5530703433</v>
      </c>
      <c r="D24" s="15">
        <f t="shared" si="0"/>
        <v>9.4317151136015069E-3</v>
      </c>
      <c r="E24" s="14">
        <v>5479026813</v>
      </c>
      <c r="F24" s="15">
        <f t="shared" si="0"/>
        <v>6.0285482750719925E-2</v>
      </c>
      <c r="G24" s="16">
        <v>5167501491</v>
      </c>
      <c r="R24" s="17"/>
    </row>
    <row r="25" spans="1:18" x14ac:dyDescent="0.2">
      <c r="A25" s="12" t="s">
        <v>23</v>
      </c>
      <c r="B25" s="13" t="str">
        <f>'Just Value All Property Types'!B25</f>
        <v>R-Prelim</v>
      </c>
      <c r="C25" s="14">
        <v>3473175819</v>
      </c>
      <c r="D25" s="15">
        <f t="shared" si="0"/>
        <v>2.8940957045698896E-2</v>
      </c>
      <c r="E25" s="14">
        <v>3375486023</v>
      </c>
      <c r="F25" s="15">
        <f t="shared" si="0"/>
        <v>0.11337638972761474</v>
      </c>
      <c r="G25" s="16">
        <v>3031756425</v>
      </c>
      <c r="R25" s="17"/>
    </row>
    <row r="26" spans="1:18" x14ac:dyDescent="0.2">
      <c r="A26" s="12" t="s">
        <v>24</v>
      </c>
      <c r="B26" s="13" t="str">
        <f>'Just Value All Property Types'!B26</f>
        <v>R-Prelim</v>
      </c>
      <c r="C26" s="14">
        <v>6652383477</v>
      </c>
      <c r="D26" s="15">
        <f t="shared" si="0"/>
        <v>1.9660773128279681E-2</v>
      </c>
      <c r="E26" s="14">
        <v>6524114345</v>
      </c>
      <c r="F26" s="15">
        <f t="shared" si="0"/>
        <v>2.9671441712958345E-2</v>
      </c>
      <c r="G26" s="16">
        <v>6336112745</v>
      </c>
      <c r="R26" s="17"/>
    </row>
    <row r="27" spans="1:18" x14ac:dyDescent="0.2">
      <c r="A27" s="12" t="s">
        <v>25</v>
      </c>
      <c r="B27" s="13" t="str">
        <f>'Just Value All Property Types'!B27</f>
        <v>R-Prelim</v>
      </c>
      <c r="C27" s="14">
        <v>7320295196</v>
      </c>
      <c r="D27" s="15">
        <f t="shared" si="0"/>
        <v>3.8691418360619075E-2</v>
      </c>
      <c r="E27" s="14">
        <v>7047613051</v>
      </c>
      <c r="F27" s="15">
        <f t="shared" si="0"/>
        <v>5.0040883548283475E-2</v>
      </c>
      <c r="G27" s="16">
        <v>6711751096</v>
      </c>
      <c r="R27" s="17"/>
    </row>
    <row r="28" spans="1:18" x14ac:dyDescent="0.2">
      <c r="A28" s="12" t="s">
        <v>26</v>
      </c>
      <c r="B28" s="13" t="str">
        <f>'Just Value All Property Types'!B28</f>
        <v>R-Prelim</v>
      </c>
      <c r="C28" s="14">
        <v>2847616979</v>
      </c>
      <c r="D28" s="15">
        <f t="shared" si="0"/>
        <v>1.5876103487410805E-2</v>
      </c>
      <c r="E28" s="14">
        <v>2803114444</v>
      </c>
      <c r="F28" s="15">
        <f t="shared" si="0"/>
        <v>4.4431947566920385E-2</v>
      </c>
      <c r="G28" s="16">
        <v>2683865091</v>
      </c>
      <c r="R28" s="17"/>
    </row>
    <row r="29" spans="1:18" x14ac:dyDescent="0.2">
      <c r="A29" s="12" t="s">
        <v>27</v>
      </c>
      <c r="B29" s="13" t="str">
        <f>'Just Value All Property Types'!B29</f>
        <v>R-Prelim</v>
      </c>
      <c r="C29" s="14">
        <v>6900618538</v>
      </c>
      <c r="D29" s="15">
        <f t="shared" si="0"/>
        <v>1.8771161965581009E-2</v>
      </c>
      <c r="E29" s="14">
        <v>6773472587</v>
      </c>
      <c r="F29" s="15">
        <f t="shared" si="0"/>
        <v>0.14353283562825991</v>
      </c>
      <c r="G29" s="16">
        <v>5923286482</v>
      </c>
      <c r="R29" s="17"/>
    </row>
    <row r="30" spans="1:18" x14ac:dyDescent="0.2">
      <c r="A30" s="12" t="s">
        <v>28</v>
      </c>
      <c r="B30" s="13" t="str">
        <f>'Just Value All Property Types'!B30</f>
        <v>R-Prelim</v>
      </c>
      <c r="C30" s="14">
        <v>11188501434</v>
      </c>
      <c r="D30" s="15">
        <f t="shared" si="0"/>
        <v>3.8839281318225158E-2</v>
      </c>
      <c r="E30" s="14">
        <v>10770194808</v>
      </c>
      <c r="F30" s="15">
        <f t="shared" si="0"/>
        <v>5.7207596094836638E-2</v>
      </c>
      <c r="G30" s="16">
        <v>10187398244</v>
      </c>
      <c r="R30" s="17"/>
    </row>
    <row r="31" spans="1:18" x14ac:dyDescent="0.2">
      <c r="A31" s="12" t="s">
        <v>29</v>
      </c>
      <c r="B31" s="13" t="str">
        <f>'Just Value All Property Types'!B31</f>
        <v>R-Prelim</v>
      </c>
      <c r="C31" s="14">
        <v>34202985085</v>
      </c>
      <c r="D31" s="15">
        <f t="shared" si="0"/>
        <v>-3.5264840059086127E-4</v>
      </c>
      <c r="E31" s="14">
        <v>34215050968</v>
      </c>
      <c r="F31" s="15">
        <f t="shared" si="0"/>
        <v>4.6369650002933874E-2</v>
      </c>
      <c r="G31" s="16">
        <v>32698818212</v>
      </c>
      <c r="R31" s="17"/>
    </row>
    <row r="32" spans="1:18" x14ac:dyDescent="0.2">
      <c r="A32" s="12" t="s">
        <v>30</v>
      </c>
      <c r="B32" s="13" t="str">
        <f>'Just Value All Property Types'!B32</f>
        <v>R-Prelim</v>
      </c>
      <c r="C32" s="14">
        <v>17851250743</v>
      </c>
      <c r="D32" s="15">
        <f t="shared" si="0"/>
        <v>1.4681897389037021E-2</v>
      </c>
      <c r="E32" s="14">
        <v>17592952815</v>
      </c>
      <c r="F32" s="15">
        <f t="shared" si="0"/>
        <v>5.2863518740542639E-2</v>
      </c>
      <c r="G32" s="16">
        <v>16709623329</v>
      </c>
      <c r="R32" s="17"/>
    </row>
    <row r="33" spans="1:18" x14ac:dyDescent="0.2">
      <c r="A33" s="12" t="s">
        <v>31</v>
      </c>
      <c r="B33" s="13" t="str">
        <f>'Just Value All Property Types'!B33</f>
        <v>R-Prelim</v>
      </c>
      <c r="C33" s="14">
        <v>279890135159</v>
      </c>
      <c r="D33" s="15">
        <f t="shared" si="0"/>
        <v>1.3972376621315886E-2</v>
      </c>
      <c r="E33" s="14">
        <v>276033294015</v>
      </c>
      <c r="F33" s="15">
        <f t="shared" si="0"/>
        <v>2.1923022002720921E-2</v>
      </c>
      <c r="G33" s="16">
        <v>270111630790</v>
      </c>
      <c r="R33" s="17"/>
    </row>
    <row r="34" spans="1:18" x14ac:dyDescent="0.2">
      <c r="A34" s="12" t="s">
        <v>32</v>
      </c>
      <c r="B34" s="13" t="str">
        <f>'Just Value All Property Types'!B34</f>
        <v>R-Prelim</v>
      </c>
      <c r="C34" s="14">
        <v>2140717378</v>
      </c>
      <c r="D34" s="15">
        <f t="shared" si="0"/>
        <v>0.10451068570122357</v>
      </c>
      <c r="E34" s="14">
        <v>1938159047</v>
      </c>
      <c r="F34" s="15">
        <f t="shared" si="0"/>
        <v>0.1911405195318622</v>
      </c>
      <c r="G34" s="16">
        <v>1627145593</v>
      </c>
      <c r="R34" s="17"/>
    </row>
    <row r="35" spans="1:18" x14ac:dyDescent="0.2">
      <c r="A35" s="12" t="s">
        <v>33</v>
      </c>
      <c r="B35" s="13" t="str">
        <f>'Just Value All Property Types'!B35</f>
        <v>R-Prelim</v>
      </c>
      <c r="C35" s="14">
        <v>51999638386</v>
      </c>
      <c r="D35" s="15">
        <f t="shared" si="0"/>
        <v>2.8610193486719285E-2</v>
      </c>
      <c r="E35" s="14">
        <v>50553298728</v>
      </c>
      <c r="F35" s="15">
        <f t="shared" si="0"/>
        <v>3.9827381827147283E-2</v>
      </c>
      <c r="G35" s="16">
        <v>48617010488</v>
      </c>
      <c r="R35" s="17"/>
    </row>
    <row r="36" spans="1:18" x14ac:dyDescent="0.2">
      <c r="A36" s="12" t="s">
        <v>34</v>
      </c>
      <c r="B36" s="13" t="str">
        <f>'Just Value All Property Types'!B36</f>
        <v>R-Prelim</v>
      </c>
      <c r="C36" s="14">
        <v>5157096014</v>
      </c>
      <c r="D36" s="15">
        <f t="shared" si="0"/>
        <v>7.2489489168036728E-2</v>
      </c>
      <c r="E36" s="14">
        <v>4808528257</v>
      </c>
      <c r="F36" s="15">
        <f t="shared" si="0"/>
        <v>3.2979324523345441E-2</v>
      </c>
      <c r="G36" s="16">
        <v>4655009198</v>
      </c>
      <c r="R36" s="17"/>
    </row>
    <row r="37" spans="1:18" x14ac:dyDescent="0.2">
      <c r="A37" s="12" t="s">
        <v>35</v>
      </c>
      <c r="B37" s="13" t="str">
        <f>'Just Value All Property Types'!B37</f>
        <v>R-Prelim</v>
      </c>
      <c r="C37" s="14">
        <v>2887059523</v>
      </c>
      <c r="D37" s="15">
        <f t="shared" si="0"/>
        <v>2.5165235580890885E-2</v>
      </c>
      <c r="E37" s="14">
        <v>2816189452</v>
      </c>
      <c r="F37" s="15">
        <f t="shared" si="0"/>
        <v>4.6119641280078449E-2</v>
      </c>
      <c r="G37" s="16">
        <v>2692033818</v>
      </c>
      <c r="R37" s="17"/>
    </row>
    <row r="38" spans="1:18" x14ac:dyDescent="0.2">
      <c r="A38" s="12" t="s">
        <v>36</v>
      </c>
      <c r="B38" s="13" t="str">
        <f>'Just Value All Property Types'!B38</f>
        <v>R-Prelim</v>
      </c>
      <c r="C38" s="14">
        <v>1198639228</v>
      </c>
      <c r="D38" s="15">
        <f t="shared" si="0"/>
        <v>7.8139906788168109E-2</v>
      </c>
      <c r="E38" s="14">
        <v>1111765941</v>
      </c>
      <c r="F38" s="15">
        <f t="shared" si="0"/>
        <v>5.5111141564773106E-2</v>
      </c>
      <c r="G38" s="16">
        <v>1053695575</v>
      </c>
      <c r="R38" s="17"/>
    </row>
    <row r="39" spans="1:18" x14ac:dyDescent="0.2">
      <c r="A39" s="12" t="s">
        <v>37</v>
      </c>
      <c r="B39" s="13" t="str">
        <f>'Just Value All Property Types'!B39</f>
        <v>R-Prelim</v>
      </c>
      <c r="C39" s="14">
        <v>73667450422</v>
      </c>
      <c r="D39" s="15">
        <f t="shared" si="0"/>
        <v>6.036633450233047E-2</v>
      </c>
      <c r="E39" s="14">
        <v>69473584765</v>
      </c>
      <c r="F39" s="15">
        <f t="shared" si="0"/>
        <v>7.5684344457908392E-2</v>
      </c>
      <c r="G39" s="16">
        <v>64585475398</v>
      </c>
      <c r="R39" s="17"/>
    </row>
    <row r="40" spans="1:18" x14ac:dyDescent="0.2">
      <c r="A40" s="12" t="s">
        <v>38</v>
      </c>
      <c r="B40" s="13" t="str">
        <f>'Just Value All Property Types'!B40</f>
        <v>R-Prelim</v>
      </c>
      <c r="C40" s="14">
        <v>217727315012</v>
      </c>
      <c r="D40" s="15">
        <f t="shared" si="0"/>
        <v>-9.5614258317055657E-3</v>
      </c>
      <c r="E40" s="14">
        <v>219829195561</v>
      </c>
      <c r="F40" s="15">
        <f t="shared" si="0"/>
        <v>1.6414102567548574E-3</v>
      </c>
      <c r="G40" s="16">
        <v>219468956964</v>
      </c>
      <c r="R40" s="17"/>
    </row>
    <row r="41" spans="1:18" x14ac:dyDescent="0.2">
      <c r="A41" s="12" t="s">
        <v>39</v>
      </c>
      <c r="B41" s="13" t="str">
        <f>'Just Value All Property Types'!B41</f>
        <v>R-Prelim</v>
      </c>
      <c r="C41" s="14">
        <v>47147863774</v>
      </c>
      <c r="D41" s="15">
        <f t="shared" si="0"/>
        <v>3.195205165141788E-2</v>
      </c>
      <c r="E41" s="14">
        <v>45688037248</v>
      </c>
      <c r="F41" s="15">
        <f t="shared" si="0"/>
        <v>5.4339308415069093E-2</v>
      </c>
      <c r="G41" s="16">
        <v>43333333855</v>
      </c>
      <c r="R41" s="17"/>
    </row>
    <row r="42" spans="1:18" x14ac:dyDescent="0.2">
      <c r="A42" s="12" t="s">
        <v>40</v>
      </c>
      <c r="B42" s="13" t="str">
        <f>'Just Value All Property Types'!B42</f>
        <v>R-Prelim</v>
      </c>
      <c r="C42" s="14">
        <v>8823394881</v>
      </c>
      <c r="D42" s="15">
        <f t="shared" si="0"/>
        <v>5.6153431330511594E-2</v>
      </c>
      <c r="E42" s="14">
        <v>8354273744</v>
      </c>
      <c r="F42" s="15">
        <f t="shared" si="0"/>
        <v>7.3323085985263006E-2</v>
      </c>
      <c r="G42" s="16">
        <v>7783559166</v>
      </c>
      <c r="R42" s="17"/>
    </row>
    <row r="43" spans="1:18" x14ac:dyDescent="0.2">
      <c r="A43" s="12" t="s">
        <v>41</v>
      </c>
      <c r="B43" s="13" t="str">
        <f>'Just Value All Property Types'!B43</f>
        <v>R-Prelim</v>
      </c>
      <c r="C43" s="14">
        <v>1140475183</v>
      </c>
      <c r="D43" s="15">
        <f t="shared" si="0"/>
        <v>3.1282202498794452E-2</v>
      </c>
      <c r="E43" s="14">
        <v>1105880796</v>
      </c>
      <c r="F43" s="15">
        <f t="shared" si="0"/>
        <v>3.3522075803688815E-2</v>
      </c>
      <c r="G43" s="16">
        <v>1070011780</v>
      </c>
      <c r="R43" s="17"/>
    </row>
    <row r="44" spans="1:18" x14ac:dyDescent="0.2">
      <c r="A44" s="12" t="s">
        <v>42</v>
      </c>
      <c r="B44" s="13" t="str">
        <f>'Just Value All Property Types'!B44</f>
        <v>R-Prelim</v>
      </c>
      <c r="C44" s="14">
        <v>2780636510</v>
      </c>
      <c r="D44" s="15">
        <f t="shared" si="0"/>
        <v>5.3753712368672782E-2</v>
      </c>
      <c r="E44" s="14">
        <v>2638791662</v>
      </c>
      <c r="F44" s="15">
        <f t="shared" si="0"/>
        <v>3.7903643808839635E-2</v>
      </c>
      <c r="G44" s="16">
        <v>2542424509</v>
      </c>
      <c r="R44" s="17"/>
    </row>
    <row r="45" spans="1:18" x14ac:dyDescent="0.2">
      <c r="A45" s="12" t="s">
        <v>43</v>
      </c>
      <c r="B45" s="13" t="str">
        <f>'Just Value All Property Types'!B45</f>
        <v>R-Prelim</v>
      </c>
      <c r="C45" s="14">
        <v>109000745232</v>
      </c>
      <c r="D45" s="15">
        <f t="shared" si="0"/>
        <v>3.7527478325233503E-2</v>
      </c>
      <c r="E45" s="14">
        <v>105058176780</v>
      </c>
      <c r="F45" s="15">
        <f t="shared" si="0"/>
        <v>-1.6596609328907632E-2</v>
      </c>
      <c r="G45" s="16">
        <v>106831212681</v>
      </c>
      <c r="R45" s="17"/>
    </row>
    <row r="46" spans="1:18" x14ac:dyDescent="0.2">
      <c r="A46" s="12" t="s">
        <v>44</v>
      </c>
      <c r="B46" s="13" t="str">
        <f>'Just Value All Property Types'!B46</f>
        <v>R-Prelim</v>
      </c>
      <c r="C46" s="14">
        <v>71071229615</v>
      </c>
      <c r="D46" s="15">
        <f t="shared" si="0"/>
        <v>6.7055130945610525E-2</v>
      </c>
      <c r="E46" s="14">
        <v>66605021197</v>
      </c>
      <c r="F46" s="15">
        <f t="shared" si="0"/>
        <v>7.8953832246779473E-2</v>
      </c>
      <c r="G46" s="16">
        <v>61731113238</v>
      </c>
      <c r="R46" s="17"/>
    </row>
    <row r="47" spans="1:18" x14ac:dyDescent="0.2">
      <c r="A47" s="12" t="s">
        <v>45</v>
      </c>
      <c r="B47" s="13" t="str">
        <f>'Just Value All Property Types'!B47</f>
        <v>R-Prelim</v>
      </c>
      <c r="C47" s="14">
        <v>63243638329</v>
      </c>
      <c r="D47" s="15">
        <f t="shared" si="0"/>
        <v>2.6753094303183775E-2</v>
      </c>
      <c r="E47" s="14">
        <v>61595761123</v>
      </c>
      <c r="F47" s="15">
        <f t="shared" si="0"/>
        <v>8.2439207854825017E-2</v>
      </c>
      <c r="G47" s="16">
        <v>56904591663</v>
      </c>
      <c r="R47" s="17"/>
    </row>
    <row r="48" spans="1:18" x14ac:dyDescent="0.2">
      <c r="A48" s="12" t="s">
        <v>46</v>
      </c>
      <c r="B48" s="13" t="str">
        <f>'Just Value All Property Types'!B48</f>
        <v>R-Prelim</v>
      </c>
      <c r="C48" s="14">
        <v>73480452391</v>
      </c>
      <c r="D48" s="15">
        <f t="shared" si="0"/>
        <v>5.7933307281552038E-3</v>
      </c>
      <c r="E48" s="14">
        <v>73057207824</v>
      </c>
      <c r="F48" s="15">
        <f t="shared" si="0"/>
        <v>2.035839268414788E-2</v>
      </c>
      <c r="G48" s="16">
        <v>71599555948</v>
      </c>
      <c r="R48" s="17"/>
    </row>
    <row r="49" spans="1:18" x14ac:dyDescent="0.2">
      <c r="A49" s="12" t="s">
        <v>47</v>
      </c>
      <c r="B49" s="13" t="str">
        <f>'Just Value All Property Types'!B49</f>
        <v>R-Prelim</v>
      </c>
      <c r="C49" s="14">
        <v>33334901164</v>
      </c>
      <c r="D49" s="15">
        <f t="shared" si="0"/>
        <v>8.2808572104166811E-2</v>
      </c>
      <c r="E49" s="14">
        <v>30785590383</v>
      </c>
      <c r="F49" s="15">
        <f t="shared" si="0"/>
        <v>9.7812997474261767E-2</v>
      </c>
      <c r="G49" s="16">
        <v>28042654308</v>
      </c>
      <c r="R49" s="17"/>
    </row>
    <row r="50" spans="1:18" x14ac:dyDescent="0.2">
      <c r="A50" s="12" t="s">
        <v>48</v>
      </c>
      <c r="B50" s="13" t="str">
        <f>'Just Value All Property Types'!B50</f>
        <v>R-Prelim</v>
      </c>
      <c r="C50" s="14">
        <v>45050830861</v>
      </c>
      <c r="D50" s="15">
        <f t="shared" si="0"/>
        <v>4.012161967971474E-3</v>
      </c>
      <c r="E50" s="14">
        <v>44870801936</v>
      </c>
      <c r="F50" s="15">
        <f t="shared" si="0"/>
        <v>4.0763882290785314E-2</v>
      </c>
      <c r="G50" s="16">
        <v>43113335022</v>
      </c>
      <c r="R50" s="17"/>
    </row>
    <row r="51" spans="1:18" x14ac:dyDescent="0.2">
      <c r="A51" s="12" t="s">
        <v>49</v>
      </c>
      <c r="B51" s="13" t="str">
        <f>'Just Value All Property Types'!B51</f>
        <v>R-Prelim</v>
      </c>
      <c r="C51" s="14">
        <v>11899544660</v>
      </c>
      <c r="D51" s="15">
        <f t="shared" si="0"/>
        <v>7.2506895382059178E-2</v>
      </c>
      <c r="E51" s="14">
        <v>11095075203</v>
      </c>
      <c r="F51" s="15">
        <f t="shared" si="0"/>
        <v>0.12279098718202425</v>
      </c>
      <c r="G51" s="16">
        <v>9881692434</v>
      </c>
      <c r="R51" s="17"/>
    </row>
    <row r="52" spans="1:18" x14ac:dyDescent="0.2">
      <c r="A52" s="12" t="s">
        <v>50</v>
      </c>
      <c r="B52" s="13" t="str">
        <f>'Just Value All Property Types'!B52</f>
        <v>R-Prelim</v>
      </c>
      <c r="C52" s="14">
        <v>361389373949</v>
      </c>
      <c r="D52" s="15">
        <f t="shared" si="0"/>
        <v>3.3548353988245211E-2</v>
      </c>
      <c r="E52" s="14">
        <v>349658893611</v>
      </c>
      <c r="F52" s="15">
        <f t="shared" si="0"/>
        <v>5.4834167116084249E-2</v>
      </c>
      <c r="G52" s="16">
        <v>331482335813</v>
      </c>
      <c r="R52" s="17"/>
    </row>
    <row r="53" spans="1:18" x14ac:dyDescent="0.2">
      <c r="A53" s="12" t="s">
        <v>51</v>
      </c>
      <c r="B53" s="13" t="str">
        <f>'Just Value All Property Types'!B53</f>
        <v>R-Prelim</v>
      </c>
      <c r="C53" s="14">
        <v>85882152128</v>
      </c>
      <c r="D53" s="15">
        <f t="shared" si="0"/>
        <v>2.6296137534493964E-2</v>
      </c>
      <c r="E53" s="14">
        <v>83681648003</v>
      </c>
      <c r="F53" s="15">
        <f t="shared" si="0"/>
        <v>4.5347613462998135E-2</v>
      </c>
      <c r="G53" s="16">
        <v>80051503371</v>
      </c>
      <c r="R53" s="17"/>
    </row>
    <row r="54" spans="1:18" x14ac:dyDescent="0.2">
      <c r="A54" s="12" t="s">
        <v>52</v>
      </c>
      <c r="B54" s="13" t="str">
        <f>'Just Value All Property Types'!B54</f>
        <v>R-Prelim</v>
      </c>
      <c r="C54" s="14">
        <v>551940574726</v>
      </c>
      <c r="D54" s="15">
        <f t="shared" si="0"/>
        <v>4.3862335028187406E-2</v>
      </c>
      <c r="E54" s="14">
        <v>528748433778</v>
      </c>
      <c r="F54" s="15">
        <f t="shared" si="0"/>
        <v>2.9998081000283987E-2</v>
      </c>
      <c r="G54" s="16">
        <v>513348950383</v>
      </c>
      <c r="R54" s="17"/>
    </row>
    <row r="55" spans="1:18" x14ac:dyDescent="0.2">
      <c r="A55" s="12" t="s">
        <v>53</v>
      </c>
      <c r="B55" s="13" t="str">
        <f>'Just Value All Property Types'!B55</f>
        <v>R-Prelim</v>
      </c>
      <c r="C55" s="14">
        <v>99108995232</v>
      </c>
      <c r="D55" s="15">
        <f t="shared" si="0"/>
        <v>2.3943397862734882E-2</v>
      </c>
      <c r="E55" s="14">
        <v>96791478356</v>
      </c>
      <c r="F55" s="15">
        <f t="shared" si="0"/>
        <v>4.7769448041139924E-2</v>
      </c>
      <c r="G55" s="16">
        <v>92378603458</v>
      </c>
      <c r="R55" s="17"/>
    </row>
    <row r="56" spans="1:18" x14ac:dyDescent="0.2">
      <c r="A56" s="12" t="s">
        <v>54</v>
      </c>
      <c r="B56" s="13" t="str">
        <f>'Just Value All Property Types'!B56</f>
        <v>R-Prelim</v>
      </c>
      <c r="C56" s="14">
        <v>221375183429</v>
      </c>
      <c r="D56" s="15">
        <f t="shared" si="0"/>
        <v>-2.3102083496607591E-2</v>
      </c>
      <c r="E56" s="14">
        <v>226610354766</v>
      </c>
      <c r="F56" s="15">
        <f t="shared" si="0"/>
        <v>-8.4868759481736399E-3</v>
      </c>
      <c r="G56" s="16">
        <v>228550030523</v>
      </c>
      <c r="R56" s="17"/>
    </row>
    <row r="57" spans="1:18" x14ac:dyDescent="0.2">
      <c r="A57" s="12" t="s">
        <v>55</v>
      </c>
      <c r="B57" s="13" t="str">
        <f>'Just Value All Property Types'!B57</f>
        <v>R-Prelim</v>
      </c>
      <c r="C57" s="14">
        <v>113051927108</v>
      </c>
      <c r="D57" s="15">
        <f t="shared" si="0"/>
        <v>1.776544337284023E-2</v>
      </c>
      <c r="E57" s="14">
        <v>111078567114</v>
      </c>
      <c r="F57" s="15">
        <f t="shared" si="0"/>
        <v>4.3740088337253701E-2</v>
      </c>
      <c r="G57" s="16">
        <v>106423589891</v>
      </c>
      <c r="R57" s="17"/>
    </row>
    <row r="58" spans="1:18" x14ac:dyDescent="0.2">
      <c r="A58" s="12" t="s">
        <v>56</v>
      </c>
      <c r="B58" s="13" t="str">
        <f>'Just Value All Property Types'!B58</f>
        <v>R-Prelim</v>
      </c>
      <c r="C58" s="14">
        <v>14012406326</v>
      </c>
      <c r="D58" s="15">
        <f t="shared" si="0"/>
        <v>2.6804540907504459E-2</v>
      </c>
      <c r="E58" s="14">
        <v>13646615074</v>
      </c>
      <c r="F58" s="15">
        <f t="shared" si="0"/>
        <v>5.5061060597118912E-4</v>
      </c>
      <c r="G58" s="16">
        <v>13639105238</v>
      </c>
      <c r="R58" s="17"/>
    </row>
    <row r="59" spans="1:18" x14ac:dyDescent="0.2">
      <c r="A59" s="12" t="s">
        <v>2</v>
      </c>
      <c r="B59" s="13" t="str">
        <f>'Just Value All Property Types'!B59</f>
        <v>R-Prelim</v>
      </c>
      <c r="C59" s="14">
        <v>92871001197</v>
      </c>
      <c r="D59" s="15">
        <f t="shared" si="0"/>
        <v>2.8337394600757276E-2</v>
      </c>
      <c r="E59" s="14">
        <v>90311800081</v>
      </c>
      <c r="F59" s="15">
        <f t="shared" si="0"/>
        <v>6.1549898742222782E-2</v>
      </c>
      <c r="G59" s="16">
        <v>85075416792</v>
      </c>
      <c r="R59" s="17"/>
    </row>
    <row r="60" spans="1:18" x14ac:dyDescent="0.2">
      <c r="A60" s="12" t="s">
        <v>3</v>
      </c>
      <c r="B60" s="13" t="str">
        <f>'Just Value All Property Types'!B60</f>
        <v>R-Prelim</v>
      </c>
      <c r="C60" s="14">
        <v>76988580463</v>
      </c>
      <c r="D60" s="15">
        <f t="shared" si="0"/>
        <v>3.6749651683766635E-2</v>
      </c>
      <c r="E60" s="14">
        <v>74259567233</v>
      </c>
      <c r="F60" s="15">
        <f t="shared" si="0"/>
        <v>5.2014636914203036E-2</v>
      </c>
      <c r="G60" s="16">
        <v>70587960117</v>
      </c>
      <c r="R60" s="17"/>
    </row>
    <row r="61" spans="1:18" x14ac:dyDescent="0.2">
      <c r="A61" s="12" t="s">
        <v>57</v>
      </c>
      <c r="B61" s="13" t="str">
        <f>'Just Value All Property Types'!B61</f>
        <v>R-Prelim</v>
      </c>
      <c r="C61" s="14">
        <v>35317561186</v>
      </c>
      <c r="D61" s="15">
        <f t="shared" si="0"/>
        <v>7.8918279729552038E-2</v>
      </c>
      <c r="E61" s="14">
        <v>32734231915</v>
      </c>
      <c r="F61" s="15">
        <f t="shared" si="0"/>
        <v>7.8458376785968564E-2</v>
      </c>
      <c r="G61" s="16">
        <v>30352800460</v>
      </c>
      <c r="R61" s="17"/>
    </row>
    <row r="62" spans="1:18" x14ac:dyDescent="0.2">
      <c r="A62" s="12" t="s">
        <v>58</v>
      </c>
      <c r="B62" s="13" t="str">
        <f>'Just Value All Property Types'!B62</f>
        <v>R-Prelim</v>
      </c>
      <c r="C62" s="14">
        <v>151808802613</v>
      </c>
      <c r="D62" s="15">
        <f t="shared" si="0"/>
        <v>-9.142645052025368E-3</v>
      </c>
      <c r="E62" s="14">
        <v>153209543084</v>
      </c>
      <c r="F62" s="15">
        <f t="shared" si="0"/>
        <v>-7.0298947485212494E-3</v>
      </c>
      <c r="G62" s="16">
        <v>154294215177</v>
      </c>
      <c r="R62" s="17"/>
    </row>
    <row r="63" spans="1:18" x14ac:dyDescent="0.2">
      <c r="A63" s="12" t="s">
        <v>59</v>
      </c>
      <c r="B63" s="13" t="str">
        <f>'Just Value All Property Types'!B63</f>
        <v>R-Prelim</v>
      </c>
      <c r="C63" s="14">
        <v>91837889863</v>
      </c>
      <c r="D63" s="15">
        <f t="shared" si="0"/>
        <v>5.2577749796144831E-2</v>
      </c>
      <c r="E63" s="14">
        <v>87250457157</v>
      </c>
      <c r="F63" s="15">
        <f t="shared" si="0"/>
        <v>4.3919349611972885E-2</v>
      </c>
      <c r="G63" s="16">
        <v>83579691467</v>
      </c>
      <c r="R63" s="17"/>
    </row>
    <row r="64" spans="1:18" x14ac:dyDescent="0.2">
      <c r="A64" s="12" t="s">
        <v>60</v>
      </c>
      <c r="B64" s="13" t="str">
        <f>'Just Value All Property Types'!B64</f>
        <v>R-Prelim</v>
      </c>
      <c r="C64" s="14">
        <v>37513834642</v>
      </c>
      <c r="D64" s="15">
        <f t="shared" si="0"/>
        <v>4.8405654677516056E-2</v>
      </c>
      <c r="E64" s="14">
        <v>35781793502</v>
      </c>
      <c r="F64" s="15">
        <f t="shared" si="0"/>
        <v>8.863876184296797E-2</v>
      </c>
      <c r="G64" s="16">
        <v>32868380914</v>
      </c>
      <c r="R64" s="17"/>
    </row>
    <row r="65" spans="1:18" x14ac:dyDescent="0.2">
      <c r="A65" s="12" t="s">
        <v>61</v>
      </c>
      <c r="B65" s="13" t="str">
        <f>'Just Value All Property Types'!B65</f>
        <v>R-Prelim</v>
      </c>
      <c r="C65" s="14">
        <v>5708285959</v>
      </c>
      <c r="D65" s="15">
        <f t="shared" si="0"/>
        <v>4.6675876592354802E-2</v>
      </c>
      <c r="E65" s="14">
        <v>5453728405</v>
      </c>
      <c r="F65" s="15">
        <f t="shared" si="0"/>
        <v>8.9073780673009584E-2</v>
      </c>
      <c r="G65" s="16">
        <v>5007675790</v>
      </c>
      <c r="R65" s="17"/>
    </row>
    <row r="66" spans="1:18" x14ac:dyDescent="0.2">
      <c r="A66" s="12" t="s">
        <v>62</v>
      </c>
      <c r="B66" s="13" t="str">
        <f>'Just Value All Property Types'!B66</f>
        <v>R-Prelim</v>
      </c>
      <c r="C66" s="14">
        <v>3216538662</v>
      </c>
      <c r="D66" s="15">
        <f t="shared" si="0"/>
        <v>-1.0665337157117363E-2</v>
      </c>
      <c r="E66" s="14">
        <v>3251213955</v>
      </c>
      <c r="F66" s="15">
        <f t="shared" si="0"/>
        <v>-0.13779455996204684</v>
      </c>
      <c r="G66" s="16">
        <v>3770811229</v>
      </c>
      <c r="R66" s="17"/>
    </row>
    <row r="67" spans="1:18" x14ac:dyDescent="0.2">
      <c r="A67" s="12" t="s">
        <v>63</v>
      </c>
      <c r="B67" s="13" t="str">
        <f>'Just Value All Property Types'!B67</f>
        <v>R-Prelim</v>
      </c>
      <c r="C67" s="14">
        <v>1215007126</v>
      </c>
      <c r="D67" s="15">
        <f t="shared" si="0"/>
        <v>3.4353433466325405E-2</v>
      </c>
      <c r="E67" s="14">
        <v>1174653737</v>
      </c>
      <c r="F67" s="15">
        <f t="shared" si="0"/>
        <v>7.1760530161974825E-2</v>
      </c>
      <c r="G67" s="16">
        <v>1096003915</v>
      </c>
      <c r="R67" s="17"/>
    </row>
    <row r="68" spans="1:18" x14ac:dyDescent="0.2">
      <c r="A68" s="12" t="s">
        <v>64</v>
      </c>
      <c r="B68" s="13" t="str">
        <f>'Just Value All Property Types'!B68</f>
        <v>R-Prelim</v>
      </c>
      <c r="C68" s="14">
        <v>110011330210</v>
      </c>
      <c r="D68" s="15">
        <f t="shared" si="0"/>
        <v>1.3966852089680824E-2</v>
      </c>
      <c r="E68" s="14">
        <v>108495982865</v>
      </c>
      <c r="F68" s="15">
        <f t="shared" si="0"/>
        <v>3.7878222199791908E-2</v>
      </c>
      <c r="G68" s="16">
        <v>104536332437</v>
      </c>
      <c r="R68" s="17"/>
    </row>
    <row r="69" spans="1:18" x14ac:dyDescent="0.2">
      <c r="A69" s="12" t="s">
        <v>65</v>
      </c>
      <c r="B69" s="13" t="str">
        <f>'Just Value All Property Types'!B69</f>
        <v>R-Prelim</v>
      </c>
      <c r="C69" s="14">
        <v>4984097697</v>
      </c>
      <c r="D69" s="15">
        <f t="shared" si="0"/>
        <v>1.0497966057294987E-2</v>
      </c>
      <c r="E69" s="14">
        <v>4932318386</v>
      </c>
      <c r="F69" s="15">
        <f t="shared" si="0"/>
        <v>7.9381421429326943E-2</v>
      </c>
      <c r="G69" s="16">
        <v>4569578731</v>
      </c>
      <c r="R69" s="17"/>
    </row>
    <row r="70" spans="1:18" x14ac:dyDescent="0.2">
      <c r="A70" s="12" t="s">
        <v>66</v>
      </c>
      <c r="B70" s="13" t="str">
        <f>'Just Value All Property Types'!B70</f>
        <v>R-Prelim</v>
      </c>
      <c r="C70" s="14">
        <v>61941022298</v>
      </c>
      <c r="D70" s="15">
        <f t="shared" ref="D70:F73" si="1">((C70-E70)/E70)</f>
        <v>1.0928303505330065E-2</v>
      </c>
      <c r="E70" s="14">
        <v>61271429520</v>
      </c>
      <c r="F70" s="15">
        <f t="shared" si="1"/>
        <v>5.5602456259783058E-2</v>
      </c>
      <c r="G70" s="16">
        <v>58044038413</v>
      </c>
      <c r="R70" s="17"/>
    </row>
    <row r="71" spans="1:18" x14ac:dyDescent="0.2">
      <c r="A71" s="12" t="s">
        <v>67</v>
      </c>
      <c r="B71" s="13" t="str">
        <f>'Just Value All Property Types'!B71</f>
        <v>R-Prelim</v>
      </c>
      <c r="C71" s="14">
        <v>3102962670</v>
      </c>
      <c r="D71" s="15">
        <f t="shared" si="1"/>
        <v>4.4936679682046711E-2</v>
      </c>
      <c r="E71" s="14">
        <v>2969522202</v>
      </c>
      <c r="F71" s="15">
        <f t="shared" si="1"/>
        <v>9.540100494114527E-2</v>
      </c>
      <c r="G71" s="16">
        <v>2710899651</v>
      </c>
      <c r="R71" s="17"/>
    </row>
    <row r="72" spans="1:18" x14ac:dyDescent="0.2">
      <c r="A72" s="18"/>
      <c r="B72" s="19"/>
      <c r="C72" s="14"/>
      <c r="D72" s="20"/>
      <c r="E72" s="14"/>
      <c r="F72" s="20"/>
      <c r="G72" s="16"/>
      <c r="R72" s="17"/>
    </row>
    <row r="73" spans="1:18" ht="15.75" thickBot="1" x14ac:dyDescent="0.3">
      <c r="A73" s="21" t="s">
        <v>68</v>
      </c>
      <c r="B73" s="22"/>
      <c r="C73" s="23">
        <f>SUM(C5:C71)</f>
        <v>5497130345022</v>
      </c>
      <c r="D73" s="24">
        <f t="shared" si="1"/>
        <v>2.3279783908752596E-2</v>
      </c>
      <c r="E73" s="23">
        <f>SUM(E5:E71)</f>
        <v>5372069722734</v>
      </c>
      <c r="F73" s="24">
        <f t="shared" si="1"/>
        <v>3.853397305833417E-2</v>
      </c>
      <c r="G73" s="25">
        <f>SUM(G5:G71)</f>
        <v>5172743369111</v>
      </c>
      <c r="R73" s="17"/>
    </row>
    <row r="74" spans="1:18" x14ac:dyDescent="0.2">
      <c r="R74" s="17"/>
    </row>
    <row r="75" spans="1:18" x14ac:dyDescent="0.2">
      <c r="A75" s="26" t="s">
        <v>89</v>
      </c>
      <c r="R75" s="17"/>
    </row>
    <row r="76" spans="1:18" x14ac:dyDescent="0.2">
      <c r="C76" s="17"/>
      <c r="E76" s="17"/>
      <c r="G76" s="17"/>
    </row>
  </sheetData>
  <phoneticPr fontId="3" type="noConversion"/>
  <conditionalFormatting sqref="A75">
    <cfRule type="expression" dxfId="8" priority="5" stopIfTrue="1">
      <formula>MOD(ROW(),5)=1</formula>
    </cfRule>
  </conditionalFormatting>
  <conditionalFormatting sqref="A4:G73">
    <cfRule type="expression" dxfId="7" priority="1" stopIfTrue="1">
      <formula>MOD(ROW(),3)=1</formula>
    </cfRule>
  </conditionalFormatting>
  <pageMargins left="0.7" right="0.7" top="0.5" bottom="0.5" header="0.05" footer="0.05"/>
  <pageSetup scale="78" fitToHeight="2" orientation="landscape" r:id="rId1"/>
  <rowBreaks count="1" manualBreakCount="1">
    <brk id="37" max="6" man="1"/>
  </rowBreaks>
  <ignoredErrors>
    <ignoredError sqref="D73:F7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zoomScaleNormal="100" zoomScaleSheetLayoutView="100" workbookViewId="0">
      <pane ySplit="4" topLeftCell="A5" activePane="bottomLeft" state="frozen"/>
      <selection activeCell="B19" sqref="B19:H19"/>
      <selection pane="bottomLeft" activeCell="H5" sqref="H5"/>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9" width="9.140625" style="2"/>
    <col min="10" max="10" width="14.140625" style="2" bestFit="1" customWidth="1"/>
    <col min="11" max="16384" width="9.140625" style="2"/>
  </cols>
  <sheetData>
    <row r="1" spans="1:7" ht="23.25" x14ac:dyDescent="0.35">
      <c r="A1" s="7" t="s">
        <v>69</v>
      </c>
      <c r="B1" s="8"/>
      <c r="C1" s="9"/>
      <c r="D1" s="8"/>
      <c r="E1" s="9"/>
      <c r="F1" s="8"/>
      <c r="G1" s="9"/>
    </row>
    <row r="2" spans="1:7" ht="15" x14ac:dyDescent="0.25">
      <c r="A2" s="10" t="s">
        <v>90</v>
      </c>
      <c r="B2" s="10"/>
      <c r="C2" s="10"/>
      <c r="D2" s="10"/>
      <c r="E2" s="10"/>
      <c r="F2" s="10"/>
      <c r="G2" s="10"/>
    </row>
    <row r="3" spans="1:7" s="40" customFormat="1" ht="15" thickBot="1" x14ac:dyDescent="0.25">
      <c r="B3" s="41"/>
      <c r="D3" s="41"/>
      <c r="F3" s="41"/>
    </row>
    <row r="4" spans="1:7" s="36" customFormat="1" ht="25.5" x14ac:dyDescent="0.2">
      <c r="A4" s="33" t="s">
        <v>0</v>
      </c>
      <c r="B4" s="34" t="s">
        <v>1</v>
      </c>
      <c r="C4" s="37" t="s">
        <v>91</v>
      </c>
      <c r="D4" s="37" t="s">
        <v>92</v>
      </c>
      <c r="E4" s="37" t="s">
        <v>83</v>
      </c>
      <c r="F4" s="37" t="s">
        <v>84</v>
      </c>
      <c r="G4" s="38" t="s">
        <v>82</v>
      </c>
    </row>
    <row r="5" spans="1:7" x14ac:dyDescent="0.2">
      <c r="A5" s="12" t="s">
        <v>4</v>
      </c>
      <c r="B5" s="13" t="str">
        <f>'Just Value All Property Types'!B5</f>
        <v>R-Prelim</v>
      </c>
      <c r="C5" s="14">
        <v>43217111416</v>
      </c>
      <c r="D5" s="15">
        <f>((C5-E5)/E5)</f>
        <v>1.2060296491345197E-2</v>
      </c>
      <c r="E5" s="14">
        <v>42702111293</v>
      </c>
      <c r="F5" s="15">
        <f>((E5-G5)/G5)</f>
        <v>5.909478136834994E-2</v>
      </c>
      <c r="G5" s="16">
        <v>40319442645</v>
      </c>
    </row>
    <row r="6" spans="1:7" x14ac:dyDescent="0.2">
      <c r="A6" s="12" t="s">
        <v>5</v>
      </c>
      <c r="B6" s="13" t="str">
        <f>'Just Value All Property Types'!B6</f>
        <v>R-Prelim</v>
      </c>
      <c r="C6" s="14">
        <v>3255925793</v>
      </c>
      <c r="D6" s="15">
        <f t="shared" ref="D6:F69" si="0">((C6-E6)/E6)</f>
        <v>2.8959175726412836E-2</v>
      </c>
      <c r="E6" s="14">
        <v>3164290547</v>
      </c>
      <c r="F6" s="15">
        <f t="shared" si="0"/>
        <v>5.2051898888931927E-2</v>
      </c>
      <c r="G6" s="16">
        <v>3007732366</v>
      </c>
    </row>
    <row r="7" spans="1:7" x14ac:dyDescent="0.2">
      <c r="A7" s="12" t="s">
        <v>6</v>
      </c>
      <c r="B7" s="13" t="str">
        <f>'Just Value All Property Types'!B7</f>
        <v>R-Prelim</v>
      </c>
      <c r="C7" s="14">
        <v>44337084689</v>
      </c>
      <c r="D7" s="15">
        <f t="shared" si="0"/>
        <v>3.7809210573236239E-2</v>
      </c>
      <c r="E7" s="14">
        <v>42721806896</v>
      </c>
      <c r="F7" s="15">
        <f t="shared" si="0"/>
        <v>4.5902167567133417E-2</v>
      </c>
      <c r="G7" s="16">
        <v>40846848033</v>
      </c>
    </row>
    <row r="8" spans="1:7" x14ac:dyDescent="0.2">
      <c r="A8" s="12" t="s">
        <v>7</v>
      </c>
      <c r="B8" s="13" t="str">
        <f>'Just Value All Property Types'!B8</f>
        <v>R-Prelim</v>
      </c>
      <c r="C8" s="14">
        <v>2714603638</v>
      </c>
      <c r="D8" s="15">
        <f t="shared" si="0"/>
        <v>3.7912550903422979E-2</v>
      </c>
      <c r="E8" s="14">
        <v>2615445430</v>
      </c>
      <c r="F8" s="15">
        <f t="shared" si="0"/>
        <v>7.7128091386292438E-2</v>
      </c>
      <c r="G8" s="16">
        <v>2428165648</v>
      </c>
    </row>
    <row r="9" spans="1:7" x14ac:dyDescent="0.2">
      <c r="A9" s="12" t="s">
        <v>8</v>
      </c>
      <c r="B9" s="13" t="str">
        <f>'Just Value All Property Types'!B9</f>
        <v>R-Prelim</v>
      </c>
      <c r="C9" s="14">
        <v>117514636780</v>
      </c>
      <c r="D9" s="15">
        <f t="shared" si="0"/>
        <v>2.3955163125514697E-2</v>
      </c>
      <c r="E9" s="14">
        <v>114765412600</v>
      </c>
      <c r="F9" s="15">
        <f t="shared" si="0"/>
        <v>1.8049866271303439E-2</v>
      </c>
      <c r="G9" s="16">
        <v>112730639630</v>
      </c>
    </row>
    <row r="10" spans="1:7" x14ac:dyDescent="0.2">
      <c r="A10" s="12" t="s">
        <v>9</v>
      </c>
      <c r="B10" s="13" t="str">
        <f>'Just Value All Property Types'!B10</f>
        <v>R-Prelim</v>
      </c>
      <c r="C10" s="14">
        <v>492053423490</v>
      </c>
      <c r="D10" s="15">
        <f t="shared" si="0"/>
        <v>2.0022994915433353E-2</v>
      </c>
      <c r="E10" s="14">
        <v>482394442030</v>
      </c>
      <c r="F10" s="15">
        <f t="shared" si="0"/>
        <v>5.9289955117165241E-2</v>
      </c>
      <c r="G10" s="16">
        <v>455394143690</v>
      </c>
    </row>
    <row r="11" spans="1:7" x14ac:dyDescent="0.2">
      <c r="A11" s="12" t="s">
        <v>10</v>
      </c>
      <c r="B11" s="13" t="str">
        <f>'Just Value All Property Types'!B11</f>
        <v>R-Prelim</v>
      </c>
      <c r="C11" s="14">
        <v>1195026544</v>
      </c>
      <c r="D11" s="15">
        <f t="shared" si="0"/>
        <v>7.4196164235152864E-2</v>
      </c>
      <c r="E11" s="14">
        <v>1112484464</v>
      </c>
      <c r="F11" s="15">
        <f t="shared" si="0"/>
        <v>3.5453172921572948E-2</v>
      </c>
      <c r="G11" s="16">
        <v>1074393795</v>
      </c>
    </row>
    <row r="12" spans="1:7" x14ac:dyDescent="0.2">
      <c r="A12" s="12" t="s">
        <v>11</v>
      </c>
      <c r="B12" s="13" t="str">
        <f>'Just Value All Property Types'!B12</f>
        <v>R-Prelim</v>
      </c>
      <c r="C12" s="14">
        <v>48753531748</v>
      </c>
      <c r="D12" s="15">
        <f t="shared" si="0"/>
        <v>-2.1073801222001223E-2</v>
      </c>
      <c r="E12" s="14">
        <v>49803071783</v>
      </c>
      <c r="F12" s="15">
        <f t="shared" si="0"/>
        <v>-2.4813448349415349E-2</v>
      </c>
      <c r="G12" s="16">
        <v>51070302086</v>
      </c>
    </row>
    <row r="13" spans="1:7" x14ac:dyDescent="0.2">
      <c r="A13" s="12" t="s">
        <v>12</v>
      </c>
      <c r="B13" s="13" t="str">
        <f>'Just Value All Property Types'!B13</f>
        <v>R-Prelim</v>
      </c>
      <c r="C13" s="14">
        <v>25479953042</v>
      </c>
      <c r="D13" s="15">
        <f t="shared" si="0"/>
        <v>2.5381535364325664E-2</v>
      </c>
      <c r="E13" s="14">
        <v>24849241149</v>
      </c>
      <c r="F13" s="15">
        <f t="shared" si="0"/>
        <v>2.8882819989808281E-2</v>
      </c>
      <c r="G13" s="16">
        <v>24151672733</v>
      </c>
    </row>
    <row r="14" spans="1:7" x14ac:dyDescent="0.2">
      <c r="A14" s="12" t="s">
        <v>13</v>
      </c>
      <c r="B14" s="13" t="str">
        <f>'Just Value All Property Types'!B14</f>
        <v>R-Prelim</v>
      </c>
      <c r="C14" s="14">
        <v>33497470333</v>
      </c>
      <c r="D14" s="15">
        <f t="shared" si="0"/>
        <v>2.7128598348604576E-2</v>
      </c>
      <c r="E14" s="14">
        <v>32612732609</v>
      </c>
      <c r="F14" s="15">
        <f t="shared" si="0"/>
        <v>6.1090286633998653E-2</v>
      </c>
      <c r="G14" s="16">
        <v>30735115588</v>
      </c>
    </row>
    <row r="15" spans="1:7" x14ac:dyDescent="0.2">
      <c r="A15" s="12" t="s">
        <v>14</v>
      </c>
      <c r="B15" s="13" t="str">
        <f>'Just Value All Property Types'!B15</f>
        <v>R-Prelim</v>
      </c>
      <c r="C15" s="14">
        <v>217719017202</v>
      </c>
      <c r="D15" s="15">
        <f t="shared" si="0"/>
        <v>-3.2302677304112869E-2</v>
      </c>
      <c r="E15" s="14">
        <v>224986689635</v>
      </c>
      <c r="F15" s="15">
        <f t="shared" si="0"/>
        <v>2.6248605165287233E-2</v>
      </c>
      <c r="G15" s="16">
        <v>219232151452</v>
      </c>
    </row>
    <row r="16" spans="1:7" x14ac:dyDescent="0.2">
      <c r="A16" s="12" t="s">
        <v>15</v>
      </c>
      <c r="B16" s="13" t="str">
        <f>'Just Value All Property Types'!B16</f>
        <v>R-Prelim</v>
      </c>
      <c r="C16" s="14">
        <v>8051384740</v>
      </c>
      <c r="D16" s="15">
        <f t="shared" si="0"/>
        <v>5.055417477109736E-2</v>
      </c>
      <c r="E16" s="14">
        <v>7663940550</v>
      </c>
      <c r="F16" s="15">
        <f t="shared" si="0"/>
        <v>7.9180428653143606E-2</v>
      </c>
      <c r="G16" s="16">
        <v>7101630410</v>
      </c>
    </row>
    <row r="17" spans="1:7" x14ac:dyDescent="0.2">
      <c r="A17" s="12" t="s">
        <v>78</v>
      </c>
      <c r="B17" s="13" t="str">
        <f>'Just Value All Property Types'!B17</f>
        <v>R-Prelim</v>
      </c>
      <c r="C17" s="14">
        <v>773236203027</v>
      </c>
      <c r="D17" s="15">
        <f t="shared" si="0"/>
        <v>3.3731405722634167E-2</v>
      </c>
      <c r="E17" s="14">
        <v>748004944753</v>
      </c>
      <c r="F17" s="15">
        <f t="shared" si="0"/>
        <v>3.2191325045911046E-2</v>
      </c>
      <c r="G17" s="16">
        <v>724676643373</v>
      </c>
    </row>
    <row r="18" spans="1:7" x14ac:dyDescent="0.2">
      <c r="A18" s="12" t="s">
        <v>16</v>
      </c>
      <c r="B18" s="13" t="str">
        <f>'Just Value All Property Types'!B18</f>
        <v>R-Prelim</v>
      </c>
      <c r="C18" s="14">
        <v>5757382171</v>
      </c>
      <c r="D18" s="15">
        <f t="shared" si="0"/>
        <v>2.6078081902384982E-2</v>
      </c>
      <c r="E18" s="14">
        <v>5611056578</v>
      </c>
      <c r="F18" s="15">
        <f t="shared" si="0"/>
        <v>3.5935865663392255E-2</v>
      </c>
      <c r="G18" s="16">
        <v>5416413085</v>
      </c>
    </row>
    <row r="19" spans="1:7" x14ac:dyDescent="0.2">
      <c r="A19" s="12" t="s">
        <v>17</v>
      </c>
      <c r="B19" s="13" t="str">
        <f>'Just Value All Property Types'!B19</f>
        <v>R-Prelim</v>
      </c>
      <c r="C19" s="14">
        <v>1863562259</v>
      </c>
      <c r="D19" s="15">
        <f t="shared" si="0"/>
        <v>1.7956128721205972E-2</v>
      </c>
      <c r="E19" s="14">
        <v>1830690151</v>
      </c>
      <c r="F19" s="15">
        <f t="shared" si="0"/>
        <v>1.5178016667863163E-2</v>
      </c>
      <c r="G19" s="16">
        <v>1803319340</v>
      </c>
    </row>
    <row r="20" spans="1:7" x14ac:dyDescent="0.2">
      <c r="A20" s="12" t="s">
        <v>18</v>
      </c>
      <c r="B20" s="13" t="str">
        <f>'Just Value All Property Types'!B20</f>
        <v>R-Prelim</v>
      </c>
      <c r="C20" s="14">
        <v>173627214325</v>
      </c>
      <c r="D20" s="15">
        <f t="shared" si="0"/>
        <v>4.5964902157956823E-2</v>
      </c>
      <c r="E20" s="14">
        <v>165997170619</v>
      </c>
      <c r="F20" s="15">
        <f t="shared" si="0"/>
        <v>5.8229807644985088E-2</v>
      </c>
      <c r="G20" s="16">
        <v>156863064544</v>
      </c>
    </row>
    <row r="21" spans="1:7" x14ac:dyDescent="0.2">
      <c r="A21" s="12" t="s">
        <v>19</v>
      </c>
      <c r="B21" s="13" t="str">
        <f>'Just Value All Property Types'!B21</f>
        <v>R-Prelim</v>
      </c>
      <c r="C21" s="14">
        <v>49562382824</v>
      </c>
      <c r="D21" s="15">
        <f t="shared" si="0"/>
        <v>3.2699334925789317E-2</v>
      </c>
      <c r="E21" s="14">
        <v>47993042261</v>
      </c>
      <c r="F21" s="15">
        <f t="shared" si="0"/>
        <v>3.7974351580071418E-2</v>
      </c>
      <c r="G21" s="16">
        <v>46237214039</v>
      </c>
    </row>
    <row r="22" spans="1:7" x14ac:dyDescent="0.2">
      <c r="A22" s="12" t="s">
        <v>20</v>
      </c>
      <c r="B22" s="13" t="str">
        <f>'Just Value All Property Types'!B22</f>
        <v>R-Prelim</v>
      </c>
      <c r="C22" s="14">
        <v>26677979300</v>
      </c>
      <c r="D22" s="15">
        <f t="shared" si="0"/>
        <v>-1.1016988253889071E-2</v>
      </c>
      <c r="E22" s="14">
        <v>26975164369</v>
      </c>
      <c r="F22" s="15">
        <f t="shared" si="0"/>
        <v>5.2262270495335938E-2</v>
      </c>
      <c r="G22" s="16">
        <v>25635400152</v>
      </c>
    </row>
    <row r="23" spans="1:7" x14ac:dyDescent="0.2">
      <c r="A23" s="12" t="s">
        <v>21</v>
      </c>
      <c r="B23" s="13" t="str">
        <f>'Just Value All Property Types'!B23</f>
        <v>R-Prelim</v>
      </c>
      <c r="C23" s="14">
        <v>6144135125</v>
      </c>
      <c r="D23" s="15">
        <f t="shared" si="0"/>
        <v>1.5796759509313831E-2</v>
      </c>
      <c r="E23" s="14">
        <v>6048587050</v>
      </c>
      <c r="F23" s="15">
        <f t="shared" si="0"/>
        <v>8.4141667368356227E-3</v>
      </c>
      <c r="G23" s="16">
        <v>5998117886</v>
      </c>
    </row>
    <row r="24" spans="1:7" x14ac:dyDescent="0.2">
      <c r="A24" s="12" t="s">
        <v>22</v>
      </c>
      <c r="B24" s="13" t="str">
        <f>'Just Value All Property Types'!B24</f>
        <v>R-Prelim</v>
      </c>
      <c r="C24" s="14">
        <v>4533976304</v>
      </c>
      <c r="D24" s="15">
        <f t="shared" si="0"/>
        <v>9.278519431086458E-4</v>
      </c>
      <c r="E24" s="14">
        <v>4529773345</v>
      </c>
      <c r="F24" s="15">
        <f t="shared" si="0"/>
        <v>4.5661496689098073E-2</v>
      </c>
      <c r="G24" s="16">
        <v>4331969150</v>
      </c>
    </row>
    <row r="25" spans="1:7" x14ac:dyDescent="0.2">
      <c r="A25" s="12" t="s">
        <v>23</v>
      </c>
      <c r="B25" s="13" t="str">
        <f>'Just Value All Property Types'!B25</f>
        <v>R-Prelim</v>
      </c>
      <c r="C25" s="14">
        <v>2981218248</v>
      </c>
      <c r="D25" s="15">
        <f t="shared" si="0"/>
        <v>3.1872765924075987E-2</v>
      </c>
      <c r="E25" s="14">
        <v>2889133570</v>
      </c>
      <c r="F25" s="15">
        <f t="shared" si="0"/>
        <v>0.1028651965168655</v>
      </c>
      <c r="G25" s="16">
        <v>2619661568</v>
      </c>
    </row>
    <row r="26" spans="1:7" x14ac:dyDescent="0.2">
      <c r="A26" s="12" t="s">
        <v>24</v>
      </c>
      <c r="B26" s="13" t="str">
        <f>'Just Value All Property Types'!B26</f>
        <v>R-Prelim</v>
      </c>
      <c r="C26" s="14">
        <v>6406113816</v>
      </c>
      <c r="D26" s="15">
        <f t="shared" si="0"/>
        <v>1.7149063517302075E-2</v>
      </c>
      <c r="E26" s="14">
        <v>6298107176</v>
      </c>
      <c r="F26" s="15">
        <f t="shared" si="0"/>
        <v>3.0698829959945408E-2</v>
      </c>
      <c r="G26" s="16">
        <v>6110521321</v>
      </c>
    </row>
    <row r="27" spans="1:7" x14ac:dyDescent="0.2">
      <c r="A27" s="12" t="s">
        <v>25</v>
      </c>
      <c r="B27" s="13" t="str">
        <f>'Just Value All Property Types'!B27</f>
        <v>R-Prelim</v>
      </c>
      <c r="C27" s="14">
        <v>7140518014</v>
      </c>
      <c r="D27" s="15">
        <f t="shared" si="0"/>
        <v>3.7815543671682633E-2</v>
      </c>
      <c r="E27" s="14">
        <v>6880334427</v>
      </c>
      <c r="F27" s="15">
        <f t="shared" si="0"/>
        <v>4.9629855679846589E-2</v>
      </c>
      <c r="G27" s="16">
        <v>6555010216</v>
      </c>
    </row>
    <row r="28" spans="1:7" x14ac:dyDescent="0.2">
      <c r="A28" s="12" t="s">
        <v>26</v>
      </c>
      <c r="B28" s="13" t="str">
        <f>'Just Value All Property Types'!B28</f>
        <v>R-Prelim</v>
      </c>
      <c r="C28" s="14">
        <v>2065850122</v>
      </c>
      <c r="D28" s="15">
        <f t="shared" si="0"/>
        <v>7.3641256061498196E-3</v>
      </c>
      <c r="E28" s="14">
        <v>2050748155</v>
      </c>
      <c r="F28" s="15">
        <f t="shared" si="0"/>
        <v>5.4929132965864436E-2</v>
      </c>
      <c r="G28" s="16">
        <v>1943967695</v>
      </c>
    </row>
    <row r="29" spans="1:7" x14ac:dyDescent="0.2">
      <c r="A29" s="12" t="s">
        <v>27</v>
      </c>
      <c r="B29" s="13" t="str">
        <f>'Just Value All Property Types'!B29</f>
        <v>R-Prelim</v>
      </c>
      <c r="C29" s="14">
        <v>5642622095</v>
      </c>
      <c r="D29" s="15">
        <f t="shared" si="0"/>
        <v>1.8592485780808479E-2</v>
      </c>
      <c r="E29" s="14">
        <v>5539626665</v>
      </c>
      <c r="F29" s="15">
        <f t="shared" si="0"/>
        <v>0.16996754523201779</v>
      </c>
      <c r="G29" s="16">
        <v>4734854986</v>
      </c>
    </row>
    <row r="30" spans="1:7" x14ac:dyDescent="0.2">
      <c r="A30" s="12" t="s">
        <v>28</v>
      </c>
      <c r="B30" s="13" t="str">
        <f>'Just Value All Property Types'!B30</f>
        <v>R-Prelim</v>
      </c>
      <c r="C30" s="14">
        <v>9263033197</v>
      </c>
      <c r="D30" s="15">
        <f t="shared" si="0"/>
        <v>3.5939291066513161E-2</v>
      </c>
      <c r="E30" s="14">
        <v>8941675711</v>
      </c>
      <c r="F30" s="15">
        <f t="shared" si="0"/>
        <v>5.1909317981665773E-2</v>
      </c>
      <c r="G30" s="16">
        <v>8500424474</v>
      </c>
    </row>
    <row r="31" spans="1:7" x14ac:dyDescent="0.2">
      <c r="A31" s="12" t="s">
        <v>29</v>
      </c>
      <c r="B31" s="13" t="str">
        <f>'Just Value All Property Types'!B31</f>
        <v>R-Prelim</v>
      </c>
      <c r="C31" s="14">
        <v>31613145747</v>
      </c>
      <c r="D31" s="15">
        <f t="shared" si="0"/>
        <v>-9.0444521866360535E-3</v>
      </c>
      <c r="E31" s="14">
        <v>31901678957</v>
      </c>
      <c r="F31" s="15">
        <f t="shared" si="0"/>
        <v>4.3807391835800104E-2</v>
      </c>
      <c r="G31" s="16">
        <v>30562802301</v>
      </c>
    </row>
    <row r="32" spans="1:7" x14ac:dyDescent="0.2">
      <c r="A32" s="12" t="s">
        <v>30</v>
      </c>
      <c r="B32" s="13" t="str">
        <f>'Just Value All Property Types'!B32</f>
        <v>R-Prelim</v>
      </c>
      <c r="C32" s="14">
        <v>17041621315</v>
      </c>
      <c r="D32" s="15">
        <f t="shared" si="0"/>
        <v>2.3017460915713946E-2</v>
      </c>
      <c r="E32" s="14">
        <v>16658192031</v>
      </c>
      <c r="F32" s="15">
        <f t="shared" si="0"/>
        <v>5.3220784493708255E-2</v>
      </c>
      <c r="G32" s="16">
        <v>15816429258</v>
      </c>
    </row>
    <row r="33" spans="1:7" x14ac:dyDescent="0.2">
      <c r="A33" s="12" t="s">
        <v>31</v>
      </c>
      <c r="B33" s="13" t="str">
        <f>'Just Value All Property Types'!B33</f>
        <v>R-Prelim</v>
      </c>
      <c r="C33" s="14">
        <v>265186702552</v>
      </c>
      <c r="D33" s="15">
        <f t="shared" si="0"/>
        <v>1.6720467804514933E-2</v>
      </c>
      <c r="E33" s="14">
        <v>260825576891</v>
      </c>
      <c r="F33" s="15">
        <f t="shared" si="0"/>
        <v>2.0811461626224721E-2</v>
      </c>
      <c r="G33" s="16">
        <v>255508080283</v>
      </c>
    </row>
    <row r="34" spans="1:7" x14ac:dyDescent="0.2">
      <c r="A34" s="12" t="s">
        <v>32</v>
      </c>
      <c r="B34" s="13" t="str">
        <f>'Just Value All Property Types'!B34</f>
        <v>R-Prelim</v>
      </c>
      <c r="C34" s="14">
        <v>1990879130</v>
      </c>
      <c r="D34" s="15">
        <f t="shared" si="0"/>
        <v>0.12720198574974828</v>
      </c>
      <c r="E34" s="14">
        <v>1766213292</v>
      </c>
      <c r="F34" s="15">
        <f t="shared" si="0"/>
        <v>0.19003587669740415</v>
      </c>
      <c r="G34" s="16">
        <v>1484168105</v>
      </c>
    </row>
    <row r="35" spans="1:7" x14ac:dyDescent="0.2">
      <c r="A35" s="12" t="s">
        <v>33</v>
      </c>
      <c r="B35" s="13" t="str">
        <f>'Just Value All Property Types'!B35</f>
        <v>R-Prelim</v>
      </c>
      <c r="C35" s="14">
        <v>50339655042</v>
      </c>
      <c r="D35" s="15">
        <f t="shared" si="0"/>
        <v>2.6464712985414484E-2</v>
      </c>
      <c r="E35" s="14">
        <v>49041778451</v>
      </c>
      <c r="F35" s="15">
        <f t="shared" si="0"/>
        <v>3.7700955634331075E-2</v>
      </c>
      <c r="G35" s="16">
        <v>47260030151</v>
      </c>
    </row>
    <row r="36" spans="1:7" x14ac:dyDescent="0.2">
      <c r="A36" s="12" t="s">
        <v>34</v>
      </c>
      <c r="B36" s="13" t="str">
        <f>'Just Value All Property Types'!B36</f>
        <v>R-Prelim</v>
      </c>
      <c r="C36" s="14">
        <v>4480947342</v>
      </c>
      <c r="D36" s="15">
        <f t="shared" si="0"/>
        <v>7.0221711550334243E-2</v>
      </c>
      <c r="E36" s="14">
        <v>4186933692</v>
      </c>
      <c r="F36" s="15">
        <f t="shared" si="0"/>
        <v>3.4116269924344057E-2</v>
      </c>
      <c r="G36" s="16">
        <v>4048803615</v>
      </c>
    </row>
    <row r="37" spans="1:7" x14ac:dyDescent="0.2">
      <c r="A37" s="12" t="s">
        <v>35</v>
      </c>
      <c r="B37" s="13" t="str">
        <f>'Just Value All Property Types'!B37</f>
        <v>R-Prelim</v>
      </c>
      <c r="C37" s="14">
        <v>2607651480</v>
      </c>
      <c r="D37" s="15">
        <f t="shared" si="0"/>
        <v>3.3256063649158701E-2</v>
      </c>
      <c r="E37" s="14">
        <v>2523722407</v>
      </c>
      <c r="F37" s="15">
        <f t="shared" si="0"/>
        <v>4.7985904208540563E-2</v>
      </c>
      <c r="G37" s="16">
        <v>2408164458</v>
      </c>
    </row>
    <row r="38" spans="1:7" x14ac:dyDescent="0.2">
      <c r="A38" s="12" t="s">
        <v>36</v>
      </c>
      <c r="B38" s="13" t="str">
        <f>'Just Value All Property Types'!B38</f>
        <v>R-Prelim</v>
      </c>
      <c r="C38" s="14">
        <v>1113933508</v>
      </c>
      <c r="D38" s="15">
        <f t="shared" si="0"/>
        <v>7.8543547621564375E-2</v>
      </c>
      <c r="E38" s="14">
        <v>1032812732</v>
      </c>
      <c r="F38" s="15">
        <f t="shared" si="0"/>
        <v>5.604158750116324E-2</v>
      </c>
      <c r="G38" s="16">
        <v>978003844</v>
      </c>
    </row>
    <row r="39" spans="1:7" x14ac:dyDescent="0.2">
      <c r="A39" s="12" t="s">
        <v>37</v>
      </c>
      <c r="B39" s="13" t="str">
        <f>'Just Value All Property Types'!B39</f>
        <v>R-Prelim</v>
      </c>
      <c r="C39" s="14">
        <v>70473258696</v>
      </c>
      <c r="D39" s="15">
        <f t="shared" si="0"/>
        <v>5.7410842381169405E-2</v>
      </c>
      <c r="E39" s="14">
        <v>66646998377</v>
      </c>
      <c r="F39" s="15">
        <f t="shared" si="0"/>
        <v>7.5661286529432839E-2</v>
      </c>
      <c r="G39" s="16">
        <v>61959093640</v>
      </c>
    </row>
    <row r="40" spans="1:7" x14ac:dyDescent="0.2">
      <c r="A40" s="12" t="s">
        <v>38</v>
      </c>
      <c r="B40" s="13" t="str">
        <f>'Just Value All Property Types'!B40</f>
        <v>R-Prelim</v>
      </c>
      <c r="C40" s="14">
        <v>209743920975</v>
      </c>
      <c r="D40" s="15">
        <f t="shared" si="0"/>
        <v>-1.1795694805642061E-2</v>
      </c>
      <c r="E40" s="14">
        <v>212247528039</v>
      </c>
      <c r="F40" s="15">
        <f t="shared" si="0"/>
        <v>-3.0664433496893683E-4</v>
      </c>
      <c r="G40" s="16">
        <v>212312632505</v>
      </c>
    </row>
    <row r="41" spans="1:7" x14ac:dyDescent="0.2">
      <c r="A41" s="12" t="s">
        <v>39</v>
      </c>
      <c r="B41" s="13" t="str">
        <f>'Just Value All Property Types'!B41</f>
        <v>R-Prelim</v>
      </c>
      <c r="C41" s="14">
        <v>44550023667</v>
      </c>
      <c r="D41" s="15">
        <f t="shared" si="0"/>
        <v>3.5484354876867082E-2</v>
      </c>
      <c r="E41" s="14">
        <v>43023367236</v>
      </c>
      <c r="F41" s="15">
        <f t="shared" si="0"/>
        <v>5.655229313333069E-2</v>
      </c>
      <c r="G41" s="16">
        <v>40720528000</v>
      </c>
    </row>
    <row r="42" spans="1:7" x14ac:dyDescent="0.2">
      <c r="A42" s="12" t="s">
        <v>40</v>
      </c>
      <c r="B42" s="13" t="str">
        <f>'Just Value All Property Types'!B42</f>
        <v>R-Prelim</v>
      </c>
      <c r="C42" s="14">
        <v>7920858722</v>
      </c>
      <c r="D42" s="15">
        <f t="shared" si="0"/>
        <v>2.6112823731574281E-2</v>
      </c>
      <c r="E42" s="14">
        <v>7719286358</v>
      </c>
      <c r="F42" s="15">
        <f t="shared" si="0"/>
        <v>6.1270825598226247E-2</v>
      </c>
      <c r="G42" s="16">
        <v>7273625329</v>
      </c>
    </row>
    <row r="43" spans="1:7" x14ac:dyDescent="0.2">
      <c r="A43" s="12" t="s">
        <v>41</v>
      </c>
      <c r="B43" s="13" t="str">
        <f>'Just Value All Property Types'!B43</f>
        <v>R-Prelim</v>
      </c>
      <c r="C43" s="14">
        <v>966812699</v>
      </c>
      <c r="D43" s="15">
        <f t="shared" si="0"/>
        <v>4.3422679694821352E-2</v>
      </c>
      <c r="E43" s="14">
        <v>926578191</v>
      </c>
      <c r="F43" s="15">
        <f t="shared" si="0"/>
        <v>2.0564434429744302E-2</v>
      </c>
      <c r="G43" s="16">
        <v>907907585</v>
      </c>
    </row>
    <row r="44" spans="1:7" x14ac:dyDescent="0.2">
      <c r="A44" s="12" t="s">
        <v>42</v>
      </c>
      <c r="B44" s="13" t="str">
        <f>'Just Value All Property Types'!B44</f>
        <v>R-Prelim</v>
      </c>
      <c r="C44" s="14">
        <v>2308615677</v>
      </c>
      <c r="D44" s="15">
        <f t="shared" si="0"/>
        <v>4.9363819300111939E-2</v>
      </c>
      <c r="E44" s="14">
        <v>2200014556</v>
      </c>
      <c r="F44" s="15">
        <f t="shared" si="0"/>
        <v>1.7027161801850127E-2</v>
      </c>
      <c r="G44" s="16">
        <v>2163181711</v>
      </c>
    </row>
    <row r="45" spans="1:7" x14ac:dyDescent="0.2">
      <c r="A45" s="12" t="s">
        <v>43</v>
      </c>
      <c r="B45" s="13" t="str">
        <f>'Just Value All Property Types'!B45</f>
        <v>R-Prelim</v>
      </c>
      <c r="C45" s="14">
        <v>103474800388</v>
      </c>
      <c r="D45" s="15">
        <f t="shared" si="0"/>
        <v>3.7855194510649531E-2</v>
      </c>
      <c r="E45" s="14">
        <v>99700614243</v>
      </c>
      <c r="F45" s="15">
        <f t="shared" si="0"/>
        <v>-2.1620289573583747E-2</v>
      </c>
      <c r="G45" s="16">
        <v>101903803994</v>
      </c>
    </row>
    <row r="46" spans="1:7" x14ac:dyDescent="0.2">
      <c r="A46" s="12" t="s">
        <v>44</v>
      </c>
      <c r="B46" s="13" t="str">
        <f>'Just Value All Property Types'!B46</f>
        <v>R-Prelim</v>
      </c>
      <c r="C46" s="14">
        <v>67705579905</v>
      </c>
      <c r="D46" s="15">
        <f t="shared" si="0"/>
        <v>6.4698302720765002E-2</v>
      </c>
      <c r="E46" s="14">
        <v>63591328860</v>
      </c>
      <c r="F46" s="15">
        <f t="shared" si="0"/>
        <v>7.9618013523394468E-2</v>
      </c>
      <c r="G46" s="16">
        <v>58901693065</v>
      </c>
    </row>
    <row r="47" spans="1:7" x14ac:dyDescent="0.2">
      <c r="A47" s="12" t="s">
        <v>45</v>
      </c>
      <c r="B47" s="13" t="str">
        <f>'Just Value All Property Types'!B47</f>
        <v>R-Prelim</v>
      </c>
      <c r="C47" s="14">
        <v>58995492310</v>
      </c>
      <c r="D47" s="15">
        <f t="shared" si="0"/>
        <v>2.6141439876981056E-2</v>
      </c>
      <c r="E47" s="14">
        <v>57492554162</v>
      </c>
      <c r="F47" s="15">
        <f t="shared" si="0"/>
        <v>8.4513415110566759E-2</v>
      </c>
      <c r="G47" s="16">
        <v>53012303362</v>
      </c>
    </row>
    <row r="48" spans="1:7" x14ac:dyDescent="0.2">
      <c r="A48" s="12" t="s">
        <v>46</v>
      </c>
      <c r="B48" s="13" t="str">
        <f>'Just Value All Property Types'!B48</f>
        <v>R-Prelim</v>
      </c>
      <c r="C48" s="14">
        <v>72303968731</v>
      </c>
      <c r="D48" s="15">
        <f t="shared" si="0"/>
        <v>6.0150870208557283E-3</v>
      </c>
      <c r="E48" s="14">
        <v>71871654475</v>
      </c>
      <c r="F48" s="15">
        <f t="shared" si="0"/>
        <v>1.9438051550088889E-2</v>
      </c>
      <c r="G48" s="16">
        <v>70501247590</v>
      </c>
    </row>
    <row r="49" spans="1:7" x14ac:dyDescent="0.2">
      <c r="A49" s="12" t="s">
        <v>47</v>
      </c>
      <c r="B49" s="13" t="str">
        <f>'Just Value All Property Types'!B49</f>
        <v>R-Prelim</v>
      </c>
      <c r="C49" s="14">
        <v>31338449395</v>
      </c>
      <c r="D49" s="15">
        <f t="shared" si="0"/>
        <v>8.8470201046841362E-2</v>
      </c>
      <c r="E49" s="14">
        <v>28791279141</v>
      </c>
      <c r="F49" s="15">
        <f t="shared" si="0"/>
        <v>0.10261770069752539</v>
      </c>
      <c r="G49" s="16">
        <v>26111751265</v>
      </c>
    </row>
    <row r="50" spans="1:7" x14ac:dyDescent="0.2">
      <c r="A50" s="12" t="s">
        <v>48</v>
      </c>
      <c r="B50" s="13" t="str">
        <f>'Just Value All Property Types'!B50</f>
        <v>R-Prelim</v>
      </c>
      <c r="C50" s="14">
        <v>43237460069</v>
      </c>
      <c r="D50" s="15">
        <f t="shared" si="0"/>
        <v>-7.8425353196072433E-4</v>
      </c>
      <c r="E50" s="14">
        <v>43271395814</v>
      </c>
      <c r="F50" s="15">
        <f t="shared" si="0"/>
        <v>3.3687724721478976E-2</v>
      </c>
      <c r="G50" s="16">
        <v>41861187648</v>
      </c>
    </row>
    <row r="51" spans="1:7" x14ac:dyDescent="0.2">
      <c r="A51" s="12" t="s">
        <v>49</v>
      </c>
      <c r="B51" s="13" t="str">
        <f>'Just Value All Property Types'!B51</f>
        <v>R-Prelim</v>
      </c>
      <c r="C51" s="14">
        <v>9473394902</v>
      </c>
      <c r="D51" s="15">
        <f t="shared" si="0"/>
        <v>5.9001428185717943E-2</v>
      </c>
      <c r="E51" s="14">
        <v>8945592187</v>
      </c>
      <c r="F51" s="15">
        <f t="shared" si="0"/>
        <v>0.1315648353811768</v>
      </c>
      <c r="G51" s="16">
        <v>7905505639</v>
      </c>
    </row>
    <row r="52" spans="1:7" x14ac:dyDescent="0.2">
      <c r="A52" s="12" t="s">
        <v>50</v>
      </c>
      <c r="B52" s="13" t="str">
        <f>'Just Value All Property Types'!B52</f>
        <v>R-Prelim</v>
      </c>
      <c r="C52" s="14">
        <v>339759602594</v>
      </c>
      <c r="D52" s="15">
        <f t="shared" si="0"/>
        <v>2.985944129764509E-2</v>
      </c>
      <c r="E52" s="14">
        <v>329908712752</v>
      </c>
      <c r="F52" s="15">
        <f t="shared" si="0"/>
        <v>5.7357846005981164E-2</v>
      </c>
      <c r="G52" s="16">
        <v>312012356080</v>
      </c>
    </row>
    <row r="53" spans="1:7" x14ac:dyDescent="0.2">
      <c r="A53" s="12" t="s">
        <v>51</v>
      </c>
      <c r="B53" s="13" t="str">
        <f>'Just Value All Property Types'!B53</f>
        <v>R-Prelim</v>
      </c>
      <c r="C53" s="14">
        <v>81325312758</v>
      </c>
      <c r="D53" s="15">
        <f t="shared" si="0"/>
        <v>2.2508186769456213E-2</v>
      </c>
      <c r="E53" s="14">
        <v>79535121391</v>
      </c>
      <c r="F53" s="15">
        <f t="shared" si="0"/>
        <v>4.0854273922998653E-2</v>
      </c>
      <c r="G53" s="16">
        <v>76413311050</v>
      </c>
    </row>
    <row r="54" spans="1:7" x14ac:dyDescent="0.2">
      <c r="A54" s="12" t="s">
        <v>52</v>
      </c>
      <c r="B54" s="13" t="str">
        <f>'Just Value All Property Types'!B54</f>
        <v>R-Prelim</v>
      </c>
      <c r="C54" s="14">
        <v>535116134411</v>
      </c>
      <c r="D54" s="15">
        <f t="shared" si="0"/>
        <v>4.3620138829581219E-2</v>
      </c>
      <c r="E54" s="14">
        <v>512749912062</v>
      </c>
      <c r="F54" s="15">
        <f t="shared" si="0"/>
        <v>2.9648760145849027E-2</v>
      </c>
      <c r="G54" s="16">
        <v>497985266344</v>
      </c>
    </row>
    <row r="55" spans="1:7" x14ac:dyDescent="0.2">
      <c r="A55" s="12" t="s">
        <v>53</v>
      </c>
      <c r="B55" s="13" t="str">
        <f>'Just Value All Property Types'!B55</f>
        <v>R-Prelim</v>
      </c>
      <c r="C55" s="14">
        <v>94853161378</v>
      </c>
      <c r="D55" s="15">
        <f t="shared" si="0"/>
        <v>2.3590880210262906E-2</v>
      </c>
      <c r="E55" s="14">
        <v>92667063777</v>
      </c>
      <c r="F55" s="15">
        <f t="shared" si="0"/>
        <v>4.7149881790345287E-2</v>
      </c>
      <c r="G55" s="16">
        <v>88494555926</v>
      </c>
    </row>
    <row r="56" spans="1:7" x14ac:dyDescent="0.2">
      <c r="A56" s="12" t="s">
        <v>54</v>
      </c>
      <c r="B56" s="13" t="str">
        <f>'Just Value All Property Types'!B56</f>
        <v>R-Prelim</v>
      </c>
      <c r="C56" s="14">
        <v>213206164721</v>
      </c>
      <c r="D56" s="15">
        <f t="shared" si="0"/>
        <v>-2.6118967477860355E-2</v>
      </c>
      <c r="E56" s="14">
        <v>218924239821</v>
      </c>
      <c r="F56" s="15">
        <f t="shared" si="0"/>
        <v>-9.9355103552054048E-3</v>
      </c>
      <c r="G56" s="16">
        <v>221121191711</v>
      </c>
    </row>
    <row r="57" spans="1:7" x14ac:dyDescent="0.2">
      <c r="A57" s="12" t="s">
        <v>55</v>
      </c>
      <c r="B57" s="13" t="str">
        <f>'Just Value All Property Types'!B57</f>
        <v>R-Prelim</v>
      </c>
      <c r="C57" s="14">
        <v>102791602492</v>
      </c>
      <c r="D57" s="15">
        <f t="shared" si="0"/>
        <v>2.0246185528026598E-2</v>
      </c>
      <c r="E57" s="14">
        <v>100751763594</v>
      </c>
      <c r="F57" s="15">
        <f t="shared" si="0"/>
        <v>4.9179353022758866E-2</v>
      </c>
      <c r="G57" s="16">
        <v>96029113901</v>
      </c>
    </row>
    <row r="58" spans="1:7" x14ac:dyDescent="0.2">
      <c r="A58" s="12" t="s">
        <v>56</v>
      </c>
      <c r="B58" s="13" t="str">
        <f>'Just Value All Property Types'!B58</f>
        <v>R-Prelim</v>
      </c>
      <c r="C58" s="14">
        <v>10194698004</v>
      </c>
      <c r="D58" s="15">
        <f t="shared" si="0"/>
        <v>2.7974130980503237E-2</v>
      </c>
      <c r="E58" s="14">
        <v>9917270967</v>
      </c>
      <c r="F58" s="15">
        <f t="shared" si="0"/>
        <v>-1.6120680522911185E-2</v>
      </c>
      <c r="G58" s="16">
        <v>10079763616</v>
      </c>
    </row>
    <row r="59" spans="1:7" x14ac:dyDescent="0.2">
      <c r="A59" s="12" t="s">
        <v>2</v>
      </c>
      <c r="B59" s="13" t="str">
        <f>'Just Value All Property Types'!B59</f>
        <v>R-Prelim</v>
      </c>
      <c r="C59" s="14">
        <v>90378801877</v>
      </c>
      <c r="D59" s="15">
        <f t="shared" si="0"/>
        <v>2.8550446090153954E-2</v>
      </c>
      <c r="E59" s="14">
        <v>87870072120</v>
      </c>
      <c r="F59" s="15">
        <f t="shared" si="0"/>
        <v>6.1315900585331956E-2</v>
      </c>
      <c r="G59" s="16">
        <v>82793513290</v>
      </c>
    </row>
    <row r="60" spans="1:7" x14ac:dyDescent="0.2">
      <c r="A60" s="12" t="s">
        <v>3</v>
      </c>
      <c r="B60" s="13" t="str">
        <f>'Just Value All Property Types'!B60</f>
        <v>R-Prelim</v>
      </c>
      <c r="C60" s="14">
        <v>69428894254</v>
      </c>
      <c r="D60" s="15">
        <f t="shared" si="0"/>
        <v>3.4496239565732043E-2</v>
      </c>
      <c r="E60" s="14">
        <v>67113723181</v>
      </c>
      <c r="F60" s="15">
        <f t="shared" si="0"/>
        <v>4.7576801983711836E-2</v>
      </c>
      <c r="G60" s="16">
        <v>64065682873</v>
      </c>
    </row>
    <row r="61" spans="1:7" x14ac:dyDescent="0.2">
      <c r="A61" s="12" t="s">
        <v>57</v>
      </c>
      <c r="B61" s="13" t="str">
        <f>'Just Value All Property Types'!B61</f>
        <v>R-Prelim</v>
      </c>
      <c r="C61" s="14">
        <v>34051052924</v>
      </c>
      <c r="D61" s="15">
        <f t="shared" si="0"/>
        <v>7.7823226174123711E-2</v>
      </c>
      <c r="E61" s="14">
        <v>31592428236</v>
      </c>
      <c r="F61" s="15">
        <f t="shared" si="0"/>
        <v>8.067436779944856E-2</v>
      </c>
      <c r="G61" s="16">
        <v>29233994233</v>
      </c>
    </row>
    <row r="62" spans="1:7" x14ac:dyDescent="0.2">
      <c r="A62" s="12" t="s">
        <v>58</v>
      </c>
      <c r="B62" s="13" t="str">
        <f>'Just Value All Property Types'!B62</f>
        <v>R-Prelim</v>
      </c>
      <c r="C62" s="14">
        <v>147405516400</v>
      </c>
      <c r="D62" s="15">
        <f t="shared" si="0"/>
        <v>-1.1984338977433708E-2</v>
      </c>
      <c r="E62" s="14">
        <v>149193501900</v>
      </c>
      <c r="F62" s="15">
        <f t="shared" si="0"/>
        <v>-8.2094043158119859E-3</v>
      </c>
      <c r="G62" s="16">
        <v>150428429700</v>
      </c>
    </row>
    <row r="63" spans="1:7" x14ac:dyDescent="0.2">
      <c r="A63" s="12" t="s">
        <v>59</v>
      </c>
      <c r="B63" s="13" t="str">
        <f>'Just Value All Property Types'!B63</f>
        <v>R-Prelim</v>
      </c>
      <c r="C63" s="14">
        <v>88020033422</v>
      </c>
      <c r="D63" s="15">
        <f t="shared" si="0"/>
        <v>5.1325516090014227E-2</v>
      </c>
      <c r="E63" s="14">
        <v>83722911767</v>
      </c>
      <c r="F63" s="15">
        <f t="shared" si="0"/>
        <v>4.4909517481926085E-2</v>
      </c>
      <c r="G63" s="16">
        <v>80124556592</v>
      </c>
    </row>
    <row r="64" spans="1:7" x14ac:dyDescent="0.2">
      <c r="A64" s="12" t="s">
        <v>60</v>
      </c>
      <c r="B64" s="13" t="str">
        <f>'Just Value All Property Types'!B64</f>
        <v>R-Prelim</v>
      </c>
      <c r="C64" s="14">
        <v>35569194023</v>
      </c>
      <c r="D64" s="15">
        <f t="shared" si="0"/>
        <v>4.5474005928392312E-2</v>
      </c>
      <c r="E64" s="14">
        <v>34022074027</v>
      </c>
      <c r="F64" s="15">
        <f t="shared" si="0"/>
        <v>8.8444379500759104E-2</v>
      </c>
      <c r="G64" s="16">
        <v>31257521898</v>
      </c>
    </row>
    <row r="65" spans="1:7" x14ac:dyDescent="0.2">
      <c r="A65" s="12" t="s">
        <v>61</v>
      </c>
      <c r="B65" s="13" t="str">
        <f>'Just Value All Property Types'!B65</f>
        <v>R-Prelim</v>
      </c>
      <c r="C65" s="14">
        <v>4548252367</v>
      </c>
      <c r="D65" s="15">
        <f t="shared" si="0"/>
        <v>6.427101405071424E-2</v>
      </c>
      <c r="E65" s="14">
        <v>4273584742</v>
      </c>
      <c r="F65" s="15">
        <f t="shared" si="0"/>
        <v>7.2957212878481864E-2</v>
      </c>
      <c r="G65" s="16">
        <v>3982996424</v>
      </c>
    </row>
    <row r="66" spans="1:7" x14ac:dyDescent="0.2">
      <c r="A66" s="12" t="s">
        <v>62</v>
      </c>
      <c r="B66" s="13" t="str">
        <f>'Just Value All Property Types'!B66</f>
        <v>R-Prelim</v>
      </c>
      <c r="C66" s="14">
        <v>2763475703</v>
      </c>
      <c r="D66" s="15">
        <f t="shared" si="0"/>
        <v>6.5837292223519797E-3</v>
      </c>
      <c r="E66" s="14">
        <v>2745400728</v>
      </c>
      <c r="F66" s="15">
        <f t="shared" si="0"/>
        <v>-2.3417660344654867E-2</v>
      </c>
      <c r="G66" s="16">
        <v>2811233233</v>
      </c>
    </row>
    <row r="67" spans="1:7" x14ac:dyDescent="0.2">
      <c r="A67" s="12" t="s">
        <v>63</v>
      </c>
      <c r="B67" s="13" t="str">
        <f>'Just Value All Property Types'!B67</f>
        <v>R-Prelim</v>
      </c>
      <c r="C67" s="14">
        <v>1107058160</v>
      </c>
      <c r="D67" s="15">
        <f t="shared" si="0"/>
        <v>4.2516249034012771E-2</v>
      </c>
      <c r="E67" s="14">
        <v>1061909741</v>
      </c>
      <c r="F67" s="15">
        <f t="shared" si="0"/>
        <v>8.5295837888577836E-2</v>
      </c>
      <c r="G67" s="16">
        <v>978451869</v>
      </c>
    </row>
    <row r="68" spans="1:7" x14ac:dyDescent="0.2">
      <c r="A68" s="12" t="s">
        <v>64</v>
      </c>
      <c r="B68" s="13" t="str">
        <f>'Just Value All Property Types'!B68</f>
        <v>R-Prelim</v>
      </c>
      <c r="C68" s="14">
        <v>104077543530</v>
      </c>
      <c r="D68" s="15">
        <f t="shared" si="0"/>
        <v>1.082719599598193E-2</v>
      </c>
      <c r="E68" s="14">
        <v>102962745702</v>
      </c>
      <c r="F68" s="15">
        <f t="shared" si="0"/>
        <v>3.6578855121816925E-2</v>
      </c>
      <c r="G68" s="16">
        <v>99329390324</v>
      </c>
    </row>
    <row r="69" spans="1:7" x14ac:dyDescent="0.2">
      <c r="A69" s="12" t="s">
        <v>65</v>
      </c>
      <c r="B69" s="13" t="str">
        <f>'Just Value All Property Types'!B69</f>
        <v>R-Prelim</v>
      </c>
      <c r="C69" s="14">
        <v>4734574715</v>
      </c>
      <c r="D69" s="15">
        <f t="shared" si="0"/>
        <v>1.6366132605880289E-2</v>
      </c>
      <c r="E69" s="14">
        <v>4658335774</v>
      </c>
      <c r="F69" s="15">
        <f t="shared" si="0"/>
        <v>8.0083638142842931E-2</v>
      </c>
      <c r="G69" s="16">
        <v>4312939859</v>
      </c>
    </row>
    <row r="70" spans="1:7" x14ac:dyDescent="0.2">
      <c r="A70" s="12" t="s">
        <v>66</v>
      </c>
      <c r="B70" s="13" t="str">
        <f>'Just Value All Property Types'!B70</f>
        <v>R-Prelim</v>
      </c>
      <c r="C70" s="14">
        <v>60454950293</v>
      </c>
      <c r="D70" s="15">
        <f t="shared" ref="D70:F73" si="1">((C70-E70)/E70)</f>
        <v>8.0896414814014689E-3</v>
      </c>
      <c r="E70" s="14">
        <v>59969815982</v>
      </c>
      <c r="F70" s="15">
        <f t="shared" si="1"/>
        <v>5.1614197624324523E-2</v>
      </c>
      <c r="G70" s="16">
        <v>57026441938</v>
      </c>
    </row>
    <row r="71" spans="1:7" x14ac:dyDescent="0.2">
      <c r="A71" s="12" t="s">
        <v>67</v>
      </c>
      <c r="B71" s="13" t="str">
        <f>'Just Value All Property Types'!B71</f>
        <v>R-Prelim</v>
      </c>
      <c r="C71" s="14">
        <v>2721836252</v>
      </c>
      <c r="D71" s="15">
        <f t="shared" si="1"/>
        <v>3.2809520252312527E-2</v>
      </c>
      <c r="E71" s="14">
        <v>2635370994</v>
      </c>
      <c r="F71" s="15">
        <f t="shared" si="1"/>
        <v>9.9782193321913473E-2</v>
      </c>
      <c r="G71" s="16">
        <v>2396266288</v>
      </c>
    </row>
    <row r="72" spans="1:7" x14ac:dyDescent="0.2">
      <c r="A72" s="18"/>
      <c r="B72" s="19"/>
      <c r="C72" s="14"/>
      <c r="D72" s="20"/>
      <c r="E72" s="14"/>
      <c r="F72" s="20"/>
      <c r="G72" s="16"/>
    </row>
    <row r="73" spans="1:7" ht="15.75" thickBot="1" x14ac:dyDescent="0.3">
      <c r="A73" s="21" t="s">
        <v>68</v>
      </c>
      <c r="B73" s="22"/>
      <c r="C73" s="23">
        <f>SUM(C5:C71)</f>
        <v>5232066392772</v>
      </c>
      <c r="D73" s="24">
        <f t="shared" si="1"/>
        <v>2.1963260647977725E-2</v>
      </c>
      <c r="E73" s="23">
        <f>SUM(E5:E71)</f>
        <v>5119622783166</v>
      </c>
      <c r="F73" s="24">
        <f t="shared" si="1"/>
        <v>3.552309032261209E-2</v>
      </c>
      <c r="G73" s="25">
        <f>SUM(G5:G71)</f>
        <v>4943996740402</v>
      </c>
    </row>
    <row r="75" spans="1:7" x14ac:dyDescent="0.2">
      <c r="A75" s="26" t="s">
        <v>89</v>
      </c>
    </row>
  </sheetData>
  <phoneticPr fontId="3" type="noConversion"/>
  <conditionalFormatting sqref="A75">
    <cfRule type="expression" dxfId="6" priority="7" stopIfTrue="1">
      <formula>MOD(ROW(),5)=1</formula>
    </cfRule>
  </conditionalFormatting>
  <conditionalFormatting sqref="A4:G73">
    <cfRule type="expression" dxfId="5"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D73:F7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5"/>
  <sheetViews>
    <sheetView zoomScaleNormal="100" zoomScaleSheetLayoutView="100" workbookViewId="0">
      <pane ySplit="4" topLeftCell="A5" activePane="bottomLeft" state="frozen"/>
      <selection activeCell="B19" sqref="B19:H19"/>
      <selection pane="bottomLeft" activeCell="I5" sqref="I4:I5"/>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6" ht="23.25" x14ac:dyDescent="0.35">
      <c r="A1" s="7" t="s">
        <v>70</v>
      </c>
      <c r="B1" s="8"/>
      <c r="C1" s="9"/>
      <c r="D1" s="8"/>
      <c r="E1" s="9"/>
      <c r="F1" s="8"/>
      <c r="G1" s="9"/>
    </row>
    <row r="2" spans="1:16" ht="15" x14ac:dyDescent="0.25">
      <c r="A2" s="10" t="s">
        <v>90</v>
      </c>
      <c r="B2" s="10"/>
      <c r="C2" s="10"/>
      <c r="D2" s="10"/>
      <c r="E2" s="10"/>
      <c r="F2" s="10"/>
      <c r="G2" s="10"/>
    </row>
    <row r="3" spans="1:16" s="40" customFormat="1" ht="15" thickBot="1" x14ac:dyDescent="0.25">
      <c r="B3" s="41"/>
      <c r="D3" s="41"/>
      <c r="F3" s="41"/>
    </row>
    <row r="4" spans="1:16" s="36" customFormat="1" ht="25.5" x14ac:dyDescent="0.2">
      <c r="A4" s="33" t="s">
        <v>0</v>
      </c>
      <c r="B4" s="34" t="s">
        <v>1</v>
      </c>
      <c r="C4" s="37" t="s">
        <v>91</v>
      </c>
      <c r="D4" s="37" t="s">
        <v>92</v>
      </c>
      <c r="E4" s="37" t="s">
        <v>83</v>
      </c>
      <c r="F4" s="37" t="s">
        <v>84</v>
      </c>
      <c r="G4" s="38" t="s">
        <v>82</v>
      </c>
    </row>
    <row r="5" spans="1:16" x14ac:dyDescent="0.2">
      <c r="A5" s="12" t="s">
        <v>4</v>
      </c>
      <c r="B5" s="13" t="str">
        <f>'Just Value All Property Types'!B5</f>
        <v>R-Prelim</v>
      </c>
      <c r="C5" s="14">
        <v>4440410083</v>
      </c>
      <c r="D5" s="15">
        <f>((C5-E5)/E5)</f>
        <v>2.7707284919041824E-2</v>
      </c>
      <c r="E5" s="14">
        <v>4320695346</v>
      </c>
      <c r="F5" s="15">
        <f>((E5-G5)/G5)</f>
        <v>-1.6108791394830093E-3</v>
      </c>
      <c r="G5" s="16">
        <v>4327666694</v>
      </c>
    </row>
    <row r="6" spans="1:16" x14ac:dyDescent="0.2">
      <c r="A6" s="12" t="s">
        <v>5</v>
      </c>
      <c r="B6" s="13" t="str">
        <f>'Just Value All Property Types'!B6</f>
        <v>R-Prelim</v>
      </c>
      <c r="C6" s="14">
        <v>285846355</v>
      </c>
      <c r="D6" s="15">
        <f t="shared" ref="D6:F69" si="0">((C6-E6)/E6)</f>
        <v>-9.7356070587560642E-2</v>
      </c>
      <c r="E6" s="14">
        <v>316676760</v>
      </c>
      <c r="F6" s="15">
        <f t="shared" si="0"/>
        <v>0.20142395918072914</v>
      </c>
      <c r="G6" s="16">
        <v>263584522</v>
      </c>
    </row>
    <row r="7" spans="1:16" x14ac:dyDescent="0.2">
      <c r="A7" s="12" t="s">
        <v>6</v>
      </c>
      <c r="B7" s="13" t="str">
        <f>'Just Value All Property Types'!B7</f>
        <v>R-Prelim</v>
      </c>
      <c r="C7" s="14">
        <v>2778575568</v>
      </c>
      <c r="D7" s="15">
        <f t="shared" si="0"/>
        <v>-7.6536122055058968E-3</v>
      </c>
      <c r="E7" s="14">
        <v>2800005726</v>
      </c>
      <c r="F7" s="15">
        <f t="shared" si="0"/>
        <v>-8.0088763921125905E-3</v>
      </c>
      <c r="G7" s="16">
        <v>2822611674</v>
      </c>
      <c r="P7" s="17"/>
    </row>
    <row r="8" spans="1:16" x14ac:dyDescent="0.2">
      <c r="A8" s="12" t="s">
        <v>7</v>
      </c>
      <c r="B8" s="13" t="str">
        <f>'Just Value All Property Types'!B8</f>
        <v>R-Prelim</v>
      </c>
      <c r="C8" s="14">
        <v>350449535</v>
      </c>
      <c r="D8" s="15">
        <f t="shared" si="0"/>
        <v>-3.2125462512835469E-2</v>
      </c>
      <c r="E8" s="14">
        <v>362081573</v>
      </c>
      <c r="F8" s="15">
        <f t="shared" si="0"/>
        <v>5.4077501247242962E-2</v>
      </c>
      <c r="G8" s="16">
        <v>343505646</v>
      </c>
      <c r="P8" s="17"/>
    </row>
    <row r="9" spans="1:16" x14ac:dyDescent="0.2">
      <c r="A9" s="12" t="s">
        <v>8</v>
      </c>
      <c r="B9" s="13" t="str">
        <f>'Just Value All Property Types'!B9</f>
        <v>R-Prelim</v>
      </c>
      <c r="C9" s="14">
        <v>12794579185</v>
      </c>
      <c r="D9" s="15">
        <f t="shared" si="0"/>
        <v>-6.2197485565344771E-3</v>
      </c>
      <c r="E9" s="14">
        <v>12874656310</v>
      </c>
      <c r="F9" s="15">
        <f t="shared" si="0"/>
        <v>5.5172062890382227E-2</v>
      </c>
      <c r="G9" s="16">
        <v>12201475724</v>
      </c>
      <c r="P9" s="17"/>
    </row>
    <row r="10" spans="1:16" x14ac:dyDescent="0.2">
      <c r="A10" s="12" t="s">
        <v>9</v>
      </c>
      <c r="B10" s="13" t="str">
        <f>'Just Value All Property Types'!B10</f>
        <v>R-Prelim</v>
      </c>
      <c r="C10" s="14">
        <v>13399369946</v>
      </c>
      <c r="D10" s="15">
        <f t="shared" si="0"/>
        <v>4.4622076086533125E-2</v>
      </c>
      <c r="E10" s="14">
        <v>12827002466</v>
      </c>
      <c r="F10" s="15">
        <f t="shared" si="0"/>
        <v>4.8152448436303424E-2</v>
      </c>
      <c r="G10" s="16">
        <v>12237725996</v>
      </c>
      <c r="P10" s="17"/>
    </row>
    <row r="11" spans="1:16" x14ac:dyDescent="0.2">
      <c r="A11" s="12" t="s">
        <v>10</v>
      </c>
      <c r="B11" s="13" t="str">
        <f>'Just Value All Property Types'!B11</f>
        <v>R-Prelim</v>
      </c>
      <c r="C11" s="14">
        <v>886504405</v>
      </c>
      <c r="D11" s="15">
        <f t="shared" si="0"/>
        <v>0.72353221522822875</v>
      </c>
      <c r="E11" s="14">
        <v>514353255</v>
      </c>
      <c r="F11" s="15">
        <f t="shared" si="0"/>
        <v>0.29952931616375461</v>
      </c>
      <c r="G11" s="16">
        <v>395799655</v>
      </c>
      <c r="P11" s="17"/>
    </row>
    <row r="12" spans="1:16" x14ac:dyDescent="0.2">
      <c r="A12" s="12" t="s">
        <v>11</v>
      </c>
      <c r="B12" s="13" t="str">
        <f>'Just Value All Property Types'!B12</f>
        <v>R-Prelim</v>
      </c>
      <c r="C12" s="14">
        <v>2206355616</v>
      </c>
      <c r="D12" s="15">
        <f t="shared" si="0"/>
        <v>7.1374004258401097E-2</v>
      </c>
      <c r="E12" s="14">
        <v>2059370124</v>
      </c>
      <c r="F12" s="15">
        <f t="shared" si="0"/>
        <v>8.1433808828518472E-2</v>
      </c>
      <c r="G12" s="16">
        <v>1904296044</v>
      </c>
      <c r="P12" s="17"/>
    </row>
    <row r="13" spans="1:16" x14ac:dyDescent="0.2">
      <c r="A13" s="12" t="s">
        <v>12</v>
      </c>
      <c r="B13" s="13" t="str">
        <f>'Just Value All Property Types'!B13</f>
        <v>R-Prelim</v>
      </c>
      <c r="C13" s="14">
        <v>4309568309</v>
      </c>
      <c r="D13" s="15">
        <f t="shared" si="0"/>
        <v>3.2561642689421549E-2</v>
      </c>
      <c r="E13" s="14">
        <v>4173666860</v>
      </c>
      <c r="F13" s="15">
        <f t="shared" si="0"/>
        <v>3.4586741921668246E-2</v>
      </c>
      <c r="G13" s="16">
        <v>4034139131</v>
      </c>
      <c r="P13" s="17"/>
    </row>
    <row r="14" spans="1:16" x14ac:dyDescent="0.2">
      <c r="A14" s="12" t="s">
        <v>13</v>
      </c>
      <c r="B14" s="13" t="str">
        <f>'Just Value All Property Types'!B14</f>
        <v>R-Prelim</v>
      </c>
      <c r="C14" s="14">
        <v>2383136157</v>
      </c>
      <c r="D14" s="15">
        <f t="shared" si="0"/>
        <v>3.6580697507469853E-2</v>
      </c>
      <c r="E14" s="14">
        <v>2299035823</v>
      </c>
      <c r="F14" s="15">
        <f t="shared" si="0"/>
        <v>5.3969468768170187E-2</v>
      </c>
      <c r="G14" s="16">
        <v>2181311595</v>
      </c>
      <c r="P14" s="17"/>
    </row>
    <row r="15" spans="1:16" x14ac:dyDescent="0.2">
      <c r="A15" s="12" t="s">
        <v>14</v>
      </c>
      <c r="B15" s="13" t="str">
        <f>'Just Value All Property Types'!B15</f>
        <v>R-Prelim</v>
      </c>
      <c r="C15" s="14">
        <v>3895753249</v>
      </c>
      <c r="D15" s="15">
        <f t="shared" si="0"/>
        <v>9.7799367130485551E-2</v>
      </c>
      <c r="E15" s="14">
        <v>3548693291</v>
      </c>
      <c r="F15" s="15">
        <f t="shared" si="0"/>
        <v>4.4518185364129714E-2</v>
      </c>
      <c r="G15" s="16">
        <v>3397445196</v>
      </c>
      <c r="P15" s="17"/>
    </row>
    <row r="16" spans="1:16" x14ac:dyDescent="0.2">
      <c r="A16" s="12" t="s">
        <v>15</v>
      </c>
      <c r="B16" s="13" t="str">
        <f>'Just Value All Property Types'!B16</f>
        <v>R-Prelim</v>
      </c>
      <c r="C16" s="14">
        <v>1151389631</v>
      </c>
      <c r="D16" s="15">
        <f t="shared" si="0"/>
        <v>-2.4458240048642436E-2</v>
      </c>
      <c r="E16" s="14">
        <v>1180256631</v>
      </c>
      <c r="F16" s="15">
        <f t="shared" si="0"/>
        <v>0.21909895856377448</v>
      </c>
      <c r="G16" s="16">
        <v>968138495</v>
      </c>
      <c r="P16" s="17"/>
    </row>
    <row r="17" spans="1:16" x14ac:dyDescent="0.2">
      <c r="A17" s="12" t="s">
        <v>78</v>
      </c>
      <c r="B17" s="13" t="str">
        <f>'Just Value All Property Types'!B17</f>
        <v>R-Prelim</v>
      </c>
      <c r="C17" s="14">
        <v>25452592288</v>
      </c>
      <c r="D17" s="15">
        <f t="shared" si="0"/>
        <v>6.0904619553980348E-2</v>
      </c>
      <c r="E17" s="14">
        <v>23991404900</v>
      </c>
      <c r="F17" s="15">
        <f t="shared" si="0"/>
        <v>4.9238724999434033E-2</v>
      </c>
      <c r="G17" s="16">
        <v>22865535105</v>
      </c>
      <c r="P17" s="17"/>
    </row>
    <row r="18" spans="1:16" x14ac:dyDescent="0.2">
      <c r="A18" s="12" t="s">
        <v>16</v>
      </c>
      <c r="B18" s="13" t="str">
        <f>'Just Value All Property Types'!B18</f>
        <v>R-Prelim</v>
      </c>
      <c r="C18" s="14">
        <v>830779663</v>
      </c>
      <c r="D18" s="15">
        <f t="shared" si="0"/>
        <v>-6.6834775532359697E-2</v>
      </c>
      <c r="E18" s="14">
        <v>890281422</v>
      </c>
      <c r="F18" s="15">
        <f t="shared" si="0"/>
        <v>0.12283255184087212</v>
      </c>
      <c r="G18" s="16">
        <v>792888860</v>
      </c>
      <c r="P18" s="17"/>
    </row>
    <row r="19" spans="1:16" x14ac:dyDescent="0.2">
      <c r="A19" s="12" t="s">
        <v>17</v>
      </c>
      <c r="B19" s="13" t="str">
        <f>'Just Value All Property Types'!B19</f>
        <v>R-Prelim</v>
      </c>
      <c r="C19" s="14">
        <v>138064684</v>
      </c>
      <c r="D19" s="15">
        <f t="shared" si="0"/>
        <v>0.10465735697042788</v>
      </c>
      <c r="E19" s="14">
        <v>124984171</v>
      </c>
      <c r="F19" s="15">
        <f t="shared" si="0"/>
        <v>1.6309986807032242E-2</v>
      </c>
      <c r="G19" s="16">
        <v>122978395</v>
      </c>
      <c r="P19" s="17"/>
    </row>
    <row r="20" spans="1:16" x14ac:dyDescent="0.2">
      <c r="A20" s="12" t="s">
        <v>18</v>
      </c>
      <c r="B20" s="13" t="str">
        <f>'Just Value All Property Types'!B20</f>
        <v>R-Prelim</v>
      </c>
      <c r="C20" s="14">
        <v>18689887949</v>
      </c>
      <c r="D20" s="15">
        <f t="shared" si="0"/>
        <v>9.8289796481453126E-2</v>
      </c>
      <c r="E20" s="14">
        <v>17017264486</v>
      </c>
      <c r="F20" s="15">
        <f t="shared" si="0"/>
        <v>8.098420917322418E-3</v>
      </c>
      <c r="G20" s="16">
        <v>16880558617</v>
      </c>
      <c r="P20" s="17"/>
    </row>
    <row r="21" spans="1:16" x14ac:dyDescent="0.2">
      <c r="A21" s="12" t="s">
        <v>19</v>
      </c>
      <c r="B21" s="13" t="str">
        <f>'Just Value All Property Types'!B21</f>
        <v>R-Prelim</v>
      </c>
      <c r="C21" s="14">
        <v>5458066849</v>
      </c>
      <c r="D21" s="15">
        <f t="shared" si="0"/>
        <v>2.3714086120564252E-2</v>
      </c>
      <c r="E21" s="14">
        <v>5331632067</v>
      </c>
      <c r="F21" s="15">
        <f t="shared" si="0"/>
        <v>6.1358316117103871E-2</v>
      </c>
      <c r="G21" s="16">
        <v>5023404430</v>
      </c>
      <c r="P21" s="17"/>
    </row>
    <row r="22" spans="1:16" x14ac:dyDescent="0.2">
      <c r="A22" s="12" t="s">
        <v>20</v>
      </c>
      <c r="B22" s="13" t="str">
        <f>'Just Value All Property Types'!B22</f>
        <v>R-Prelim</v>
      </c>
      <c r="C22" s="14">
        <v>1146680543</v>
      </c>
      <c r="D22" s="15">
        <f t="shared" si="0"/>
        <v>-8.2745900452739815E-2</v>
      </c>
      <c r="E22" s="14">
        <v>1250123105</v>
      </c>
      <c r="F22" s="15">
        <f t="shared" si="0"/>
        <v>0.20875991253644161</v>
      </c>
      <c r="G22" s="16">
        <v>1034219527</v>
      </c>
      <c r="P22" s="17"/>
    </row>
    <row r="23" spans="1:16" x14ac:dyDescent="0.2">
      <c r="A23" s="12" t="s">
        <v>21</v>
      </c>
      <c r="B23" s="13" t="str">
        <f>'Just Value All Property Types'!B23</f>
        <v>R-Prelim</v>
      </c>
      <c r="C23" s="14">
        <v>105478236</v>
      </c>
      <c r="D23" s="15">
        <f t="shared" si="0"/>
        <v>-6.2636389552685676E-2</v>
      </c>
      <c r="E23" s="14">
        <v>112526489</v>
      </c>
      <c r="F23" s="15">
        <f t="shared" si="0"/>
        <v>0.11479614044008508</v>
      </c>
      <c r="G23" s="16">
        <v>100939073</v>
      </c>
      <c r="P23" s="17"/>
    </row>
    <row r="24" spans="1:16" x14ac:dyDescent="0.2">
      <c r="A24" s="12" t="s">
        <v>22</v>
      </c>
      <c r="B24" s="13" t="str">
        <f>'Just Value All Property Types'!B24</f>
        <v>R-Prelim</v>
      </c>
      <c r="C24" s="14">
        <v>984926654</v>
      </c>
      <c r="D24" s="15">
        <f t="shared" si="0"/>
        <v>5.0012454021767704E-2</v>
      </c>
      <c r="E24" s="14">
        <v>938014259</v>
      </c>
      <c r="F24" s="15">
        <f t="shared" si="0"/>
        <v>0.1344486496897459</v>
      </c>
      <c r="G24" s="16">
        <v>826845939</v>
      </c>
      <c r="P24" s="17"/>
    </row>
    <row r="25" spans="1:16" x14ac:dyDescent="0.2">
      <c r="A25" s="12" t="s">
        <v>23</v>
      </c>
      <c r="B25" s="13" t="str">
        <f>'Just Value All Property Types'!B25</f>
        <v>R-Prelim</v>
      </c>
      <c r="C25" s="14">
        <v>491957571</v>
      </c>
      <c r="D25" s="15">
        <f t="shared" si="0"/>
        <v>1.1524806681709077E-2</v>
      </c>
      <c r="E25" s="14">
        <v>486352453</v>
      </c>
      <c r="F25" s="15">
        <f t="shared" si="0"/>
        <v>0.18019539612939164</v>
      </c>
      <c r="G25" s="16">
        <v>412094857</v>
      </c>
      <c r="P25" s="17"/>
    </row>
    <row r="26" spans="1:16" x14ac:dyDescent="0.2">
      <c r="A26" s="12" t="s">
        <v>24</v>
      </c>
      <c r="B26" s="13" t="str">
        <f>'Just Value All Property Types'!B26</f>
        <v>R-Prelim</v>
      </c>
      <c r="C26" s="14">
        <v>231848106</v>
      </c>
      <c r="D26" s="15">
        <f t="shared" si="0"/>
        <v>9.258104595369801E-2</v>
      </c>
      <c r="E26" s="14">
        <v>212202204</v>
      </c>
      <c r="F26" s="15">
        <f t="shared" si="0"/>
        <v>1.05334252912374E-2</v>
      </c>
      <c r="G26" s="16">
        <v>209990287</v>
      </c>
      <c r="P26" s="17"/>
    </row>
    <row r="27" spans="1:16" x14ac:dyDescent="0.2">
      <c r="A27" s="12" t="s">
        <v>25</v>
      </c>
      <c r="B27" s="13" t="str">
        <f>'Just Value All Property Types'!B27</f>
        <v>R-Prelim</v>
      </c>
      <c r="C27" s="14">
        <v>179777182</v>
      </c>
      <c r="D27" s="15">
        <f t="shared" si="0"/>
        <v>7.4717006280491646E-2</v>
      </c>
      <c r="E27" s="14">
        <v>167278624</v>
      </c>
      <c r="F27" s="15">
        <f t="shared" si="0"/>
        <v>7.1910304309559581E-2</v>
      </c>
      <c r="G27" s="16">
        <v>156056550</v>
      </c>
      <c r="P27" s="17"/>
    </row>
    <row r="28" spans="1:16" x14ac:dyDescent="0.2">
      <c r="A28" s="12" t="s">
        <v>26</v>
      </c>
      <c r="B28" s="13" t="str">
        <f>'Just Value All Property Types'!B28</f>
        <v>R-Prelim</v>
      </c>
      <c r="C28" s="14">
        <v>759110094</v>
      </c>
      <c r="D28" s="15">
        <f t="shared" si="0"/>
        <v>3.7634595177911657E-2</v>
      </c>
      <c r="E28" s="14">
        <v>731577472</v>
      </c>
      <c r="F28" s="15">
        <f t="shared" si="0"/>
        <v>2.7423456196477188E-2</v>
      </c>
      <c r="G28" s="16">
        <v>712050584</v>
      </c>
      <c r="P28" s="17"/>
    </row>
    <row r="29" spans="1:16" x14ac:dyDescent="0.2">
      <c r="A29" s="12" t="s">
        <v>27</v>
      </c>
      <c r="B29" s="13" t="str">
        <f>'Just Value All Property Types'!B29</f>
        <v>R-Prelim</v>
      </c>
      <c r="C29" s="14">
        <v>1247898032</v>
      </c>
      <c r="D29" s="15">
        <f t="shared" si="0"/>
        <v>1.9576445216778246E-2</v>
      </c>
      <c r="E29" s="14">
        <v>1223937683</v>
      </c>
      <c r="F29" s="15">
        <f t="shared" si="0"/>
        <v>3.8158275436579063E-2</v>
      </c>
      <c r="G29" s="16">
        <v>1178950948</v>
      </c>
      <c r="P29" s="17"/>
    </row>
    <row r="30" spans="1:16" x14ac:dyDescent="0.2">
      <c r="A30" s="12" t="s">
        <v>28</v>
      </c>
      <c r="B30" s="13" t="str">
        <f>'Just Value All Property Types'!B30</f>
        <v>R-Prelim</v>
      </c>
      <c r="C30" s="14">
        <v>1920469173</v>
      </c>
      <c r="D30" s="15">
        <f t="shared" si="0"/>
        <v>5.3045945578434665E-2</v>
      </c>
      <c r="E30" s="14">
        <v>1823727807</v>
      </c>
      <c r="F30" s="15">
        <f t="shared" si="0"/>
        <v>8.4507293587472748E-2</v>
      </c>
      <c r="G30" s="16">
        <v>1681618757</v>
      </c>
      <c r="P30" s="17"/>
    </row>
    <row r="31" spans="1:16" x14ac:dyDescent="0.2">
      <c r="A31" s="12" t="s">
        <v>29</v>
      </c>
      <c r="B31" s="13" t="str">
        <f>'Just Value All Property Types'!B31</f>
        <v>R-Prelim</v>
      </c>
      <c r="C31" s="14">
        <v>2576932922</v>
      </c>
      <c r="D31" s="15">
        <f t="shared" si="0"/>
        <v>0.12006601132432469</v>
      </c>
      <c r="E31" s="14">
        <v>2300697366</v>
      </c>
      <c r="F31" s="15">
        <f t="shared" si="0"/>
        <v>8.32395853538309E-2</v>
      </c>
      <c r="G31" s="16">
        <v>2123904441</v>
      </c>
      <c r="P31" s="17"/>
    </row>
    <row r="32" spans="1:16" x14ac:dyDescent="0.2">
      <c r="A32" s="12" t="s">
        <v>30</v>
      </c>
      <c r="B32" s="13" t="str">
        <f>'Just Value All Property Types'!B32</f>
        <v>R-Prelim</v>
      </c>
      <c r="C32" s="14">
        <v>773819095</v>
      </c>
      <c r="D32" s="15">
        <f t="shared" si="0"/>
        <v>-0.14021189811548632</v>
      </c>
      <c r="E32" s="14">
        <v>900011402</v>
      </c>
      <c r="F32" s="15">
        <f t="shared" si="0"/>
        <v>4.9731532695506182E-2</v>
      </c>
      <c r="G32" s="16">
        <v>857372932</v>
      </c>
      <c r="P32" s="17"/>
    </row>
    <row r="33" spans="1:16" x14ac:dyDescent="0.2">
      <c r="A33" s="12" t="s">
        <v>31</v>
      </c>
      <c r="B33" s="13" t="str">
        <f>'Just Value All Property Types'!B33</f>
        <v>R-Prelim</v>
      </c>
      <c r="C33" s="14">
        <v>14566096400</v>
      </c>
      <c r="D33" s="15">
        <f t="shared" si="0"/>
        <v>-3.3602645669804636E-2</v>
      </c>
      <c r="E33" s="14">
        <v>15072574790</v>
      </c>
      <c r="F33" s="15">
        <f t="shared" si="0"/>
        <v>4.1450331466689333E-2</v>
      </c>
      <c r="G33" s="16">
        <v>14472677510</v>
      </c>
      <c r="P33" s="17"/>
    </row>
    <row r="34" spans="1:16" x14ac:dyDescent="0.2">
      <c r="A34" s="12" t="s">
        <v>32</v>
      </c>
      <c r="B34" s="13" t="str">
        <f>'Just Value All Property Types'!B34</f>
        <v>R-Prelim</v>
      </c>
      <c r="C34" s="14">
        <v>144860255</v>
      </c>
      <c r="D34" s="15">
        <f t="shared" si="0"/>
        <v>-0.1352986548790201</v>
      </c>
      <c r="E34" s="14">
        <v>167526344</v>
      </c>
      <c r="F34" s="15">
        <f t="shared" si="0"/>
        <v>0.20513586550663593</v>
      </c>
      <c r="G34" s="16">
        <v>139010338</v>
      </c>
      <c r="P34" s="17"/>
    </row>
    <row r="35" spans="1:16" x14ac:dyDescent="0.2">
      <c r="A35" s="12" t="s">
        <v>33</v>
      </c>
      <c r="B35" s="13" t="str">
        <f>'Just Value All Property Types'!B35</f>
        <v>R-Prelim</v>
      </c>
      <c r="C35" s="14">
        <v>1613877666</v>
      </c>
      <c r="D35" s="15">
        <f t="shared" si="0"/>
        <v>0.10497354207315265</v>
      </c>
      <c r="E35" s="14">
        <v>1460557746</v>
      </c>
      <c r="F35" s="15">
        <f t="shared" si="0"/>
        <v>0.11830688352186834</v>
      </c>
      <c r="G35" s="16">
        <v>1306043777</v>
      </c>
      <c r="P35" s="17"/>
    </row>
    <row r="36" spans="1:16" x14ac:dyDescent="0.2">
      <c r="A36" s="12" t="s">
        <v>34</v>
      </c>
      <c r="B36" s="13" t="str">
        <f>'Just Value All Property Types'!B36</f>
        <v>R-Prelim</v>
      </c>
      <c r="C36" s="14">
        <v>648172701</v>
      </c>
      <c r="D36" s="15">
        <f t="shared" si="0"/>
        <v>8.847710314736805E-2</v>
      </c>
      <c r="E36" s="14">
        <v>595485839</v>
      </c>
      <c r="F36" s="15">
        <f t="shared" si="0"/>
        <v>3.0953770062787687E-2</v>
      </c>
      <c r="G36" s="16">
        <v>577606733</v>
      </c>
      <c r="P36" s="17"/>
    </row>
    <row r="37" spans="1:16" x14ac:dyDescent="0.2">
      <c r="A37" s="12" t="s">
        <v>35</v>
      </c>
      <c r="B37" s="13" t="str">
        <f>'Just Value All Property Types'!B37</f>
        <v>R-Prelim</v>
      </c>
      <c r="C37" s="14">
        <v>275524636</v>
      </c>
      <c r="D37" s="15">
        <f t="shared" si="0"/>
        <v>-4.5652266545695985E-2</v>
      </c>
      <c r="E37" s="14">
        <v>288704658</v>
      </c>
      <c r="F37" s="15">
        <f t="shared" si="0"/>
        <v>2.8751384110630003E-2</v>
      </c>
      <c r="G37" s="16">
        <v>280635985</v>
      </c>
      <c r="P37" s="17"/>
    </row>
    <row r="38" spans="1:16" x14ac:dyDescent="0.2">
      <c r="A38" s="12" t="s">
        <v>36</v>
      </c>
      <c r="B38" s="13" t="str">
        <f>'Just Value All Property Types'!B38</f>
        <v>R-Prelim</v>
      </c>
      <c r="C38" s="14">
        <v>84705720</v>
      </c>
      <c r="D38" s="15">
        <f t="shared" si="0"/>
        <v>7.2859749120520234E-2</v>
      </c>
      <c r="E38" s="14">
        <v>78953209</v>
      </c>
      <c r="F38" s="15">
        <f t="shared" si="0"/>
        <v>4.3088960404406657E-2</v>
      </c>
      <c r="G38" s="16">
        <v>75691731</v>
      </c>
      <c r="P38" s="17"/>
    </row>
    <row r="39" spans="1:16" x14ac:dyDescent="0.2">
      <c r="A39" s="12" t="s">
        <v>37</v>
      </c>
      <c r="B39" s="13" t="str">
        <f>'Just Value All Property Types'!B39</f>
        <v>R-Prelim</v>
      </c>
      <c r="C39" s="14">
        <v>3188407661</v>
      </c>
      <c r="D39" s="15">
        <f t="shared" si="0"/>
        <v>0.13014734654072604</v>
      </c>
      <c r="E39" s="14">
        <v>2821231825</v>
      </c>
      <c r="F39" s="15">
        <f t="shared" si="0"/>
        <v>7.6392396446832309E-2</v>
      </c>
      <c r="G39" s="16">
        <v>2621006832</v>
      </c>
      <c r="P39" s="17"/>
    </row>
    <row r="40" spans="1:16" x14ac:dyDescent="0.2">
      <c r="A40" s="12" t="s">
        <v>38</v>
      </c>
      <c r="B40" s="13" t="str">
        <f>'Just Value All Property Types'!B40</f>
        <v>R-Prelim</v>
      </c>
      <c r="C40" s="14">
        <v>7977791393</v>
      </c>
      <c r="D40" s="15">
        <f t="shared" si="0"/>
        <v>5.3077221788502695E-2</v>
      </c>
      <c r="E40" s="14">
        <v>7575694572</v>
      </c>
      <c r="F40" s="15">
        <f t="shared" si="0"/>
        <v>5.9420418314146108E-2</v>
      </c>
      <c r="G40" s="16">
        <v>7150791547</v>
      </c>
      <c r="P40" s="17"/>
    </row>
    <row r="41" spans="1:16" x14ac:dyDescent="0.2">
      <c r="A41" s="12" t="s">
        <v>39</v>
      </c>
      <c r="B41" s="13" t="str">
        <f>'Just Value All Property Types'!B41</f>
        <v>R-Prelim</v>
      </c>
      <c r="C41" s="14">
        <v>2590484876</v>
      </c>
      <c r="D41" s="15">
        <f t="shared" si="0"/>
        <v>-2.522878455193216E-2</v>
      </c>
      <c r="E41" s="14">
        <v>2657531157</v>
      </c>
      <c r="F41" s="15">
        <f t="shared" si="0"/>
        <v>1.950166076331231E-2</v>
      </c>
      <c r="G41" s="16">
        <v>2606696251</v>
      </c>
      <c r="P41" s="17"/>
    </row>
    <row r="42" spans="1:16" x14ac:dyDescent="0.2">
      <c r="A42" s="12" t="s">
        <v>40</v>
      </c>
      <c r="B42" s="13" t="str">
        <f>'Just Value All Property Types'!B42</f>
        <v>R-Prelim</v>
      </c>
      <c r="C42" s="14">
        <v>899351076</v>
      </c>
      <c r="D42" s="15">
        <f t="shared" si="0"/>
        <v>0.42472798239083626</v>
      </c>
      <c r="E42" s="14">
        <v>631244060</v>
      </c>
      <c r="F42" s="15">
        <f t="shared" si="0"/>
        <v>0.24687114863803136</v>
      </c>
      <c r="G42" s="16">
        <v>506262464</v>
      </c>
      <c r="P42" s="17"/>
    </row>
    <row r="43" spans="1:16" x14ac:dyDescent="0.2">
      <c r="A43" s="12" t="s">
        <v>41</v>
      </c>
      <c r="B43" s="13" t="str">
        <f>'Just Value All Property Types'!B43</f>
        <v>R-Prelim</v>
      </c>
      <c r="C43" s="14">
        <v>173662484</v>
      </c>
      <c r="D43" s="15">
        <f t="shared" si="0"/>
        <v>-3.0573188709604807E-2</v>
      </c>
      <c r="E43" s="14">
        <v>179139345</v>
      </c>
      <c r="F43" s="15">
        <f t="shared" si="0"/>
        <v>0.11137927871729809</v>
      </c>
      <c r="G43" s="16">
        <v>161186508</v>
      </c>
      <c r="P43" s="17"/>
    </row>
    <row r="44" spans="1:16" x14ac:dyDescent="0.2">
      <c r="A44" s="12" t="s">
        <v>42</v>
      </c>
      <c r="B44" s="13" t="str">
        <f>'Just Value All Property Types'!B44</f>
        <v>R-Prelim</v>
      </c>
      <c r="C44" s="14">
        <v>463086060</v>
      </c>
      <c r="D44" s="15">
        <f t="shared" si="0"/>
        <v>7.7102131063150808E-2</v>
      </c>
      <c r="E44" s="14">
        <v>429937001</v>
      </c>
      <c r="F44" s="15">
        <f t="shared" si="0"/>
        <v>0.16054040670792499</v>
      </c>
      <c r="G44" s="16">
        <v>370462759</v>
      </c>
      <c r="P44" s="17"/>
    </row>
    <row r="45" spans="1:16" x14ac:dyDescent="0.2">
      <c r="A45" s="12" t="s">
        <v>43</v>
      </c>
      <c r="B45" s="13" t="str">
        <f>'Just Value All Property Types'!B45</f>
        <v>R-Prelim</v>
      </c>
      <c r="C45" s="14">
        <v>5516783645</v>
      </c>
      <c r="D45" s="15">
        <f t="shared" si="0"/>
        <v>3.1455604594294424E-2</v>
      </c>
      <c r="E45" s="14">
        <v>5348542022</v>
      </c>
      <c r="F45" s="15">
        <f t="shared" si="0"/>
        <v>8.7363533777177038E-2</v>
      </c>
      <c r="G45" s="16">
        <v>4918816804</v>
      </c>
      <c r="P45" s="17"/>
    </row>
    <row r="46" spans="1:16" x14ac:dyDescent="0.2">
      <c r="A46" s="12" t="s">
        <v>44</v>
      </c>
      <c r="B46" s="13" t="str">
        <f>'Just Value All Property Types'!B46</f>
        <v>R-Prelim</v>
      </c>
      <c r="C46" s="14">
        <v>3335938535</v>
      </c>
      <c r="D46" s="15">
        <f t="shared" si="0"/>
        <v>0.11822581708590756</v>
      </c>
      <c r="E46" s="14">
        <v>2983242279</v>
      </c>
      <c r="F46" s="15">
        <f t="shared" si="0"/>
        <v>6.5386309531038092E-2</v>
      </c>
      <c r="G46" s="16">
        <v>2800150755</v>
      </c>
      <c r="P46" s="17"/>
    </row>
    <row r="47" spans="1:16" x14ac:dyDescent="0.2">
      <c r="A47" s="12" t="s">
        <v>45</v>
      </c>
      <c r="B47" s="13" t="str">
        <f>'Just Value All Property Types'!B47</f>
        <v>R-Prelim</v>
      </c>
      <c r="C47" s="14">
        <v>4150521679</v>
      </c>
      <c r="D47" s="15">
        <f t="shared" si="0"/>
        <v>3.7580269604643994E-2</v>
      </c>
      <c r="E47" s="14">
        <v>4000193335</v>
      </c>
      <c r="F47" s="15">
        <f t="shared" si="0"/>
        <v>5.5955864460032145E-2</v>
      </c>
      <c r="G47" s="16">
        <v>3788220199</v>
      </c>
      <c r="P47" s="17"/>
    </row>
    <row r="48" spans="1:16" x14ac:dyDescent="0.2">
      <c r="A48" s="12" t="s">
        <v>46</v>
      </c>
      <c r="B48" s="13" t="str">
        <f>'Just Value All Property Types'!B48</f>
        <v>R-Prelim</v>
      </c>
      <c r="C48" s="14">
        <v>1176483660</v>
      </c>
      <c r="D48" s="15">
        <f t="shared" si="0"/>
        <v>-7.6501736574319272E-3</v>
      </c>
      <c r="E48" s="14">
        <v>1185553349</v>
      </c>
      <c r="F48" s="15">
        <f t="shared" si="0"/>
        <v>7.9435789015456074E-2</v>
      </c>
      <c r="G48" s="16">
        <v>1098308358</v>
      </c>
      <c r="P48" s="17"/>
    </row>
    <row r="49" spans="1:16" x14ac:dyDescent="0.2">
      <c r="A49" s="12" t="s">
        <v>47</v>
      </c>
      <c r="B49" s="13" t="str">
        <f>'Just Value All Property Types'!B49</f>
        <v>R-Prelim</v>
      </c>
      <c r="C49" s="14">
        <v>1942271074</v>
      </c>
      <c r="D49" s="15">
        <f t="shared" si="0"/>
        <v>5.4525299702074578E-4</v>
      </c>
      <c r="E49" s="14">
        <v>1941212622</v>
      </c>
      <c r="F49" s="15">
        <f t="shared" si="0"/>
        <v>3.2916824233524405E-2</v>
      </c>
      <c r="G49" s="16">
        <v>1879350376</v>
      </c>
      <c r="P49" s="17"/>
    </row>
    <row r="50" spans="1:16" x14ac:dyDescent="0.2">
      <c r="A50" s="12" t="s">
        <v>48</v>
      </c>
      <c r="B50" s="13" t="str">
        <f>'Just Value All Property Types'!B50</f>
        <v>R-Prelim</v>
      </c>
      <c r="C50" s="14">
        <v>1807977198</v>
      </c>
      <c r="D50" s="15">
        <f t="shared" si="0"/>
        <v>0.13411359973949685</v>
      </c>
      <c r="E50" s="14">
        <v>1594176455</v>
      </c>
      <c r="F50" s="15">
        <f t="shared" si="0"/>
        <v>0.27778731198526163</v>
      </c>
      <c r="G50" s="16">
        <v>1247607047</v>
      </c>
      <c r="P50" s="17"/>
    </row>
    <row r="51" spans="1:16" x14ac:dyDescent="0.2">
      <c r="A51" s="12" t="s">
        <v>49</v>
      </c>
      <c r="B51" s="13" t="str">
        <f>'Just Value All Property Types'!B51</f>
        <v>R-Prelim</v>
      </c>
      <c r="C51" s="14">
        <v>2412989266</v>
      </c>
      <c r="D51" s="15">
        <f t="shared" si="0"/>
        <v>0.1293710548238623</v>
      </c>
      <c r="E51" s="14">
        <v>2136577926</v>
      </c>
      <c r="F51" s="15">
        <f t="shared" si="0"/>
        <v>8.7935116732756363E-2</v>
      </c>
      <c r="G51" s="16">
        <v>1963883593</v>
      </c>
      <c r="P51" s="17"/>
    </row>
    <row r="52" spans="1:16" x14ac:dyDescent="0.2">
      <c r="A52" s="12" t="s">
        <v>50</v>
      </c>
      <c r="B52" s="13" t="str">
        <f>'Just Value All Property Types'!B52</f>
        <v>R-Prelim</v>
      </c>
      <c r="C52" s="14">
        <v>21518663972</v>
      </c>
      <c r="D52" s="15">
        <f t="shared" si="0"/>
        <v>9.6597025705293618E-2</v>
      </c>
      <c r="E52" s="14">
        <v>19623128157</v>
      </c>
      <c r="F52" s="15">
        <f t="shared" si="0"/>
        <v>1.4443308330502117E-2</v>
      </c>
      <c r="G52" s="16">
        <v>19343740548</v>
      </c>
      <c r="P52" s="17"/>
    </row>
    <row r="53" spans="1:16" x14ac:dyDescent="0.2">
      <c r="A53" s="12" t="s">
        <v>51</v>
      </c>
      <c r="B53" s="13" t="str">
        <f>'Just Value All Property Types'!B53</f>
        <v>R-Prelim</v>
      </c>
      <c r="C53" s="14">
        <v>4549454337</v>
      </c>
      <c r="D53" s="15">
        <f t="shared" si="0"/>
        <v>9.9091033798126796E-2</v>
      </c>
      <c r="E53" s="14">
        <v>4139288009</v>
      </c>
      <c r="F53" s="15">
        <f t="shared" si="0"/>
        <v>0.13989809034255399</v>
      </c>
      <c r="G53" s="16">
        <v>3631279010</v>
      </c>
      <c r="P53" s="17"/>
    </row>
    <row r="54" spans="1:16" x14ac:dyDescent="0.2">
      <c r="A54" s="12" t="s">
        <v>52</v>
      </c>
      <c r="B54" s="13" t="str">
        <f>'Just Value All Property Types'!B54</f>
        <v>R-Prelim</v>
      </c>
      <c r="C54" s="14">
        <v>16594830602</v>
      </c>
      <c r="D54" s="15">
        <f t="shared" si="0"/>
        <v>5.3549098606602757E-2</v>
      </c>
      <c r="E54" s="14">
        <v>15751359499</v>
      </c>
      <c r="F54" s="15">
        <f t="shared" si="0"/>
        <v>4.2124102572735578E-2</v>
      </c>
      <c r="G54" s="16">
        <v>15114667687</v>
      </c>
      <c r="P54" s="17"/>
    </row>
    <row r="55" spans="1:16" x14ac:dyDescent="0.2">
      <c r="A55" s="12" t="s">
        <v>53</v>
      </c>
      <c r="B55" s="13" t="str">
        <f>'Just Value All Property Types'!B55</f>
        <v>R-Prelim</v>
      </c>
      <c r="C55" s="14">
        <v>4231080415</v>
      </c>
      <c r="D55" s="15">
        <f t="shared" si="0"/>
        <v>3.1944584283705904E-2</v>
      </c>
      <c r="E55" s="14">
        <v>4100104288</v>
      </c>
      <c r="F55" s="15">
        <f t="shared" si="0"/>
        <v>6.1979701896893023E-2</v>
      </c>
      <c r="G55" s="16">
        <v>3860812293</v>
      </c>
      <c r="P55" s="17"/>
    </row>
    <row r="56" spans="1:16" x14ac:dyDescent="0.2">
      <c r="A56" s="12" t="s">
        <v>54</v>
      </c>
      <c r="B56" s="13" t="str">
        <f>'Just Value All Property Types'!B56</f>
        <v>R-Prelim</v>
      </c>
      <c r="C56" s="14">
        <v>8154585071</v>
      </c>
      <c r="D56" s="15">
        <f t="shared" si="0"/>
        <v>6.29081297512257E-2</v>
      </c>
      <c r="E56" s="14">
        <v>7671956628</v>
      </c>
      <c r="F56" s="15">
        <f t="shared" si="0"/>
        <v>3.461276298232091E-2</v>
      </c>
      <c r="G56" s="16">
        <v>7415292854</v>
      </c>
      <c r="P56" s="17"/>
    </row>
    <row r="57" spans="1:16" x14ac:dyDescent="0.2">
      <c r="A57" s="12" t="s">
        <v>55</v>
      </c>
      <c r="B57" s="13" t="str">
        <f>'Just Value All Property Types'!B57</f>
        <v>R-Prelim</v>
      </c>
      <c r="C57" s="14">
        <v>10122913589</v>
      </c>
      <c r="D57" s="15">
        <f t="shared" si="0"/>
        <v>-6.6611652214651901E-3</v>
      </c>
      <c r="E57" s="14">
        <v>10190796166</v>
      </c>
      <c r="F57" s="15">
        <f t="shared" si="0"/>
        <v>-7.2368210692725253E-3</v>
      </c>
      <c r="G57" s="16">
        <v>10265082733</v>
      </c>
      <c r="P57" s="17"/>
    </row>
    <row r="58" spans="1:16" x14ac:dyDescent="0.2">
      <c r="A58" s="12" t="s">
        <v>56</v>
      </c>
      <c r="B58" s="13" t="str">
        <f>'Just Value All Property Types'!B58</f>
        <v>R-Prelim</v>
      </c>
      <c r="C58" s="14">
        <v>3789577838</v>
      </c>
      <c r="D58" s="15">
        <f t="shared" si="0"/>
        <v>2.3580412479107707E-2</v>
      </c>
      <c r="E58" s="14">
        <v>3702276628</v>
      </c>
      <c r="F58" s="15">
        <f t="shared" si="0"/>
        <v>4.5634493787720096E-2</v>
      </c>
      <c r="G58" s="16">
        <v>3540698638</v>
      </c>
      <c r="P58" s="17"/>
    </row>
    <row r="59" spans="1:16" x14ac:dyDescent="0.2">
      <c r="A59" s="12" t="s">
        <v>2</v>
      </c>
      <c r="B59" s="13" t="str">
        <f>'Just Value All Property Types'!B59</f>
        <v>R-Prelim</v>
      </c>
      <c r="C59" s="14">
        <v>2455650280</v>
      </c>
      <c r="D59" s="15">
        <f t="shared" si="0"/>
        <v>2.1119533914367505E-2</v>
      </c>
      <c r="E59" s="14">
        <v>2404860742</v>
      </c>
      <c r="F59" s="15">
        <f t="shared" si="0"/>
        <v>7.1496777818603655E-2</v>
      </c>
      <c r="G59" s="16">
        <v>2244393816</v>
      </c>
      <c r="P59" s="17"/>
    </row>
    <row r="60" spans="1:16" x14ac:dyDescent="0.2">
      <c r="A60" s="12" t="s">
        <v>3</v>
      </c>
      <c r="B60" s="13" t="str">
        <f>'Just Value All Property Types'!B60</f>
        <v>R-Prelim</v>
      </c>
      <c r="C60" s="14">
        <v>7488758544</v>
      </c>
      <c r="D60" s="15">
        <f t="shared" si="0"/>
        <v>5.9233084110652243E-2</v>
      </c>
      <c r="E60" s="14">
        <v>7069981722</v>
      </c>
      <c r="F60" s="15">
        <f t="shared" si="0"/>
        <v>9.7713741244023336E-2</v>
      </c>
      <c r="G60" s="16">
        <v>6440642452</v>
      </c>
      <c r="P60" s="17"/>
    </row>
    <row r="61" spans="1:16" x14ac:dyDescent="0.2">
      <c r="A61" s="12" t="s">
        <v>57</v>
      </c>
      <c r="B61" s="13" t="str">
        <f>'Just Value All Property Types'!B61</f>
        <v>R-Prelim</v>
      </c>
      <c r="C61" s="14">
        <v>1261404937</v>
      </c>
      <c r="D61" s="15">
        <f t="shared" si="0"/>
        <v>0.10954903089192404</v>
      </c>
      <c r="E61" s="14">
        <v>1136862727</v>
      </c>
      <c r="F61" s="15">
        <f t="shared" si="0"/>
        <v>2.0018564139014702E-2</v>
      </c>
      <c r="G61" s="16">
        <v>1114551016</v>
      </c>
      <c r="P61" s="17"/>
    </row>
    <row r="62" spans="1:16" x14ac:dyDescent="0.2">
      <c r="A62" s="12" t="s">
        <v>58</v>
      </c>
      <c r="B62" s="13" t="str">
        <f>'Just Value All Property Types'!B62</f>
        <v>R-Prelim</v>
      </c>
      <c r="C62" s="14">
        <v>4402329481</v>
      </c>
      <c r="D62" s="15">
        <f t="shared" si="0"/>
        <v>9.6473906917325214E-2</v>
      </c>
      <c r="E62" s="14">
        <v>4014987911</v>
      </c>
      <c r="F62" s="15">
        <f t="shared" si="0"/>
        <v>3.8852730696404776E-2</v>
      </c>
      <c r="G62" s="16">
        <v>3864828760</v>
      </c>
      <c r="P62" s="17"/>
    </row>
    <row r="63" spans="1:16" x14ac:dyDescent="0.2">
      <c r="A63" s="12" t="s">
        <v>59</v>
      </c>
      <c r="B63" s="13" t="str">
        <f>'Just Value All Property Types'!B63</f>
        <v>R-Prelim</v>
      </c>
      <c r="C63" s="14">
        <v>3804560917</v>
      </c>
      <c r="D63" s="15">
        <f t="shared" si="0"/>
        <v>8.2519767192977572E-2</v>
      </c>
      <c r="E63" s="14">
        <v>3514541750</v>
      </c>
      <c r="F63" s="15">
        <f t="shared" si="0"/>
        <v>2.0849262503930467E-2</v>
      </c>
      <c r="G63" s="16">
        <v>3442762687</v>
      </c>
      <c r="P63" s="17"/>
    </row>
    <row r="64" spans="1:16" x14ac:dyDescent="0.2">
      <c r="A64" s="12" t="s">
        <v>60</v>
      </c>
      <c r="B64" s="13" t="str">
        <f>'Just Value All Property Types'!B64</f>
        <v>R-Prelim</v>
      </c>
      <c r="C64" s="14">
        <v>1926059974</v>
      </c>
      <c r="D64" s="15">
        <f t="shared" si="0"/>
        <v>0.10602109725480698</v>
      </c>
      <c r="E64" s="14">
        <v>1741431496</v>
      </c>
      <c r="F64" s="15">
        <f t="shared" si="0"/>
        <v>9.2881313881606073E-2</v>
      </c>
      <c r="G64" s="16">
        <v>1593431486</v>
      </c>
      <c r="P64" s="17"/>
    </row>
    <row r="65" spans="1:16" x14ac:dyDescent="0.2">
      <c r="A65" s="12" t="s">
        <v>61</v>
      </c>
      <c r="B65" s="13" t="str">
        <f>'Just Value All Property Types'!B65</f>
        <v>R-Prelim</v>
      </c>
      <c r="C65" s="14">
        <v>1154832296</v>
      </c>
      <c r="D65" s="15">
        <f t="shared" si="0"/>
        <v>-1.7248397929919387E-2</v>
      </c>
      <c r="E65" s="14">
        <v>1175100904</v>
      </c>
      <c r="F65" s="15">
        <f t="shared" si="0"/>
        <v>0.15165497421211677</v>
      </c>
      <c r="G65" s="16">
        <v>1020358467</v>
      </c>
      <c r="P65" s="17"/>
    </row>
    <row r="66" spans="1:16" x14ac:dyDescent="0.2">
      <c r="A66" s="12" t="s">
        <v>62</v>
      </c>
      <c r="B66" s="13" t="str">
        <f>'Just Value All Property Types'!B66</f>
        <v>R-Prelim</v>
      </c>
      <c r="C66" s="14">
        <v>451166015</v>
      </c>
      <c r="D66" s="15">
        <f t="shared" si="0"/>
        <v>-0.10499466446774482</v>
      </c>
      <c r="E66" s="14">
        <v>504093101</v>
      </c>
      <c r="F66" s="15">
        <f t="shared" si="0"/>
        <v>-0.47332218315746838</v>
      </c>
      <c r="G66" s="16">
        <v>957118536</v>
      </c>
      <c r="P66" s="17"/>
    </row>
    <row r="67" spans="1:16" x14ac:dyDescent="0.2">
      <c r="A67" s="12" t="s">
        <v>63</v>
      </c>
      <c r="B67" s="13" t="str">
        <f>'Just Value All Property Types'!B67</f>
        <v>R-Prelim</v>
      </c>
      <c r="C67" s="14">
        <v>107948966</v>
      </c>
      <c r="D67" s="15">
        <f t="shared" si="0"/>
        <v>-4.2530247020870188E-2</v>
      </c>
      <c r="E67" s="14">
        <v>112743996</v>
      </c>
      <c r="F67" s="15">
        <f t="shared" si="0"/>
        <v>-4.0901457385097324E-2</v>
      </c>
      <c r="G67" s="16">
        <v>117552046</v>
      </c>
      <c r="P67" s="17"/>
    </row>
    <row r="68" spans="1:16" x14ac:dyDescent="0.2">
      <c r="A68" s="12" t="s">
        <v>64</v>
      </c>
      <c r="B68" s="13" t="str">
        <f>'Just Value All Property Types'!B68</f>
        <v>R-Prelim</v>
      </c>
      <c r="C68" s="14">
        <v>5863710826</v>
      </c>
      <c r="D68" s="15">
        <f t="shared" si="0"/>
        <v>7.3251104770748532E-2</v>
      </c>
      <c r="E68" s="14">
        <v>5463503182</v>
      </c>
      <c r="F68" s="15">
        <f t="shared" si="0"/>
        <v>6.3506513092680808E-2</v>
      </c>
      <c r="G68" s="16">
        <v>5137254088</v>
      </c>
      <c r="P68" s="17"/>
    </row>
    <row r="69" spans="1:16" x14ac:dyDescent="0.2">
      <c r="A69" s="12" t="s">
        <v>65</v>
      </c>
      <c r="B69" s="13" t="str">
        <f>'Just Value All Property Types'!B69</f>
        <v>R-Prelim</v>
      </c>
      <c r="C69" s="14">
        <v>249522982</v>
      </c>
      <c r="D69" s="15">
        <f t="shared" si="0"/>
        <v>-8.9274387967364879E-2</v>
      </c>
      <c r="E69" s="14">
        <v>273982612</v>
      </c>
      <c r="F69" s="15">
        <f t="shared" si="0"/>
        <v>6.7580331322528567E-2</v>
      </c>
      <c r="G69" s="16">
        <v>256638872</v>
      </c>
      <c r="P69" s="17"/>
    </row>
    <row r="70" spans="1:16" x14ac:dyDescent="0.2">
      <c r="A70" s="12" t="s">
        <v>66</v>
      </c>
      <c r="B70" s="13" t="str">
        <f>'Just Value All Property Types'!B70</f>
        <v>R-Prelim</v>
      </c>
      <c r="C70" s="14">
        <v>1481668354</v>
      </c>
      <c r="D70" s="15">
        <f t="shared" ref="D70:F73" si="1">((C70-E70)/E70)</f>
        <v>0.14207164166859554</v>
      </c>
      <c r="E70" s="14">
        <v>1297351497</v>
      </c>
      <c r="F70" s="15">
        <f t="shared" si="1"/>
        <v>0.27954261306635392</v>
      </c>
      <c r="G70" s="16">
        <v>1013918164</v>
      </c>
      <c r="P70" s="17"/>
    </row>
    <row r="71" spans="1:16" x14ac:dyDescent="0.2">
      <c r="A71" s="12" t="s">
        <v>67</v>
      </c>
      <c r="B71" s="13" t="str">
        <f>'Just Value All Property Types'!B71</f>
        <v>R-Prelim</v>
      </c>
      <c r="C71" s="14">
        <v>378513165</v>
      </c>
      <c r="D71" s="15">
        <f t="shared" si="1"/>
        <v>0.14141862846510092</v>
      </c>
      <c r="E71" s="14">
        <v>331616425</v>
      </c>
      <c r="F71" s="15">
        <f t="shared" si="1"/>
        <v>6.1284849031194778E-2</v>
      </c>
      <c r="G71" s="16">
        <v>312466936</v>
      </c>
      <c r="P71" s="17"/>
    </row>
    <row r="72" spans="1:16" x14ac:dyDescent="0.2">
      <c r="A72" s="18"/>
      <c r="B72" s="19"/>
      <c r="C72" s="14"/>
      <c r="D72" s="20"/>
      <c r="E72" s="14"/>
      <c r="F72" s="20"/>
      <c r="G72" s="16"/>
      <c r="P72" s="17"/>
    </row>
    <row r="73" spans="1:16" ht="15.75" thickBot="1" x14ac:dyDescent="0.3">
      <c r="A73" s="21" t="s">
        <v>68</v>
      </c>
      <c r="B73" s="22"/>
      <c r="C73" s="23">
        <f>SUM(C5:C71)</f>
        <v>262826445626</v>
      </c>
      <c r="D73" s="24">
        <f t="shared" si="1"/>
        <v>5.0689842695720334E-2</v>
      </c>
      <c r="E73" s="23">
        <f>SUM(E5:E71)</f>
        <v>250146556049</v>
      </c>
      <c r="F73" s="24">
        <f t="shared" si="1"/>
        <v>4.7914176776102088E-2</v>
      </c>
      <c r="G73" s="25">
        <f>SUM(G5:G71)</f>
        <v>238709010330</v>
      </c>
      <c r="P73" s="17"/>
    </row>
    <row r="74" spans="1:16" x14ac:dyDescent="0.2">
      <c r="P74" s="17"/>
    </row>
    <row r="75" spans="1:16" x14ac:dyDescent="0.2">
      <c r="A75" s="26" t="s">
        <v>89</v>
      </c>
      <c r="P75" s="17"/>
    </row>
  </sheetData>
  <phoneticPr fontId="3" type="noConversion"/>
  <conditionalFormatting sqref="A75">
    <cfRule type="expression" dxfId="4" priority="8" stopIfTrue="1">
      <formula>MOD(ROW(),5)=1</formula>
    </cfRule>
  </conditionalFormatting>
  <conditionalFormatting sqref="A4:G73">
    <cfRule type="expression" dxfId="3"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D73:F7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38"/>
  <sheetViews>
    <sheetView zoomScaleNormal="100" zoomScaleSheetLayoutView="100" workbookViewId="0">
      <pane ySplit="4" topLeftCell="A5" activePane="bottomLeft" state="frozen"/>
      <selection activeCell="B19" sqref="B19:H19"/>
      <selection pane="bottomLeft" activeCell="L36" sqref="L36"/>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8" width="9.140625" style="2"/>
    <col min="9" max="9" width="24.42578125" style="42" bestFit="1" customWidth="1"/>
    <col min="10" max="10" width="10" style="2" bestFit="1" customWidth="1"/>
    <col min="11" max="16384" width="9.140625" style="2"/>
  </cols>
  <sheetData>
    <row r="1" spans="1:19" ht="23.25" x14ac:dyDescent="0.35">
      <c r="A1" s="7" t="s">
        <v>71</v>
      </c>
      <c r="B1" s="8"/>
      <c r="C1" s="9"/>
      <c r="D1" s="8"/>
      <c r="E1" s="9"/>
      <c r="F1" s="8"/>
      <c r="G1" s="9"/>
    </row>
    <row r="2" spans="1:19" ht="15" x14ac:dyDescent="0.25">
      <c r="A2" s="10" t="s">
        <v>90</v>
      </c>
      <c r="B2" s="10"/>
      <c r="C2" s="10"/>
      <c r="D2" s="10"/>
      <c r="E2" s="10"/>
      <c r="F2" s="10"/>
      <c r="G2" s="10"/>
    </row>
    <row r="3" spans="1:19" s="40" customFormat="1" ht="15" thickBot="1" x14ac:dyDescent="0.25">
      <c r="B3" s="41"/>
      <c r="D3" s="41"/>
      <c r="F3" s="41"/>
      <c r="I3" s="42"/>
    </row>
    <row r="4" spans="1:19" s="36" customFormat="1" ht="25.5" x14ac:dyDescent="0.2">
      <c r="A4" s="33" t="s">
        <v>0</v>
      </c>
      <c r="B4" s="34" t="s">
        <v>1</v>
      </c>
      <c r="C4" s="37" t="s">
        <v>91</v>
      </c>
      <c r="D4" s="37" t="s">
        <v>92</v>
      </c>
      <c r="E4" s="37" t="s">
        <v>83</v>
      </c>
      <c r="F4" s="37" t="s">
        <v>84</v>
      </c>
      <c r="G4" s="38" t="s">
        <v>82</v>
      </c>
      <c r="I4" s="43"/>
    </row>
    <row r="5" spans="1:19" x14ac:dyDescent="0.2">
      <c r="A5" s="12" t="s">
        <v>4</v>
      </c>
      <c r="B5" s="13" t="str">
        <f>'Just Value All Property Types'!B5</f>
        <v>R-Prelim</v>
      </c>
      <c r="C5" s="14">
        <v>35914609</v>
      </c>
      <c r="D5" s="15">
        <f>((C5-E5)/E5)</f>
        <v>1.5295138191244498E-3</v>
      </c>
      <c r="E5" s="14">
        <v>35859761</v>
      </c>
      <c r="F5" s="15">
        <f>((E5-G5)/G5)</f>
        <v>4.2663904819793999E-2</v>
      </c>
      <c r="G5" s="16">
        <v>34392445</v>
      </c>
      <c r="J5" s="39"/>
    </row>
    <row r="6" spans="1:19" x14ac:dyDescent="0.2">
      <c r="A6" s="12" t="s">
        <v>5</v>
      </c>
      <c r="B6" s="13" t="str">
        <f>'Just Value All Property Types'!B6</f>
        <v>R-Prelim</v>
      </c>
      <c r="C6" s="14">
        <v>14305251</v>
      </c>
      <c r="D6" s="15">
        <f t="shared" ref="D6:F68" si="0">((C6-E6)/E6)</f>
        <v>6.8961409937228671E-2</v>
      </c>
      <c r="E6" s="14">
        <v>13382383</v>
      </c>
      <c r="F6" s="15">
        <f t="shared" si="0"/>
        <v>-0.13757535044101493</v>
      </c>
      <c r="G6" s="16">
        <v>15517162</v>
      </c>
      <c r="J6" s="39"/>
    </row>
    <row r="7" spans="1:19" x14ac:dyDescent="0.2">
      <c r="A7" s="12" t="s">
        <v>6</v>
      </c>
      <c r="B7" s="13" t="str">
        <f>'Just Value All Property Types'!B7</f>
        <v>R-Prelim</v>
      </c>
      <c r="C7" s="14">
        <v>30583860</v>
      </c>
      <c r="D7" s="15">
        <f t="shared" si="0"/>
        <v>8.6787005970533238E-2</v>
      </c>
      <c r="E7" s="14">
        <v>28141540</v>
      </c>
      <c r="F7" s="15">
        <f t="shared" si="0"/>
        <v>-0.19142832203205068</v>
      </c>
      <c r="G7" s="16">
        <v>34804014</v>
      </c>
      <c r="J7" s="39"/>
      <c r="S7" s="17"/>
    </row>
    <row r="8" spans="1:19" x14ac:dyDescent="0.2">
      <c r="A8" s="12" t="s">
        <v>7</v>
      </c>
      <c r="B8" s="13" t="str">
        <f>'Just Value All Property Types'!B8</f>
        <v>R-Prelim</v>
      </c>
      <c r="C8" s="14">
        <v>20294348</v>
      </c>
      <c r="D8" s="15">
        <f t="shared" si="0"/>
        <v>1.4772958819495367E-2</v>
      </c>
      <c r="E8" s="14">
        <v>19998905</v>
      </c>
      <c r="F8" s="15">
        <f t="shared" si="0"/>
        <v>4.6014008149732132E-2</v>
      </c>
      <c r="G8" s="16">
        <v>19119156</v>
      </c>
      <c r="J8" s="39"/>
      <c r="S8" s="17"/>
    </row>
    <row r="9" spans="1:19" x14ac:dyDescent="0.2">
      <c r="A9" s="12" t="s">
        <v>8</v>
      </c>
      <c r="B9" s="13" t="str">
        <f>'Just Value All Property Types'!B9</f>
        <v>R-Prelim</v>
      </c>
      <c r="C9" s="14">
        <v>134802936</v>
      </c>
      <c r="D9" s="15">
        <f t="shared" si="0"/>
        <v>-7.5783011219989829E-2</v>
      </c>
      <c r="E9" s="14">
        <v>145856371</v>
      </c>
      <c r="F9" s="15">
        <f t="shared" si="0"/>
        <v>-5.1303429337460826E-3</v>
      </c>
      <c r="G9" s="16">
        <v>146608523</v>
      </c>
      <c r="J9" s="39"/>
      <c r="S9" s="17"/>
    </row>
    <row r="10" spans="1:19" x14ac:dyDescent="0.2">
      <c r="A10" s="12" t="s">
        <v>9</v>
      </c>
      <c r="B10" s="13" t="str">
        <f>'Just Value All Property Types'!B10</f>
        <v>R-Prelim</v>
      </c>
      <c r="C10" s="14">
        <v>104719059</v>
      </c>
      <c r="D10" s="15">
        <f t="shared" si="0"/>
        <v>-7.9165791982087674E-2</v>
      </c>
      <c r="E10" s="14">
        <v>113721947</v>
      </c>
      <c r="F10" s="15">
        <f t="shared" si="0"/>
        <v>1.436670817691248E-2</v>
      </c>
      <c r="G10" s="16">
        <v>112111277</v>
      </c>
      <c r="J10" s="39"/>
      <c r="S10" s="17"/>
    </row>
    <row r="11" spans="1:19" x14ac:dyDescent="0.2">
      <c r="A11" s="12" t="s">
        <v>10</v>
      </c>
      <c r="B11" s="13" t="str">
        <f>'Just Value All Property Types'!B11</f>
        <v>R-Prelim</v>
      </c>
      <c r="C11" s="14"/>
      <c r="D11" s="15" t="s">
        <v>79</v>
      </c>
      <c r="E11" s="14"/>
      <c r="F11" s="15" t="s">
        <v>79</v>
      </c>
      <c r="G11" s="16"/>
      <c r="J11" s="39"/>
      <c r="S11" s="17"/>
    </row>
    <row r="12" spans="1:19" x14ac:dyDescent="0.2">
      <c r="A12" s="12" t="s">
        <v>11</v>
      </c>
      <c r="B12" s="13" t="str">
        <f>'Just Value All Property Types'!B12</f>
        <v>R-Prelim</v>
      </c>
      <c r="C12" s="14">
        <v>3292614</v>
      </c>
      <c r="D12" s="15">
        <f t="shared" si="0"/>
        <v>-7.1879035283724579E-2</v>
      </c>
      <c r="E12" s="14">
        <v>3547613</v>
      </c>
      <c r="F12" s="15">
        <f t="shared" si="0"/>
        <v>0.10349264906007817</v>
      </c>
      <c r="G12" s="16">
        <v>3214895</v>
      </c>
      <c r="J12" s="39"/>
      <c r="S12" s="17"/>
    </row>
    <row r="13" spans="1:19" x14ac:dyDescent="0.2">
      <c r="A13" s="12" t="s">
        <v>12</v>
      </c>
      <c r="B13" s="13" t="str">
        <f>'Just Value All Property Types'!B13</f>
        <v>R-Prelim</v>
      </c>
      <c r="C13" s="14">
        <v>1459025</v>
      </c>
      <c r="D13" s="15">
        <f t="shared" si="0"/>
        <v>-0.15141192399945097</v>
      </c>
      <c r="E13" s="14">
        <v>1719356</v>
      </c>
      <c r="F13" s="15">
        <f t="shared" si="0"/>
        <v>1.9493857027655236E-2</v>
      </c>
      <c r="G13" s="16">
        <v>1686480</v>
      </c>
      <c r="J13" s="39"/>
    </row>
    <row r="14" spans="1:19" x14ac:dyDescent="0.2">
      <c r="A14" s="12" t="s">
        <v>13</v>
      </c>
      <c r="B14" s="13" t="str">
        <f>'Just Value All Property Types'!B14</f>
        <v>R-Prelim</v>
      </c>
      <c r="C14" s="14">
        <v>36095467</v>
      </c>
      <c r="D14" s="15">
        <f t="shared" si="0"/>
        <v>5.1440971084858941E-2</v>
      </c>
      <c r="E14" s="14">
        <v>34329523</v>
      </c>
      <c r="F14" s="15">
        <f t="shared" si="0"/>
        <v>0.97579078772586947</v>
      </c>
      <c r="G14" s="16">
        <v>17375080</v>
      </c>
      <c r="J14" s="39"/>
      <c r="S14" s="17"/>
    </row>
    <row r="15" spans="1:19" x14ac:dyDescent="0.2">
      <c r="A15" s="12" t="s">
        <v>14</v>
      </c>
      <c r="B15" s="13" t="str">
        <f>'Just Value All Property Types'!B15</f>
        <v>R-Prelim</v>
      </c>
      <c r="C15" s="14">
        <v>224358</v>
      </c>
      <c r="D15" s="15">
        <f t="shared" si="0"/>
        <v>3.810330228619814E-2</v>
      </c>
      <c r="E15" s="14">
        <v>216123</v>
      </c>
      <c r="F15" s="15">
        <f t="shared" si="0"/>
        <v>4.4450888002899598E-2</v>
      </c>
      <c r="G15" s="16">
        <v>206925</v>
      </c>
      <c r="J15" s="39"/>
      <c r="S15" s="17"/>
    </row>
    <row r="16" spans="1:19" x14ac:dyDescent="0.2">
      <c r="A16" s="12" t="s">
        <v>15</v>
      </c>
      <c r="B16" s="13" t="str">
        <f>'Just Value All Property Types'!B16</f>
        <v>R-Prelim</v>
      </c>
      <c r="C16" s="14">
        <v>14097826</v>
      </c>
      <c r="D16" s="15">
        <f t="shared" si="0"/>
        <v>7.2325513911385628E-2</v>
      </c>
      <c r="E16" s="14">
        <v>13146965</v>
      </c>
      <c r="F16" s="15">
        <f t="shared" si="0"/>
        <v>-0.15842872649449713</v>
      </c>
      <c r="G16" s="16">
        <v>15621927</v>
      </c>
      <c r="J16" s="39"/>
      <c r="S16" s="17"/>
    </row>
    <row r="17" spans="1:19" x14ac:dyDescent="0.2">
      <c r="A17" s="12" t="s">
        <v>78</v>
      </c>
      <c r="B17" s="13" t="str">
        <f>'Just Value All Property Types'!B17</f>
        <v>R-Prelim</v>
      </c>
      <c r="C17" s="14">
        <v>195621363</v>
      </c>
      <c r="D17" s="15">
        <f t="shared" si="0"/>
        <v>-8.9115928491116284E-2</v>
      </c>
      <c r="E17" s="14">
        <v>214759890</v>
      </c>
      <c r="F17" s="15">
        <f t="shared" si="0"/>
        <v>3.3290396098305704E-3</v>
      </c>
      <c r="G17" s="16">
        <v>214047318</v>
      </c>
      <c r="J17" s="39"/>
      <c r="S17" s="17"/>
    </row>
    <row r="18" spans="1:19" x14ac:dyDescent="0.2">
      <c r="A18" s="12" t="s">
        <v>16</v>
      </c>
      <c r="B18" s="13" t="str">
        <f>'Just Value All Property Types'!B18</f>
        <v>R-Prelim</v>
      </c>
      <c r="C18" s="14">
        <v>4975377</v>
      </c>
      <c r="D18" s="15">
        <f t="shared" si="0"/>
        <v>-2.4351134814259358E-2</v>
      </c>
      <c r="E18" s="14">
        <v>5099557</v>
      </c>
      <c r="F18" s="15">
        <f t="shared" si="0"/>
        <v>6.8174291754632882E-2</v>
      </c>
      <c r="G18" s="16">
        <v>4774087</v>
      </c>
      <c r="J18" s="39"/>
      <c r="S18" s="17"/>
    </row>
    <row r="19" spans="1:19" x14ac:dyDescent="0.2">
      <c r="A19" s="12" t="s">
        <v>17</v>
      </c>
      <c r="B19" s="13" t="str">
        <f>'Just Value All Property Types'!B19</f>
        <v>R-Prelim</v>
      </c>
      <c r="C19" s="14"/>
      <c r="D19" s="15" t="s">
        <v>79</v>
      </c>
      <c r="E19" s="14"/>
      <c r="F19" s="15" t="s">
        <v>79</v>
      </c>
      <c r="G19" s="16"/>
      <c r="J19" s="39"/>
      <c r="S19" s="17"/>
    </row>
    <row r="20" spans="1:19" x14ac:dyDescent="0.2">
      <c r="A20" s="12" t="s">
        <v>18</v>
      </c>
      <c r="B20" s="13" t="str">
        <f>'Just Value All Property Types'!B20</f>
        <v>R-Prelim</v>
      </c>
      <c r="C20" s="14">
        <v>227348937</v>
      </c>
      <c r="D20" s="15">
        <f t="shared" si="0"/>
        <v>2.1501936753812879E-2</v>
      </c>
      <c r="E20" s="14">
        <v>222563393</v>
      </c>
      <c r="F20" s="15">
        <f t="shared" si="0"/>
        <v>1.4711987060503929E-2</v>
      </c>
      <c r="G20" s="16">
        <v>219336517</v>
      </c>
      <c r="J20" s="39"/>
      <c r="S20" s="17"/>
    </row>
    <row r="21" spans="1:19" x14ac:dyDescent="0.2">
      <c r="A21" s="12" t="s">
        <v>19</v>
      </c>
      <c r="B21" s="13" t="str">
        <f>'Just Value All Property Types'!B21</f>
        <v>R-Prelim</v>
      </c>
      <c r="C21" s="14">
        <v>34334287</v>
      </c>
      <c r="D21" s="15">
        <f t="shared" si="0"/>
        <v>1.4542753928984903E-3</v>
      </c>
      <c r="E21" s="14">
        <v>34284428</v>
      </c>
      <c r="F21" s="15">
        <f t="shared" si="0"/>
        <v>1.3224686803137813E-2</v>
      </c>
      <c r="G21" s="16">
        <v>33836945</v>
      </c>
      <c r="J21" s="39"/>
    </row>
    <row r="22" spans="1:19" x14ac:dyDescent="0.2">
      <c r="A22" s="12" t="s">
        <v>20</v>
      </c>
      <c r="B22" s="13" t="str">
        <f>'Just Value All Property Types'!B22</f>
        <v>R-Prelim</v>
      </c>
      <c r="C22" s="14">
        <v>23937098</v>
      </c>
      <c r="D22" s="15">
        <f t="shared" si="0"/>
        <v>-9.519079765600796E-3</v>
      </c>
      <c r="E22" s="14">
        <v>24167147</v>
      </c>
      <c r="F22" s="15">
        <f t="shared" si="0"/>
        <v>-1.8043398666551108E-2</v>
      </c>
      <c r="G22" s="16">
        <v>24611217</v>
      </c>
      <c r="J22" s="39"/>
      <c r="S22" s="17"/>
    </row>
    <row r="23" spans="1:19" x14ac:dyDescent="0.2">
      <c r="A23" s="12" t="s">
        <v>21</v>
      </c>
      <c r="B23" s="13" t="str">
        <f>'Just Value All Property Types'!B23</f>
        <v>R-Prelim</v>
      </c>
      <c r="C23" s="14"/>
      <c r="D23" s="15" t="s">
        <v>79</v>
      </c>
      <c r="E23" s="14"/>
      <c r="F23" s="15">
        <f t="shared" si="0"/>
        <v>-1</v>
      </c>
      <c r="G23" s="16">
        <v>716952</v>
      </c>
      <c r="J23" s="39"/>
      <c r="S23" s="17"/>
    </row>
    <row r="24" spans="1:19" x14ac:dyDescent="0.2">
      <c r="A24" s="12" t="s">
        <v>22</v>
      </c>
      <c r="B24" s="13" t="str">
        <f>'Just Value All Property Types'!B24</f>
        <v>R-Prelim</v>
      </c>
      <c r="C24" s="14">
        <v>11800475</v>
      </c>
      <c r="D24" s="15">
        <f t="shared" si="0"/>
        <v>4.9938211843911791E-2</v>
      </c>
      <c r="E24" s="14">
        <v>11239209</v>
      </c>
      <c r="F24" s="15">
        <f t="shared" si="0"/>
        <v>0.29388543150547258</v>
      </c>
      <c r="G24" s="16">
        <v>8686402</v>
      </c>
      <c r="J24" s="39"/>
      <c r="S24" s="17"/>
    </row>
    <row r="25" spans="1:19" x14ac:dyDescent="0.2">
      <c r="A25" s="12" t="s">
        <v>23</v>
      </c>
      <c r="B25" s="13" t="str">
        <f>'Just Value All Property Types'!B25</f>
        <v>R-Prelim</v>
      </c>
      <c r="C25" s="14"/>
      <c r="D25" s="15" t="s">
        <v>79</v>
      </c>
      <c r="E25" s="14"/>
      <c r="F25" s="15" t="s">
        <v>79</v>
      </c>
      <c r="G25" s="16"/>
      <c r="J25" s="39"/>
      <c r="S25" s="17"/>
    </row>
    <row r="26" spans="1:19" x14ac:dyDescent="0.2">
      <c r="A26" s="12" t="s">
        <v>24</v>
      </c>
      <c r="B26" s="13" t="str">
        <f>'Just Value All Property Types'!B26</f>
        <v>R-Prelim</v>
      </c>
      <c r="C26" s="14">
        <v>14421555</v>
      </c>
      <c r="D26" s="15">
        <f t="shared" si="0"/>
        <v>4.4664365320737864E-2</v>
      </c>
      <c r="E26" s="14">
        <v>13804965</v>
      </c>
      <c r="F26" s="15">
        <f t="shared" si="0"/>
        <v>-0.11513083950227473</v>
      </c>
      <c r="G26" s="16">
        <v>15601137</v>
      </c>
      <c r="J26" s="39"/>
      <c r="S26" s="17"/>
    </row>
    <row r="27" spans="1:19" x14ac:dyDescent="0.2">
      <c r="A27" s="12" t="s">
        <v>25</v>
      </c>
      <c r="B27" s="13" t="str">
        <f>'Just Value All Property Types'!B27</f>
        <v>R-Prelim</v>
      </c>
      <c r="C27" s="14"/>
      <c r="D27" s="15" t="s">
        <v>79</v>
      </c>
      <c r="E27" s="14"/>
      <c r="F27" s="15">
        <f t="shared" si="0"/>
        <v>-1</v>
      </c>
      <c r="G27" s="16">
        <v>684330</v>
      </c>
      <c r="J27" s="39"/>
    </row>
    <row r="28" spans="1:19" x14ac:dyDescent="0.2">
      <c r="A28" s="12" t="s">
        <v>26</v>
      </c>
      <c r="B28" s="13" t="str">
        <f>'Just Value All Property Types'!B28</f>
        <v>R-Prelim</v>
      </c>
      <c r="C28" s="14">
        <v>22656763</v>
      </c>
      <c r="D28" s="15">
        <f t="shared" si="0"/>
        <v>8.9853405318830792E-2</v>
      </c>
      <c r="E28" s="14">
        <v>20788817</v>
      </c>
      <c r="F28" s="15">
        <f t="shared" si="0"/>
        <v>-0.25345791827085989</v>
      </c>
      <c r="G28" s="16">
        <v>27846812</v>
      </c>
      <c r="J28" s="39"/>
      <c r="S28" s="17"/>
    </row>
    <row r="29" spans="1:19" x14ac:dyDescent="0.2">
      <c r="A29" s="12" t="s">
        <v>27</v>
      </c>
      <c r="B29" s="13" t="str">
        <f>'Just Value All Property Types'!B29</f>
        <v>R-Prelim</v>
      </c>
      <c r="C29" s="14">
        <v>10098411</v>
      </c>
      <c r="D29" s="15">
        <f t="shared" si="0"/>
        <v>1.9193319822018828E-2</v>
      </c>
      <c r="E29" s="14">
        <v>9908239</v>
      </c>
      <c r="F29" s="15">
        <f t="shared" si="0"/>
        <v>4.5112476620549784E-2</v>
      </c>
      <c r="G29" s="16">
        <v>9480548</v>
      </c>
      <c r="J29" s="39"/>
      <c r="S29" s="17"/>
    </row>
    <row r="30" spans="1:19" x14ac:dyDescent="0.2">
      <c r="A30" s="12" t="s">
        <v>28</v>
      </c>
      <c r="B30" s="13" t="str">
        <f>'Just Value All Property Types'!B30</f>
        <v>R-Prelim</v>
      </c>
      <c r="C30" s="14">
        <v>4999064</v>
      </c>
      <c r="D30" s="15">
        <f t="shared" si="0"/>
        <v>4.3364939296097714E-2</v>
      </c>
      <c r="E30" s="14">
        <v>4791290</v>
      </c>
      <c r="F30" s="15">
        <f t="shared" si="0"/>
        <v>-0.10527014593615365</v>
      </c>
      <c r="G30" s="16">
        <v>5355013</v>
      </c>
      <c r="J30" s="39"/>
      <c r="S30" s="17"/>
    </row>
    <row r="31" spans="1:19" x14ac:dyDescent="0.2">
      <c r="A31" s="12" t="s">
        <v>29</v>
      </c>
      <c r="B31" s="13" t="str">
        <f>'Just Value All Property Types'!B31</f>
        <v>R-Prelim</v>
      </c>
      <c r="C31" s="14">
        <v>12906416</v>
      </c>
      <c r="D31" s="15">
        <f t="shared" si="0"/>
        <v>1.8286192631036216E-2</v>
      </c>
      <c r="E31" s="14">
        <v>12674645</v>
      </c>
      <c r="F31" s="15">
        <f t="shared" si="0"/>
        <v>4.6499310158056785E-2</v>
      </c>
      <c r="G31" s="16">
        <v>12111470</v>
      </c>
      <c r="J31" s="39"/>
      <c r="S31" s="17"/>
    </row>
    <row r="32" spans="1:19" x14ac:dyDescent="0.2">
      <c r="A32" s="12" t="s">
        <v>30</v>
      </c>
      <c r="B32" s="13" t="str">
        <f>'Just Value All Property Types'!B32</f>
        <v>R-Prelim</v>
      </c>
      <c r="C32" s="14">
        <v>35810333</v>
      </c>
      <c r="D32" s="15">
        <f t="shared" si="0"/>
        <v>3.0531507006369207E-2</v>
      </c>
      <c r="E32" s="14">
        <v>34749382</v>
      </c>
      <c r="F32" s="15">
        <f t="shared" si="0"/>
        <v>-2.9919679550111457E-2</v>
      </c>
      <c r="G32" s="16">
        <v>35821139</v>
      </c>
      <c r="J32" s="39"/>
      <c r="S32" s="17"/>
    </row>
    <row r="33" spans="1:19" x14ac:dyDescent="0.2">
      <c r="A33" s="12" t="s">
        <v>31</v>
      </c>
      <c r="B33" s="13" t="str">
        <f>'Just Value All Property Types'!B33</f>
        <v>R-Prelim</v>
      </c>
      <c r="C33" s="14">
        <v>137336207</v>
      </c>
      <c r="D33" s="15">
        <f t="shared" si="0"/>
        <v>1.6233795399744982E-2</v>
      </c>
      <c r="E33" s="14">
        <v>135142334</v>
      </c>
      <c r="F33" s="15">
        <f t="shared" si="0"/>
        <v>3.2621985419956416E-2</v>
      </c>
      <c r="G33" s="16">
        <v>130872997</v>
      </c>
      <c r="J33" s="39"/>
      <c r="S33" s="17"/>
    </row>
    <row r="34" spans="1:19" x14ac:dyDescent="0.2">
      <c r="A34" s="12" t="s">
        <v>32</v>
      </c>
      <c r="B34" s="13" t="str">
        <f>'Just Value All Property Types'!B34</f>
        <v>R-Prelim</v>
      </c>
      <c r="C34" s="14">
        <v>4977993</v>
      </c>
      <c r="D34" s="15">
        <f t="shared" si="0"/>
        <v>0.12639286094911742</v>
      </c>
      <c r="E34" s="14">
        <v>4419411</v>
      </c>
      <c r="F34" s="15">
        <f t="shared" si="0"/>
        <v>0.11400148721374287</v>
      </c>
      <c r="G34" s="16">
        <v>3967150</v>
      </c>
      <c r="J34" s="39"/>
      <c r="S34" s="17"/>
    </row>
    <row r="35" spans="1:19" x14ac:dyDescent="0.2">
      <c r="A35" s="12" t="s">
        <v>33</v>
      </c>
      <c r="B35" s="13" t="str">
        <f>'Just Value All Property Types'!B35</f>
        <v>R-Prelim</v>
      </c>
      <c r="C35" s="14">
        <v>46105678</v>
      </c>
      <c r="D35" s="15">
        <f t="shared" si="0"/>
        <v>-9.5302429151330803E-2</v>
      </c>
      <c r="E35" s="14">
        <v>50962531</v>
      </c>
      <c r="F35" s="15">
        <f t="shared" si="0"/>
        <v>5.0986953182547074E-4</v>
      </c>
      <c r="G35" s="16">
        <v>50936560</v>
      </c>
      <c r="J35" s="39"/>
      <c r="S35" s="17"/>
    </row>
    <row r="36" spans="1:19" x14ac:dyDescent="0.2">
      <c r="A36" s="12" t="s">
        <v>34</v>
      </c>
      <c r="B36" s="13" t="str">
        <f>'Just Value All Property Types'!B36</f>
        <v>R-Prelim</v>
      </c>
      <c r="C36" s="14">
        <v>27975971</v>
      </c>
      <c r="D36" s="15">
        <f t="shared" si="0"/>
        <v>7.1518043431150188E-2</v>
      </c>
      <c r="E36" s="14">
        <v>26108726</v>
      </c>
      <c r="F36" s="15">
        <f t="shared" si="0"/>
        <v>-8.7070773824821632E-2</v>
      </c>
      <c r="G36" s="16">
        <v>28598850</v>
      </c>
      <c r="J36" s="39"/>
      <c r="S36" s="17"/>
    </row>
    <row r="37" spans="1:19" x14ac:dyDescent="0.2">
      <c r="A37" s="12" t="s">
        <v>35</v>
      </c>
      <c r="B37" s="13" t="str">
        <f>'Just Value All Property Types'!B37</f>
        <v>R-Prelim</v>
      </c>
      <c r="C37" s="14">
        <v>3883407</v>
      </c>
      <c r="D37" s="15">
        <f t="shared" si="0"/>
        <v>3.2165750094288549E-2</v>
      </c>
      <c r="E37" s="14">
        <v>3762387</v>
      </c>
      <c r="F37" s="15">
        <f t="shared" si="0"/>
        <v>0.16360985038852593</v>
      </c>
      <c r="G37" s="16">
        <v>3233375</v>
      </c>
      <c r="J37" s="39"/>
      <c r="S37" s="17"/>
    </row>
    <row r="38" spans="1:19" x14ac:dyDescent="0.2">
      <c r="A38" s="12" t="s">
        <v>36</v>
      </c>
      <c r="B38" s="13" t="str">
        <f>'Just Value All Property Types'!B38</f>
        <v>R-Prelim</v>
      </c>
      <c r="C38" s="14"/>
      <c r="D38" s="15" t="s">
        <v>79</v>
      </c>
      <c r="E38" s="14"/>
      <c r="F38" s="15" t="s">
        <v>79</v>
      </c>
      <c r="G38" s="16"/>
      <c r="J38" s="39"/>
      <c r="S38" s="17"/>
    </row>
    <row r="39" spans="1:19" x14ac:dyDescent="0.2">
      <c r="A39" s="12" t="s">
        <v>37</v>
      </c>
      <c r="B39" s="13" t="str">
        <f>'Just Value All Property Types'!B39</f>
        <v>R-Prelim</v>
      </c>
      <c r="C39" s="14">
        <v>5784065</v>
      </c>
      <c r="D39" s="15">
        <f t="shared" si="0"/>
        <v>8.0212334788105022E-2</v>
      </c>
      <c r="E39" s="14">
        <v>5354563</v>
      </c>
      <c r="F39" s="15">
        <f t="shared" si="0"/>
        <v>-3.7885172744703834E-3</v>
      </c>
      <c r="G39" s="16">
        <v>5374926</v>
      </c>
      <c r="J39" s="39"/>
      <c r="S39" s="17"/>
    </row>
    <row r="40" spans="1:19" x14ac:dyDescent="0.2">
      <c r="A40" s="12" t="s">
        <v>38</v>
      </c>
      <c r="B40" s="13" t="str">
        <f>'Just Value All Property Types'!B40</f>
        <v>R-Prelim</v>
      </c>
      <c r="C40" s="14">
        <v>5602644</v>
      </c>
      <c r="D40" s="15">
        <f t="shared" si="0"/>
        <v>-6.1997170577352899E-2</v>
      </c>
      <c r="E40" s="14">
        <v>5972950</v>
      </c>
      <c r="F40" s="15">
        <f t="shared" si="0"/>
        <v>7.9530995613159947E-2</v>
      </c>
      <c r="G40" s="16">
        <v>5532912</v>
      </c>
      <c r="J40" s="39"/>
    </row>
    <row r="41" spans="1:19" x14ac:dyDescent="0.2">
      <c r="A41" s="12" t="s">
        <v>39</v>
      </c>
      <c r="B41" s="13" t="str">
        <f>'Just Value All Property Types'!B41</f>
        <v>R-Prelim</v>
      </c>
      <c r="C41" s="14">
        <v>7355231</v>
      </c>
      <c r="D41" s="15">
        <f t="shared" si="0"/>
        <v>3.0309622481476371E-2</v>
      </c>
      <c r="E41" s="14">
        <v>7138855</v>
      </c>
      <c r="F41" s="15">
        <f t="shared" si="0"/>
        <v>0.16846443730231944</v>
      </c>
      <c r="G41" s="16">
        <v>6109604</v>
      </c>
      <c r="J41" s="39"/>
      <c r="S41" s="17"/>
    </row>
    <row r="42" spans="1:19" x14ac:dyDescent="0.2">
      <c r="A42" s="12" t="s">
        <v>40</v>
      </c>
      <c r="B42" s="13" t="str">
        <f>'Just Value All Property Types'!B42</f>
        <v>R-Prelim</v>
      </c>
      <c r="C42" s="14">
        <v>3185083</v>
      </c>
      <c r="D42" s="15">
        <f t="shared" si="0"/>
        <v>-0.14913021200932006</v>
      </c>
      <c r="E42" s="14">
        <v>3743326</v>
      </c>
      <c r="F42" s="15">
        <f t="shared" si="0"/>
        <v>1.9598390030105904E-2</v>
      </c>
      <c r="G42" s="16">
        <v>3671373</v>
      </c>
      <c r="J42" s="39"/>
      <c r="S42" s="17"/>
    </row>
    <row r="43" spans="1:19" x14ac:dyDescent="0.2">
      <c r="A43" s="12" t="s">
        <v>41</v>
      </c>
      <c r="B43" s="13" t="str">
        <f>'Just Value All Property Types'!B43</f>
        <v>R-Prelim</v>
      </c>
      <c r="C43" s="29"/>
      <c r="D43" s="15" t="s">
        <v>79</v>
      </c>
      <c r="E43" s="14"/>
      <c r="F43" s="15">
        <f t="shared" si="0"/>
        <v>-1</v>
      </c>
      <c r="G43" s="16">
        <v>917687</v>
      </c>
      <c r="J43" s="39"/>
      <c r="S43" s="17"/>
    </row>
    <row r="44" spans="1:19" x14ac:dyDescent="0.2">
      <c r="A44" s="12" t="s">
        <v>42</v>
      </c>
      <c r="B44" s="13" t="str">
        <f>'Just Value All Property Types'!B44</f>
        <v>R-Prelim</v>
      </c>
      <c r="C44" s="14">
        <v>8934773</v>
      </c>
      <c r="D44" s="15">
        <f t="shared" si="0"/>
        <v>1.0708922575014664E-2</v>
      </c>
      <c r="E44" s="14">
        <v>8840105</v>
      </c>
      <c r="F44" s="15">
        <f t="shared" si="0"/>
        <v>6.8411996803203262E-3</v>
      </c>
      <c r="G44" s="16">
        <v>8780039</v>
      </c>
      <c r="J44" s="39"/>
      <c r="S44" s="17"/>
    </row>
    <row r="45" spans="1:19" x14ac:dyDescent="0.2">
      <c r="A45" s="12" t="s">
        <v>43</v>
      </c>
      <c r="B45" s="13" t="str">
        <f>'Just Value All Property Types'!B45</f>
        <v>R-Prelim</v>
      </c>
      <c r="C45" s="14">
        <v>9161199</v>
      </c>
      <c r="D45" s="15">
        <f t="shared" si="0"/>
        <v>1.5596005327855449E-2</v>
      </c>
      <c r="E45" s="14">
        <v>9020515</v>
      </c>
      <c r="F45" s="15">
        <f t="shared" si="0"/>
        <v>4.9888016398733546E-2</v>
      </c>
      <c r="G45" s="16">
        <v>8591883</v>
      </c>
      <c r="J45" s="39"/>
      <c r="S45" s="17"/>
    </row>
    <row r="46" spans="1:19" x14ac:dyDescent="0.2">
      <c r="A46" s="12" t="s">
        <v>44</v>
      </c>
      <c r="B46" s="13" t="str">
        <f>'Just Value All Property Types'!B46</f>
        <v>R-Prelim</v>
      </c>
      <c r="C46" s="14">
        <v>29711175</v>
      </c>
      <c r="D46" s="15">
        <f t="shared" si="0"/>
        <v>-2.4265405340114624E-2</v>
      </c>
      <c r="E46" s="14">
        <v>30450058</v>
      </c>
      <c r="F46" s="15">
        <f t="shared" si="0"/>
        <v>4.0336982443586682E-2</v>
      </c>
      <c r="G46" s="16">
        <v>29269418</v>
      </c>
      <c r="J46" s="39"/>
      <c r="S46" s="17"/>
    </row>
    <row r="47" spans="1:19" x14ac:dyDescent="0.2">
      <c r="A47" s="12" t="s">
        <v>45</v>
      </c>
      <c r="B47" s="13" t="str">
        <f>'Just Value All Property Types'!B47</f>
        <v>R-Prelim</v>
      </c>
      <c r="C47" s="14">
        <v>97624340</v>
      </c>
      <c r="D47" s="15">
        <f t="shared" si="0"/>
        <v>-5.2316244066585908E-2</v>
      </c>
      <c r="E47" s="14">
        <v>103013626</v>
      </c>
      <c r="F47" s="15">
        <f t="shared" si="0"/>
        <v>-1.0132557236414286E-2</v>
      </c>
      <c r="G47" s="16">
        <v>104068102</v>
      </c>
      <c r="J47" s="39"/>
      <c r="S47" s="17"/>
    </row>
    <row r="48" spans="1:19" x14ac:dyDescent="0.2">
      <c r="A48" s="12" t="s">
        <v>46</v>
      </c>
      <c r="B48" s="13" t="str">
        <f>'Just Value All Property Types'!B48</f>
        <v>R-Prelim</v>
      </c>
      <c r="C48" s="14"/>
      <c r="D48" s="15" t="s">
        <v>79</v>
      </c>
      <c r="E48" s="14"/>
      <c r="F48" s="15" t="s">
        <v>79</v>
      </c>
      <c r="G48" s="16"/>
      <c r="J48" s="39"/>
      <c r="S48" s="17"/>
    </row>
    <row r="49" spans="1:19" x14ac:dyDescent="0.2">
      <c r="A49" s="12" t="s">
        <v>47</v>
      </c>
      <c r="B49" s="13" t="str">
        <f>'Just Value All Property Types'!B49</f>
        <v>R-Prelim</v>
      </c>
      <c r="C49" s="14">
        <v>54180695</v>
      </c>
      <c r="D49" s="15">
        <f t="shared" si="0"/>
        <v>2.0378589876723727E-2</v>
      </c>
      <c r="E49" s="14">
        <v>53098620</v>
      </c>
      <c r="F49" s="15">
        <f t="shared" si="0"/>
        <v>2.998783748666194E-2</v>
      </c>
      <c r="G49" s="16">
        <v>51552667</v>
      </c>
      <c r="J49" s="39"/>
      <c r="S49" s="17"/>
    </row>
    <row r="50" spans="1:19" x14ac:dyDescent="0.2">
      <c r="A50" s="12" t="s">
        <v>48</v>
      </c>
      <c r="B50" s="13" t="str">
        <f>'Just Value All Property Types'!B50</f>
        <v>R-Prelim</v>
      </c>
      <c r="C50" s="14">
        <v>5393594</v>
      </c>
      <c r="D50" s="15">
        <f t="shared" si="0"/>
        <v>3.1345590455376986E-2</v>
      </c>
      <c r="E50" s="14">
        <v>5229667</v>
      </c>
      <c r="F50" s="15">
        <f t="shared" si="0"/>
        <v>0.15182606891530059</v>
      </c>
      <c r="G50" s="16">
        <v>4540327</v>
      </c>
      <c r="J50" s="39"/>
    </row>
    <row r="51" spans="1:19" x14ac:dyDescent="0.2">
      <c r="A51" s="12" t="s">
        <v>49</v>
      </c>
      <c r="B51" s="13" t="str">
        <f>'Just Value All Property Types'!B51</f>
        <v>R-Prelim</v>
      </c>
      <c r="C51" s="14">
        <v>13160492</v>
      </c>
      <c r="D51" s="15">
        <f t="shared" si="0"/>
        <v>1.979079572478766E-2</v>
      </c>
      <c r="E51" s="14">
        <v>12905090</v>
      </c>
      <c r="F51" s="15">
        <f t="shared" si="0"/>
        <v>4.8921248305928818E-2</v>
      </c>
      <c r="G51" s="16">
        <v>12303202</v>
      </c>
      <c r="J51" s="39"/>
      <c r="S51" s="17"/>
    </row>
    <row r="52" spans="1:19" x14ac:dyDescent="0.2">
      <c r="A52" s="12" t="s">
        <v>50</v>
      </c>
      <c r="B52" s="13" t="str">
        <f>'Just Value All Property Types'!B52</f>
        <v>R-Prelim</v>
      </c>
      <c r="C52" s="14">
        <v>111107383</v>
      </c>
      <c r="D52" s="15">
        <f t="shared" si="0"/>
        <v>-0.12550161270871674</v>
      </c>
      <c r="E52" s="14">
        <v>127052702</v>
      </c>
      <c r="F52" s="15">
        <f t="shared" si="0"/>
        <v>6.444251046139121E-3</v>
      </c>
      <c r="G52" s="16">
        <v>126239185</v>
      </c>
      <c r="J52" s="39"/>
      <c r="S52" s="17"/>
    </row>
    <row r="53" spans="1:19" x14ac:dyDescent="0.2">
      <c r="A53" s="12" t="s">
        <v>51</v>
      </c>
      <c r="B53" s="13" t="str">
        <f>'Just Value All Property Types'!B53</f>
        <v>R-Prelim</v>
      </c>
      <c r="C53" s="14">
        <v>7385033</v>
      </c>
      <c r="D53" s="15">
        <f t="shared" si="0"/>
        <v>2.0229041432442144E-2</v>
      </c>
      <c r="E53" s="14">
        <v>7238603</v>
      </c>
      <c r="F53" s="15">
        <f t="shared" si="0"/>
        <v>4.7052996747867989E-2</v>
      </c>
      <c r="G53" s="16">
        <v>6913311</v>
      </c>
      <c r="J53" s="39"/>
      <c r="S53" s="17"/>
    </row>
    <row r="54" spans="1:19" x14ac:dyDescent="0.2">
      <c r="A54" s="12" t="s">
        <v>52</v>
      </c>
      <c r="B54" s="13" t="str">
        <f>'Just Value All Property Types'!B54</f>
        <v>R-Prelim</v>
      </c>
      <c r="C54" s="14">
        <v>229609713</v>
      </c>
      <c r="D54" s="15">
        <f t="shared" si="0"/>
        <v>-7.1016129459625293E-2</v>
      </c>
      <c r="E54" s="14">
        <v>247162217</v>
      </c>
      <c r="F54" s="15">
        <f t="shared" si="0"/>
        <v>-7.4458363280496534E-3</v>
      </c>
      <c r="G54" s="16">
        <v>249016352</v>
      </c>
      <c r="J54" s="39"/>
      <c r="S54" s="17"/>
    </row>
    <row r="55" spans="1:19" x14ac:dyDescent="0.2">
      <c r="A55" s="12" t="s">
        <v>53</v>
      </c>
      <c r="B55" s="13" t="str">
        <f>'Just Value All Property Types'!B55</f>
        <v>R-Prelim</v>
      </c>
      <c r="C55" s="14">
        <v>24753439</v>
      </c>
      <c r="D55" s="15">
        <f t="shared" si="0"/>
        <v>1.8228823340699623E-2</v>
      </c>
      <c r="E55" s="14">
        <v>24310291</v>
      </c>
      <c r="F55" s="15">
        <f t="shared" si="0"/>
        <v>4.626817051462221E-2</v>
      </c>
      <c r="G55" s="16">
        <v>23235239</v>
      </c>
      <c r="J55" s="39"/>
      <c r="S55" s="17"/>
    </row>
    <row r="56" spans="1:19" x14ac:dyDescent="0.2">
      <c r="A56" s="12" t="s">
        <v>54</v>
      </c>
      <c r="B56" s="13" t="str">
        <f>'Just Value All Property Types'!B56</f>
        <v>R-Prelim</v>
      </c>
      <c r="C56" s="14">
        <v>14433637</v>
      </c>
      <c r="D56" s="15">
        <f t="shared" si="0"/>
        <v>1.9445814075218122E-2</v>
      </c>
      <c r="E56" s="14">
        <v>14158317</v>
      </c>
      <c r="F56" s="15">
        <f t="shared" si="0"/>
        <v>4.5206031201336962E-2</v>
      </c>
      <c r="G56" s="16">
        <v>13545958</v>
      </c>
      <c r="J56" s="39"/>
      <c r="S56" s="17"/>
    </row>
    <row r="57" spans="1:19" x14ac:dyDescent="0.2">
      <c r="A57" s="12" t="s">
        <v>55</v>
      </c>
      <c r="B57" s="13" t="str">
        <f>'Just Value All Property Types'!B57</f>
        <v>R-Prelim</v>
      </c>
      <c r="C57" s="14">
        <v>137411027</v>
      </c>
      <c r="D57" s="15">
        <f t="shared" si="0"/>
        <v>1.0320566930520537E-2</v>
      </c>
      <c r="E57" s="14">
        <v>136007354</v>
      </c>
      <c r="F57" s="15">
        <f t="shared" si="0"/>
        <v>5.1116241706474705E-2</v>
      </c>
      <c r="G57" s="16">
        <v>129393257</v>
      </c>
      <c r="J57" s="39"/>
      <c r="S57" s="17"/>
    </row>
    <row r="58" spans="1:19" x14ac:dyDescent="0.2">
      <c r="A58" s="12" t="s">
        <v>56</v>
      </c>
      <c r="B58" s="13" t="str">
        <f>'Just Value All Property Types'!B58</f>
        <v>R-Prelim</v>
      </c>
      <c r="C58" s="14">
        <v>28130484</v>
      </c>
      <c r="D58" s="15">
        <f t="shared" si="0"/>
        <v>3.9272405088039412E-2</v>
      </c>
      <c r="E58" s="14">
        <v>27067479</v>
      </c>
      <c r="F58" s="15">
        <f t="shared" si="0"/>
        <v>0.4518855457903091</v>
      </c>
      <c r="G58" s="16">
        <v>18642984</v>
      </c>
      <c r="J58" s="39"/>
      <c r="S58" s="17"/>
    </row>
    <row r="59" spans="1:19" x14ac:dyDescent="0.2">
      <c r="A59" s="12" t="s">
        <v>2</v>
      </c>
      <c r="B59" s="13" t="str">
        <f>'Just Value All Property Types'!B59</f>
        <v>R-Prelim</v>
      </c>
      <c r="C59" s="14">
        <v>36549040</v>
      </c>
      <c r="D59" s="15">
        <f t="shared" si="0"/>
        <v>-8.6304041538907503E-3</v>
      </c>
      <c r="E59" s="14">
        <v>36867219</v>
      </c>
      <c r="F59" s="15">
        <f t="shared" si="0"/>
        <v>-1.7128029277557803E-2</v>
      </c>
      <c r="G59" s="16">
        <v>37509686</v>
      </c>
      <c r="J59" s="39"/>
      <c r="S59" s="17"/>
    </row>
    <row r="60" spans="1:19" x14ac:dyDescent="0.2">
      <c r="A60" s="12" t="s">
        <v>3</v>
      </c>
      <c r="B60" s="13" t="str">
        <f>'Just Value All Property Types'!B60</f>
        <v>R-Prelim</v>
      </c>
      <c r="C60" s="14">
        <v>70927665</v>
      </c>
      <c r="D60" s="15">
        <f t="shared" si="0"/>
        <v>-6.5047632995190105E-2</v>
      </c>
      <c r="E60" s="14">
        <v>75862330</v>
      </c>
      <c r="F60" s="15">
        <f t="shared" si="0"/>
        <v>-7.0710806735441917E-2</v>
      </c>
      <c r="G60" s="16">
        <v>81634792</v>
      </c>
      <c r="J60" s="39"/>
      <c r="S60" s="17"/>
    </row>
    <row r="61" spans="1:19" x14ac:dyDescent="0.2">
      <c r="A61" s="12" t="s">
        <v>57</v>
      </c>
      <c r="B61" s="13" t="str">
        <f>'Just Value All Property Types'!B61</f>
        <v>R-Prelim</v>
      </c>
      <c r="C61" s="14">
        <v>5103325</v>
      </c>
      <c r="D61" s="15">
        <f t="shared" si="0"/>
        <v>3.2862695286252526E-2</v>
      </c>
      <c r="E61" s="14">
        <v>4940952</v>
      </c>
      <c r="F61" s="15">
        <f t="shared" si="0"/>
        <v>0.16115323070935847</v>
      </c>
      <c r="G61" s="16">
        <v>4255211</v>
      </c>
      <c r="J61" s="39"/>
      <c r="S61" s="17"/>
    </row>
    <row r="62" spans="1:19" x14ac:dyDescent="0.2">
      <c r="A62" s="12" t="s">
        <v>58</v>
      </c>
      <c r="B62" s="13" t="str">
        <f>'Just Value All Property Types'!B62</f>
        <v>R-Prelim</v>
      </c>
      <c r="C62" s="14">
        <v>956732</v>
      </c>
      <c r="D62" s="15">
        <f t="shared" si="0"/>
        <v>-9.1658098137899671E-2</v>
      </c>
      <c r="E62" s="14">
        <v>1053273</v>
      </c>
      <c r="F62" s="15">
        <f t="shared" si="0"/>
        <v>0.10092430676992256</v>
      </c>
      <c r="G62" s="16">
        <v>956717</v>
      </c>
      <c r="J62" s="39"/>
      <c r="S62" s="17"/>
    </row>
    <row r="63" spans="1:19" x14ac:dyDescent="0.2">
      <c r="A63" s="12" t="s">
        <v>59</v>
      </c>
      <c r="B63" s="13" t="str">
        <f>'Just Value All Property Types'!B63</f>
        <v>R-Prelim</v>
      </c>
      <c r="C63" s="14">
        <v>13295524</v>
      </c>
      <c r="D63" s="15">
        <f t="shared" si="0"/>
        <v>2.2446330412099997E-2</v>
      </c>
      <c r="E63" s="14">
        <v>13003640</v>
      </c>
      <c r="F63" s="15">
        <f t="shared" si="0"/>
        <v>5.1038021730675287E-2</v>
      </c>
      <c r="G63" s="16">
        <v>12372188</v>
      </c>
      <c r="J63" s="39"/>
      <c r="S63" s="17"/>
    </row>
    <row r="64" spans="1:19" x14ac:dyDescent="0.2">
      <c r="A64" s="12" t="s">
        <v>60</v>
      </c>
      <c r="B64" s="13" t="str">
        <f>'Just Value All Property Types'!B64</f>
        <v>R-Prelim</v>
      </c>
      <c r="C64" s="14">
        <v>18580645</v>
      </c>
      <c r="D64" s="15">
        <f t="shared" si="0"/>
        <v>1.6003189854931484E-2</v>
      </c>
      <c r="E64" s="14">
        <v>18287979</v>
      </c>
      <c r="F64" s="15">
        <f t="shared" si="0"/>
        <v>4.9372974827758154E-2</v>
      </c>
      <c r="G64" s="16">
        <v>17427530</v>
      </c>
      <c r="J64" s="39"/>
      <c r="S64" s="17"/>
    </row>
    <row r="65" spans="1:19" x14ac:dyDescent="0.2">
      <c r="A65" s="12" t="s">
        <v>61</v>
      </c>
      <c r="B65" s="13" t="str">
        <f>'Just Value All Property Types'!B65</f>
        <v>R-Prelim</v>
      </c>
      <c r="C65" s="14">
        <v>5201296</v>
      </c>
      <c r="D65" s="15">
        <f t="shared" si="0"/>
        <v>3.143854386061281E-2</v>
      </c>
      <c r="E65" s="14">
        <v>5042759</v>
      </c>
      <c r="F65" s="15">
        <f t="shared" si="0"/>
        <v>0.16706245621570881</v>
      </c>
      <c r="G65" s="16">
        <v>4320899</v>
      </c>
      <c r="J65" s="39"/>
      <c r="S65" s="17"/>
    </row>
    <row r="66" spans="1:19" x14ac:dyDescent="0.2">
      <c r="A66" s="12" t="s">
        <v>62</v>
      </c>
      <c r="B66" s="13" t="str">
        <f>'Just Value All Property Types'!B66</f>
        <v>R-Prelim</v>
      </c>
      <c r="C66" s="14">
        <v>1896944</v>
      </c>
      <c r="D66" s="15">
        <f t="shared" si="0"/>
        <v>0.1027936325594753</v>
      </c>
      <c r="E66" s="14">
        <v>1720126</v>
      </c>
      <c r="F66" s="15">
        <f t="shared" si="0"/>
        <v>-0.30060826360257942</v>
      </c>
      <c r="G66" s="16">
        <v>2459460</v>
      </c>
      <c r="J66" s="39"/>
      <c r="S66" s="17"/>
    </row>
    <row r="67" spans="1:19" x14ac:dyDescent="0.2">
      <c r="A67" s="12" t="s">
        <v>63</v>
      </c>
      <c r="B67" s="13" t="str">
        <f>'Just Value All Property Types'!B67</f>
        <v>R-Prelim</v>
      </c>
      <c r="C67" s="14"/>
      <c r="D67" s="15" t="s">
        <v>79</v>
      </c>
      <c r="E67" s="14"/>
      <c r="F67" s="15" t="s">
        <v>79</v>
      </c>
      <c r="G67" s="16"/>
      <c r="J67" s="39"/>
      <c r="S67" s="17"/>
    </row>
    <row r="68" spans="1:19" x14ac:dyDescent="0.2">
      <c r="A68" s="12" t="s">
        <v>64</v>
      </c>
      <c r="B68" s="13" t="str">
        <f>'Just Value All Property Types'!B68</f>
        <v>R-Prelim</v>
      </c>
      <c r="C68" s="14">
        <v>70075854</v>
      </c>
      <c r="D68" s="15">
        <f t="shared" si="0"/>
        <v>4.9025309482904752E-3</v>
      </c>
      <c r="E68" s="14">
        <v>69733981</v>
      </c>
      <c r="F68" s="15">
        <f t="shared" si="0"/>
        <v>6.5945332788524289E-4</v>
      </c>
      <c r="G68" s="16">
        <v>69688025</v>
      </c>
      <c r="J68" s="39"/>
      <c r="S68" s="17"/>
    </row>
    <row r="69" spans="1:19" x14ac:dyDescent="0.2">
      <c r="A69" s="12" t="s">
        <v>65</v>
      </c>
      <c r="B69" s="13" t="str">
        <f>'Just Value All Property Types'!B69</f>
        <v>R-Prelim</v>
      </c>
      <c r="C69" s="14"/>
      <c r="D69" s="15" t="s">
        <v>79</v>
      </c>
      <c r="E69" s="14"/>
      <c r="F69" s="15" t="s">
        <v>79</v>
      </c>
      <c r="G69" s="16"/>
      <c r="J69" s="39"/>
    </row>
    <row r="70" spans="1:19" x14ac:dyDescent="0.2">
      <c r="A70" s="12" t="s">
        <v>66</v>
      </c>
      <c r="B70" s="13" t="str">
        <f>'Just Value All Property Types'!B70</f>
        <v>R-Prelim</v>
      </c>
      <c r="C70" s="14">
        <v>4403651</v>
      </c>
      <c r="D70" s="15">
        <f>((C70-E70)/E70)</f>
        <v>3.3225865260329501E-2</v>
      </c>
      <c r="E70" s="14">
        <v>4262041</v>
      </c>
      <c r="F70" s="15">
        <f>((E70-G70)/G70)</f>
        <v>0.15869511849324322</v>
      </c>
      <c r="G70" s="16">
        <v>3678311</v>
      </c>
      <c r="J70" s="39"/>
      <c r="S70" s="17"/>
    </row>
    <row r="71" spans="1:19" x14ac:dyDescent="0.2">
      <c r="A71" s="12" t="s">
        <v>67</v>
      </c>
      <c r="B71" s="13" t="str">
        <f>'Just Value All Property Types'!B71</f>
        <v>R-Prelim</v>
      </c>
      <c r="C71" s="14">
        <v>2613253</v>
      </c>
      <c r="D71" s="15">
        <f>((C71-E71)/E71)</f>
        <v>3.095728510093369E-2</v>
      </c>
      <c r="E71" s="14">
        <v>2534783</v>
      </c>
      <c r="F71" s="15">
        <f>((E71-G71)/G71)</f>
        <v>0.17002926939149116</v>
      </c>
      <c r="G71" s="16">
        <v>2166427</v>
      </c>
      <c r="J71" s="39"/>
    </row>
    <row r="72" spans="1:19" x14ac:dyDescent="0.2">
      <c r="A72" s="18"/>
      <c r="B72" s="19"/>
      <c r="C72" s="14"/>
      <c r="D72" s="20"/>
      <c r="E72" s="14"/>
      <c r="F72" s="20"/>
      <c r="G72" s="16"/>
      <c r="J72" s="39"/>
    </row>
    <row r="73" spans="1:19" ht="15.75" thickBot="1" x14ac:dyDescent="0.3">
      <c r="A73" s="21" t="s">
        <v>68</v>
      </c>
      <c r="B73" s="22"/>
      <c r="C73" s="23">
        <f>SUM(C5:C71)</f>
        <v>2237506624</v>
      </c>
      <c r="D73" s="24">
        <f>((C73-E73)/E73)</f>
        <v>-2.7264186877157662E-2</v>
      </c>
      <c r="E73" s="23">
        <f>SUM(E5:E71)</f>
        <v>2300220259</v>
      </c>
      <c r="F73" s="24">
        <f>((E73-G73)/G73)</f>
        <v>1.0932799567977484E-2</v>
      </c>
      <c r="G73" s="25">
        <f>SUM(G5:G71)</f>
        <v>2275344375</v>
      </c>
      <c r="J73" s="39"/>
      <c r="S73" s="17"/>
    </row>
    <row r="74" spans="1:19" x14ac:dyDescent="0.2">
      <c r="J74" s="39"/>
      <c r="S74" s="17"/>
    </row>
    <row r="75" spans="1:19" x14ac:dyDescent="0.2">
      <c r="A75" s="26" t="s">
        <v>89</v>
      </c>
      <c r="J75" s="39"/>
      <c r="S75" s="17"/>
    </row>
    <row r="76" spans="1:19" x14ac:dyDescent="0.2">
      <c r="J76" s="39"/>
    </row>
    <row r="77" spans="1:19" x14ac:dyDescent="0.2">
      <c r="J77" s="39"/>
    </row>
    <row r="78" spans="1:19" x14ac:dyDescent="0.2">
      <c r="J78" s="39"/>
    </row>
    <row r="79" spans="1:19" x14ac:dyDescent="0.2">
      <c r="J79" s="39"/>
    </row>
    <row r="80" spans="1:19" x14ac:dyDescent="0.2">
      <c r="J80" s="39"/>
    </row>
    <row r="81" spans="10:10" x14ac:dyDescent="0.2">
      <c r="J81" s="39"/>
    </row>
    <row r="82" spans="10:10" x14ac:dyDescent="0.2">
      <c r="J82" s="39"/>
    </row>
    <row r="83" spans="10:10" x14ac:dyDescent="0.2">
      <c r="J83" s="39"/>
    </row>
    <row r="84" spans="10:10" x14ac:dyDescent="0.2">
      <c r="J84" s="39"/>
    </row>
    <row r="85" spans="10:10" x14ac:dyDescent="0.2">
      <c r="J85" s="39"/>
    </row>
    <row r="86" spans="10:10" x14ac:dyDescent="0.2">
      <c r="J86" s="39"/>
    </row>
    <row r="87" spans="10:10" x14ac:dyDescent="0.2">
      <c r="J87" s="39"/>
    </row>
    <row r="88" spans="10:10" x14ac:dyDescent="0.2">
      <c r="J88" s="39"/>
    </row>
    <row r="89" spans="10:10" x14ac:dyDescent="0.2">
      <c r="J89" s="39"/>
    </row>
    <row r="90" spans="10:10" x14ac:dyDescent="0.2">
      <c r="J90" s="39"/>
    </row>
    <row r="91" spans="10:10" x14ac:dyDescent="0.2">
      <c r="J91" s="39"/>
    </row>
    <row r="92" spans="10:10" x14ac:dyDescent="0.2">
      <c r="J92" s="39"/>
    </row>
    <row r="93" spans="10:10" x14ac:dyDescent="0.2">
      <c r="J93" s="39"/>
    </row>
    <row r="94" spans="10:10" x14ac:dyDescent="0.2">
      <c r="J94" s="39"/>
    </row>
    <row r="95" spans="10:10" x14ac:dyDescent="0.2">
      <c r="J95" s="39"/>
    </row>
    <row r="96" spans="10:10" x14ac:dyDescent="0.2">
      <c r="J96" s="39"/>
    </row>
    <row r="97" spans="10:10" x14ac:dyDescent="0.2">
      <c r="J97" s="39"/>
    </row>
    <row r="98" spans="10:10" x14ac:dyDescent="0.2">
      <c r="J98" s="39"/>
    </row>
    <row r="99" spans="10:10" x14ac:dyDescent="0.2">
      <c r="J99" s="39"/>
    </row>
    <row r="100" spans="10:10" x14ac:dyDescent="0.2">
      <c r="J100" s="39"/>
    </row>
    <row r="101" spans="10:10" x14ac:dyDescent="0.2">
      <c r="J101" s="39"/>
    </row>
    <row r="102" spans="10:10" x14ac:dyDescent="0.2">
      <c r="J102" s="39"/>
    </row>
    <row r="103" spans="10:10" x14ac:dyDescent="0.2">
      <c r="J103" s="39"/>
    </row>
    <row r="104" spans="10:10" x14ac:dyDescent="0.2">
      <c r="J104" s="39"/>
    </row>
    <row r="105" spans="10:10" x14ac:dyDescent="0.2">
      <c r="J105" s="39"/>
    </row>
    <row r="106" spans="10:10" x14ac:dyDescent="0.2">
      <c r="J106" s="39"/>
    </row>
    <row r="107" spans="10:10" x14ac:dyDescent="0.2">
      <c r="J107" s="39"/>
    </row>
    <row r="108" spans="10:10" x14ac:dyDescent="0.2">
      <c r="J108" s="39"/>
    </row>
    <row r="109" spans="10:10" x14ac:dyDescent="0.2">
      <c r="J109" s="39"/>
    </row>
    <row r="110" spans="10:10" x14ac:dyDescent="0.2">
      <c r="J110" s="39"/>
    </row>
    <row r="111" spans="10:10" x14ac:dyDescent="0.2">
      <c r="J111" s="39"/>
    </row>
    <row r="112" spans="10:10" x14ac:dyDescent="0.2">
      <c r="J112" s="39"/>
    </row>
    <row r="113" spans="10:10" x14ac:dyDescent="0.2">
      <c r="J113" s="39"/>
    </row>
    <row r="114" spans="10:10" x14ac:dyDescent="0.2">
      <c r="J114" s="39"/>
    </row>
    <row r="115" spans="10:10" x14ac:dyDescent="0.2">
      <c r="J115" s="39"/>
    </row>
    <row r="116" spans="10:10" x14ac:dyDescent="0.2">
      <c r="J116" s="39"/>
    </row>
    <row r="117" spans="10:10" x14ac:dyDescent="0.2">
      <c r="J117" s="39"/>
    </row>
    <row r="118" spans="10:10" x14ac:dyDescent="0.2">
      <c r="J118" s="39"/>
    </row>
    <row r="119" spans="10:10" x14ac:dyDescent="0.2">
      <c r="J119" s="39"/>
    </row>
    <row r="120" spans="10:10" x14ac:dyDescent="0.2">
      <c r="J120" s="39"/>
    </row>
    <row r="121" spans="10:10" x14ac:dyDescent="0.2">
      <c r="J121" s="39"/>
    </row>
    <row r="122" spans="10:10" x14ac:dyDescent="0.2">
      <c r="J122" s="39"/>
    </row>
    <row r="123" spans="10:10" x14ac:dyDescent="0.2">
      <c r="J123" s="39"/>
    </row>
    <row r="124" spans="10:10" x14ac:dyDescent="0.2">
      <c r="J124" s="39"/>
    </row>
    <row r="125" spans="10:10" x14ac:dyDescent="0.2">
      <c r="J125" s="39"/>
    </row>
    <row r="126" spans="10:10" x14ac:dyDescent="0.2">
      <c r="J126" s="39"/>
    </row>
    <row r="127" spans="10:10" x14ac:dyDescent="0.2">
      <c r="J127" s="39"/>
    </row>
    <row r="128" spans="10:10" x14ac:dyDescent="0.2">
      <c r="J128" s="39"/>
    </row>
    <row r="129" spans="10:10" x14ac:dyDescent="0.2">
      <c r="J129" s="39"/>
    </row>
    <row r="130" spans="10:10" x14ac:dyDescent="0.2">
      <c r="J130" s="39"/>
    </row>
    <row r="131" spans="10:10" x14ac:dyDescent="0.2">
      <c r="J131" s="39"/>
    </row>
    <row r="132" spans="10:10" x14ac:dyDescent="0.2">
      <c r="J132" s="39"/>
    </row>
    <row r="133" spans="10:10" x14ac:dyDescent="0.2">
      <c r="J133" s="39"/>
    </row>
    <row r="134" spans="10:10" x14ac:dyDescent="0.2">
      <c r="J134" s="39"/>
    </row>
    <row r="135" spans="10:10" x14ac:dyDescent="0.2">
      <c r="J135" s="39"/>
    </row>
    <row r="136" spans="10:10" x14ac:dyDescent="0.2">
      <c r="J136" s="39"/>
    </row>
    <row r="137" spans="10:10" x14ac:dyDescent="0.2">
      <c r="J137" s="39"/>
    </row>
    <row r="138" spans="10:10" x14ac:dyDescent="0.2">
      <c r="J138" s="39"/>
    </row>
  </sheetData>
  <phoneticPr fontId="3" type="noConversion"/>
  <conditionalFormatting sqref="A75">
    <cfRule type="expression" dxfId="2" priority="30" stopIfTrue="1">
      <formula>MOD(ROW(),5)=1</formula>
    </cfRule>
  </conditionalFormatting>
  <conditionalFormatting sqref="A4:G42 A44:G73 A43:B43 D43:G43">
    <cfRule type="expression" dxfId="1" priority="2" stopIfTrue="1">
      <formula>MOD(ROW(),3)=1</formula>
    </cfRule>
  </conditionalFormatting>
  <conditionalFormatting sqref="C43">
    <cfRule type="expression" dxfId="0"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D74:F74 E73 D73 F73"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8CCF48F7F21843AAD247617866AB0F" ma:contentTypeVersion="26" ma:contentTypeDescription="Create a new document." ma:contentTypeScope="" ma:versionID="035bff02668bf00af84ba8f60763016b">
  <xsd:schema xmlns:xsd="http://www.w3.org/2001/XMLSchema" xmlns:xs="http://www.w3.org/2001/XMLSchema" xmlns:p="http://schemas.microsoft.com/office/2006/metadata/properties" xmlns:ns1="http://schemas.microsoft.com/sharepoint/v3" xmlns:ns2="971ecb86-dbcb-4cad-aa0a-8e3edd121c88" targetNamespace="http://schemas.microsoft.com/office/2006/metadata/properties" ma:root="true" ma:fieldsID="4eb80cc09e6d4e7765fe98acf63822e8" ns1:_="" ns2:_="">
    <xsd:import namespace="http://schemas.microsoft.com/sharepoint/v3"/>
    <xsd:import namespace="971ecb86-dbcb-4cad-aa0a-8e3edd121c88"/>
    <xsd:element name="properties">
      <xsd:complexType>
        <xsd:sequence>
          <xsd:element name="documentManagement">
            <xsd:complexType>
              <xsd:all>
                <xsd:element ref="ns2:DocumentName" minOccurs="0"/>
                <xsd:element ref="ns2:Web_x0020_Category" minOccurs="0"/>
                <xsd:element ref="ns2:DocumentDescription" minOccurs="0"/>
                <xsd:element ref="ns2:Forms_Description" minOccurs="0"/>
                <xsd:element ref="ns2:Review_x0020_Frequency_x0020_Period" minOccurs="0"/>
                <xsd:element ref="ns2:Review_x0020_Frequency_x0020_by_x0020_Month" minOccurs="0"/>
                <xsd:element ref="ns2:Legal_x0020_Review_x0020_Date" minOccurs="0"/>
                <xsd:element ref="ns2:Language_x0020_Review_x0020_Date" minOccurs="0"/>
                <xsd:element ref="ns2:Date_x0020_last_x0020_reviewed" minOccurs="0"/>
                <xsd:element ref="ns2:Is_x0020_this_x0020_Legally_x0020_required_x003f_" minOccurs="0"/>
                <xsd:element ref="ns2:Notes0" minOccurs="0"/>
                <xsd:element ref="ns2:Automated_x0020_Content" minOccurs="0"/>
                <xsd:element ref="ns2:statutesRulesPolicies" minOccurs="0"/>
                <xsd:element ref="ns2:Historical"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6" nillable="true" ma:displayName="Scheduling Start Date" ma:description="Scheduling Start Date is a site column created by the Publishing feature. It is used to specify the date and time on which this page will first appear to site visitors." ma:internalName="PublishingStartDate" ma:readOnly="false">
      <xsd:simpleType>
        <xsd:restriction base="dms:Unknown"/>
      </xsd:simpleType>
    </xsd:element>
    <xsd:element name="PublishingExpirationDate" ma:index="17" nillable="true" ma:displayName="Scheduling End Date" ma:description="Scheduling End Date is a site column created by the Publishing feature. It is used to specify the date and time on which this page will no longer appear to site visitors." ma:internalName="PublishingExpirationDate"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71ecb86-dbcb-4cad-aa0a-8e3edd121c88" elementFormDefault="qualified">
    <xsd:import namespace="http://schemas.microsoft.com/office/2006/documentManagement/types"/>
    <xsd:import namespace="http://schemas.microsoft.com/office/infopath/2007/PartnerControls"/>
    <xsd:element name="DocumentName" ma:index="2" nillable="true" ma:displayName="Document" ma:description="This is the formatted name of the document and MUST be filled out for all documents." ma:internalName="DocumentName" ma:readOnly="false">
      <xsd:simpleType>
        <xsd:restriction base="dms:Text">
          <xsd:maxLength value="255"/>
        </xsd:restriction>
      </xsd:simpleType>
    </xsd:element>
    <xsd:element name="Web_x0020_Category" ma:index="3" nillable="true" ma:displayName="Web Category" ma:list="{68a30688-8426-42e5-bc98-ed9a40a81362}" ma:internalName="Web_x0020_Category" ma:readOnly="false" ma:showField="Title">
      <xsd:simpleType>
        <xsd:restriction base="dms:Lookup"/>
      </xsd:simpleType>
    </xsd:element>
    <xsd:element name="DocumentDescription" ma:index="4" nillable="true" ma:displayName="Description" ma:description="If this document is meant to appear on the forms page you MUST fill in the &quot;Forms Description&quot; field as well as this one." ma:internalName="DocumentDescription" ma:readOnly="false">
      <xsd:simpleType>
        <xsd:restriction base="dms:Text">
          <xsd:maxLength value="255"/>
        </xsd:restriction>
      </xsd:simpleType>
    </xsd:element>
    <xsd:element name="Forms_Description" ma:index="5" nillable="true" ma:displayName="Forms_Description" ma:internalName="Forms_Description" ma:readOnly="false">
      <xsd:simpleType>
        <xsd:restriction base="dms:Text">
          <xsd:maxLength value="255"/>
        </xsd:restriction>
      </xsd:simpleType>
    </xsd:element>
    <xsd:element name="Review_x0020_Frequency_x0020_Period" ma:index="6" nillable="true" ma:displayName="Review Frequency Period" ma:default="Annually" ma:description="How often should this content be reviewed by the Content Owner?" ma:format="Dropdown" ma:internalName="Review_x0020_Frequency_x0020_Period" ma:readOnly="false">
      <xsd:simpleType>
        <xsd:restriction base="dms:Choice">
          <xsd:enumeration value="Monthly"/>
          <xsd:enumeration value="Quarterly"/>
          <xsd:enumeration value="Semi-Annually"/>
          <xsd:enumeration value="Annually"/>
          <xsd:enumeration value="None"/>
        </xsd:restriction>
      </xsd:simpleType>
    </xsd:element>
    <xsd:element name="Review_x0020_Frequency_x0020_by_x0020_Month" ma:index="7" nillable="true" ma:displayName="Review Frequency by Month" ma:internalName="Review_x0020_Frequency_x0020_by_x0020_Month" ma:readOnly="false">
      <xsd:complexType>
        <xsd:complexContent>
          <xsd:extension base="dms:MultiChoice">
            <xsd:sequence>
              <xsd:element name="Value" maxOccurs="unbounded" minOccurs="0" nillable="true">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sequence>
          </xsd:extension>
        </xsd:complexContent>
      </xsd:complexType>
    </xsd:element>
    <xsd:element name="Legal_x0020_Review_x0020_Date" ma:index="8" nillable="true" ma:displayName="Legal Review Date" ma:format="DateOnly" ma:internalName="Legal_x0020_Review_x0020_Date" ma:readOnly="false">
      <xsd:simpleType>
        <xsd:restriction base="dms:DateTime"/>
      </xsd:simpleType>
    </xsd:element>
    <xsd:element name="Language_x0020_Review_x0020_Date" ma:index="9" nillable="true" ma:displayName="Language Review Date" ma:description="Date of last Language Review" ma:format="DateOnly" ma:internalName="Language_x0020_Review_x0020_Date" ma:readOnly="false">
      <xsd:simpleType>
        <xsd:restriction base="dms:DateTime"/>
      </xsd:simpleType>
    </xsd:element>
    <xsd:element name="Date_x0020_last_x0020_reviewed" ma:index="10" nillable="true" ma:displayName="Date last reviewed" ma:description="The date the document was last reviewed by content owner." ma:format="DateOnly" ma:internalName="Date_x0020_last_x0020_reviewed" ma:readOnly="false">
      <xsd:simpleType>
        <xsd:restriction base="dms:DateTime"/>
      </xsd:simpleType>
    </xsd:element>
    <xsd:element name="Is_x0020_this_x0020_Legally_x0020_required_x003f_" ma:index="11" nillable="true" ma:displayName="Is this Legally required?" ma:default="No" ma:format="Dropdown" ma:internalName="Is_x0020_this_x0020_Legally_x0020_required_x003f_" ma:readOnly="false">
      <xsd:simpleType>
        <xsd:restriction base="dms:Choice">
          <xsd:enumeration value="Yes"/>
          <xsd:enumeration value="No"/>
        </xsd:restriction>
      </xsd:simpleType>
    </xsd:element>
    <xsd:element name="Notes0" ma:index="12" nillable="true" ma:displayName="Notes" ma:internalName="Notes0" ma:readOnly="false">
      <xsd:simpleType>
        <xsd:restriction base="dms:Note">
          <xsd:maxLength value="255"/>
        </xsd:restriction>
      </xsd:simpleType>
    </xsd:element>
    <xsd:element name="Automated_x0020_Content" ma:index="13" nillable="true" ma:displayName="Automated Content" ma:default="No" ma:format="Dropdown" ma:internalName="Automated_x0020_Content" ma:readOnly="false">
      <xsd:simpleType>
        <xsd:restriction base="dms:Choice">
          <xsd:enumeration value="Yes"/>
          <xsd:enumeration value="No"/>
        </xsd:restriction>
      </xsd:simpleType>
    </xsd:element>
    <xsd:element name="statutesRulesPolicies" ma:index="14" nillable="true" ma:displayName="statutesRulesPolicies" ma:description="This column contains the statutes, rules, or policy that governs" ma:list="{17a373b7-8334-4f0f-90d4-3ea48205243f}" ma:internalName="statutesRulesPolicies" ma:readOnly="false" ma:showField="Title">
      <xsd:complexType>
        <xsd:complexContent>
          <xsd:extension base="dms:MultiChoiceLookup">
            <xsd:sequence>
              <xsd:element name="Value" type="dms:Lookup" maxOccurs="unbounded" minOccurs="0" nillable="true"/>
            </xsd:sequence>
          </xsd:extension>
        </xsd:complexContent>
      </xsd:complexType>
    </xsd:element>
    <xsd:element name="Historical" ma:index="15" nillable="true" ma:displayName="Historical" ma:default="No" ma:description="If this is checked as yes, it doesn't need to be reviewed annually." ma:format="Dropdown" ma:internalName="Historical" ma:readOnly="false">
      <xsd:simpleType>
        <xsd:restriction base="dms:Choice">
          <xsd:enumeration value="Yes"/>
          <xsd:enumeration value="No"/>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Historical xmlns="971ecb86-dbcb-4cad-aa0a-8e3edd121c88">No</Historical>
    <Forms_Description xmlns="971ecb86-dbcb-4cad-aa0a-8e3edd121c88" xsi:nil="true"/>
    <Review_x0020_Frequency_x0020_Period xmlns="971ecb86-dbcb-4cad-aa0a-8e3edd121c88">Annually</Review_x0020_Frequency_x0020_Period>
    <Language_x0020_Review_x0020_Date xmlns="971ecb86-dbcb-4cad-aa0a-8e3edd121c88" xsi:nil="true"/>
    <statutesRulesPolicies xmlns="971ecb86-dbcb-4cad-aa0a-8e3edd121c88"/>
    <Is_x0020_this_x0020_Legally_x0020_required_x003f_ xmlns="971ecb86-dbcb-4cad-aa0a-8e3edd121c88">No</Is_x0020_this_x0020_Legally_x0020_required_x003f_>
    <DocumentName xmlns="971ecb86-dbcb-4cad-aa0a-8e3edd121c88" xsi:nil="true"/>
    <Web_x0020_Category xmlns="971ecb86-dbcb-4cad-aa0a-8e3edd121c88" xsi:nil="true"/>
    <PublishingExpirationDate xmlns="http://schemas.microsoft.com/sharepoint/v3" xsi:nil="true"/>
    <Notes0 xmlns="971ecb86-dbcb-4cad-aa0a-8e3edd121c88" xsi:nil="true"/>
    <PublishingStartDate xmlns="http://schemas.microsoft.com/sharepoint/v3" xsi:nil="true"/>
    <DocumentDescription xmlns="971ecb86-dbcb-4cad-aa0a-8e3edd121c88" xsi:nil="true"/>
    <Review_x0020_Frequency_x0020_by_x0020_Month xmlns="971ecb86-dbcb-4cad-aa0a-8e3edd121c88"/>
    <Date_x0020_last_x0020_reviewed xmlns="971ecb86-dbcb-4cad-aa0a-8e3edd121c88" xsi:nil="true"/>
    <Legal_x0020_Review_x0020_Date xmlns="971ecb86-dbcb-4cad-aa0a-8e3edd121c88" xsi:nil="true"/>
    <Automated_x0020_Content xmlns="971ecb86-dbcb-4cad-aa0a-8e3edd121c88">No</Automated_x0020_Content>
  </documentManagement>
</p:properties>
</file>

<file path=customXml/itemProps1.xml><?xml version="1.0" encoding="utf-8"?>
<ds:datastoreItem xmlns:ds="http://schemas.openxmlformats.org/officeDocument/2006/customXml" ds:itemID="{F3FFABA5-2928-4B69-AB4C-3D1C5C7DE5A6}"/>
</file>

<file path=customXml/itemProps2.xml><?xml version="1.0" encoding="utf-8"?>
<ds:datastoreItem xmlns:ds="http://schemas.openxmlformats.org/officeDocument/2006/customXml" ds:itemID="{6608209B-383A-4FE3-93A1-3BFF0A7980F0}"/>
</file>

<file path=customXml/itemProps3.xml><?xml version="1.0" encoding="utf-8"?>
<ds:datastoreItem xmlns:ds="http://schemas.openxmlformats.org/officeDocument/2006/customXml" ds:itemID="{5BBC3FE7-C7D3-4657-854E-6E471BE2E7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Report Index</vt:lpstr>
      <vt:lpstr>Just Value All Property Types</vt:lpstr>
      <vt:lpstr>All Property Just Value</vt:lpstr>
      <vt:lpstr>Real Property Just Value</vt:lpstr>
      <vt:lpstr>Personal Property Just Value</vt:lpstr>
      <vt:lpstr>Centrally Assessed Just Value </vt:lpstr>
      <vt:lpstr>'All Property Just Value'!Print_Area</vt:lpstr>
      <vt:lpstr>'Centrally Assessed Just Value '!Print_Area</vt:lpstr>
      <vt:lpstr>'Just Value All Property Types'!Print_Area</vt:lpstr>
      <vt:lpstr>'Personal Property Just Value'!Print_Area</vt:lpstr>
      <vt:lpstr>'Real Property Just Value'!Print_Area</vt:lpstr>
      <vt:lpstr>'Report Index'!Print_Area</vt:lpstr>
      <vt:lpstr>'All Property Just Value'!Print_Titles</vt:lpstr>
      <vt:lpstr>'Centrally Assessed Just Value '!Print_Titles</vt:lpstr>
      <vt:lpstr>'Just Value All Property Types'!Print_Titles</vt:lpstr>
      <vt:lpstr>'Personal Property Just Value'!Print_Titles</vt:lpstr>
      <vt:lpstr>'Real Property Just Value'!Print_Titles</vt:lpstr>
    </vt:vector>
  </TitlesOfParts>
  <Company>Florida Dept. of Revenue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Florida Dept. of Revenue</dc:creator>
  <cp:lastModifiedBy>Katylin Tucker</cp:lastModifiedBy>
  <cp:lastPrinted>2011-02-11T15:23:46Z</cp:lastPrinted>
  <dcterms:created xsi:type="dcterms:W3CDTF">2010-08-10T15:50:22Z</dcterms:created>
  <dcterms:modified xsi:type="dcterms:W3CDTF">2026-07-27T17:28:17Z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0x010100FE8CCF48F7F21843AAD247617866AB0F</vt:lpwstr>
  </property>
</Properties>
</file>