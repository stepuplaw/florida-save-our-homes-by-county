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esearch &amp; Analysis\Data Book Documentation\2026 Databook\Preliminary\For Review\"/>
    </mc:Choice>
  </mc:AlternateContent>
  <xr:revisionPtr revIDLastSave="0" documentId="13_ncr:1_{B7ED926C-1272-4BCA-BC95-108191630618}" xr6:coauthVersionLast="47" xr6:coauthVersionMax="47" xr10:uidLastSave="{00000000-0000-0000-0000-000000000000}"/>
  <bookViews>
    <workbookView xWindow="28680" yWindow="-120" windowWidth="29040" windowHeight="15720" tabRatio="728" activeTab="1" xr2:uid="{00000000-000D-0000-FFFF-FFFF00000000}"/>
  </bookViews>
  <sheets>
    <sheet name="Report Index" sheetId="10" r:id="rId1"/>
    <sheet name="Taxable Value All Property" sheetId="9" r:id="rId2"/>
    <sheet name="All Property Taxable Value" sheetId="4" r:id="rId3"/>
    <sheet name="Real Property Taxable Value" sheetId="6" r:id="rId4"/>
    <sheet name="Personal Property Taxable Value" sheetId="7" r:id="rId5"/>
    <sheet name="Central Assessed Taxable Value " sheetId="8" r:id="rId6"/>
  </sheets>
  <definedNames>
    <definedName name="_xlnm.Print_Area" localSheetId="2">'All Property Taxable Value'!$A$1:$G$73</definedName>
    <definedName name="_xlnm.Print_Area" localSheetId="5">'Central Assessed Taxable Value '!$A$1:$G$73</definedName>
    <definedName name="_xlnm.Print_Area" localSheetId="4">'Personal Property Taxable Value'!$A$1:$G$73</definedName>
    <definedName name="_xlnm.Print_Area" localSheetId="3">'Real Property Taxable Value'!$A$1:$G$73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3" i="8" l="1"/>
  <c r="F43" i="9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71" i="8"/>
  <c r="F70" i="8"/>
  <c r="F68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7" i="8"/>
  <c r="F46" i="8"/>
  <c r="F45" i="8"/>
  <c r="F44" i="8"/>
  <c r="F43" i="8"/>
  <c r="F42" i="8"/>
  <c r="F41" i="8"/>
  <c r="F40" i="8"/>
  <c r="F39" i="8"/>
  <c r="F37" i="8"/>
  <c r="F36" i="8"/>
  <c r="F35" i="8"/>
  <c r="F34" i="8"/>
  <c r="F33" i="8"/>
  <c r="F32" i="8"/>
  <c r="F31" i="8"/>
  <c r="F30" i="8"/>
  <c r="F29" i="8"/>
  <c r="F28" i="8"/>
  <c r="F27" i="8"/>
  <c r="F26" i="8"/>
  <c r="F24" i="8"/>
  <c r="F23" i="8"/>
  <c r="F22" i="8"/>
  <c r="F21" i="8"/>
  <c r="F20" i="8"/>
  <c r="F18" i="8"/>
  <c r="F17" i="8"/>
  <c r="F16" i="8"/>
  <c r="F15" i="8"/>
  <c r="F14" i="8"/>
  <c r="F13" i="8"/>
  <c r="F12" i="8"/>
  <c r="F10" i="8"/>
  <c r="F9" i="8"/>
  <c r="F8" i="8"/>
  <c r="F7" i="8"/>
  <c r="F6" i="8"/>
  <c r="F5" i="8"/>
  <c r="F43" i="4"/>
  <c r="F42" i="4"/>
  <c r="F41" i="4"/>
  <c r="F40" i="4"/>
  <c r="F30" i="4"/>
  <c r="F29" i="4"/>
  <c r="F28" i="4"/>
  <c r="F18" i="4"/>
  <c r="F17" i="4"/>
  <c r="F16" i="4"/>
  <c r="F6" i="4"/>
  <c r="F5" i="4"/>
  <c r="F71" i="4"/>
  <c r="F69" i="4"/>
  <c r="F60" i="4"/>
  <c r="F59" i="4"/>
  <c r="F57" i="4"/>
  <c r="F56" i="4"/>
  <c r="F50" i="4"/>
  <c r="F49" i="4"/>
  <c r="F48" i="4"/>
  <c r="F47" i="4"/>
  <c r="F45" i="4"/>
  <c r="F36" i="4"/>
  <c r="F35" i="4"/>
  <c r="F33" i="4"/>
  <c r="F32" i="4"/>
  <c r="F31" i="4"/>
  <c r="F27" i="4"/>
  <c r="F26" i="4"/>
  <c r="F25" i="4"/>
  <c r="F24" i="4"/>
  <c r="F23" i="4"/>
  <c r="F21" i="4"/>
  <c r="F12" i="4"/>
  <c r="F11" i="4"/>
  <c r="F9" i="4"/>
  <c r="F8" i="4"/>
  <c r="F7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D5" i="8"/>
  <c r="D6" i="8"/>
  <c r="D7" i="8"/>
  <c r="D8" i="8"/>
  <c r="D9" i="8"/>
  <c r="D10" i="8"/>
  <c r="D12" i="8"/>
  <c r="D13" i="8"/>
  <c r="D14" i="8"/>
  <c r="D15" i="8"/>
  <c r="D16" i="8"/>
  <c r="D17" i="8"/>
  <c r="D18" i="8"/>
  <c r="D20" i="8"/>
  <c r="D21" i="8"/>
  <c r="D22" i="8"/>
  <c r="D24" i="8"/>
  <c r="D26" i="8"/>
  <c r="D28" i="8"/>
  <c r="D29" i="8"/>
  <c r="D30" i="8"/>
  <c r="D31" i="8"/>
  <c r="D32" i="8"/>
  <c r="D33" i="8"/>
  <c r="D34" i="8"/>
  <c r="D35" i="8"/>
  <c r="D36" i="8"/>
  <c r="D37" i="8"/>
  <c r="D39" i="8"/>
  <c r="D40" i="8"/>
  <c r="D41" i="8"/>
  <c r="D42" i="8"/>
  <c r="D44" i="8"/>
  <c r="D45" i="8"/>
  <c r="D46" i="8"/>
  <c r="D47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8" i="8"/>
  <c r="D70" i="8"/>
  <c r="D71" i="8"/>
  <c r="C73" i="9"/>
  <c r="D6" i="7"/>
  <c r="D7" i="7"/>
  <c r="D8" i="7"/>
  <c r="D9" i="7"/>
  <c r="D10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5" i="7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5" i="6"/>
  <c r="G73" i="8"/>
  <c r="E73" i="8"/>
  <c r="G73" i="7"/>
  <c r="E73" i="7"/>
  <c r="G73" i="6"/>
  <c r="E73" i="6"/>
  <c r="E73" i="9"/>
  <c r="D73" i="9"/>
  <c r="F13" i="4"/>
  <c r="F51" i="4"/>
  <c r="F37" i="4"/>
  <c r="F66" i="4"/>
  <c r="F52" i="4"/>
  <c r="F61" i="4"/>
  <c r="F64" i="4"/>
  <c r="G73" i="4"/>
  <c r="F53" i="4"/>
  <c r="F54" i="4"/>
  <c r="F55" i="4"/>
  <c r="F65" i="4"/>
  <c r="F10" i="4"/>
  <c r="F22" i="4"/>
  <c r="F34" i="4"/>
  <c r="F46" i="4"/>
  <c r="F58" i="4"/>
  <c r="F70" i="4"/>
  <c r="F67" i="4"/>
  <c r="F19" i="4"/>
  <c r="F14" i="4"/>
  <c r="F38" i="4"/>
  <c r="F62" i="4"/>
  <c r="F15" i="4"/>
  <c r="F39" i="4"/>
  <c r="F63" i="4"/>
  <c r="E73" i="4"/>
  <c r="F20" i="4"/>
  <c r="F44" i="4"/>
  <c r="F68" i="4"/>
  <c r="D11" i="7"/>
  <c r="C73" i="6"/>
  <c r="C73" i="7"/>
  <c r="D5" i="4"/>
  <c r="C73" i="4"/>
  <c r="D73" i="6" l="1"/>
  <c r="D73" i="4"/>
  <c r="F73" i="8"/>
  <c r="F73" i="6"/>
  <c r="F73" i="4"/>
  <c r="F73" i="7"/>
  <c r="D73" i="7"/>
  <c r="D73" i="8"/>
  <c r="F73" i="9"/>
</calcChain>
</file>

<file path=xl/sharedStrings.xml><?xml version="1.0" encoding="utf-8"?>
<sst xmlns="http://schemas.openxmlformats.org/spreadsheetml/2006/main" count="483" uniqueCount="94">
  <si>
    <t>County</t>
  </si>
  <si>
    <t>Status</t>
  </si>
  <si>
    <t>Saint Johns</t>
  </si>
  <si>
    <t>Saint Lucie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</si>
  <si>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</si>
  <si>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</si>
  <si>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</si>
  <si>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</si>
  <si>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</si>
  <si>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</si>
  <si>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</si>
  <si>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</si>
  <si>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</si>
  <si>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</si>
  <si>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</si>
  <si>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</si>
  <si>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</si>
  <si>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</si>
  <si>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</si>
  <si>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</si>
  <si>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</si>
  <si>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</si>
  <si>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</si>
  <si>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</si>
  <si>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</si>
  <si>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</si>
  <si>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</si>
  <si>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</si>
  <si>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</si>
  <si>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</si>
  <si>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</si>
  <si>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</si>
  <si>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</si>
  <si>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</si>
  <si>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</si>
  <si>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</si>
  <si>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</si>
  <si>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</si>
  <si>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</si>
  <si>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</si>
  <si>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</si>
  <si>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</si>
  <si>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</si>
  <si>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</si>
  <si>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</si>
  <si>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</si>
  <si>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</si>
  <si>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</si>
  <si>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</si>
  <si>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</si>
  <si>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</si>
  <si>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</si>
  <si>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</si>
  <si>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</si>
  <si>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</si>
  <si>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</si>
  <si>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</si>
  <si>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</si>
  <si>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</si>
  <si>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</si>
  <si>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</si>
  <si>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</si>
  <si>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</si>
  <si>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</si>
  <si>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</si>
  <si>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</si>
  <si>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</si>
  <si>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</si>
  <si>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Statewide</t>
  </si>
  <si>
    <t>Taxable Value All Property Types</t>
  </si>
  <si>
    <t>All Property Types Taxable Value and Growth Rate</t>
  </si>
  <si>
    <t>Real Property Taxable Value and Growth Rate</t>
  </si>
  <si>
    <t>Personal Property Taxable Value and Growth Rate</t>
  </si>
  <si>
    <t>Centrally Assessed Property Taxable Value and Growth Rate</t>
  </si>
  <si>
    <t>Statewide Taxable Value Summary Information by County</t>
  </si>
  <si>
    <t>Taxable Value is the value of the property that is subject to taxes.  Taxable Value is the Assessed Value minus all Exemption Amounts.</t>
  </si>
  <si>
    <t xml:space="preserve">Contact Information: </t>
  </si>
  <si>
    <t xml:space="preserve">Property Tax Oversight, Research &amp; Analysis  </t>
  </si>
  <si>
    <t>Miami-Dade</t>
  </si>
  <si>
    <t xml:space="preserve">n/a </t>
  </si>
  <si>
    <t>PTOResearchAnalysis@floridarevenue.com</t>
  </si>
  <si>
    <t>R-Prelim</t>
  </si>
  <si>
    <t>2024 Value</t>
  </si>
  <si>
    <t>2025 Value</t>
  </si>
  <si>
    <t>Percent increase 2024-2025</t>
  </si>
  <si>
    <t>* The Total Taxable Value on this page is a sum of the Real, Tangible and Central Assessment Values.</t>
  </si>
  <si>
    <t xml:space="preserve"> 2026 Real Property
 Taxable Value</t>
  </si>
  <si>
    <t>2026 Personal Property Taxable Value</t>
  </si>
  <si>
    <t xml:space="preserve"> 2026 Central Assessment Taxable Value</t>
  </si>
  <si>
    <t>2026 Total
 Taxable Value</t>
  </si>
  <si>
    <t>Data Extract: July 2026</t>
  </si>
  <si>
    <t>2024-2026</t>
  </si>
  <si>
    <t>2026 Value</t>
  </si>
  <si>
    <t>Percent increase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</si>
</sst>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0"/>
      <name val="Arial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1"/>
      <color indexed="12"/>
      <name val="Arial"/>
      <family val="2"/>
    </font>
    <font>
      <i/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0" fillId="0" borderId="0"/>
    <xf numFmtId="9" fontId="3" fillId="0" borderId="0" applyFont="0" applyFill="0" applyBorder="0" applyAlignment="0" applyProtection="0"/>
  </cellStyleXfs>
  <cellXfs count="54">
    <xf numFmtId="0" fontId="0" fillId="0" borderId="0" xfId="0"/>
    <xf numFmtId="0" fontId="4" fillId="0" borderId="0" xfId="0" applyFont="1"/>
    <xf numFmtId="0" fontId="5" fillId="0" borderId="0" xfId="0" applyFont="1"/>
    <xf numFmtId="3" fontId="5" fillId="0" borderId="0" xfId="0" applyNumberFormat="1" applyFont="1" applyAlignment="1">
      <alignment wrapText="1"/>
    </xf>
    <xf numFmtId="0" fontId="5" fillId="0" borderId="0" xfId="0" applyFont="1" applyAlignment="1">
      <alignment horizontal="left"/>
    </xf>
    <xf numFmtId="0" fontId="7" fillId="0" borderId="0" xfId="0" applyFont="1"/>
    <xf numFmtId="0" fontId="6" fillId="0" borderId="0" xfId="2" applyFont="1" applyAlignment="1" applyProtection="1"/>
    <xf numFmtId="0" fontId="8" fillId="0" borderId="0" xfId="0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3" fontId="5" fillId="0" borderId="2" xfId="0" applyNumberFormat="1" applyFont="1" applyBorder="1"/>
    <xf numFmtId="10" fontId="5" fillId="0" borderId="2" xfId="4" applyNumberFormat="1" applyFont="1" applyBorder="1" applyAlignment="1">
      <alignment horizontal="right"/>
    </xf>
    <xf numFmtId="3" fontId="5" fillId="0" borderId="3" xfId="0" applyNumberFormat="1" applyFont="1" applyBorder="1"/>
    <xf numFmtId="3" fontId="5" fillId="0" borderId="0" xfId="0" applyNumberFormat="1" applyFont="1"/>
    <xf numFmtId="0" fontId="5" fillId="0" borderId="4" xfId="0" applyFont="1" applyBorder="1"/>
    <xf numFmtId="0" fontId="5" fillId="0" borderId="5" xfId="0" applyFont="1" applyBorder="1" applyAlignment="1">
      <alignment horizontal="center"/>
    </xf>
    <xf numFmtId="2" fontId="5" fillId="0" borderId="5" xfId="0" applyNumberFormat="1" applyFont="1" applyBorder="1" applyAlignment="1">
      <alignment horizontal="center"/>
    </xf>
    <xf numFmtId="0" fontId="4" fillId="2" borderId="6" xfId="0" applyFont="1" applyFill="1" applyBorder="1"/>
    <xf numFmtId="0" fontId="4" fillId="2" borderId="7" xfId="0" applyFont="1" applyFill="1" applyBorder="1" applyAlignment="1">
      <alignment horizontal="center"/>
    </xf>
    <xf numFmtId="3" fontId="4" fillId="2" borderId="7" xfId="0" applyNumberFormat="1" applyFont="1" applyFill="1" applyBorder="1"/>
    <xf numFmtId="10" fontId="4" fillId="2" borderId="7" xfId="4" applyNumberFormat="1" applyFont="1" applyFill="1" applyBorder="1" applyAlignment="1">
      <alignment horizontal="right"/>
    </xf>
    <xf numFmtId="3" fontId="4" fillId="2" borderId="8" xfId="0" applyNumberFormat="1" applyFont="1" applyFill="1" applyBorder="1"/>
    <xf numFmtId="0" fontId="5" fillId="0" borderId="0" xfId="0" applyFont="1" applyFill="1" applyBorder="1"/>
    <xf numFmtId="3" fontId="5" fillId="0" borderId="2" xfId="0" applyNumberFormat="1" applyFont="1" applyBorder="1" applyAlignment="1">
      <alignment horizontal="right"/>
    </xf>
    <xf numFmtId="3" fontId="5" fillId="0" borderId="2" xfId="3" applyNumberFormat="1" applyFont="1" applyBorder="1"/>
    <xf numFmtId="3" fontId="5" fillId="0" borderId="3" xfId="1" applyNumberFormat="1" applyFont="1" applyBorder="1"/>
    <xf numFmtId="3" fontId="5" fillId="0" borderId="2" xfId="0" applyNumberFormat="1" applyFont="1" applyFill="1" applyBorder="1" applyAlignment="1">
      <alignment horizontal="right"/>
    </xf>
    <xf numFmtId="3" fontId="5" fillId="0" borderId="2" xfId="1" applyNumberFormat="1" applyFont="1" applyBorder="1" applyAlignment="1"/>
    <xf numFmtId="3" fontId="5" fillId="0" borderId="2" xfId="1" applyNumberFormat="1" applyFont="1" applyBorder="1"/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5" fillId="0" borderId="0" xfId="0" applyFont="1" applyFill="1"/>
    <xf numFmtId="0" fontId="5" fillId="0" borderId="0" xfId="0" applyFont="1" applyFill="1" applyAlignment="1">
      <alignment horizontal="center"/>
    </xf>
    <xf numFmtId="0" fontId="0" fillId="0" borderId="0" xfId="0" applyFill="1"/>
    <xf numFmtId="0" fontId="3" fillId="0" borderId="0" xfId="0" applyFont="1" applyFill="1" applyAlignment="1">
      <alignment horizontal="center" vertical="center"/>
    </xf>
    <xf numFmtId="3" fontId="5" fillId="0" borderId="2" xfId="0" applyNumberFormat="1" applyFont="1" applyFill="1" applyBorder="1"/>
    <xf numFmtId="0" fontId="6" fillId="0" borderId="0" xfId="2" applyFont="1" applyAlignment="1" applyProtection="1">
      <alignment horizontal="left"/>
    </xf>
    <xf numFmtId="3" fontId="5" fillId="0" borderId="14" xfId="0" applyNumberFormat="1" applyFont="1" applyBorder="1" applyAlignment="1">
      <alignment horizontal="left" vertical="center" wrapText="1"/>
    </xf>
    <xf numFmtId="3" fontId="5" fillId="0" borderId="15" xfId="0" applyNumberFormat="1" applyFont="1" applyBorder="1" applyAlignment="1">
      <alignment horizontal="left" vertical="center" wrapText="1"/>
    </xf>
    <xf numFmtId="3" fontId="5" fillId="0" borderId="16" xfId="0" applyNumberFormat="1" applyFont="1" applyBorder="1" applyAlignment="1">
      <alignment horizontal="left" vertical="center" wrapText="1"/>
    </xf>
    <xf numFmtId="3" fontId="5" fillId="0" borderId="17" xfId="0" applyNumberFormat="1" applyFont="1" applyBorder="1" applyAlignment="1">
      <alignment horizontal="left" vertical="center" wrapText="1"/>
    </xf>
    <xf numFmtId="3" fontId="5" fillId="0" borderId="0" xfId="0" applyNumberFormat="1" applyFont="1" applyBorder="1" applyAlignment="1">
      <alignment horizontal="left" vertical="center" wrapText="1"/>
    </xf>
    <xf numFmtId="3" fontId="5" fillId="0" borderId="18" xfId="0" applyNumberFormat="1" applyFont="1" applyBorder="1" applyAlignment="1">
      <alignment horizontal="left" vertical="center" wrapText="1"/>
    </xf>
    <xf numFmtId="3" fontId="5" fillId="0" borderId="19" xfId="0" applyNumberFormat="1" applyFont="1" applyBorder="1" applyAlignment="1">
      <alignment horizontal="left" vertical="center" wrapText="1"/>
    </xf>
    <xf numFmtId="3" fontId="5" fillId="0" borderId="20" xfId="0" applyNumberFormat="1" applyFont="1" applyBorder="1" applyAlignment="1">
      <alignment horizontal="left" vertical="center" wrapText="1"/>
    </xf>
    <xf numFmtId="3" fontId="5" fillId="0" borderId="21" xfId="0" applyNumberFormat="1" applyFont="1" applyBorder="1" applyAlignment="1">
      <alignment horizontal="left" vertical="center" wrapText="1"/>
    </xf>
  </cellXfs>
  <cellStyles count="5">
    <cellStyle name="Comma" xfId="1" builtinId="3"/>
    <cellStyle name="Hyperlink" xfId="2" builtinId="8"/>
    <cellStyle name="Normal" xfId="0" builtinId="0"/>
    <cellStyle name="Normal 2" xfId="3" xr:uid="{00000000-0005-0000-0000-000003000000}"/>
    <cellStyle name="Percent" xfId="4" builtinId="5"/>
  </cellStyles>
  <dxfs count="11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TOResearchAnalysis@floridarevenu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6"/>
  <sheetViews>
    <sheetView workbookViewId="0"/>
  </sheetViews>
  <sheetFormatPr defaultRowHeight="14.25" x14ac:dyDescent="0.2"/>
  <cols>
    <col min="1" max="16384" width="9.140625" style="2"/>
  </cols>
  <sheetData>
    <row r="2" spans="1:11" ht="15" x14ac:dyDescent="0.25">
      <c r="A2" s="1" t="s">
        <v>74</v>
      </c>
    </row>
    <row r="3" spans="1:11" ht="15" thickBot="1" x14ac:dyDescent="0.25"/>
    <row r="4" spans="1:11" x14ac:dyDescent="0.2">
      <c r="B4" s="45" t="s">
        <v>75</v>
      </c>
      <c r="C4" s="46"/>
      <c r="D4" s="46"/>
      <c r="E4" s="46"/>
      <c r="F4" s="46"/>
      <c r="G4" s="46"/>
      <c r="H4" s="47"/>
      <c r="I4" s="3"/>
      <c r="J4" s="3"/>
      <c r="K4" s="3"/>
    </row>
    <row r="5" spans="1:11" x14ac:dyDescent="0.2">
      <c r="B5" s="48"/>
      <c r="C5" s="49"/>
      <c r="D5" s="49"/>
      <c r="E5" s="49"/>
      <c r="F5" s="49"/>
      <c r="G5" s="49"/>
      <c r="H5" s="50"/>
      <c r="I5" s="3"/>
      <c r="J5" s="3"/>
      <c r="K5" s="3"/>
    </row>
    <row r="6" spans="1:11" x14ac:dyDescent="0.2">
      <c r="B6" s="48"/>
      <c r="C6" s="49"/>
      <c r="D6" s="49"/>
      <c r="E6" s="49"/>
      <c r="F6" s="49"/>
      <c r="G6" s="49"/>
      <c r="H6" s="50"/>
      <c r="I6" s="3"/>
      <c r="J6" s="3"/>
      <c r="K6" s="3"/>
    </row>
    <row r="7" spans="1:11" x14ac:dyDescent="0.2">
      <c r="B7" s="48"/>
      <c r="C7" s="49"/>
      <c r="D7" s="49"/>
      <c r="E7" s="49"/>
      <c r="F7" s="49"/>
      <c r="G7" s="49"/>
      <c r="H7" s="50"/>
      <c r="I7" s="3"/>
      <c r="J7" s="3"/>
      <c r="K7" s="3"/>
    </row>
    <row r="8" spans="1:11" x14ac:dyDescent="0.2">
      <c r="B8" s="48"/>
      <c r="C8" s="49"/>
      <c r="D8" s="49"/>
      <c r="E8" s="49"/>
      <c r="F8" s="49"/>
      <c r="G8" s="49"/>
      <c r="H8" s="50"/>
      <c r="I8" s="3"/>
      <c r="J8" s="3"/>
      <c r="K8" s="3"/>
    </row>
    <row r="9" spans="1:11" ht="15" thickBot="1" x14ac:dyDescent="0.25">
      <c r="B9" s="51"/>
      <c r="C9" s="52"/>
      <c r="D9" s="52"/>
      <c r="E9" s="52"/>
      <c r="F9" s="52"/>
      <c r="G9" s="52"/>
      <c r="H9" s="53"/>
      <c r="I9" s="3"/>
      <c r="J9" s="3"/>
      <c r="K9" s="3"/>
    </row>
    <row r="10" spans="1:11" x14ac:dyDescent="0.2"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B11" s="44" t="s">
        <v>69</v>
      </c>
      <c r="C11" s="44"/>
      <c r="D11" s="44"/>
      <c r="E11" s="44"/>
      <c r="F11" s="44"/>
      <c r="G11" s="44"/>
      <c r="H11" s="44"/>
      <c r="I11" s="3"/>
      <c r="J11" s="3"/>
      <c r="K11" s="3"/>
    </row>
    <row r="12" spans="1:11" x14ac:dyDescent="0.2">
      <c r="B12" s="4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B13" s="44" t="s">
        <v>70</v>
      </c>
      <c r="C13" s="44"/>
      <c r="D13" s="44"/>
      <c r="E13" s="44"/>
      <c r="F13" s="44"/>
      <c r="G13" s="44"/>
      <c r="H13" s="44"/>
    </row>
    <row r="15" spans="1:11" x14ac:dyDescent="0.2">
      <c r="B15" s="44" t="s">
        <v>71</v>
      </c>
      <c r="C15" s="44"/>
      <c r="D15" s="44"/>
      <c r="E15" s="44"/>
      <c r="F15" s="44"/>
      <c r="G15" s="44"/>
      <c r="H15" s="44"/>
    </row>
    <row r="17" spans="1:8" x14ac:dyDescent="0.2">
      <c r="B17" s="44" t="s">
        <v>72</v>
      </c>
      <c r="C17" s="44"/>
      <c r="D17" s="44"/>
      <c r="E17" s="44"/>
      <c r="F17" s="44"/>
      <c r="G17" s="44"/>
      <c r="H17" s="44"/>
    </row>
    <row r="19" spans="1:8" x14ac:dyDescent="0.2">
      <c r="B19" s="44" t="s">
        <v>73</v>
      </c>
      <c r="C19" s="44"/>
      <c r="D19" s="44"/>
      <c r="E19" s="44"/>
      <c r="F19" s="44"/>
      <c r="G19" s="44"/>
      <c r="H19" s="44"/>
    </row>
    <row r="25" spans="1:8" x14ac:dyDescent="0.2">
      <c r="A25" s="5" t="s">
        <v>76</v>
      </c>
      <c r="D25" s="5" t="s">
        <v>77</v>
      </c>
    </row>
    <row r="26" spans="1:8" x14ac:dyDescent="0.2">
      <c r="D26" s="6" t="s">
        <v>80</v>
      </c>
    </row>
  </sheetData>
  <mergeCells count="6">
    <mergeCell ref="B19:H19"/>
    <mergeCell ref="B15:H15"/>
    <mergeCell ref="B17:H17"/>
    <mergeCell ref="B4:H9"/>
    <mergeCell ref="B11:H11"/>
    <mergeCell ref="B13:H13"/>
  </mergeCells>
  <phoneticPr fontId="1" type="noConversion"/>
  <hyperlinks>
    <hyperlink ref="B11" location="'Taxable Value All Property'!A1" display="Taxable Value All Property Types 2010" xr:uid="{00000000-0004-0000-0000-000000000000}"/>
    <hyperlink ref="B13" location="'All Property Taxable Value'!A1" display="All Property Types Taxable Value and Growth Rate 2008 - 2010" xr:uid="{00000000-0004-0000-0000-000001000000}"/>
    <hyperlink ref="B15" location="'Real Property Taxable Value'!A1" display="Real Property Taxable Value and Growth Rate 2008 - 2010" xr:uid="{00000000-0004-0000-0000-000002000000}"/>
    <hyperlink ref="B17" location="'Personal Property Taxable Value'!A1" display="Personal Property Taxable Value and Growth Rate 2008 - 2010" xr:uid="{00000000-0004-0000-0000-000003000000}"/>
    <hyperlink ref="B19" location="'Central Assessed Taxable Value '!A1" display="Centrally Assessed Property Taxable Value and Growth Rate 2008 - 2010" xr:uid="{00000000-0004-0000-0000-000004000000}"/>
    <hyperlink ref="D26" r:id="rId1" xr:uid="{00000000-0004-0000-0000-000005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78"/>
  <sheetViews>
    <sheetView tabSelected="1" workbookViewId="0">
      <pane ySplit="4" topLeftCell="A35" activePane="bottomLeft" state="frozen"/>
      <selection activeCell="A3" sqref="A3"/>
      <selection pane="bottomLeft" activeCell="F43" sqref="F43"/>
    </sheetView>
  </sheetViews>
  <sheetFormatPr defaultRowHeight="14.25" x14ac:dyDescent="0.2"/>
  <cols>
    <col min="1" max="1" width="17.7109375" style="2" customWidth="1"/>
    <col min="2" max="2" width="9.28515625" style="11" bestFit="1" customWidth="1"/>
    <col min="3" max="3" width="18.85546875" style="2" bestFit="1" customWidth="1"/>
    <col min="4" max="4" width="22.28515625" style="2" bestFit="1" customWidth="1"/>
    <col min="5" max="5" width="24.140625" style="2" bestFit="1" customWidth="1"/>
    <col min="6" max="6" width="18.42578125" style="2" bestFit="1" customWidth="1"/>
    <col min="7" max="16384" width="9.140625" style="2"/>
  </cols>
  <sheetData>
    <row r="1" spans="1:11" ht="23.25" x14ac:dyDescent="0.35">
      <c r="A1" s="7" t="s">
        <v>69</v>
      </c>
      <c r="B1" s="8"/>
      <c r="C1" s="9"/>
      <c r="D1" s="9"/>
      <c r="E1" s="9"/>
      <c r="F1" s="9"/>
    </row>
    <row r="2" spans="1:11" ht="15" x14ac:dyDescent="0.25">
      <c r="A2" s="10">
        <v>2026</v>
      </c>
      <c r="B2" s="10"/>
      <c r="C2" s="10"/>
      <c r="D2" s="10"/>
      <c r="E2" s="10"/>
      <c r="F2" s="10"/>
    </row>
    <row r="3" spans="1:11" s="39" customFormat="1" ht="15" thickBot="1" x14ac:dyDescent="0.25">
      <c r="B3" s="40"/>
    </row>
    <row r="4" spans="1:11" s="36" customFormat="1" ht="25.5" x14ac:dyDescent="0.2">
      <c r="A4" s="33" t="s">
        <v>0</v>
      </c>
      <c r="B4" s="34" t="s">
        <v>1</v>
      </c>
      <c r="C4" s="34" t="s">
        <v>86</v>
      </c>
      <c r="D4" s="34" t="s">
        <v>87</v>
      </c>
      <c r="E4" s="34" t="s">
        <v>88</v>
      </c>
      <c r="F4" s="35" t="s">
        <v>89</v>
      </c>
    </row>
    <row r="5" spans="1:11" x14ac:dyDescent="0.2">
      <c r="A5" s="12" t="s">
        <v>4</v>
      </c>
      <c r="B5" s="13" t="s">
        <v>81</v>
      </c>
      <c r="C5" s="27">
        <v>24984937848</v>
      </c>
      <c r="D5" s="28">
        <v>1834912685</v>
      </c>
      <c r="E5" s="27">
        <v>34303595</v>
      </c>
      <c r="F5" s="29">
        <v>26854154128</v>
      </c>
    </row>
    <row r="6" spans="1:11" x14ac:dyDescent="0.2">
      <c r="A6" s="12" t="s">
        <v>5</v>
      </c>
      <c r="B6" s="13" t="s">
        <v>81</v>
      </c>
      <c r="C6" s="27">
        <v>1491396246</v>
      </c>
      <c r="D6" s="28">
        <v>261288818</v>
      </c>
      <c r="E6" s="27">
        <v>12935918</v>
      </c>
      <c r="F6" s="29">
        <v>1765620982</v>
      </c>
      <c r="I6" s="17"/>
      <c r="K6" s="17"/>
    </row>
    <row r="7" spans="1:11" x14ac:dyDescent="0.2">
      <c r="A7" s="12" t="s">
        <v>6</v>
      </c>
      <c r="B7" s="13" t="s">
        <v>81</v>
      </c>
      <c r="C7" s="27">
        <v>31583267225</v>
      </c>
      <c r="D7" s="28">
        <v>2021274008</v>
      </c>
      <c r="E7" s="27">
        <v>30048586</v>
      </c>
      <c r="F7" s="29">
        <v>33634589819</v>
      </c>
      <c r="I7" s="17"/>
      <c r="K7" s="17"/>
    </row>
    <row r="8" spans="1:11" x14ac:dyDescent="0.2">
      <c r="A8" s="12" t="s">
        <v>7</v>
      </c>
      <c r="B8" s="13" t="s">
        <v>81</v>
      </c>
      <c r="C8" s="27">
        <v>1302370466</v>
      </c>
      <c r="D8" s="28">
        <v>338821578</v>
      </c>
      <c r="E8" s="27">
        <v>19011301</v>
      </c>
      <c r="F8" s="29">
        <v>1660203345</v>
      </c>
      <c r="I8" s="17"/>
      <c r="K8" s="17"/>
    </row>
    <row r="9" spans="1:11" x14ac:dyDescent="0.2">
      <c r="A9" s="12" t="s">
        <v>8</v>
      </c>
      <c r="B9" s="13" t="s">
        <v>81</v>
      </c>
      <c r="C9" s="27">
        <v>70796922004</v>
      </c>
      <c r="D9" s="28">
        <v>5472928883</v>
      </c>
      <c r="E9" s="27">
        <v>133170242</v>
      </c>
      <c r="F9" s="29">
        <v>76403021129</v>
      </c>
      <c r="I9" s="17"/>
      <c r="K9" s="17"/>
    </row>
    <row r="10" spans="1:11" x14ac:dyDescent="0.2">
      <c r="A10" s="12" t="s">
        <v>9</v>
      </c>
      <c r="B10" s="13" t="s">
        <v>81</v>
      </c>
      <c r="C10" s="27">
        <v>323498636835</v>
      </c>
      <c r="D10" s="28">
        <v>12334321522</v>
      </c>
      <c r="E10" s="27">
        <v>102997418</v>
      </c>
      <c r="F10" s="29">
        <v>335935955775</v>
      </c>
      <c r="I10" s="17"/>
      <c r="K10" s="17"/>
    </row>
    <row r="11" spans="1:11" x14ac:dyDescent="0.2">
      <c r="A11" s="12" t="s">
        <v>10</v>
      </c>
      <c r="B11" s="13" t="s">
        <v>81</v>
      </c>
      <c r="C11" s="27">
        <v>496294844</v>
      </c>
      <c r="D11" s="28">
        <v>330947244</v>
      </c>
      <c r="E11" s="27"/>
      <c r="F11" s="29">
        <v>827242088</v>
      </c>
      <c r="I11" s="17"/>
      <c r="K11" s="17"/>
    </row>
    <row r="12" spans="1:11" x14ac:dyDescent="0.2">
      <c r="A12" s="12" t="s">
        <v>11</v>
      </c>
      <c r="B12" s="13" t="s">
        <v>81</v>
      </c>
      <c r="C12" s="27">
        <v>33527499865</v>
      </c>
      <c r="D12" s="28">
        <v>1687398858</v>
      </c>
      <c r="E12" s="27">
        <v>2569215</v>
      </c>
      <c r="F12" s="29">
        <v>35217467938</v>
      </c>
      <c r="I12" s="17"/>
      <c r="K12" s="17"/>
    </row>
    <row r="13" spans="1:11" x14ac:dyDescent="0.2">
      <c r="A13" s="12" t="s">
        <v>12</v>
      </c>
      <c r="B13" s="13" t="s">
        <v>81</v>
      </c>
      <c r="C13" s="27">
        <v>14991997132</v>
      </c>
      <c r="D13" s="28">
        <v>2209781933</v>
      </c>
      <c r="E13" s="27">
        <v>952202</v>
      </c>
      <c r="F13" s="29">
        <v>17202731267</v>
      </c>
      <c r="I13" s="17"/>
      <c r="K13" s="17"/>
    </row>
    <row r="14" spans="1:11" x14ac:dyDescent="0.2">
      <c r="A14" s="12" t="s">
        <v>13</v>
      </c>
      <c r="B14" s="13" t="s">
        <v>81</v>
      </c>
      <c r="C14" s="27">
        <v>19439425064</v>
      </c>
      <c r="D14" s="28">
        <v>1610660395</v>
      </c>
      <c r="E14" s="27">
        <v>34476820</v>
      </c>
      <c r="F14" s="29">
        <v>21084562279</v>
      </c>
      <c r="I14" s="17"/>
      <c r="K14" s="17"/>
    </row>
    <row r="15" spans="1:11" x14ac:dyDescent="0.2">
      <c r="A15" s="12" t="s">
        <v>14</v>
      </c>
      <c r="B15" s="13" t="s">
        <v>81</v>
      </c>
      <c r="C15" s="27">
        <v>166850916726</v>
      </c>
      <c r="D15" s="28">
        <v>3428109701</v>
      </c>
      <c r="E15" s="27">
        <v>89915</v>
      </c>
      <c r="F15" s="29">
        <v>170279116342</v>
      </c>
      <c r="I15" s="17"/>
      <c r="K15" s="17"/>
    </row>
    <row r="16" spans="1:11" x14ac:dyDescent="0.2">
      <c r="A16" s="12" t="s">
        <v>15</v>
      </c>
      <c r="B16" s="13" t="s">
        <v>81</v>
      </c>
      <c r="C16" s="27">
        <v>4126193239</v>
      </c>
      <c r="D16" s="28">
        <v>860736555</v>
      </c>
      <c r="E16" s="27">
        <v>12811609</v>
      </c>
      <c r="F16" s="29">
        <v>4999741403</v>
      </c>
      <c r="I16" s="17"/>
      <c r="K16" s="17"/>
    </row>
    <row r="17" spans="1:11" x14ac:dyDescent="0.2">
      <c r="A17" s="12" t="s">
        <v>78</v>
      </c>
      <c r="B17" s="13" t="s">
        <v>81</v>
      </c>
      <c r="C17" s="27">
        <v>517315619073</v>
      </c>
      <c r="D17" s="28">
        <v>22627690074</v>
      </c>
      <c r="E17" s="27">
        <v>193946998</v>
      </c>
      <c r="F17" s="29">
        <v>540137256145</v>
      </c>
      <c r="I17" s="17"/>
      <c r="K17" s="17"/>
    </row>
    <row r="18" spans="1:11" x14ac:dyDescent="0.2">
      <c r="A18" s="12" t="s">
        <v>16</v>
      </c>
      <c r="B18" s="13" t="s">
        <v>81</v>
      </c>
      <c r="C18" s="27">
        <v>2229068600</v>
      </c>
      <c r="D18" s="28">
        <v>717284372</v>
      </c>
      <c r="E18" s="27">
        <v>4188494</v>
      </c>
      <c r="F18" s="29">
        <v>2950541466</v>
      </c>
      <c r="I18" s="17"/>
      <c r="K18" s="17"/>
    </row>
    <row r="19" spans="1:11" x14ac:dyDescent="0.2">
      <c r="A19" s="12" t="s">
        <v>17</v>
      </c>
      <c r="B19" s="13" t="s">
        <v>81</v>
      </c>
      <c r="C19" s="27">
        <v>758677117</v>
      </c>
      <c r="D19" s="28">
        <v>135001266</v>
      </c>
      <c r="E19" s="27"/>
      <c r="F19" s="29">
        <v>893678383</v>
      </c>
      <c r="I19" s="17"/>
      <c r="K19" s="17"/>
    </row>
    <row r="20" spans="1:11" x14ac:dyDescent="0.2">
      <c r="A20" s="12" t="s">
        <v>18</v>
      </c>
      <c r="B20" s="13" t="s">
        <v>81</v>
      </c>
      <c r="C20" s="27">
        <v>114573427448</v>
      </c>
      <c r="D20" s="28">
        <v>9484213268</v>
      </c>
      <c r="E20" s="27">
        <v>224878009</v>
      </c>
      <c r="F20" s="29">
        <v>124282518725</v>
      </c>
      <c r="I20" s="17"/>
      <c r="K20" s="17"/>
    </row>
    <row r="21" spans="1:11" x14ac:dyDescent="0.2">
      <c r="A21" s="12" t="s">
        <v>19</v>
      </c>
      <c r="B21" s="13" t="s">
        <v>81</v>
      </c>
      <c r="C21" s="27">
        <v>30333583327</v>
      </c>
      <c r="D21" s="28">
        <v>4163342388</v>
      </c>
      <c r="E21" s="27">
        <v>32777979</v>
      </c>
      <c r="F21" s="29">
        <v>34529703694</v>
      </c>
      <c r="I21" s="17"/>
      <c r="K21" s="17"/>
    </row>
    <row r="22" spans="1:11" x14ac:dyDescent="0.2">
      <c r="A22" s="12" t="s">
        <v>20</v>
      </c>
      <c r="B22" s="13" t="s">
        <v>81</v>
      </c>
      <c r="C22" s="27">
        <v>18134585556</v>
      </c>
      <c r="D22" s="28">
        <v>708458209</v>
      </c>
      <c r="E22" s="27">
        <v>22985158</v>
      </c>
      <c r="F22" s="29">
        <v>18866028923</v>
      </c>
      <c r="I22" s="17"/>
      <c r="K22" s="17"/>
    </row>
    <row r="23" spans="1:11" x14ac:dyDescent="0.2">
      <c r="A23" s="12" t="s">
        <v>21</v>
      </c>
      <c r="B23" s="13" t="s">
        <v>81</v>
      </c>
      <c r="C23" s="27">
        <v>3968007954</v>
      </c>
      <c r="D23" s="28">
        <v>100512891</v>
      </c>
      <c r="E23" s="27"/>
      <c r="F23" s="29">
        <v>4068520845</v>
      </c>
      <c r="I23" s="17"/>
      <c r="K23" s="17"/>
    </row>
    <row r="24" spans="1:11" x14ac:dyDescent="0.2">
      <c r="A24" s="12" t="s">
        <v>22</v>
      </c>
      <c r="B24" s="13" t="s">
        <v>81</v>
      </c>
      <c r="C24" s="27">
        <v>1962839965</v>
      </c>
      <c r="D24" s="28">
        <v>629141090</v>
      </c>
      <c r="E24" s="27">
        <v>9718016</v>
      </c>
      <c r="F24" s="29">
        <v>2601699071</v>
      </c>
      <c r="I24" s="17"/>
      <c r="K24" s="17"/>
    </row>
    <row r="25" spans="1:11" x14ac:dyDescent="0.2">
      <c r="A25" s="12" t="s">
        <v>23</v>
      </c>
      <c r="B25" s="13" t="s">
        <v>81</v>
      </c>
      <c r="C25" s="27">
        <v>1095768409</v>
      </c>
      <c r="D25" s="28">
        <v>484184898</v>
      </c>
      <c r="E25" s="27"/>
      <c r="F25" s="29">
        <v>1579953307</v>
      </c>
      <c r="I25" s="17"/>
      <c r="K25" s="17"/>
    </row>
    <row r="26" spans="1:11" x14ac:dyDescent="0.2">
      <c r="A26" s="12" t="s">
        <v>24</v>
      </c>
      <c r="B26" s="13" t="s">
        <v>81</v>
      </c>
      <c r="C26" s="27">
        <v>1021409287</v>
      </c>
      <c r="D26" s="28">
        <v>196604914</v>
      </c>
      <c r="E26" s="27">
        <v>14004551</v>
      </c>
      <c r="F26" s="29">
        <v>1232018752</v>
      </c>
      <c r="I26" s="17"/>
      <c r="K26" s="17"/>
    </row>
    <row r="27" spans="1:11" x14ac:dyDescent="0.2">
      <c r="A27" s="12" t="s">
        <v>25</v>
      </c>
      <c r="B27" s="13" t="s">
        <v>81</v>
      </c>
      <c r="C27" s="27">
        <v>4155495260</v>
      </c>
      <c r="D27" s="28">
        <v>169303286</v>
      </c>
      <c r="E27" s="27"/>
      <c r="F27" s="29">
        <v>4324798546</v>
      </c>
      <c r="I27" s="17"/>
      <c r="K27" s="17"/>
    </row>
    <row r="28" spans="1:11" x14ac:dyDescent="0.2">
      <c r="A28" s="12" t="s">
        <v>26</v>
      </c>
      <c r="B28" s="13" t="s">
        <v>81</v>
      </c>
      <c r="C28" s="27">
        <v>657923871</v>
      </c>
      <c r="D28" s="28">
        <v>696399584</v>
      </c>
      <c r="E28" s="27">
        <v>21586919</v>
      </c>
      <c r="F28" s="29">
        <v>1375910374</v>
      </c>
      <c r="I28" s="17"/>
      <c r="K28" s="17"/>
    </row>
    <row r="29" spans="1:11" x14ac:dyDescent="0.2">
      <c r="A29" s="12" t="s">
        <v>27</v>
      </c>
      <c r="B29" s="13" t="s">
        <v>81</v>
      </c>
      <c r="C29" s="27">
        <v>1873005658</v>
      </c>
      <c r="D29" s="28">
        <v>1220217202</v>
      </c>
      <c r="E29" s="27">
        <v>9231645</v>
      </c>
      <c r="F29" s="29">
        <v>3102454505</v>
      </c>
      <c r="I29" s="17"/>
      <c r="K29" s="17"/>
    </row>
    <row r="30" spans="1:11" x14ac:dyDescent="0.2">
      <c r="A30" s="12" t="s">
        <v>28</v>
      </c>
      <c r="B30" s="13" t="s">
        <v>81</v>
      </c>
      <c r="C30" s="27">
        <v>3550889482</v>
      </c>
      <c r="D30" s="28">
        <v>1634757746</v>
      </c>
      <c r="E30" s="27">
        <v>4718991</v>
      </c>
      <c r="F30" s="29">
        <v>5190366219</v>
      </c>
      <c r="I30" s="17"/>
      <c r="K30" s="17"/>
    </row>
    <row r="31" spans="1:11" x14ac:dyDescent="0.2">
      <c r="A31" s="12" t="s">
        <v>29</v>
      </c>
      <c r="B31" s="13" t="s">
        <v>81</v>
      </c>
      <c r="C31" s="27">
        <v>17572471350</v>
      </c>
      <c r="D31" s="28">
        <v>1863524652</v>
      </c>
      <c r="E31" s="27">
        <v>11972769</v>
      </c>
      <c r="F31" s="29">
        <v>19447968771</v>
      </c>
      <c r="I31" s="17"/>
      <c r="K31" s="17"/>
    </row>
    <row r="32" spans="1:11" x14ac:dyDescent="0.2">
      <c r="A32" s="12" t="s">
        <v>30</v>
      </c>
      <c r="B32" s="13" t="s">
        <v>81</v>
      </c>
      <c r="C32" s="27">
        <v>8511143297</v>
      </c>
      <c r="D32" s="28">
        <v>654007301</v>
      </c>
      <c r="E32" s="27">
        <v>34524211</v>
      </c>
      <c r="F32" s="29">
        <v>9199674809</v>
      </c>
      <c r="I32" s="17"/>
      <c r="K32" s="17"/>
    </row>
    <row r="33" spans="1:11" x14ac:dyDescent="0.2">
      <c r="A33" s="12" t="s">
        <v>31</v>
      </c>
      <c r="B33" s="13" t="s">
        <v>81</v>
      </c>
      <c r="C33" s="27">
        <v>174872419451</v>
      </c>
      <c r="D33" s="28">
        <v>11484448635</v>
      </c>
      <c r="E33" s="27">
        <v>135439671</v>
      </c>
      <c r="F33" s="29">
        <v>186492307757</v>
      </c>
      <c r="I33" s="17"/>
      <c r="K33" s="17"/>
    </row>
    <row r="34" spans="1:11" x14ac:dyDescent="0.2">
      <c r="A34" s="12" t="s">
        <v>32</v>
      </c>
      <c r="B34" s="13" t="s">
        <v>81</v>
      </c>
      <c r="C34" s="27">
        <v>652914924</v>
      </c>
      <c r="D34" s="28">
        <v>125936600</v>
      </c>
      <c r="E34" s="27">
        <v>3923159</v>
      </c>
      <c r="F34" s="29">
        <v>782774683</v>
      </c>
      <c r="I34" s="17"/>
      <c r="K34" s="17"/>
    </row>
    <row r="35" spans="1:11" x14ac:dyDescent="0.2">
      <c r="A35" s="12" t="s">
        <v>33</v>
      </c>
      <c r="B35" s="13" t="s">
        <v>81</v>
      </c>
      <c r="C35" s="27">
        <v>32365991932</v>
      </c>
      <c r="D35" s="28">
        <v>1473431737</v>
      </c>
      <c r="E35" s="27">
        <v>44944531</v>
      </c>
      <c r="F35" s="29">
        <v>33884368200</v>
      </c>
      <c r="I35" s="17"/>
      <c r="K35" s="17"/>
    </row>
    <row r="36" spans="1:11" x14ac:dyDescent="0.2">
      <c r="A36" s="12" t="s">
        <v>34</v>
      </c>
      <c r="B36" s="13" t="s">
        <v>81</v>
      </c>
      <c r="C36" s="27">
        <v>2001338181</v>
      </c>
      <c r="D36" s="28">
        <v>552170555</v>
      </c>
      <c r="E36" s="27">
        <v>26561482</v>
      </c>
      <c r="F36" s="29">
        <v>2580070218</v>
      </c>
      <c r="I36" s="17"/>
      <c r="K36" s="17"/>
    </row>
    <row r="37" spans="1:11" x14ac:dyDescent="0.2">
      <c r="A37" s="12" t="s">
        <v>35</v>
      </c>
      <c r="B37" s="13" t="s">
        <v>81</v>
      </c>
      <c r="C37" s="27">
        <v>973410213</v>
      </c>
      <c r="D37" s="28">
        <v>256013579</v>
      </c>
      <c r="E37" s="27">
        <v>3137317</v>
      </c>
      <c r="F37" s="29">
        <v>1232561109</v>
      </c>
      <c r="I37" s="17"/>
      <c r="K37" s="17"/>
    </row>
    <row r="38" spans="1:11" x14ac:dyDescent="0.2">
      <c r="A38" s="12" t="s">
        <v>36</v>
      </c>
      <c r="B38" s="13" t="s">
        <v>81</v>
      </c>
      <c r="C38" s="27">
        <v>339227082</v>
      </c>
      <c r="D38" s="28">
        <v>77306861</v>
      </c>
      <c r="E38" s="27"/>
      <c r="F38" s="29">
        <v>416533943</v>
      </c>
      <c r="I38" s="17"/>
      <c r="K38" s="17"/>
    </row>
    <row r="39" spans="1:11" x14ac:dyDescent="0.2">
      <c r="A39" s="12" t="s">
        <v>37</v>
      </c>
      <c r="B39" s="13" t="s">
        <v>81</v>
      </c>
      <c r="C39" s="27">
        <v>46176093611</v>
      </c>
      <c r="D39" s="28">
        <v>2533013751</v>
      </c>
      <c r="E39" s="27">
        <v>4940180</v>
      </c>
      <c r="F39" s="29">
        <v>48714047542</v>
      </c>
      <c r="I39" s="17"/>
      <c r="K39" s="17"/>
    </row>
    <row r="40" spans="1:11" x14ac:dyDescent="0.2">
      <c r="A40" s="12" t="s">
        <v>38</v>
      </c>
      <c r="B40" s="13" t="s">
        <v>81</v>
      </c>
      <c r="C40" s="27">
        <v>149219122905</v>
      </c>
      <c r="D40" s="28">
        <v>7120179880</v>
      </c>
      <c r="E40" s="27">
        <v>4542884</v>
      </c>
      <c r="F40" s="29">
        <v>156343845669</v>
      </c>
      <c r="I40" s="17"/>
      <c r="K40" s="17"/>
    </row>
    <row r="41" spans="1:11" x14ac:dyDescent="0.2">
      <c r="A41" s="12" t="s">
        <v>39</v>
      </c>
      <c r="B41" s="13" t="s">
        <v>81</v>
      </c>
      <c r="C41" s="27">
        <v>27214712780</v>
      </c>
      <c r="D41" s="28">
        <v>1514537009</v>
      </c>
      <c r="E41" s="27">
        <v>6172685</v>
      </c>
      <c r="F41" s="29">
        <v>28735422474</v>
      </c>
      <c r="I41" s="17"/>
      <c r="K41" s="17"/>
    </row>
    <row r="42" spans="1:11" x14ac:dyDescent="0.2">
      <c r="A42" s="12" t="s">
        <v>40</v>
      </c>
      <c r="B42" s="13" t="s">
        <v>81</v>
      </c>
      <c r="C42" s="27">
        <v>3118318252</v>
      </c>
      <c r="D42" s="28">
        <v>626699696</v>
      </c>
      <c r="E42" s="27">
        <v>2424023</v>
      </c>
      <c r="F42" s="29">
        <v>3747441971</v>
      </c>
      <c r="I42" s="17"/>
      <c r="K42" s="17"/>
    </row>
    <row r="43" spans="1:11" x14ac:dyDescent="0.2">
      <c r="A43" s="12" t="s">
        <v>41</v>
      </c>
      <c r="B43" s="13" t="s">
        <v>81</v>
      </c>
      <c r="C43" s="27">
        <v>232171583</v>
      </c>
      <c r="D43" s="28">
        <v>169784585</v>
      </c>
      <c r="E43" s="27"/>
      <c r="F43" s="29">
        <f>C43+D43</f>
        <v>401956168</v>
      </c>
      <c r="I43" s="17"/>
      <c r="K43" s="17"/>
    </row>
    <row r="44" spans="1:11" x14ac:dyDescent="0.2">
      <c r="A44" s="12" t="s">
        <v>42</v>
      </c>
      <c r="B44" s="13" t="s">
        <v>81</v>
      </c>
      <c r="C44" s="27">
        <v>984607021</v>
      </c>
      <c r="D44" s="28">
        <v>449326050</v>
      </c>
      <c r="E44" s="27">
        <v>7728453</v>
      </c>
      <c r="F44" s="29">
        <v>1441661524</v>
      </c>
      <c r="I44" s="17"/>
      <c r="K44" s="17"/>
    </row>
    <row r="45" spans="1:11" x14ac:dyDescent="0.2">
      <c r="A45" s="12" t="s">
        <v>43</v>
      </c>
      <c r="B45" s="13" t="s">
        <v>81</v>
      </c>
      <c r="C45" s="27">
        <v>75491450961</v>
      </c>
      <c r="D45" s="28">
        <v>5070705048</v>
      </c>
      <c r="E45" s="27">
        <v>8403344</v>
      </c>
      <c r="F45" s="29">
        <v>80570559353</v>
      </c>
      <c r="I45" s="17"/>
      <c r="K45" s="17"/>
    </row>
    <row r="46" spans="1:11" x14ac:dyDescent="0.2">
      <c r="A46" s="12" t="s">
        <v>44</v>
      </c>
      <c r="B46" s="13" t="s">
        <v>81</v>
      </c>
      <c r="C46" s="27">
        <v>38761170005</v>
      </c>
      <c r="D46" s="28">
        <v>3086315485</v>
      </c>
      <c r="E46" s="27">
        <v>28129232</v>
      </c>
      <c r="F46" s="29">
        <v>41875614722</v>
      </c>
      <c r="I46" s="17"/>
      <c r="K46" s="17"/>
    </row>
    <row r="47" spans="1:11" x14ac:dyDescent="0.2">
      <c r="A47" s="12" t="s">
        <v>45</v>
      </c>
      <c r="B47" s="13" t="s">
        <v>81</v>
      </c>
      <c r="C47" s="27">
        <v>38083174155</v>
      </c>
      <c r="D47" s="28">
        <v>3643082270</v>
      </c>
      <c r="E47" s="27">
        <v>95908563</v>
      </c>
      <c r="F47" s="29">
        <v>41822164988</v>
      </c>
      <c r="I47" s="17"/>
      <c r="K47" s="17"/>
    </row>
    <row r="48" spans="1:11" x14ac:dyDescent="0.2">
      <c r="A48" s="12" t="s">
        <v>46</v>
      </c>
      <c r="B48" s="13" t="s">
        <v>81</v>
      </c>
      <c r="C48" s="27">
        <v>52309415553</v>
      </c>
      <c r="D48" s="28">
        <v>870513524</v>
      </c>
      <c r="E48" s="27"/>
      <c r="F48" s="29">
        <v>53179929077</v>
      </c>
      <c r="I48" s="17"/>
      <c r="K48" s="17"/>
    </row>
    <row r="49" spans="1:11" x14ac:dyDescent="0.2">
      <c r="A49" s="12" t="s">
        <v>47</v>
      </c>
      <c r="B49" s="13" t="s">
        <v>81</v>
      </c>
      <c r="C49" s="27">
        <v>18488825165</v>
      </c>
      <c r="D49" s="28">
        <v>1204233616</v>
      </c>
      <c r="E49" s="27">
        <v>51201078</v>
      </c>
      <c r="F49" s="29">
        <v>19744259859</v>
      </c>
      <c r="I49" s="17"/>
      <c r="K49" s="17"/>
    </row>
    <row r="50" spans="1:11" x14ac:dyDescent="0.2">
      <c r="A50" s="12" t="s">
        <v>48</v>
      </c>
      <c r="B50" s="13" t="s">
        <v>81</v>
      </c>
      <c r="C50" s="27">
        <v>30130577329</v>
      </c>
      <c r="D50" s="28">
        <v>1404995014</v>
      </c>
      <c r="E50" s="27">
        <v>4454199</v>
      </c>
      <c r="F50" s="29">
        <v>31540026542</v>
      </c>
      <c r="I50" s="17"/>
      <c r="K50" s="17"/>
    </row>
    <row r="51" spans="1:11" x14ac:dyDescent="0.2">
      <c r="A51" s="12" t="s">
        <v>49</v>
      </c>
      <c r="B51" s="13" t="s">
        <v>81</v>
      </c>
      <c r="C51" s="27">
        <v>3398268417</v>
      </c>
      <c r="D51" s="28">
        <v>1691896015</v>
      </c>
      <c r="E51" s="27">
        <v>12205305</v>
      </c>
      <c r="F51" s="29">
        <v>5102369737</v>
      </c>
      <c r="I51" s="17"/>
      <c r="K51" s="17"/>
    </row>
    <row r="52" spans="1:11" x14ac:dyDescent="0.2">
      <c r="A52" s="12" t="s">
        <v>50</v>
      </c>
      <c r="B52" s="13" t="s">
        <v>81</v>
      </c>
      <c r="C52" s="27">
        <v>235391094071</v>
      </c>
      <c r="D52" s="28">
        <v>16025078321</v>
      </c>
      <c r="E52" s="27">
        <v>109452952</v>
      </c>
      <c r="F52" s="29">
        <v>251525625344</v>
      </c>
      <c r="I52" s="17"/>
      <c r="K52" s="17"/>
    </row>
    <row r="53" spans="1:11" x14ac:dyDescent="0.2">
      <c r="A53" s="12" t="s">
        <v>51</v>
      </c>
      <c r="B53" s="13" t="s">
        <v>81</v>
      </c>
      <c r="C53" s="27">
        <v>58798267635</v>
      </c>
      <c r="D53" s="28">
        <v>2436128493</v>
      </c>
      <c r="E53" s="27">
        <v>6692232</v>
      </c>
      <c r="F53" s="29">
        <v>61241088360</v>
      </c>
      <c r="I53" s="17"/>
      <c r="K53" s="17"/>
    </row>
    <row r="54" spans="1:11" x14ac:dyDescent="0.2">
      <c r="A54" s="12" t="s">
        <v>52</v>
      </c>
      <c r="B54" s="13" t="s">
        <v>81</v>
      </c>
      <c r="C54" s="27">
        <v>352429685645</v>
      </c>
      <c r="D54" s="28">
        <v>14711013533</v>
      </c>
      <c r="E54" s="27">
        <v>227461496</v>
      </c>
      <c r="F54" s="29">
        <v>367368160674</v>
      </c>
      <c r="I54" s="17"/>
      <c r="K54" s="17"/>
    </row>
    <row r="55" spans="1:11" x14ac:dyDescent="0.2">
      <c r="A55" s="12" t="s">
        <v>53</v>
      </c>
      <c r="B55" s="13" t="s">
        <v>81</v>
      </c>
      <c r="C55" s="27">
        <v>61533065931</v>
      </c>
      <c r="D55" s="28">
        <v>3092034691</v>
      </c>
      <c r="E55" s="27">
        <v>23418857</v>
      </c>
      <c r="F55" s="29">
        <v>64648519479</v>
      </c>
      <c r="I55" s="17"/>
      <c r="K55" s="17"/>
    </row>
    <row r="56" spans="1:11" x14ac:dyDescent="0.2">
      <c r="A56" s="12" t="s">
        <v>54</v>
      </c>
      <c r="B56" s="13" t="s">
        <v>81</v>
      </c>
      <c r="C56" s="27">
        <v>139785905074</v>
      </c>
      <c r="D56" s="28">
        <v>6626147345</v>
      </c>
      <c r="E56" s="27">
        <v>13430831</v>
      </c>
      <c r="F56" s="29">
        <v>146425483250</v>
      </c>
      <c r="I56" s="17"/>
      <c r="K56" s="17"/>
    </row>
    <row r="57" spans="1:11" x14ac:dyDescent="0.2">
      <c r="A57" s="12" t="s">
        <v>55</v>
      </c>
      <c r="B57" s="13" t="s">
        <v>81</v>
      </c>
      <c r="C57" s="27">
        <v>67996141081</v>
      </c>
      <c r="D57" s="28">
        <v>7533185487</v>
      </c>
      <c r="E57" s="27">
        <v>135258317</v>
      </c>
      <c r="F57" s="29">
        <v>75664584885</v>
      </c>
      <c r="I57" s="17"/>
      <c r="K57" s="17"/>
    </row>
    <row r="58" spans="1:11" x14ac:dyDescent="0.2">
      <c r="A58" s="12" t="s">
        <v>56</v>
      </c>
      <c r="B58" s="13" t="s">
        <v>81</v>
      </c>
      <c r="C58" s="27">
        <v>5540489573</v>
      </c>
      <c r="D58" s="28">
        <v>2608340246</v>
      </c>
      <c r="E58" s="27">
        <v>26683933</v>
      </c>
      <c r="F58" s="29">
        <v>8175513752</v>
      </c>
      <c r="I58" s="17"/>
      <c r="K58" s="17"/>
    </row>
    <row r="59" spans="1:11" x14ac:dyDescent="0.2">
      <c r="A59" s="12" t="s">
        <v>2</v>
      </c>
      <c r="B59" s="13" t="s">
        <v>81</v>
      </c>
      <c r="C59" s="27">
        <v>60861880962</v>
      </c>
      <c r="D59" s="28">
        <v>2159376362</v>
      </c>
      <c r="E59" s="27">
        <v>35440918</v>
      </c>
      <c r="F59" s="29">
        <v>63056698242</v>
      </c>
      <c r="I59" s="17"/>
      <c r="K59" s="17"/>
    </row>
    <row r="60" spans="1:11" x14ac:dyDescent="0.2">
      <c r="A60" s="12" t="s">
        <v>3</v>
      </c>
      <c r="B60" s="13" t="s">
        <v>81</v>
      </c>
      <c r="C60" s="27">
        <v>42296175684</v>
      </c>
      <c r="D60" s="28">
        <v>5272249040</v>
      </c>
      <c r="E60" s="27">
        <v>69596889</v>
      </c>
      <c r="F60" s="29">
        <v>47638021613</v>
      </c>
      <c r="I60" s="17"/>
      <c r="K60" s="17"/>
    </row>
    <row r="61" spans="1:11" x14ac:dyDescent="0.2">
      <c r="A61" s="12" t="s">
        <v>57</v>
      </c>
      <c r="B61" s="13" t="s">
        <v>81</v>
      </c>
      <c r="C61" s="27">
        <v>19224172264</v>
      </c>
      <c r="D61" s="28">
        <v>1186037956</v>
      </c>
      <c r="E61" s="27">
        <v>4199852</v>
      </c>
      <c r="F61" s="29">
        <v>20414410072</v>
      </c>
      <c r="I61" s="17"/>
      <c r="K61" s="17"/>
    </row>
    <row r="62" spans="1:11" x14ac:dyDescent="0.2">
      <c r="A62" s="12" t="s">
        <v>58</v>
      </c>
      <c r="B62" s="13" t="s">
        <v>81</v>
      </c>
      <c r="C62" s="27">
        <v>109199656806</v>
      </c>
      <c r="D62" s="28">
        <v>3489892185</v>
      </c>
      <c r="E62" s="27">
        <v>600927</v>
      </c>
      <c r="F62" s="29">
        <v>112690149918</v>
      </c>
      <c r="I62" s="17"/>
      <c r="K62" s="17"/>
    </row>
    <row r="63" spans="1:11" x14ac:dyDescent="0.2">
      <c r="A63" s="12" t="s">
        <v>59</v>
      </c>
      <c r="B63" s="13" t="s">
        <v>81</v>
      </c>
      <c r="C63" s="27">
        <v>57229384370</v>
      </c>
      <c r="D63" s="28">
        <v>3069803784</v>
      </c>
      <c r="E63" s="27">
        <v>12523853</v>
      </c>
      <c r="F63" s="29">
        <v>60311712007</v>
      </c>
      <c r="I63" s="17"/>
      <c r="K63" s="17"/>
    </row>
    <row r="64" spans="1:11" x14ac:dyDescent="0.2">
      <c r="A64" s="12" t="s">
        <v>60</v>
      </c>
      <c r="B64" s="13" t="s">
        <v>81</v>
      </c>
      <c r="C64" s="27">
        <v>24834173859</v>
      </c>
      <c r="D64" s="28">
        <v>1809034855</v>
      </c>
      <c r="E64" s="27">
        <v>17417242</v>
      </c>
      <c r="F64" s="29">
        <v>26660625956</v>
      </c>
      <c r="I64" s="17"/>
      <c r="K64" s="17"/>
    </row>
    <row r="65" spans="1:11" x14ac:dyDescent="0.2">
      <c r="A65" s="12" t="s">
        <v>61</v>
      </c>
      <c r="B65" s="13" t="s">
        <v>81</v>
      </c>
      <c r="C65" s="27">
        <v>2244836463</v>
      </c>
      <c r="D65" s="28">
        <v>1111977613</v>
      </c>
      <c r="E65" s="27">
        <v>4286679</v>
      </c>
      <c r="F65" s="29">
        <v>3361100755</v>
      </c>
      <c r="I65" s="17"/>
      <c r="K65" s="17"/>
    </row>
    <row r="66" spans="1:11" x14ac:dyDescent="0.2">
      <c r="A66" s="12" t="s">
        <v>62</v>
      </c>
      <c r="B66" s="13" t="s">
        <v>81</v>
      </c>
      <c r="C66" s="27">
        <v>1355422781</v>
      </c>
      <c r="D66" s="28">
        <v>394583532</v>
      </c>
      <c r="E66" s="27">
        <v>1651298</v>
      </c>
      <c r="F66" s="29">
        <v>1751657611</v>
      </c>
      <c r="I66" s="17"/>
      <c r="K66" s="17"/>
    </row>
    <row r="67" spans="1:11" x14ac:dyDescent="0.2">
      <c r="A67" s="12" t="s">
        <v>63</v>
      </c>
      <c r="B67" s="13" t="s">
        <v>81</v>
      </c>
      <c r="C67" s="27">
        <v>327680617</v>
      </c>
      <c r="D67" s="28">
        <v>86356099</v>
      </c>
      <c r="E67" s="27"/>
      <c r="F67" s="29">
        <v>414036716</v>
      </c>
      <c r="I67" s="17"/>
      <c r="K67" s="17"/>
    </row>
    <row r="68" spans="1:11" x14ac:dyDescent="0.2">
      <c r="A68" s="12" t="s">
        <v>64</v>
      </c>
      <c r="B68" s="13" t="s">
        <v>81</v>
      </c>
      <c r="C68" s="27">
        <v>64550966099</v>
      </c>
      <c r="D68" s="28">
        <v>4969052786</v>
      </c>
      <c r="E68" s="27">
        <v>68400892</v>
      </c>
      <c r="F68" s="29">
        <v>69588419777</v>
      </c>
      <c r="I68" s="17"/>
      <c r="K68" s="17"/>
    </row>
    <row r="69" spans="1:11" x14ac:dyDescent="0.2">
      <c r="A69" s="12" t="s">
        <v>65</v>
      </c>
      <c r="B69" s="13" t="s">
        <v>81</v>
      </c>
      <c r="C69" s="27">
        <v>2433935820</v>
      </c>
      <c r="D69" s="28">
        <v>217852102</v>
      </c>
      <c r="E69" s="27"/>
      <c r="F69" s="29">
        <v>2651787922</v>
      </c>
      <c r="I69" s="17"/>
      <c r="K69" s="17"/>
    </row>
    <row r="70" spans="1:11" x14ac:dyDescent="0.2">
      <c r="A70" s="12" t="s">
        <v>66</v>
      </c>
      <c r="B70" s="13" t="s">
        <v>81</v>
      </c>
      <c r="C70" s="27">
        <v>48049105706</v>
      </c>
      <c r="D70" s="28">
        <v>1045968042</v>
      </c>
      <c r="E70" s="27">
        <v>3590100</v>
      </c>
      <c r="F70" s="29">
        <v>49098663848</v>
      </c>
      <c r="I70" s="17"/>
      <c r="K70" s="17"/>
    </row>
    <row r="71" spans="1:11" x14ac:dyDescent="0.2">
      <c r="A71" s="12" t="s">
        <v>67</v>
      </c>
      <c r="B71" s="13" t="s">
        <v>81</v>
      </c>
      <c r="C71" s="30">
        <v>1268672607</v>
      </c>
      <c r="D71" s="28">
        <v>368293543</v>
      </c>
      <c r="E71" s="30">
        <v>2029716</v>
      </c>
      <c r="F71" s="29">
        <v>1638995866</v>
      </c>
      <c r="I71" s="17"/>
      <c r="K71" s="17"/>
    </row>
    <row r="72" spans="1:11" x14ac:dyDescent="0.2">
      <c r="A72" s="12"/>
      <c r="B72" s="13"/>
      <c r="C72" s="31"/>
      <c r="D72" s="31"/>
      <c r="E72" s="32"/>
      <c r="F72" s="29"/>
      <c r="I72" s="17"/>
      <c r="K72" s="17"/>
    </row>
    <row r="73" spans="1:11" ht="15.75" thickBot="1" x14ac:dyDescent="0.3">
      <c r="A73" s="21" t="s">
        <v>68</v>
      </c>
      <c r="B73" s="22"/>
      <c r="C73" s="23">
        <f>SUM(C5:C71)</f>
        <v>3470967695716</v>
      </c>
      <c r="D73" s="23">
        <f>SUM(D5:D71)</f>
        <v>199442821246</v>
      </c>
      <c r="E73" s="23">
        <f>SUM(E5:E71)</f>
        <v>2170153651</v>
      </c>
      <c r="F73" s="25">
        <f>SUM(F5:F71)</f>
        <v>3672580670613</v>
      </c>
      <c r="I73" s="17"/>
      <c r="K73" s="17"/>
    </row>
    <row r="74" spans="1:11" x14ac:dyDescent="0.2">
      <c r="I74" s="17"/>
      <c r="K74" s="17"/>
    </row>
    <row r="75" spans="1:11" x14ac:dyDescent="0.2">
      <c r="A75" s="26" t="s">
        <v>90</v>
      </c>
      <c r="E75" s="17"/>
      <c r="F75" s="17"/>
    </row>
    <row r="78" spans="1:11" x14ac:dyDescent="0.2">
      <c r="A78" s="2" t="s">
        <v>85</v>
      </c>
    </row>
  </sheetData>
  <phoneticPr fontId="1" type="noConversion"/>
  <conditionalFormatting sqref="A75">
    <cfRule type="expression" dxfId="10" priority="1" stopIfTrue="1">
      <formula>MOD(ROW(),5)=1</formula>
    </cfRule>
  </conditionalFormatting>
  <conditionalFormatting sqref="A4:F73">
    <cfRule type="expression" dxfId="9" priority="2" stopIfTrue="1">
      <formula>MOD(ROW(),3)=1</formula>
    </cfRule>
  </conditionalFormatting>
  <pageMargins left="0.75" right="0.75" top="1" bottom="1" header="0.5" footer="0.5"/>
  <pageSetup scale="6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76"/>
  <sheetViews>
    <sheetView zoomScaleNormal="100" zoomScaleSheetLayoutView="100" workbookViewId="0">
      <pane ySplit="4" topLeftCell="A32" activePane="bottomLeft" state="frozen"/>
      <selection sqref="A1:XFD1048576"/>
      <selection pane="bottomLeft" activeCell="C43" sqref="C43"/>
    </sheetView>
  </sheetViews>
  <sheetFormatPr defaultRowHeight="14.25" x14ac:dyDescent="0.2"/>
  <cols>
    <col min="1" max="1" width="17.7109375" style="2" customWidth="1"/>
    <col min="2" max="2" width="9.28515625" style="11" bestFit="1" customWidth="1"/>
    <col min="3" max="3" width="18.7109375" style="2" customWidth="1"/>
    <col min="4" max="4" width="16.42578125" style="11" bestFit="1" customWidth="1"/>
    <col min="5" max="5" width="18.7109375" style="2" customWidth="1"/>
    <col min="6" max="6" width="16.42578125" style="11" bestFit="1" customWidth="1"/>
    <col min="7" max="7" width="18.7109375" style="2" customWidth="1"/>
    <col min="8" max="9" width="9.140625" style="2"/>
    <col min="10" max="10" width="14.140625" bestFit="1" customWidth="1"/>
    <col min="11" max="16384" width="9.140625" style="2"/>
  </cols>
  <sheetData>
    <row r="1" spans="1:18" ht="23.25" x14ac:dyDescent="0.35">
      <c r="A1" s="7" t="s">
        <v>70</v>
      </c>
      <c r="B1" s="8"/>
      <c r="C1" s="9"/>
      <c r="D1" s="8"/>
      <c r="E1" s="9"/>
      <c r="F1" s="8"/>
      <c r="G1" s="9"/>
    </row>
    <row r="2" spans="1:18" ht="15" x14ac:dyDescent="0.25">
      <c r="A2" s="10" t="s">
        <v>91</v>
      </c>
      <c r="B2" s="10"/>
      <c r="C2" s="10"/>
      <c r="D2" s="10"/>
      <c r="E2" s="10"/>
      <c r="F2" s="10"/>
      <c r="G2" s="10"/>
    </row>
    <row r="3" spans="1:18" s="39" customFormat="1" ht="15" thickBot="1" x14ac:dyDescent="0.25">
      <c r="B3" s="40"/>
      <c r="D3" s="40"/>
      <c r="F3" s="40"/>
      <c r="J3" s="41"/>
    </row>
    <row r="4" spans="1:18" s="36" customFormat="1" ht="25.5" x14ac:dyDescent="0.2">
      <c r="A4" s="33" t="s">
        <v>0</v>
      </c>
      <c r="B4" s="34" t="s">
        <v>1</v>
      </c>
      <c r="C4" s="37" t="s">
        <v>92</v>
      </c>
      <c r="D4" s="37" t="s">
        <v>93</v>
      </c>
      <c r="E4" s="37" t="s">
        <v>83</v>
      </c>
      <c r="F4" s="37" t="s">
        <v>84</v>
      </c>
      <c r="G4" s="38" t="s">
        <v>82</v>
      </c>
      <c r="J4"/>
    </row>
    <row r="5" spans="1:18" x14ac:dyDescent="0.2">
      <c r="A5" s="12" t="s">
        <v>4</v>
      </c>
      <c r="B5" s="13" t="str">
        <f>'Taxable Value All Property'!B5</f>
        <v>R-Prelim</v>
      </c>
      <c r="C5" s="14">
        <v>26854154128</v>
      </c>
      <c r="D5" s="15">
        <f>((C5-E5)/E5)</f>
        <v>7.5229503875838377E-2</v>
      </c>
      <c r="E5" s="14">
        <v>24975276470</v>
      </c>
      <c r="F5" s="15">
        <f>((E5-G5)/G5)</f>
        <v>7.483534166728989E-2</v>
      </c>
      <c r="G5" s="16">
        <v>23236374449</v>
      </c>
      <c r="I5" s="17"/>
    </row>
    <row r="6" spans="1:18" x14ac:dyDescent="0.2">
      <c r="A6" s="12" t="s">
        <v>5</v>
      </c>
      <c r="B6" s="13" t="str">
        <f>'Taxable Value All Property'!B6</f>
        <v>R-Prelim</v>
      </c>
      <c r="C6" s="14">
        <v>1765620982</v>
      </c>
      <c r="D6" s="15">
        <f t="shared" ref="D6:D69" si="0">((C6-E6)/E6)</f>
        <v>3.8797834967940883E-2</v>
      </c>
      <c r="E6" s="14">
        <v>1699677187</v>
      </c>
      <c r="F6" s="15">
        <f t="shared" ref="F6:F69" si="1">((E6-G6)/G6)</f>
        <v>9.329328765677021E-2</v>
      </c>
      <c r="G6" s="16">
        <v>1554639735</v>
      </c>
      <c r="I6" s="17"/>
    </row>
    <row r="7" spans="1:18" x14ac:dyDescent="0.2">
      <c r="A7" s="12" t="s">
        <v>6</v>
      </c>
      <c r="B7" s="13" t="str">
        <f>'Taxable Value All Property'!B7</f>
        <v>R-Prelim</v>
      </c>
      <c r="C7" s="14">
        <v>33634589819</v>
      </c>
      <c r="D7" s="15">
        <f t="shared" si="0"/>
        <v>5.5308332064115187E-2</v>
      </c>
      <c r="E7" s="14">
        <v>31871813002</v>
      </c>
      <c r="F7" s="15">
        <f t="shared" si="1"/>
        <v>7.7049679425938947E-2</v>
      </c>
      <c r="G7" s="16">
        <v>29591776137</v>
      </c>
      <c r="I7" s="17"/>
      <c r="R7" s="17"/>
    </row>
    <row r="8" spans="1:18" x14ac:dyDescent="0.2">
      <c r="A8" s="12" t="s">
        <v>7</v>
      </c>
      <c r="B8" s="13" t="str">
        <f>'Taxable Value All Property'!B8</f>
        <v>R-Prelim</v>
      </c>
      <c r="C8" s="14">
        <v>1660203345</v>
      </c>
      <c r="D8" s="15">
        <f t="shared" si="0"/>
        <v>5.2843870058073505E-2</v>
      </c>
      <c r="E8" s="14">
        <v>1576875159</v>
      </c>
      <c r="F8" s="15">
        <f t="shared" si="1"/>
        <v>9.0977156932848788E-2</v>
      </c>
      <c r="G8" s="16">
        <v>1445378713</v>
      </c>
      <c r="I8" s="17"/>
      <c r="R8" s="17"/>
    </row>
    <row r="9" spans="1:18" x14ac:dyDescent="0.2">
      <c r="A9" s="12" t="s">
        <v>8</v>
      </c>
      <c r="B9" s="13" t="str">
        <f>'Taxable Value All Property'!B9</f>
        <v>R-Prelim</v>
      </c>
      <c r="C9" s="14">
        <v>76403021129</v>
      </c>
      <c r="D9" s="15">
        <f t="shared" si="0"/>
        <v>4.5650720879942201E-2</v>
      </c>
      <c r="E9" s="14">
        <v>73067439828</v>
      </c>
      <c r="F9" s="15">
        <f t="shared" si="1"/>
        <v>7.5308259547746115E-2</v>
      </c>
      <c r="G9" s="16">
        <v>67950226532</v>
      </c>
      <c r="I9" s="17"/>
      <c r="R9" s="17"/>
    </row>
    <row r="10" spans="1:18" x14ac:dyDescent="0.2">
      <c r="A10" s="12" t="s">
        <v>9</v>
      </c>
      <c r="B10" s="13" t="str">
        <f>'Taxable Value All Property'!B10</f>
        <v>R-Prelim</v>
      </c>
      <c r="C10" s="14">
        <v>335935955775</v>
      </c>
      <c r="D10" s="15">
        <f t="shared" si="0"/>
        <v>5.5055717855551606E-2</v>
      </c>
      <c r="E10" s="14">
        <v>318405890883</v>
      </c>
      <c r="F10" s="15">
        <f t="shared" si="1"/>
        <v>8.0990792994736924E-2</v>
      </c>
      <c r="G10" s="16">
        <v>294550048850</v>
      </c>
      <c r="I10" s="17"/>
      <c r="R10" s="17"/>
    </row>
    <row r="11" spans="1:18" x14ac:dyDescent="0.2">
      <c r="A11" s="12" t="s">
        <v>10</v>
      </c>
      <c r="B11" s="13" t="str">
        <f>'Taxable Value All Property'!B11</f>
        <v>R-Prelim</v>
      </c>
      <c r="C11" s="14">
        <v>827242088</v>
      </c>
      <c r="D11" s="15">
        <f t="shared" si="0"/>
        <v>0.16256421364868864</v>
      </c>
      <c r="E11" s="14">
        <v>711566792</v>
      </c>
      <c r="F11" s="15">
        <f t="shared" si="1"/>
        <v>8.6927154713991497E-2</v>
      </c>
      <c r="G11" s="16">
        <v>654659136</v>
      </c>
      <c r="I11" s="17"/>
      <c r="R11" s="17"/>
    </row>
    <row r="12" spans="1:18" x14ac:dyDescent="0.2">
      <c r="A12" s="12" t="s">
        <v>11</v>
      </c>
      <c r="B12" s="13" t="str">
        <f>'Taxable Value All Property'!B12</f>
        <v>R-Prelim</v>
      </c>
      <c r="C12" s="43">
        <v>35217467938</v>
      </c>
      <c r="D12" s="15">
        <f t="shared" si="0"/>
        <v>2.1751169675496743E-2</v>
      </c>
      <c r="E12" s="14">
        <v>34467753973</v>
      </c>
      <c r="F12" s="15">
        <f t="shared" si="1"/>
        <v>7.9143720821944985E-2</v>
      </c>
      <c r="G12" s="16">
        <v>31939910605</v>
      </c>
      <c r="I12" s="17"/>
      <c r="R12" s="17"/>
    </row>
    <row r="13" spans="1:18" x14ac:dyDescent="0.2">
      <c r="A13" s="12" t="s">
        <v>12</v>
      </c>
      <c r="B13" s="13" t="str">
        <f>'Taxable Value All Property'!B13</f>
        <v>R-Prelim</v>
      </c>
      <c r="C13" s="14">
        <v>17202731267</v>
      </c>
      <c r="D13" s="15">
        <f t="shared" si="0"/>
        <v>6.9900633585443281E-2</v>
      </c>
      <c r="E13" s="14">
        <v>16078812113</v>
      </c>
      <c r="F13" s="15">
        <f t="shared" si="1"/>
        <v>7.8134345317561568E-2</v>
      </c>
      <c r="G13" s="16">
        <v>14913551528</v>
      </c>
      <c r="I13" s="17"/>
      <c r="R13" s="17"/>
    </row>
    <row r="14" spans="1:18" x14ac:dyDescent="0.2">
      <c r="A14" s="12" t="s">
        <v>13</v>
      </c>
      <c r="B14" s="13" t="str">
        <f>'Taxable Value All Property'!B14</f>
        <v>R-Prelim</v>
      </c>
      <c r="C14" s="14">
        <v>21084562279</v>
      </c>
      <c r="D14" s="15">
        <f t="shared" si="0"/>
        <v>5.3927336999861089E-2</v>
      </c>
      <c r="E14" s="14">
        <v>20005707736</v>
      </c>
      <c r="F14" s="15">
        <f t="shared" si="1"/>
        <v>8.4858212610410766E-2</v>
      </c>
      <c r="G14" s="16">
        <v>18440850153</v>
      </c>
      <c r="I14" s="17"/>
      <c r="R14" s="17"/>
    </row>
    <row r="15" spans="1:18" x14ac:dyDescent="0.2">
      <c r="A15" s="12" t="s">
        <v>14</v>
      </c>
      <c r="B15" s="13" t="str">
        <f>'Taxable Value All Property'!B15</f>
        <v>R-Prelim</v>
      </c>
      <c r="C15" s="14">
        <v>170279116342</v>
      </c>
      <c r="D15" s="15">
        <f t="shared" si="0"/>
        <v>3.498896002360441E-2</v>
      </c>
      <c r="E15" s="14">
        <v>164522640259</v>
      </c>
      <c r="F15" s="15">
        <f t="shared" si="1"/>
        <v>8.2131202576438356E-2</v>
      </c>
      <c r="G15" s="16">
        <v>152035760421</v>
      </c>
      <c r="I15" s="17"/>
      <c r="R15" s="17"/>
    </row>
    <row r="16" spans="1:18" x14ac:dyDescent="0.2">
      <c r="A16" s="12" t="s">
        <v>15</v>
      </c>
      <c r="B16" s="13" t="str">
        <f>'Taxable Value All Property'!B16</f>
        <v>R-Prelim</v>
      </c>
      <c r="C16" s="14">
        <v>4999741403</v>
      </c>
      <c r="D16" s="15">
        <f t="shared" si="0"/>
        <v>6.0355460901729364E-2</v>
      </c>
      <c r="E16" s="14">
        <v>4715155990</v>
      </c>
      <c r="F16" s="15">
        <f t="shared" si="1"/>
        <v>8.641262559176606E-2</v>
      </c>
      <c r="G16" s="16">
        <v>4340115237</v>
      </c>
      <c r="I16" s="17"/>
      <c r="R16" s="17"/>
    </row>
    <row r="17" spans="1:18" x14ac:dyDescent="0.2">
      <c r="A17" s="12" t="s">
        <v>78</v>
      </c>
      <c r="B17" s="13" t="str">
        <f>'Taxable Value All Property'!B17</f>
        <v>R-Prelim</v>
      </c>
      <c r="C17" s="14">
        <v>540137256145</v>
      </c>
      <c r="D17" s="15">
        <f t="shared" si="0"/>
        <v>7.2317439469818903E-2</v>
      </c>
      <c r="E17" s="14">
        <v>503710222611</v>
      </c>
      <c r="F17" s="15">
        <f t="shared" si="1"/>
        <v>7.9418856954666217E-2</v>
      </c>
      <c r="G17" s="16">
        <v>466649456201</v>
      </c>
      <c r="I17" s="17"/>
      <c r="R17" s="17"/>
    </row>
    <row r="18" spans="1:18" x14ac:dyDescent="0.2">
      <c r="A18" s="12" t="s">
        <v>16</v>
      </c>
      <c r="B18" s="13" t="str">
        <f>'Taxable Value All Property'!B18</f>
        <v>R-Prelim</v>
      </c>
      <c r="C18" s="14">
        <v>2950541466</v>
      </c>
      <c r="D18" s="15">
        <f t="shared" si="0"/>
        <v>1.9003354603420206E-2</v>
      </c>
      <c r="E18" s="14">
        <v>2895516931</v>
      </c>
      <c r="F18" s="15">
        <f t="shared" si="1"/>
        <v>0.10259354020272289</v>
      </c>
      <c r="G18" s="16">
        <v>2626096404</v>
      </c>
      <c r="I18" s="17"/>
      <c r="R18" s="17"/>
    </row>
    <row r="19" spans="1:18" x14ac:dyDescent="0.2">
      <c r="A19" s="12" t="s">
        <v>17</v>
      </c>
      <c r="B19" s="13" t="str">
        <f>'Taxable Value All Property'!B19</f>
        <v>R-Prelim</v>
      </c>
      <c r="C19" s="14">
        <v>893678383</v>
      </c>
      <c r="D19" s="15">
        <f t="shared" si="0"/>
        <v>6.995498377272312E-2</v>
      </c>
      <c r="E19" s="14">
        <v>835248582</v>
      </c>
      <c r="F19" s="15">
        <f t="shared" si="1"/>
        <v>3.401420029184319E-2</v>
      </c>
      <c r="G19" s="16">
        <v>807772835</v>
      </c>
      <c r="I19" s="17"/>
      <c r="R19" s="17"/>
    </row>
    <row r="20" spans="1:18" x14ac:dyDescent="0.2">
      <c r="A20" s="12" t="s">
        <v>18</v>
      </c>
      <c r="B20" s="13" t="str">
        <f>'Taxable Value All Property'!B20</f>
        <v>R-Prelim</v>
      </c>
      <c r="C20" s="14">
        <v>124282518725</v>
      </c>
      <c r="D20" s="15">
        <f t="shared" si="0"/>
        <v>6.4786794001472761E-2</v>
      </c>
      <c r="E20" s="14">
        <v>116720567371</v>
      </c>
      <c r="F20" s="15">
        <f t="shared" si="1"/>
        <v>7.5323153432626008E-2</v>
      </c>
      <c r="G20" s="16">
        <v>108544642602</v>
      </c>
      <c r="I20" s="17"/>
      <c r="R20" s="17"/>
    </row>
    <row r="21" spans="1:18" x14ac:dyDescent="0.2">
      <c r="A21" s="12" t="s">
        <v>19</v>
      </c>
      <c r="B21" s="13" t="str">
        <f>'Taxable Value All Property'!B21</f>
        <v>R-Prelim</v>
      </c>
      <c r="C21" s="14">
        <v>34529703694</v>
      </c>
      <c r="D21" s="15">
        <f t="shared" si="0"/>
        <v>4.6793988773886186E-2</v>
      </c>
      <c r="E21" s="14">
        <v>32986150154</v>
      </c>
      <c r="F21" s="15">
        <f t="shared" si="1"/>
        <v>7.5379928130297549E-2</v>
      </c>
      <c r="G21" s="16">
        <v>30673950007</v>
      </c>
      <c r="I21" s="17"/>
      <c r="R21" s="17"/>
    </row>
    <row r="22" spans="1:18" x14ac:dyDescent="0.2">
      <c r="A22" s="12" t="s">
        <v>20</v>
      </c>
      <c r="B22" s="13" t="str">
        <f>'Taxable Value All Property'!B22</f>
        <v>R-Prelim</v>
      </c>
      <c r="C22" s="14">
        <v>18866028923</v>
      </c>
      <c r="D22" s="15">
        <f t="shared" si="0"/>
        <v>4.0868611385413076E-2</v>
      </c>
      <c r="E22" s="14">
        <v>18125274138</v>
      </c>
      <c r="F22" s="15">
        <f t="shared" si="1"/>
        <v>9.8108537978239665E-2</v>
      </c>
      <c r="G22" s="16">
        <v>16505904026</v>
      </c>
      <c r="I22" s="17"/>
      <c r="R22" s="17"/>
    </row>
    <row r="23" spans="1:18" x14ac:dyDescent="0.2">
      <c r="A23" s="12" t="s">
        <v>21</v>
      </c>
      <c r="B23" s="13" t="str">
        <f>'Taxable Value All Property'!B23</f>
        <v>R-Prelim</v>
      </c>
      <c r="C23" s="14">
        <v>4068520845</v>
      </c>
      <c r="D23" s="15">
        <f t="shared" si="0"/>
        <v>6.9392292142147011E-2</v>
      </c>
      <c r="E23" s="14">
        <v>3804516710</v>
      </c>
      <c r="F23" s="15">
        <f t="shared" si="1"/>
        <v>8.9712336136702264E-2</v>
      </c>
      <c r="G23" s="16">
        <v>3491303699</v>
      </c>
      <c r="I23" s="17"/>
      <c r="R23" s="17"/>
    </row>
    <row r="24" spans="1:18" x14ac:dyDescent="0.2">
      <c r="A24" s="12" t="s">
        <v>22</v>
      </c>
      <c r="B24" s="13" t="str">
        <f>'Taxable Value All Property'!B24</f>
        <v>R-Prelim</v>
      </c>
      <c r="C24" s="14">
        <v>2601699071</v>
      </c>
      <c r="D24" s="15">
        <f t="shared" si="0"/>
        <v>5.5214673636111489E-2</v>
      </c>
      <c r="E24" s="14">
        <v>2465563772</v>
      </c>
      <c r="F24" s="15">
        <f t="shared" si="1"/>
        <v>7.5101620834391369E-2</v>
      </c>
      <c r="G24" s="16">
        <v>2293330904</v>
      </c>
      <c r="I24" s="17"/>
      <c r="R24" s="17"/>
    </row>
    <row r="25" spans="1:18" x14ac:dyDescent="0.2">
      <c r="A25" s="12" t="s">
        <v>23</v>
      </c>
      <c r="B25" s="13" t="str">
        <f>'Taxable Value All Property'!B25</f>
        <v>R-Prelim</v>
      </c>
      <c r="C25" s="14">
        <v>1579953307</v>
      </c>
      <c r="D25" s="15">
        <f t="shared" si="0"/>
        <v>5.743194449981253E-2</v>
      </c>
      <c r="E25" s="14">
        <v>1494141836</v>
      </c>
      <c r="F25" s="15">
        <f t="shared" si="1"/>
        <v>0.13848996117628581</v>
      </c>
      <c r="G25" s="16">
        <v>1312389118</v>
      </c>
      <c r="I25" s="17"/>
      <c r="R25" s="17"/>
    </row>
    <row r="26" spans="1:18" x14ac:dyDescent="0.2">
      <c r="A26" s="12" t="s">
        <v>24</v>
      </c>
      <c r="B26" s="13" t="str">
        <f>'Taxable Value All Property'!B26</f>
        <v>R-Prelim</v>
      </c>
      <c r="C26" s="14">
        <v>1232018752</v>
      </c>
      <c r="D26" s="15">
        <f t="shared" si="0"/>
        <v>7.4408248163088761E-2</v>
      </c>
      <c r="E26" s="14">
        <v>1146695173</v>
      </c>
      <c r="F26" s="15">
        <f t="shared" si="1"/>
        <v>6.7346511453669447E-2</v>
      </c>
      <c r="G26" s="16">
        <v>1074341988</v>
      </c>
      <c r="I26" s="17"/>
      <c r="R26" s="17"/>
    </row>
    <row r="27" spans="1:18" x14ac:dyDescent="0.2">
      <c r="A27" s="12" t="s">
        <v>25</v>
      </c>
      <c r="B27" s="13" t="str">
        <f>'Taxable Value All Property'!B27</f>
        <v>R-Prelim</v>
      </c>
      <c r="C27" s="14">
        <v>4324798546</v>
      </c>
      <c r="D27" s="15">
        <f t="shared" si="0"/>
        <v>8.9601478591315981E-2</v>
      </c>
      <c r="E27" s="14">
        <v>3969156275</v>
      </c>
      <c r="F27" s="15">
        <f t="shared" si="1"/>
        <v>0.10976554657021498</v>
      </c>
      <c r="G27" s="16">
        <v>3576571905</v>
      </c>
      <c r="I27" s="17"/>
      <c r="R27" s="17"/>
    </row>
    <row r="28" spans="1:18" x14ac:dyDescent="0.2">
      <c r="A28" s="12" t="s">
        <v>26</v>
      </c>
      <c r="B28" s="13" t="str">
        <f>'Taxable Value All Property'!B28</f>
        <v>R-Prelim</v>
      </c>
      <c r="C28" s="14">
        <v>1375910374</v>
      </c>
      <c r="D28" s="15">
        <f t="shared" si="0"/>
        <v>5.0867350455195734E-2</v>
      </c>
      <c r="E28" s="14">
        <v>1309309280</v>
      </c>
      <c r="F28" s="15">
        <f t="shared" si="1"/>
        <v>4.987205227096364E-2</v>
      </c>
      <c r="G28" s="16">
        <v>1247113186</v>
      </c>
      <c r="I28" s="17"/>
      <c r="R28" s="17"/>
    </row>
    <row r="29" spans="1:18" x14ac:dyDescent="0.2">
      <c r="A29" s="12" t="s">
        <v>27</v>
      </c>
      <c r="B29" s="13" t="str">
        <f>'Taxable Value All Property'!B29</f>
        <v>R-Prelim</v>
      </c>
      <c r="C29" s="14">
        <v>3102454505</v>
      </c>
      <c r="D29" s="15">
        <f t="shared" si="0"/>
        <v>6.1623107605578341E-2</v>
      </c>
      <c r="E29" s="14">
        <v>2922369043</v>
      </c>
      <c r="F29" s="15">
        <f t="shared" si="1"/>
        <v>8.7721635545546212E-2</v>
      </c>
      <c r="G29" s="16">
        <v>2686688347</v>
      </c>
      <c r="I29" s="17"/>
      <c r="R29" s="17"/>
    </row>
    <row r="30" spans="1:18" x14ac:dyDescent="0.2">
      <c r="A30" s="12" t="s">
        <v>28</v>
      </c>
      <c r="B30" s="13" t="str">
        <f>'Taxable Value All Property'!B30</f>
        <v>R-Prelim</v>
      </c>
      <c r="C30" s="14">
        <v>5190366219</v>
      </c>
      <c r="D30" s="15">
        <f t="shared" si="0"/>
        <v>9.2984233045579887E-2</v>
      </c>
      <c r="E30" s="14">
        <v>4748802464</v>
      </c>
      <c r="F30" s="15">
        <f t="shared" si="1"/>
        <v>0.10348864358699074</v>
      </c>
      <c r="G30" s="16">
        <v>4303444799</v>
      </c>
      <c r="I30" s="17"/>
      <c r="R30" s="17"/>
    </row>
    <row r="31" spans="1:18" x14ac:dyDescent="0.2">
      <c r="A31" s="12" t="s">
        <v>29</v>
      </c>
      <c r="B31" s="13" t="str">
        <f>'Taxable Value All Property'!B31</f>
        <v>R-Prelim</v>
      </c>
      <c r="C31" s="14">
        <v>19447968771</v>
      </c>
      <c r="D31" s="15">
        <f t="shared" si="0"/>
        <v>6.694990674575664E-2</v>
      </c>
      <c r="E31" s="14">
        <v>18227630602</v>
      </c>
      <c r="F31" s="15">
        <f t="shared" si="1"/>
        <v>0.1048280773848413</v>
      </c>
      <c r="G31" s="16">
        <v>16498160189</v>
      </c>
      <c r="I31" s="17"/>
      <c r="R31" s="17"/>
    </row>
    <row r="32" spans="1:18" x14ac:dyDescent="0.2">
      <c r="A32" s="12" t="s">
        <v>30</v>
      </c>
      <c r="B32" s="13" t="str">
        <f>'Taxable Value All Property'!B32</f>
        <v>R-Prelim</v>
      </c>
      <c r="C32" s="14">
        <v>9199674809</v>
      </c>
      <c r="D32" s="15">
        <f t="shared" si="0"/>
        <v>5.3592279134798332E-2</v>
      </c>
      <c r="E32" s="14">
        <v>8731721930</v>
      </c>
      <c r="F32" s="15">
        <f t="shared" si="1"/>
        <v>8.9108944926364397E-2</v>
      </c>
      <c r="G32" s="16">
        <v>8017308067</v>
      </c>
      <c r="I32" s="17"/>
      <c r="R32" s="17"/>
    </row>
    <row r="33" spans="1:18" x14ac:dyDescent="0.2">
      <c r="A33" s="12" t="s">
        <v>31</v>
      </c>
      <c r="B33" s="13" t="str">
        <f>'Taxable Value All Property'!B33</f>
        <v>R-Prelim</v>
      </c>
      <c r="C33" s="14">
        <v>186492307757</v>
      </c>
      <c r="D33" s="15">
        <f t="shared" si="0"/>
        <v>4.6171115151909643E-2</v>
      </c>
      <c r="E33" s="14">
        <v>178261763354</v>
      </c>
      <c r="F33" s="15">
        <f t="shared" si="1"/>
        <v>6.1154109860841632E-2</v>
      </c>
      <c r="G33" s="16">
        <v>167988571780</v>
      </c>
      <c r="I33" s="17"/>
      <c r="R33" s="17"/>
    </row>
    <row r="34" spans="1:18" x14ac:dyDescent="0.2">
      <c r="A34" s="12" t="s">
        <v>32</v>
      </c>
      <c r="B34" s="13" t="str">
        <f>'Taxable Value All Property'!B34</f>
        <v>R-Prelim</v>
      </c>
      <c r="C34" s="14">
        <v>782774683</v>
      </c>
      <c r="D34" s="15">
        <f t="shared" si="0"/>
        <v>5.273859160299478E-2</v>
      </c>
      <c r="E34" s="14">
        <v>743560357</v>
      </c>
      <c r="F34" s="15">
        <f t="shared" si="1"/>
        <v>0.14461712421640269</v>
      </c>
      <c r="G34" s="16">
        <v>649614916</v>
      </c>
      <c r="I34" s="17"/>
      <c r="R34" s="17"/>
    </row>
    <row r="35" spans="1:18" x14ac:dyDescent="0.2">
      <c r="A35" s="12" t="s">
        <v>33</v>
      </c>
      <c r="B35" s="13" t="str">
        <f>'Taxable Value All Property'!B35</f>
        <v>R-Prelim</v>
      </c>
      <c r="C35" s="14">
        <v>33884368200</v>
      </c>
      <c r="D35" s="15">
        <f t="shared" si="0"/>
        <v>6.7966660733757775E-2</v>
      </c>
      <c r="E35" s="14">
        <v>31727926953</v>
      </c>
      <c r="F35" s="15">
        <f t="shared" si="1"/>
        <v>8.4870061428154758E-2</v>
      </c>
      <c r="G35" s="16">
        <v>29245831442</v>
      </c>
      <c r="I35" s="17"/>
      <c r="R35" s="17"/>
    </row>
    <row r="36" spans="1:18" x14ac:dyDescent="0.2">
      <c r="A36" s="12" t="s">
        <v>34</v>
      </c>
      <c r="B36" s="13" t="str">
        <f>'Taxable Value All Property'!B36</f>
        <v>R-Prelim</v>
      </c>
      <c r="C36" s="14">
        <v>2580070218</v>
      </c>
      <c r="D36" s="15">
        <f t="shared" si="0"/>
        <v>7.1622257340912238E-2</v>
      </c>
      <c r="E36" s="14">
        <v>2407630301</v>
      </c>
      <c r="F36" s="15">
        <f t="shared" si="1"/>
        <v>4.4992048166766628E-2</v>
      </c>
      <c r="G36" s="16">
        <v>2303969973</v>
      </c>
      <c r="I36" s="17"/>
      <c r="R36" s="17"/>
    </row>
    <row r="37" spans="1:18" x14ac:dyDescent="0.2">
      <c r="A37" s="12" t="s">
        <v>35</v>
      </c>
      <c r="B37" s="13" t="str">
        <f>'Taxable Value All Property'!B37</f>
        <v>R-Prelim</v>
      </c>
      <c r="C37" s="14">
        <v>1232561109</v>
      </c>
      <c r="D37" s="15">
        <f t="shared" si="0"/>
        <v>4.1825424149527272E-2</v>
      </c>
      <c r="E37" s="14">
        <v>1183078355</v>
      </c>
      <c r="F37" s="15">
        <f t="shared" si="1"/>
        <v>6.1685655613345811E-2</v>
      </c>
      <c r="G37" s="16">
        <v>1114339587</v>
      </c>
      <c r="I37" s="17"/>
      <c r="R37" s="17"/>
    </row>
    <row r="38" spans="1:18" x14ac:dyDescent="0.2">
      <c r="A38" s="12" t="s">
        <v>36</v>
      </c>
      <c r="B38" s="13" t="str">
        <f>'Taxable Value All Property'!B38</f>
        <v>R-Prelim</v>
      </c>
      <c r="C38" s="14">
        <v>416533943</v>
      </c>
      <c r="D38" s="15">
        <f t="shared" si="0"/>
        <v>6.3072999421367903E-2</v>
      </c>
      <c r="E38" s="14">
        <v>391820640</v>
      </c>
      <c r="F38" s="15">
        <f t="shared" si="1"/>
        <v>6.4980519303353301E-2</v>
      </c>
      <c r="G38" s="16">
        <v>367913434</v>
      </c>
      <c r="I38" s="17"/>
      <c r="R38" s="17"/>
    </row>
    <row r="39" spans="1:18" x14ac:dyDescent="0.2">
      <c r="A39" s="12" t="s">
        <v>37</v>
      </c>
      <c r="B39" s="13" t="str">
        <f>'Taxable Value All Property'!B39</f>
        <v>R-Prelim</v>
      </c>
      <c r="C39" s="14">
        <v>48714047542</v>
      </c>
      <c r="D39" s="15">
        <f t="shared" si="0"/>
        <v>8.7754940822168559E-2</v>
      </c>
      <c r="E39" s="14">
        <v>44784027830</v>
      </c>
      <c r="F39" s="15">
        <f t="shared" si="1"/>
        <v>0.11381027777064441</v>
      </c>
      <c r="G39" s="16">
        <v>40207949885</v>
      </c>
      <c r="I39" s="17"/>
      <c r="R39" s="17"/>
    </row>
    <row r="40" spans="1:18" x14ac:dyDescent="0.2">
      <c r="A40" s="12" t="s">
        <v>38</v>
      </c>
      <c r="B40" s="13" t="str">
        <f>'Taxable Value All Property'!B40</f>
        <v>R-Prelim</v>
      </c>
      <c r="C40" s="14">
        <v>156343845669</v>
      </c>
      <c r="D40" s="15">
        <f t="shared" si="0"/>
        <v>4.5621192605602531E-2</v>
      </c>
      <c r="E40" s="14">
        <v>149522453040</v>
      </c>
      <c r="F40" s="15">
        <f t="shared" si="1"/>
        <v>8.2489933165302814E-2</v>
      </c>
      <c r="G40" s="16">
        <v>138128261944</v>
      </c>
      <c r="I40" s="17"/>
      <c r="R40" s="17"/>
    </row>
    <row r="41" spans="1:18" x14ac:dyDescent="0.2">
      <c r="A41" s="12" t="s">
        <v>39</v>
      </c>
      <c r="B41" s="13" t="str">
        <f>'Taxable Value All Property'!B41</f>
        <v>R-Prelim</v>
      </c>
      <c r="C41" s="14">
        <v>28735422474</v>
      </c>
      <c r="D41" s="15">
        <f t="shared" si="0"/>
        <v>5.3959269554091083E-2</v>
      </c>
      <c r="E41" s="14">
        <v>27264262770</v>
      </c>
      <c r="F41" s="15">
        <f t="shared" si="1"/>
        <v>7.7279285457525562E-2</v>
      </c>
      <c r="G41" s="16">
        <v>25308444280</v>
      </c>
      <c r="I41" s="17"/>
      <c r="R41" s="17"/>
    </row>
    <row r="42" spans="1:18" x14ac:dyDescent="0.2">
      <c r="A42" s="12" t="s">
        <v>40</v>
      </c>
      <c r="B42" s="13" t="str">
        <f>'Taxable Value All Property'!B42</f>
        <v>R-Prelim</v>
      </c>
      <c r="C42" s="14">
        <v>3747441971</v>
      </c>
      <c r="D42" s="15">
        <f t="shared" si="0"/>
        <v>0.1010489741274864</v>
      </c>
      <c r="E42" s="14">
        <v>3403519788</v>
      </c>
      <c r="F42" s="15">
        <f t="shared" si="1"/>
        <v>8.1729096139634791E-2</v>
      </c>
      <c r="G42" s="16">
        <v>3146369826</v>
      </c>
      <c r="I42" s="17"/>
      <c r="R42" s="17"/>
    </row>
    <row r="43" spans="1:18" x14ac:dyDescent="0.2">
      <c r="A43" s="12" t="s">
        <v>41</v>
      </c>
      <c r="B43" s="13" t="str">
        <f>'Taxable Value All Property'!B43</f>
        <v>R-Prelim</v>
      </c>
      <c r="C43" s="14">
        <v>401956168</v>
      </c>
      <c r="D43" s="15">
        <f t="shared" si="0"/>
        <v>2.1467912124307702E-2</v>
      </c>
      <c r="E43" s="14">
        <v>393508365</v>
      </c>
      <c r="F43" s="15">
        <f t="shared" si="1"/>
        <v>6.9251319049705606E-2</v>
      </c>
      <c r="G43" s="16">
        <v>368022333</v>
      </c>
      <c r="I43" s="17"/>
      <c r="R43" s="17"/>
    </row>
    <row r="44" spans="1:18" x14ac:dyDescent="0.2">
      <c r="A44" s="12" t="s">
        <v>42</v>
      </c>
      <c r="B44" s="13" t="str">
        <f>'Taxable Value All Property'!B44</f>
        <v>R-Prelim</v>
      </c>
      <c r="C44" s="14">
        <v>1441661524</v>
      </c>
      <c r="D44" s="15">
        <f t="shared" si="0"/>
        <v>8.1382828167406121E-2</v>
      </c>
      <c r="E44" s="14">
        <v>1333164802</v>
      </c>
      <c r="F44" s="15">
        <f t="shared" si="1"/>
        <v>9.7370260041572565E-2</v>
      </c>
      <c r="G44" s="16">
        <v>1214872364</v>
      </c>
      <c r="I44" s="17"/>
      <c r="R44" s="17"/>
    </row>
    <row r="45" spans="1:18" x14ac:dyDescent="0.2">
      <c r="A45" s="12" t="s">
        <v>43</v>
      </c>
      <c r="B45" s="13" t="str">
        <f>'Taxable Value All Property'!B45</f>
        <v>R-Prelim</v>
      </c>
      <c r="C45" s="14">
        <v>80570559353</v>
      </c>
      <c r="D45" s="15">
        <f t="shared" si="0"/>
        <v>7.9973590335183586E-2</v>
      </c>
      <c r="E45" s="14">
        <v>74604194097</v>
      </c>
      <c r="F45" s="15">
        <f t="shared" si="1"/>
        <v>6.5155086124154618E-2</v>
      </c>
      <c r="G45" s="16">
        <v>70040687097</v>
      </c>
      <c r="I45" s="17"/>
      <c r="R45" s="17"/>
    </row>
    <row r="46" spans="1:18" x14ac:dyDescent="0.2">
      <c r="A46" s="12" t="s">
        <v>44</v>
      </c>
      <c r="B46" s="13" t="str">
        <f>'Taxable Value All Property'!B46</f>
        <v>R-Prelim</v>
      </c>
      <c r="C46" s="14">
        <v>41875614722</v>
      </c>
      <c r="D46" s="15">
        <f t="shared" si="0"/>
        <v>0.10527298559266308</v>
      </c>
      <c r="E46" s="14">
        <v>37887124057</v>
      </c>
      <c r="F46" s="15">
        <f t="shared" si="1"/>
        <v>0.11774325480120292</v>
      </c>
      <c r="G46" s="16">
        <v>33896088296</v>
      </c>
      <c r="I46" s="17"/>
      <c r="R46" s="17"/>
    </row>
    <row r="47" spans="1:18" x14ac:dyDescent="0.2">
      <c r="A47" s="12" t="s">
        <v>45</v>
      </c>
      <c r="B47" s="13" t="str">
        <f>'Taxable Value All Property'!B47</f>
        <v>R-Prelim</v>
      </c>
      <c r="C47" s="14">
        <v>41822164988</v>
      </c>
      <c r="D47" s="15">
        <f t="shared" si="0"/>
        <v>6.6508340738980112E-2</v>
      </c>
      <c r="E47" s="14">
        <v>39214100247</v>
      </c>
      <c r="F47" s="15">
        <f t="shared" si="1"/>
        <v>0.12675278355931988</v>
      </c>
      <c r="G47" s="16">
        <v>34802754268</v>
      </c>
      <c r="I47" s="17"/>
      <c r="R47" s="17"/>
    </row>
    <row r="48" spans="1:18" x14ac:dyDescent="0.2">
      <c r="A48" s="12" t="s">
        <v>46</v>
      </c>
      <c r="B48" s="13" t="str">
        <f>'Taxable Value All Property'!B48</f>
        <v>R-Prelim</v>
      </c>
      <c r="C48" s="14">
        <v>53179929077</v>
      </c>
      <c r="D48" s="15">
        <f t="shared" si="0"/>
        <v>6.5340108825544335E-2</v>
      </c>
      <c r="E48" s="14">
        <v>49918264258</v>
      </c>
      <c r="F48" s="15">
        <f t="shared" si="1"/>
        <v>8.5067694317740819E-2</v>
      </c>
      <c r="G48" s="16">
        <v>46004746542</v>
      </c>
      <c r="I48" s="17"/>
      <c r="R48" s="17"/>
    </row>
    <row r="49" spans="1:18" x14ac:dyDescent="0.2">
      <c r="A49" s="12" t="s">
        <v>47</v>
      </c>
      <c r="B49" s="13" t="str">
        <f>'Taxable Value All Property'!B49</f>
        <v>R-Prelim</v>
      </c>
      <c r="C49" s="14">
        <v>19744259859</v>
      </c>
      <c r="D49" s="15">
        <f t="shared" si="0"/>
        <v>8.3794071587432503E-2</v>
      </c>
      <c r="E49" s="14">
        <v>18217722699</v>
      </c>
      <c r="F49" s="15">
        <f t="shared" si="1"/>
        <v>0.10540744227145857</v>
      </c>
      <c r="G49" s="16">
        <v>16480550069</v>
      </c>
      <c r="I49" s="17"/>
      <c r="R49" s="17"/>
    </row>
    <row r="50" spans="1:18" x14ac:dyDescent="0.2">
      <c r="A50" s="12" t="s">
        <v>48</v>
      </c>
      <c r="B50" s="13" t="str">
        <f>'Taxable Value All Property'!B50</f>
        <v>R-Prelim</v>
      </c>
      <c r="C50" s="14">
        <v>31540026542</v>
      </c>
      <c r="D50" s="15">
        <f t="shared" si="0"/>
        <v>2.4144757668700129E-2</v>
      </c>
      <c r="E50" s="14">
        <v>30796453632</v>
      </c>
      <c r="F50" s="15">
        <f t="shared" si="1"/>
        <v>6.1987126590359237E-2</v>
      </c>
      <c r="G50" s="16">
        <v>28998895430</v>
      </c>
      <c r="I50" s="17"/>
      <c r="R50" s="17"/>
    </row>
    <row r="51" spans="1:18" x14ac:dyDescent="0.2">
      <c r="A51" s="12" t="s">
        <v>49</v>
      </c>
      <c r="B51" s="13" t="str">
        <f>'Taxable Value All Property'!B51</f>
        <v>R-Prelim</v>
      </c>
      <c r="C51" s="14">
        <v>5102369737</v>
      </c>
      <c r="D51" s="15">
        <f t="shared" si="0"/>
        <v>0.10941785605162321</v>
      </c>
      <c r="E51" s="14">
        <v>4599141531</v>
      </c>
      <c r="F51" s="15">
        <f t="shared" si="1"/>
        <v>0.10229799438716206</v>
      </c>
      <c r="G51" s="16">
        <v>4172321418</v>
      </c>
      <c r="I51" s="17"/>
      <c r="R51" s="17"/>
    </row>
    <row r="52" spans="1:18" x14ac:dyDescent="0.2">
      <c r="A52" s="12" t="s">
        <v>50</v>
      </c>
      <c r="B52" s="13" t="str">
        <f>'Taxable Value All Property'!B52</f>
        <v>R-Prelim</v>
      </c>
      <c r="C52" s="14">
        <v>251525625344</v>
      </c>
      <c r="D52" s="15">
        <f t="shared" si="0"/>
        <v>7.3544896604278556E-2</v>
      </c>
      <c r="E52" s="14">
        <v>234294463268</v>
      </c>
      <c r="F52" s="15">
        <f t="shared" si="1"/>
        <v>7.2336501138911227E-2</v>
      </c>
      <c r="G52" s="16">
        <v>218489683993</v>
      </c>
      <c r="I52" s="17"/>
      <c r="R52" s="17"/>
    </row>
    <row r="53" spans="1:18" x14ac:dyDescent="0.2">
      <c r="A53" s="12" t="s">
        <v>51</v>
      </c>
      <c r="B53" s="13" t="str">
        <f>'Taxable Value All Property'!B53</f>
        <v>R-Prelim</v>
      </c>
      <c r="C53" s="14">
        <v>61241088360</v>
      </c>
      <c r="D53" s="15">
        <f t="shared" si="0"/>
        <v>6.5323556008971093E-2</v>
      </c>
      <c r="E53" s="14">
        <v>57485904648</v>
      </c>
      <c r="F53" s="15">
        <f t="shared" si="1"/>
        <v>9.6555775740034558E-2</v>
      </c>
      <c r="G53" s="16">
        <v>52424058967</v>
      </c>
      <c r="I53" s="17"/>
      <c r="R53" s="17"/>
    </row>
    <row r="54" spans="1:18" x14ac:dyDescent="0.2">
      <c r="A54" s="12" t="s">
        <v>52</v>
      </c>
      <c r="B54" s="13" t="str">
        <f>'Taxable Value All Property'!B54</f>
        <v>R-Prelim</v>
      </c>
      <c r="C54" s="14">
        <v>367368160674</v>
      </c>
      <c r="D54" s="15">
        <f t="shared" si="0"/>
        <v>7.3469218371695261E-2</v>
      </c>
      <c r="E54" s="14">
        <v>342225146643</v>
      </c>
      <c r="F54" s="15">
        <f t="shared" si="1"/>
        <v>7.9521677548672245E-2</v>
      </c>
      <c r="G54" s="16">
        <v>317015539160</v>
      </c>
      <c r="I54" s="17"/>
      <c r="R54" s="17"/>
    </row>
    <row r="55" spans="1:18" x14ac:dyDescent="0.2">
      <c r="A55" s="12" t="s">
        <v>53</v>
      </c>
      <c r="B55" s="13" t="str">
        <f>'Taxable Value All Property'!B55</f>
        <v>R-Prelim</v>
      </c>
      <c r="C55" s="14">
        <v>64648519479</v>
      </c>
      <c r="D55" s="15">
        <f t="shared" si="0"/>
        <v>6.7814472182360086E-2</v>
      </c>
      <c r="E55" s="14">
        <v>60542838820</v>
      </c>
      <c r="F55" s="15">
        <f t="shared" si="1"/>
        <v>0.11281537307107234</v>
      </c>
      <c r="G55" s="16">
        <v>54405106440</v>
      </c>
      <c r="I55" s="17"/>
      <c r="R55" s="17"/>
    </row>
    <row r="56" spans="1:18" x14ac:dyDescent="0.2">
      <c r="A56" s="12" t="s">
        <v>54</v>
      </c>
      <c r="B56" s="13" t="str">
        <f>'Taxable Value All Property'!B56</f>
        <v>R-Prelim</v>
      </c>
      <c r="C56" s="14">
        <v>146425483250</v>
      </c>
      <c r="D56" s="15">
        <f t="shared" si="0"/>
        <v>4.3858978156975148E-2</v>
      </c>
      <c r="E56" s="14">
        <v>140273242185</v>
      </c>
      <c r="F56" s="15">
        <f t="shared" si="1"/>
        <v>3.7281242416153194E-2</v>
      </c>
      <c r="G56" s="16">
        <v>135231638681</v>
      </c>
      <c r="I56" s="17"/>
      <c r="R56" s="17"/>
    </row>
    <row r="57" spans="1:18" x14ac:dyDescent="0.2">
      <c r="A57" s="12" t="s">
        <v>55</v>
      </c>
      <c r="B57" s="13" t="str">
        <f>'Taxable Value All Property'!B57</f>
        <v>R-Prelim</v>
      </c>
      <c r="C57" s="14">
        <v>75664584885</v>
      </c>
      <c r="D57" s="15">
        <f t="shared" si="0"/>
        <v>4.8643874129577491E-2</v>
      </c>
      <c r="E57" s="14">
        <v>72154700706</v>
      </c>
      <c r="F57" s="15">
        <f t="shared" si="1"/>
        <v>8.8469421797803663E-2</v>
      </c>
      <c r="G57" s="16">
        <v>66290057636</v>
      </c>
      <c r="I57" s="17"/>
      <c r="R57" s="17"/>
    </row>
    <row r="58" spans="1:18" x14ac:dyDescent="0.2">
      <c r="A58" s="12" t="s">
        <v>56</v>
      </c>
      <c r="B58" s="13" t="str">
        <f>'Taxable Value All Property'!B58</f>
        <v>R-Prelim</v>
      </c>
      <c r="C58" s="14">
        <v>8175513752</v>
      </c>
      <c r="D58" s="15">
        <f t="shared" si="0"/>
        <v>6.2871922423464732E-2</v>
      </c>
      <c r="E58" s="14">
        <v>7691908667</v>
      </c>
      <c r="F58" s="15">
        <f t="shared" si="1"/>
        <v>2.6085904612860932E-2</v>
      </c>
      <c r="G58" s="16">
        <v>7496359352</v>
      </c>
      <c r="I58" s="17"/>
      <c r="R58" s="17"/>
    </row>
    <row r="59" spans="1:18" x14ac:dyDescent="0.2">
      <c r="A59" s="12" t="s">
        <v>2</v>
      </c>
      <c r="B59" s="13" t="str">
        <f>'Taxable Value All Property'!B59</f>
        <v>R-Prelim</v>
      </c>
      <c r="C59" s="14">
        <v>63056698242</v>
      </c>
      <c r="D59" s="15">
        <f t="shared" si="0"/>
        <v>6.5960169431075452E-2</v>
      </c>
      <c r="E59" s="14">
        <v>59154835284</v>
      </c>
      <c r="F59" s="15">
        <f t="shared" si="1"/>
        <v>9.953190566702895E-2</v>
      </c>
      <c r="G59" s="16">
        <v>53800017061</v>
      </c>
      <c r="I59" s="17"/>
      <c r="R59" s="17"/>
    </row>
    <row r="60" spans="1:18" x14ac:dyDescent="0.2">
      <c r="A60" s="12" t="s">
        <v>3</v>
      </c>
      <c r="B60" s="13" t="str">
        <f>'Taxable Value All Property'!B60</f>
        <v>R-Prelim</v>
      </c>
      <c r="C60" s="14">
        <v>47638021613</v>
      </c>
      <c r="D60" s="15">
        <f t="shared" si="0"/>
        <v>7.7271584778910191E-2</v>
      </c>
      <c r="E60" s="14">
        <v>44220995231</v>
      </c>
      <c r="F60" s="15">
        <f t="shared" si="1"/>
        <v>0.11030887732288809</v>
      </c>
      <c r="G60" s="16">
        <v>39827651687</v>
      </c>
      <c r="I60" s="17"/>
      <c r="R60" s="17"/>
    </row>
    <row r="61" spans="1:18" x14ac:dyDescent="0.2">
      <c r="A61" s="12" t="s">
        <v>57</v>
      </c>
      <c r="B61" s="13" t="str">
        <f>'Taxable Value All Property'!B61</f>
        <v>R-Prelim</v>
      </c>
      <c r="C61" s="14">
        <v>20414410072</v>
      </c>
      <c r="D61" s="15">
        <f t="shared" si="0"/>
        <v>6.4231132479718248E-2</v>
      </c>
      <c r="E61" s="14">
        <v>19182308663</v>
      </c>
      <c r="F61" s="15">
        <f t="shared" si="1"/>
        <v>8.7052291075432872E-2</v>
      </c>
      <c r="G61" s="16">
        <v>17646169205</v>
      </c>
      <c r="I61" s="17"/>
      <c r="R61" s="17"/>
    </row>
    <row r="62" spans="1:18" x14ac:dyDescent="0.2">
      <c r="A62" s="12" t="s">
        <v>58</v>
      </c>
      <c r="B62" s="13" t="str">
        <f>'Taxable Value All Property'!B62</f>
        <v>R-Prelim</v>
      </c>
      <c r="C62" s="14">
        <v>112690149918</v>
      </c>
      <c r="D62" s="15">
        <f t="shared" si="0"/>
        <v>2.6171697219500103E-2</v>
      </c>
      <c r="E62" s="14">
        <v>109816076806</v>
      </c>
      <c r="F62" s="15">
        <f t="shared" si="1"/>
        <v>5.8763554011648761E-2</v>
      </c>
      <c r="G62" s="16">
        <v>103721058767</v>
      </c>
      <c r="I62" s="17"/>
      <c r="R62" s="17"/>
    </row>
    <row r="63" spans="1:18" x14ac:dyDescent="0.2">
      <c r="A63" s="12" t="s">
        <v>59</v>
      </c>
      <c r="B63" s="13" t="str">
        <f>'Taxable Value All Property'!B63</f>
        <v>R-Prelim</v>
      </c>
      <c r="C63" s="14">
        <v>60311712007</v>
      </c>
      <c r="D63" s="15">
        <f t="shared" si="0"/>
        <v>5.3814095032747221E-2</v>
      </c>
      <c r="E63" s="14">
        <v>57231832722</v>
      </c>
      <c r="F63" s="15">
        <f t="shared" si="1"/>
        <v>6.6965643600713567E-2</v>
      </c>
      <c r="G63" s="16">
        <v>53639808428</v>
      </c>
      <c r="I63" s="17"/>
      <c r="R63" s="17"/>
    </row>
    <row r="64" spans="1:18" x14ac:dyDescent="0.2">
      <c r="A64" s="12" t="s">
        <v>60</v>
      </c>
      <c r="B64" s="13" t="str">
        <f>'Taxable Value All Property'!B64</f>
        <v>R-Prelim</v>
      </c>
      <c r="C64" s="14">
        <v>26660625956</v>
      </c>
      <c r="D64" s="15">
        <f t="shared" si="0"/>
        <v>9.540366668233477E-2</v>
      </c>
      <c r="E64" s="14">
        <v>24338631289</v>
      </c>
      <c r="F64" s="15">
        <f t="shared" si="1"/>
        <v>9.3371152604714985E-2</v>
      </c>
      <c r="G64" s="16">
        <v>22260173255</v>
      </c>
      <c r="I64" s="17"/>
      <c r="R64" s="17"/>
    </row>
    <row r="65" spans="1:18" x14ac:dyDescent="0.2">
      <c r="A65" s="12" t="s">
        <v>61</v>
      </c>
      <c r="B65" s="13" t="str">
        <f>'Taxable Value All Property'!B65</f>
        <v>R-Prelim</v>
      </c>
      <c r="C65" s="14">
        <v>3361100755</v>
      </c>
      <c r="D65" s="15">
        <f t="shared" si="0"/>
        <v>6.7914314748302035E-2</v>
      </c>
      <c r="E65" s="14">
        <v>3147350596</v>
      </c>
      <c r="F65" s="15">
        <f t="shared" si="1"/>
        <v>0.10956837157248205</v>
      </c>
      <c r="G65" s="16">
        <v>2836553994</v>
      </c>
      <c r="I65" s="17"/>
      <c r="R65" s="17"/>
    </row>
    <row r="66" spans="1:18" x14ac:dyDescent="0.2">
      <c r="A66" s="12" t="s">
        <v>62</v>
      </c>
      <c r="B66" s="13" t="str">
        <f>'Taxable Value All Property'!B66</f>
        <v>R-Prelim</v>
      </c>
      <c r="C66" s="14">
        <v>1751657611</v>
      </c>
      <c r="D66" s="15">
        <f t="shared" si="0"/>
        <v>1.2126008497439417E-2</v>
      </c>
      <c r="E66" s="14">
        <v>1730671474</v>
      </c>
      <c r="F66" s="15">
        <f t="shared" si="1"/>
        <v>-0.11844498360960144</v>
      </c>
      <c r="G66" s="16">
        <v>1963203024</v>
      </c>
      <c r="I66" s="17"/>
      <c r="R66" s="17"/>
    </row>
    <row r="67" spans="1:18" x14ac:dyDescent="0.2">
      <c r="A67" s="12" t="s">
        <v>63</v>
      </c>
      <c r="B67" s="13" t="str">
        <f>'Taxable Value All Property'!B67</f>
        <v>R-Prelim</v>
      </c>
      <c r="C67" s="14">
        <v>414036716</v>
      </c>
      <c r="D67" s="15">
        <f t="shared" si="0"/>
        <v>4.3901991368265905E-2</v>
      </c>
      <c r="E67" s="14">
        <v>396624127</v>
      </c>
      <c r="F67" s="15">
        <f t="shared" si="1"/>
        <v>3.3664029843104008E-2</v>
      </c>
      <c r="G67" s="16">
        <v>383707003</v>
      </c>
      <c r="I67" s="17"/>
      <c r="R67" s="17"/>
    </row>
    <row r="68" spans="1:18" x14ac:dyDescent="0.2">
      <c r="A68" s="12" t="s">
        <v>64</v>
      </c>
      <c r="B68" s="13" t="str">
        <f>'Taxable Value All Property'!B68</f>
        <v>R-Prelim</v>
      </c>
      <c r="C68" s="14">
        <v>69588419777</v>
      </c>
      <c r="D68" s="15">
        <f t="shared" si="0"/>
        <v>5.7698462608677323E-2</v>
      </c>
      <c r="E68" s="14">
        <v>65792304931</v>
      </c>
      <c r="F68" s="15">
        <f t="shared" si="1"/>
        <v>8.0225173185554444E-2</v>
      </c>
      <c r="G68" s="16">
        <v>60906102324</v>
      </c>
      <c r="I68" s="17"/>
      <c r="R68" s="17"/>
    </row>
    <row r="69" spans="1:18" x14ac:dyDescent="0.2">
      <c r="A69" s="12" t="s">
        <v>65</v>
      </c>
      <c r="B69" s="13" t="str">
        <f>'Taxable Value All Property'!B69</f>
        <v>R-Prelim</v>
      </c>
      <c r="C69" s="14">
        <v>2651787922</v>
      </c>
      <c r="D69" s="15">
        <f t="shared" si="0"/>
        <v>4.9400766065336062E-2</v>
      </c>
      <c r="E69" s="14">
        <v>2526954437</v>
      </c>
      <c r="F69" s="15">
        <f t="shared" si="1"/>
        <v>0.1144578095581754</v>
      </c>
      <c r="G69" s="16">
        <v>2267429431</v>
      </c>
      <c r="I69" s="17"/>
      <c r="R69" s="17"/>
    </row>
    <row r="70" spans="1:18" x14ac:dyDescent="0.2">
      <c r="A70" s="12" t="s">
        <v>66</v>
      </c>
      <c r="B70" s="13" t="str">
        <f>'Taxable Value All Property'!B70</f>
        <v>R-Prelim</v>
      </c>
      <c r="C70" s="14">
        <v>49098663848</v>
      </c>
      <c r="D70" s="15">
        <f>((C70-E70)/E70)</f>
        <v>5.4577323182817931E-2</v>
      </c>
      <c r="E70" s="14">
        <v>46557670802</v>
      </c>
      <c r="F70" s="15">
        <f>((E70-G70)/G70)</f>
        <v>9.6409878320929204E-2</v>
      </c>
      <c r="G70" s="16">
        <v>42463746198</v>
      </c>
      <c r="I70" s="17"/>
      <c r="R70" s="17"/>
    </row>
    <row r="71" spans="1:18" x14ac:dyDescent="0.2">
      <c r="A71" s="12" t="s">
        <v>67</v>
      </c>
      <c r="B71" s="13" t="str">
        <f>'Taxable Value All Property'!B71</f>
        <v>R-Prelim</v>
      </c>
      <c r="C71" s="14">
        <v>1638995866</v>
      </c>
      <c r="D71" s="15">
        <f>((C71-E71)/E71)</f>
        <v>0.10115162778922571</v>
      </c>
      <c r="E71" s="14">
        <v>1488437945</v>
      </c>
      <c r="F71" s="15">
        <f>((E71-G71)/G71)</f>
        <v>0.10852812544784243</v>
      </c>
      <c r="G71" s="16">
        <v>1342715544</v>
      </c>
      <c r="I71" s="17"/>
      <c r="R71" s="17"/>
    </row>
    <row r="72" spans="1:18" x14ac:dyDescent="0.2">
      <c r="A72" s="18"/>
      <c r="B72" s="19"/>
      <c r="C72" s="14"/>
      <c r="D72" s="20"/>
      <c r="E72" s="14"/>
      <c r="F72" s="20"/>
      <c r="G72" s="16"/>
      <c r="R72" s="17"/>
    </row>
    <row r="73" spans="1:18" ht="15.75" thickBot="1" x14ac:dyDescent="0.3">
      <c r="A73" s="21" t="s">
        <v>68</v>
      </c>
      <c r="B73" s="22"/>
      <c r="C73" s="23">
        <f>SUM(C4:C71)</f>
        <v>3672580670613</v>
      </c>
      <c r="D73" s="24">
        <f>((C73-E73)/E73)</f>
        <v>6.048992873398381E-2</v>
      </c>
      <c r="E73" s="23">
        <f>SUM(E5:E71)</f>
        <v>3463098112584</v>
      </c>
      <c r="F73" s="24">
        <f>((E73-G73)/G73)</f>
        <v>7.8909700172796637E-2</v>
      </c>
      <c r="G73" s="25">
        <f>SUM(G5:G71)</f>
        <v>3209812750807</v>
      </c>
      <c r="R73" s="17"/>
    </row>
    <row r="74" spans="1:18" x14ac:dyDescent="0.2">
      <c r="R74" s="17"/>
    </row>
    <row r="75" spans="1:18" x14ac:dyDescent="0.2">
      <c r="A75" s="26" t="s">
        <v>90</v>
      </c>
      <c r="R75" s="17"/>
    </row>
    <row r="76" spans="1:18" x14ac:dyDescent="0.2">
      <c r="C76" s="17"/>
      <c r="E76" s="17"/>
      <c r="G76" s="17"/>
    </row>
  </sheetData>
  <phoneticPr fontId="1" type="noConversion"/>
  <conditionalFormatting sqref="A75">
    <cfRule type="expression" dxfId="8" priority="1" stopIfTrue="1">
      <formula>MOD(ROW(),5)=1</formula>
    </cfRule>
  </conditionalFormatting>
  <conditionalFormatting sqref="A4:G73">
    <cfRule type="expression" dxfId="7" priority="2" stopIfTrue="1">
      <formula>MOD(ROW(),3)=1</formula>
    </cfRule>
  </conditionalFormatting>
  <pageMargins left="0.7" right="0.7" top="0.5" bottom="0.5" header="0.05" footer="0.05"/>
  <pageSetup scale="77" orientation="portrait" r:id="rId1"/>
  <rowBreaks count="1" manualBreakCount="1">
    <brk id="37" max="6" man="1"/>
  </rowBreaks>
  <ignoredErrors>
    <ignoredError sqref="E7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76"/>
  <sheetViews>
    <sheetView zoomScaleNormal="100" zoomScaleSheetLayoutView="100" workbookViewId="0">
      <pane ySplit="4" topLeftCell="A5" activePane="bottomLeft" state="frozen"/>
      <selection sqref="A1:XFD1048576"/>
      <selection pane="bottomLeft" activeCell="G5" sqref="G5:G71"/>
    </sheetView>
  </sheetViews>
  <sheetFormatPr defaultRowHeight="14.25" x14ac:dyDescent="0.2"/>
  <cols>
    <col min="1" max="1" width="17.7109375" style="2" customWidth="1"/>
    <col min="2" max="2" width="9.28515625" style="11" bestFit="1" customWidth="1"/>
    <col min="3" max="3" width="18.7109375" style="2" customWidth="1"/>
    <col min="4" max="4" width="16.42578125" style="11" bestFit="1" customWidth="1"/>
    <col min="5" max="5" width="18.7109375" style="2" customWidth="1"/>
    <col min="6" max="6" width="16.42578125" style="11" bestFit="1" customWidth="1"/>
    <col min="7" max="7" width="18.7109375" style="2" customWidth="1"/>
    <col min="8" max="9" width="9.140625" style="2"/>
    <col min="10" max="10" width="14.140625" style="2" bestFit="1" customWidth="1"/>
    <col min="11" max="16384" width="9.140625" style="2"/>
  </cols>
  <sheetData>
    <row r="1" spans="1:18" ht="23.25" x14ac:dyDescent="0.35">
      <c r="A1" s="7" t="s">
        <v>71</v>
      </c>
      <c r="B1" s="8"/>
      <c r="C1" s="9"/>
      <c r="D1" s="8"/>
      <c r="E1" s="9"/>
      <c r="F1" s="8"/>
      <c r="G1" s="9"/>
    </row>
    <row r="2" spans="1:18" ht="15" x14ac:dyDescent="0.25">
      <c r="A2" s="10" t="s">
        <v>91</v>
      </c>
      <c r="B2" s="10"/>
      <c r="C2" s="10"/>
      <c r="D2" s="10"/>
      <c r="E2" s="10"/>
      <c r="F2" s="10"/>
      <c r="G2" s="10"/>
    </row>
    <row r="3" spans="1:18" s="39" customFormat="1" ht="15" thickBot="1" x14ac:dyDescent="0.25">
      <c r="B3" s="40"/>
      <c r="D3" s="40"/>
      <c r="F3" s="40"/>
    </row>
    <row r="4" spans="1:18" s="36" customFormat="1" ht="25.5" x14ac:dyDescent="0.2">
      <c r="A4" s="33" t="s">
        <v>0</v>
      </c>
      <c r="B4" s="34" t="s">
        <v>1</v>
      </c>
      <c r="C4" s="37" t="s">
        <v>92</v>
      </c>
      <c r="D4" s="37" t="s">
        <v>93</v>
      </c>
      <c r="E4" s="37" t="s">
        <v>83</v>
      </c>
      <c r="F4" s="37" t="s">
        <v>84</v>
      </c>
      <c r="G4" s="38" t="s">
        <v>82</v>
      </c>
    </row>
    <row r="5" spans="1:18" x14ac:dyDescent="0.2">
      <c r="A5" s="12" t="s">
        <v>4</v>
      </c>
      <c r="B5" s="13" t="str">
        <f>'Taxable Value All Property'!B5</f>
        <v>R-Prelim</v>
      </c>
      <c r="C5" s="14">
        <v>24984937848</v>
      </c>
      <c r="D5" s="15">
        <f>((C5-E5)/E5)</f>
        <v>7.5020648569096002E-2</v>
      </c>
      <c r="E5" s="14">
        <v>23241356230</v>
      </c>
      <c r="F5" s="15">
        <f>((E5-G5)/G5)</f>
        <v>7.9194660492789976E-2</v>
      </c>
      <c r="G5" s="16">
        <v>21535833229</v>
      </c>
    </row>
    <row r="6" spans="1:18" x14ac:dyDescent="0.2">
      <c r="A6" s="12" t="s">
        <v>5</v>
      </c>
      <c r="B6" s="13" t="str">
        <f>'Taxable Value All Property'!B6</f>
        <v>R-Prelim</v>
      </c>
      <c r="C6" s="14">
        <v>1491396246</v>
      </c>
      <c r="D6" s="15">
        <f t="shared" ref="D6:D69" si="0">((C6-E6)/E6)</f>
        <v>6.6115701203253635E-2</v>
      </c>
      <c r="E6" s="14">
        <v>1398906558</v>
      </c>
      <c r="F6" s="15">
        <f t="shared" ref="F6:F69" si="1">((E6-G6)/G6)</f>
        <v>7.3456898209566537E-2</v>
      </c>
      <c r="G6" s="16">
        <v>1303179066</v>
      </c>
    </row>
    <row r="7" spans="1:18" x14ac:dyDescent="0.2">
      <c r="A7" s="12" t="s">
        <v>6</v>
      </c>
      <c r="B7" s="13" t="str">
        <f>'Taxable Value All Property'!B7</f>
        <v>R-Prelim</v>
      </c>
      <c r="C7" s="14">
        <v>31583267225</v>
      </c>
      <c r="D7" s="15">
        <f t="shared" si="0"/>
        <v>6.005985421736848E-2</v>
      </c>
      <c r="E7" s="14">
        <v>29793852771</v>
      </c>
      <c r="F7" s="15">
        <f t="shared" si="1"/>
        <v>8.1899502891440781E-2</v>
      </c>
      <c r="G7" s="16">
        <v>27538466088</v>
      </c>
      <c r="R7" s="17"/>
    </row>
    <row r="8" spans="1:18" x14ac:dyDescent="0.2">
      <c r="A8" s="12" t="s">
        <v>7</v>
      </c>
      <c r="B8" s="13" t="str">
        <f>'Taxable Value All Property'!B8</f>
        <v>R-Prelim</v>
      </c>
      <c r="C8" s="14">
        <v>1302370466</v>
      </c>
      <c r="D8" s="15">
        <f t="shared" si="0"/>
        <v>7.8118417520377861E-2</v>
      </c>
      <c r="E8" s="14">
        <v>1208003170</v>
      </c>
      <c r="F8" s="15">
        <f t="shared" si="1"/>
        <v>0.10281976525290358</v>
      </c>
      <c r="G8" s="16">
        <v>1095376786</v>
      </c>
      <c r="R8" s="17"/>
    </row>
    <row r="9" spans="1:18" x14ac:dyDescent="0.2">
      <c r="A9" s="12" t="s">
        <v>8</v>
      </c>
      <c r="B9" s="13" t="str">
        <f>'Taxable Value All Property'!B9</f>
        <v>R-Prelim</v>
      </c>
      <c r="C9" s="14">
        <v>70796922004</v>
      </c>
      <c r="D9" s="15">
        <f t="shared" si="0"/>
        <v>5.1454914675675804E-2</v>
      </c>
      <c r="E9" s="14">
        <v>67332342087</v>
      </c>
      <c r="F9" s="15">
        <f t="shared" si="1"/>
        <v>7.5475175657428992E-2</v>
      </c>
      <c r="G9" s="16">
        <v>62607063009</v>
      </c>
      <c r="R9" s="17"/>
    </row>
    <row r="10" spans="1:18" x14ac:dyDescent="0.2">
      <c r="A10" s="12" t="s">
        <v>9</v>
      </c>
      <c r="B10" s="13" t="str">
        <f>'Taxable Value All Property'!B10</f>
        <v>R-Prelim</v>
      </c>
      <c r="C10" s="14">
        <v>323498636835</v>
      </c>
      <c r="D10" s="15">
        <f t="shared" si="0"/>
        <v>5.534695553242578E-2</v>
      </c>
      <c r="E10" s="14">
        <v>306532970166</v>
      </c>
      <c r="F10" s="15">
        <f t="shared" si="1"/>
        <v>8.186097281916456E-2</v>
      </c>
      <c r="G10" s="16">
        <v>283338596980</v>
      </c>
      <c r="R10" s="17"/>
    </row>
    <row r="11" spans="1:18" x14ac:dyDescent="0.2">
      <c r="A11" s="12" t="s">
        <v>10</v>
      </c>
      <c r="B11" s="13" t="str">
        <f>'Taxable Value All Property'!B11</f>
        <v>R-Prelim</v>
      </c>
      <c r="C11" s="14">
        <v>496294844</v>
      </c>
      <c r="D11" s="15">
        <f t="shared" si="0"/>
        <v>6.5249984658566657E-2</v>
      </c>
      <c r="E11" s="14">
        <v>465895190</v>
      </c>
      <c r="F11" s="15">
        <f t="shared" si="1"/>
        <v>4.164212052694212E-2</v>
      </c>
      <c r="G11" s="16">
        <v>447269922</v>
      </c>
      <c r="R11" s="17"/>
    </row>
    <row r="12" spans="1:18" x14ac:dyDescent="0.2">
      <c r="A12" s="12" t="s">
        <v>11</v>
      </c>
      <c r="B12" s="13" t="str">
        <f>'Taxable Value All Property'!B12</f>
        <v>R-Prelim</v>
      </c>
      <c r="C12" s="14">
        <v>33527499865</v>
      </c>
      <c r="D12" s="15">
        <f t="shared" si="0"/>
        <v>2.0922743966520597E-2</v>
      </c>
      <c r="E12" s="14">
        <v>32840388818</v>
      </c>
      <c r="F12" s="15">
        <f t="shared" si="1"/>
        <v>7.7647716299295177E-2</v>
      </c>
      <c r="G12" s="16">
        <v>30474141337</v>
      </c>
      <c r="R12" s="17"/>
    </row>
    <row r="13" spans="1:18" x14ac:dyDescent="0.2">
      <c r="A13" s="12" t="s">
        <v>12</v>
      </c>
      <c r="B13" s="13" t="str">
        <f>'Taxable Value All Property'!B13</f>
        <v>R-Prelim</v>
      </c>
      <c r="C13" s="14">
        <v>14991997132</v>
      </c>
      <c r="D13" s="15">
        <f t="shared" si="0"/>
        <v>7.3741835812380696E-2</v>
      </c>
      <c r="E13" s="14">
        <v>13962385214</v>
      </c>
      <c r="F13" s="15">
        <f t="shared" si="1"/>
        <v>7.9150845449670007E-2</v>
      </c>
      <c r="G13" s="16">
        <v>12938307256</v>
      </c>
      <c r="R13" s="17"/>
    </row>
    <row r="14" spans="1:18" x14ac:dyDescent="0.2">
      <c r="A14" s="12" t="s">
        <v>13</v>
      </c>
      <c r="B14" s="13" t="str">
        <f>'Taxable Value All Property'!B14</f>
        <v>R-Prelim</v>
      </c>
      <c r="C14" s="14">
        <v>19439425064</v>
      </c>
      <c r="D14" s="15">
        <f t="shared" si="0"/>
        <v>5.534498411115555E-2</v>
      </c>
      <c r="E14" s="14">
        <v>18419972006</v>
      </c>
      <c r="F14" s="15">
        <f t="shared" si="1"/>
        <v>8.5372152514347086E-2</v>
      </c>
      <c r="G14" s="16">
        <v>16971111672</v>
      </c>
      <c r="R14" s="17"/>
    </row>
    <row r="15" spans="1:18" x14ac:dyDescent="0.2">
      <c r="A15" s="12" t="s">
        <v>14</v>
      </c>
      <c r="B15" s="13" t="str">
        <f>'Taxable Value All Property'!B15</f>
        <v>R-Prelim</v>
      </c>
      <c r="C15" s="14">
        <v>166850916726</v>
      </c>
      <c r="D15" s="15">
        <f t="shared" si="0"/>
        <v>3.3541895765919795E-2</v>
      </c>
      <c r="E15" s="14">
        <v>161436045708</v>
      </c>
      <c r="F15" s="15">
        <f t="shared" si="1"/>
        <v>8.2767867159071737E-2</v>
      </c>
      <c r="G15" s="16">
        <v>149095711652</v>
      </c>
      <c r="R15" s="17"/>
    </row>
    <row r="16" spans="1:18" x14ac:dyDescent="0.2">
      <c r="A16" s="12" t="s">
        <v>15</v>
      </c>
      <c r="B16" s="13" t="str">
        <f>'Taxable Value All Property'!B16</f>
        <v>R-Prelim</v>
      </c>
      <c r="C16" s="14">
        <v>4126193239</v>
      </c>
      <c r="D16" s="15">
        <f t="shared" si="0"/>
        <v>7.6769054549667926E-2</v>
      </c>
      <c r="E16" s="14">
        <v>3832013208</v>
      </c>
      <c r="F16" s="15">
        <f t="shared" si="1"/>
        <v>7.8136304961903061E-2</v>
      </c>
      <c r="G16" s="16">
        <v>3554293822</v>
      </c>
      <c r="R16" s="17"/>
    </row>
    <row r="17" spans="1:18" x14ac:dyDescent="0.2">
      <c r="A17" s="12" t="s">
        <v>78</v>
      </c>
      <c r="B17" s="13" t="str">
        <f>'Taxable Value All Property'!B17</f>
        <v>R-Prelim</v>
      </c>
      <c r="C17" s="14">
        <v>517315619073</v>
      </c>
      <c r="D17" s="15">
        <f t="shared" si="0"/>
        <v>7.2664972768862537E-2</v>
      </c>
      <c r="E17" s="14">
        <v>482271382217</v>
      </c>
      <c r="F17" s="15">
        <f t="shared" si="1"/>
        <v>8.0730399165465955E-2</v>
      </c>
      <c r="G17" s="16">
        <v>446245782102</v>
      </c>
      <c r="R17" s="17"/>
    </row>
    <row r="18" spans="1:18" x14ac:dyDescent="0.2">
      <c r="A18" s="12" t="s">
        <v>16</v>
      </c>
      <c r="B18" s="13" t="str">
        <f>'Taxable Value All Property'!B18</f>
        <v>R-Prelim</v>
      </c>
      <c r="C18" s="14">
        <v>2229068600</v>
      </c>
      <c r="D18" s="15">
        <f t="shared" si="0"/>
        <v>5.2366739853397126E-2</v>
      </c>
      <c r="E18" s="14">
        <v>2118148090</v>
      </c>
      <c r="F18" s="15">
        <f t="shared" si="1"/>
        <v>8.6543929652924956E-2</v>
      </c>
      <c r="G18" s="16">
        <v>1949436219</v>
      </c>
      <c r="R18" s="17"/>
    </row>
    <row r="19" spans="1:18" x14ac:dyDescent="0.2">
      <c r="A19" s="12" t="s">
        <v>17</v>
      </c>
      <c r="B19" s="13" t="str">
        <f>'Taxable Value All Property'!B19</f>
        <v>R-Prelim</v>
      </c>
      <c r="C19" s="14">
        <v>758677117</v>
      </c>
      <c r="D19" s="15">
        <f t="shared" si="0"/>
        <v>6.2488196320197323E-2</v>
      </c>
      <c r="E19" s="14">
        <v>714056984</v>
      </c>
      <c r="F19" s="15">
        <f t="shared" si="1"/>
        <v>3.6680278639453522E-2</v>
      </c>
      <c r="G19" s="16">
        <v>688791905</v>
      </c>
      <c r="R19" s="17"/>
    </row>
    <row r="20" spans="1:18" x14ac:dyDescent="0.2">
      <c r="A20" s="12" t="s">
        <v>18</v>
      </c>
      <c r="B20" s="13" t="str">
        <f>'Taxable Value All Property'!B20</f>
        <v>R-Prelim</v>
      </c>
      <c r="C20" s="14">
        <v>114573427448</v>
      </c>
      <c r="D20" s="15">
        <f t="shared" si="0"/>
        <v>6.6483972202144692E-2</v>
      </c>
      <c r="E20" s="14">
        <v>107430988589</v>
      </c>
      <c r="F20" s="15">
        <f t="shared" si="1"/>
        <v>7.8234371068984648E-2</v>
      </c>
      <c r="G20" s="16">
        <v>99636026704</v>
      </c>
      <c r="R20" s="17"/>
    </row>
    <row r="21" spans="1:18" x14ac:dyDescent="0.2">
      <c r="A21" s="12" t="s">
        <v>19</v>
      </c>
      <c r="B21" s="13" t="str">
        <f>'Taxable Value All Property'!B21</f>
        <v>R-Prelim</v>
      </c>
      <c r="C21" s="14">
        <v>30333583327</v>
      </c>
      <c r="D21" s="15">
        <f t="shared" si="0"/>
        <v>5.1671662751267146E-2</v>
      </c>
      <c r="E21" s="14">
        <v>28843206869</v>
      </c>
      <c r="F21" s="15">
        <f t="shared" si="1"/>
        <v>7.9499486659626958E-2</v>
      </c>
      <c r="G21" s="16">
        <v>26719055660</v>
      </c>
      <c r="R21" s="17"/>
    </row>
    <row r="22" spans="1:18" x14ac:dyDescent="0.2">
      <c r="A22" s="12" t="s">
        <v>20</v>
      </c>
      <c r="B22" s="13" t="str">
        <f>'Taxable Value All Property'!B22</f>
        <v>R-Prelim</v>
      </c>
      <c r="C22" s="14">
        <v>18134585556</v>
      </c>
      <c r="D22" s="15">
        <f t="shared" si="0"/>
        <v>4.0783684850437277E-2</v>
      </c>
      <c r="E22" s="14">
        <v>17423971782</v>
      </c>
      <c r="F22" s="15">
        <f t="shared" si="1"/>
        <v>9.9047080112509664E-2</v>
      </c>
      <c r="G22" s="16">
        <v>15853708269</v>
      </c>
      <c r="R22" s="17"/>
    </row>
    <row r="23" spans="1:18" x14ac:dyDescent="0.2">
      <c r="A23" s="12" t="s">
        <v>21</v>
      </c>
      <c r="B23" s="13" t="str">
        <f>'Taxable Value All Property'!B23</f>
        <v>R-Prelim</v>
      </c>
      <c r="C23" s="14">
        <v>3968007954</v>
      </c>
      <c r="D23" s="15">
        <f t="shared" si="0"/>
        <v>7.331060551468957E-2</v>
      </c>
      <c r="E23" s="14">
        <v>3696980104</v>
      </c>
      <c r="F23" s="15">
        <f t="shared" si="1"/>
        <v>8.9158587584858673E-2</v>
      </c>
      <c r="G23" s="16">
        <v>3394345090</v>
      </c>
      <c r="R23" s="17"/>
    </row>
    <row r="24" spans="1:18" x14ac:dyDescent="0.2">
      <c r="A24" s="12" t="s">
        <v>22</v>
      </c>
      <c r="B24" s="13" t="str">
        <f>'Taxable Value All Property'!B24</f>
        <v>R-Prelim</v>
      </c>
      <c r="C24" s="14">
        <v>1962839965</v>
      </c>
      <c r="D24" s="15">
        <f t="shared" si="0"/>
        <v>4.7709697694043193E-2</v>
      </c>
      <c r="E24" s="14">
        <v>1873457857</v>
      </c>
      <c r="F24" s="15">
        <f t="shared" si="1"/>
        <v>8.2044587507568004E-2</v>
      </c>
      <c r="G24" s="16">
        <v>1731405414</v>
      </c>
      <c r="R24" s="17"/>
    </row>
    <row r="25" spans="1:18" x14ac:dyDescent="0.2">
      <c r="A25" s="12" t="s">
        <v>23</v>
      </c>
      <c r="B25" s="13" t="str">
        <f>'Taxable Value All Property'!B25</f>
        <v>R-Prelim</v>
      </c>
      <c r="C25" s="14">
        <v>1095768409</v>
      </c>
      <c r="D25" s="15">
        <f t="shared" si="0"/>
        <v>7.8798836417622933E-2</v>
      </c>
      <c r="E25" s="14">
        <v>1015730062</v>
      </c>
      <c r="F25" s="15">
        <f t="shared" si="1"/>
        <v>0.11886443210258195</v>
      </c>
      <c r="G25" s="16">
        <v>907822282</v>
      </c>
      <c r="R25" s="17"/>
    </row>
    <row r="26" spans="1:18" x14ac:dyDescent="0.2">
      <c r="A26" s="12" t="s">
        <v>24</v>
      </c>
      <c r="B26" s="13" t="str">
        <f>'Taxable Value All Property'!B26</f>
        <v>R-Prelim</v>
      </c>
      <c r="C26" s="14">
        <v>1021409287</v>
      </c>
      <c r="D26" s="15">
        <f t="shared" si="0"/>
        <v>6.9408846477663919E-2</v>
      </c>
      <c r="E26" s="14">
        <v>955115801</v>
      </c>
      <c r="F26" s="15">
        <f t="shared" si="1"/>
        <v>8.1757519434203813E-2</v>
      </c>
      <c r="G26" s="16">
        <v>882929662</v>
      </c>
      <c r="R26" s="17"/>
    </row>
    <row r="27" spans="1:18" x14ac:dyDescent="0.2">
      <c r="A27" s="12" t="s">
        <v>25</v>
      </c>
      <c r="B27" s="13" t="str">
        <f>'Taxable Value All Property'!B27</f>
        <v>R-Prelim</v>
      </c>
      <c r="C27" s="14">
        <v>4155495260</v>
      </c>
      <c r="D27" s="15">
        <f t="shared" si="0"/>
        <v>9.0099232144032884E-2</v>
      </c>
      <c r="E27" s="14">
        <v>3812033930</v>
      </c>
      <c r="F27" s="15">
        <f t="shared" si="1"/>
        <v>0.11138490398831564</v>
      </c>
      <c r="G27" s="16">
        <v>3429985342</v>
      </c>
      <c r="R27" s="17"/>
    </row>
    <row r="28" spans="1:18" x14ac:dyDescent="0.2">
      <c r="A28" s="12" t="s">
        <v>26</v>
      </c>
      <c r="B28" s="13" t="str">
        <f>'Taxable Value All Property'!B28</f>
        <v>R-Prelim</v>
      </c>
      <c r="C28" s="14">
        <v>657923871</v>
      </c>
      <c r="D28" s="15">
        <f t="shared" si="0"/>
        <v>6.4835164520362018E-2</v>
      </c>
      <c r="E28" s="14">
        <v>617864523</v>
      </c>
      <c r="F28" s="15">
        <f t="shared" si="1"/>
        <v>8.2543819256614054E-2</v>
      </c>
      <c r="G28" s="16">
        <v>570752437</v>
      </c>
      <c r="R28" s="17"/>
    </row>
    <row r="29" spans="1:18" x14ac:dyDescent="0.2">
      <c r="A29" s="12" t="s">
        <v>27</v>
      </c>
      <c r="B29" s="13" t="str">
        <f>'Taxable Value All Property'!B29</f>
        <v>R-Prelim</v>
      </c>
      <c r="C29" s="14">
        <v>1873005658</v>
      </c>
      <c r="D29" s="15">
        <f t="shared" si="0"/>
        <v>8.873149594007991E-2</v>
      </c>
      <c r="E29" s="14">
        <v>1720355905</v>
      </c>
      <c r="F29" s="15">
        <f t="shared" si="1"/>
        <v>0.10554226049005083</v>
      </c>
      <c r="G29" s="16">
        <v>1556119532</v>
      </c>
      <c r="R29" s="17"/>
    </row>
    <row r="30" spans="1:18" x14ac:dyDescent="0.2">
      <c r="A30" s="12" t="s">
        <v>28</v>
      </c>
      <c r="B30" s="13" t="str">
        <f>'Taxable Value All Property'!B30</f>
        <v>R-Prelim</v>
      </c>
      <c r="C30" s="14">
        <v>3550889482</v>
      </c>
      <c r="D30" s="15">
        <f t="shared" si="0"/>
        <v>9.5343091204782737E-2</v>
      </c>
      <c r="E30" s="14">
        <v>3241805705</v>
      </c>
      <c r="F30" s="15">
        <f t="shared" si="1"/>
        <v>0.11331854240727335</v>
      </c>
      <c r="G30" s="16">
        <v>2911840216</v>
      </c>
      <c r="R30" s="17"/>
    </row>
    <row r="31" spans="1:18" x14ac:dyDescent="0.2">
      <c r="A31" s="12" t="s">
        <v>29</v>
      </c>
      <c r="B31" s="13" t="str">
        <f>'Taxable Value All Property'!B31</f>
        <v>R-Prelim</v>
      </c>
      <c r="C31" s="14">
        <v>17572471350</v>
      </c>
      <c r="D31" s="15">
        <f t="shared" si="0"/>
        <v>5.9427854962770948E-2</v>
      </c>
      <c r="E31" s="14">
        <v>16586756019</v>
      </c>
      <c r="F31" s="15">
        <f t="shared" si="1"/>
        <v>0.10298985878758071</v>
      </c>
      <c r="G31" s="16">
        <v>15037995034</v>
      </c>
      <c r="R31" s="17"/>
    </row>
    <row r="32" spans="1:18" x14ac:dyDescent="0.2">
      <c r="A32" s="12" t="s">
        <v>30</v>
      </c>
      <c r="B32" s="13" t="str">
        <f>'Taxable Value All Property'!B32</f>
        <v>R-Prelim</v>
      </c>
      <c r="C32" s="14">
        <v>8511143297</v>
      </c>
      <c r="D32" s="15">
        <f t="shared" si="0"/>
        <v>7.3267862768138833E-2</v>
      </c>
      <c r="E32" s="14">
        <v>7930120329</v>
      </c>
      <c r="F32" s="15">
        <f t="shared" si="1"/>
        <v>9.3412433651476945E-2</v>
      </c>
      <c r="G32" s="16">
        <v>7252634125</v>
      </c>
      <c r="R32" s="17"/>
    </row>
    <row r="33" spans="1:18" x14ac:dyDescent="0.2">
      <c r="A33" s="12" t="s">
        <v>31</v>
      </c>
      <c r="B33" s="13" t="str">
        <f>'Taxable Value All Property'!B33</f>
        <v>R-Prelim</v>
      </c>
      <c r="C33" s="14">
        <v>174872419451</v>
      </c>
      <c r="D33" s="15">
        <f t="shared" si="0"/>
        <v>5.1954889519059182E-2</v>
      </c>
      <c r="E33" s="14">
        <v>166235663899</v>
      </c>
      <c r="F33" s="15">
        <f t="shared" si="1"/>
        <v>6.5305886013868997E-2</v>
      </c>
      <c r="G33" s="16">
        <v>156045006492</v>
      </c>
      <c r="R33" s="17"/>
    </row>
    <row r="34" spans="1:18" x14ac:dyDescent="0.2">
      <c r="A34" s="12" t="s">
        <v>32</v>
      </c>
      <c r="B34" s="13" t="str">
        <f>'Taxable Value All Property'!B34</f>
        <v>R-Prelim</v>
      </c>
      <c r="C34" s="14">
        <v>652914924</v>
      </c>
      <c r="D34" s="15">
        <f t="shared" si="0"/>
        <v>0.10353212072883317</v>
      </c>
      <c r="E34" s="14">
        <v>591659193</v>
      </c>
      <c r="F34" s="15">
        <f t="shared" si="1"/>
        <v>0.12464766323668366</v>
      </c>
      <c r="G34" s="16">
        <v>526084046</v>
      </c>
      <c r="R34" s="17"/>
    </row>
    <row r="35" spans="1:18" x14ac:dyDescent="0.2">
      <c r="A35" s="12" t="s">
        <v>33</v>
      </c>
      <c r="B35" s="13" t="str">
        <f>'Taxable Value All Property'!B35</f>
        <v>R-Prelim</v>
      </c>
      <c r="C35" s="14">
        <v>32365991932</v>
      </c>
      <c r="D35" s="15">
        <f t="shared" si="0"/>
        <v>6.5948818003085413E-2</v>
      </c>
      <c r="E35" s="14">
        <v>30363551594</v>
      </c>
      <c r="F35" s="15">
        <f t="shared" si="1"/>
        <v>8.4125594072135879E-2</v>
      </c>
      <c r="G35" s="16">
        <v>28007411466</v>
      </c>
      <c r="R35" s="17"/>
    </row>
    <row r="36" spans="1:18" x14ac:dyDescent="0.2">
      <c r="A36" s="12" t="s">
        <v>34</v>
      </c>
      <c r="B36" s="13" t="str">
        <f>'Taxable Value All Property'!B36</f>
        <v>R-Prelim</v>
      </c>
      <c r="C36" s="14">
        <v>2001338181</v>
      </c>
      <c r="D36" s="15">
        <f t="shared" si="0"/>
        <v>6.2101231794641006E-2</v>
      </c>
      <c r="E36" s="14">
        <v>1884319612</v>
      </c>
      <c r="F36" s="15">
        <f t="shared" si="1"/>
        <v>4.9562841546490662E-2</v>
      </c>
      <c r="G36" s="16">
        <v>1795337580</v>
      </c>
      <c r="R36" s="17"/>
    </row>
    <row r="37" spans="1:18" x14ac:dyDescent="0.2">
      <c r="A37" s="12" t="s">
        <v>35</v>
      </c>
      <c r="B37" s="13" t="str">
        <f>'Taxable Value All Property'!B37</f>
        <v>R-Prelim</v>
      </c>
      <c r="C37" s="14">
        <v>973410213</v>
      </c>
      <c r="D37" s="15">
        <f t="shared" si="0"/>
        <v>6.7786718279984989E-2</v>
      </c>
      <c r="E37" s="14">
        <v>911614835</v>
      </c>
      <c r="F37" s="15">
        <f t="shared" si="1"/>
        <v>7.0470238779543434E-2</v>
      </c>
      <c r="G37" s="16">
        <v>851602223</v>
      </c>
      <c r="R37" s="17"/>
    </row>
    <row r="38" spans="1:18" x14ac:dyDescent="0.2">
      <c r="A38" s="12" t="s">
        <v>36</v>
      </c>
      <c r="B38" s="13" t="str">
        <f>'Taxable Value All Property'!B38</f>
        <v>R-Prelim</v>
      </c>
      <c r="C38" s="14">
        <v>339227082</v>
      </c>
      <c r="D38" s="15">
        <f t="shared" si="0"/>
        <v>5.9871282472935959E-2</v>
      </c>
      <c r="E38" s="14">
        <v>320064415</v>
      </c>
      <c r="F38" s="15">
        <f t="shared" si="1"/>
        <v>6.656027758576151E-2</v>
      </c>
      <c r="G38" s="16">
        <v>300090320</v>
      </c>
      <c r="R38" s="17"/>
    </row>
    <row r="39" spans="1:18" x14ac:dyDescent="0.2">
      <c r="A39" s="12" t="s">
        <v>37</v>
      </c>
      <c r="B39" s="13" t="str">
        <f>'Taxable Value All Property'!B39</f>
        <v>R-Prelim</v>
      </c>
      <c r="C39" s="14">
        <v>46176093611</v>
      </c>
      <c r="D39" s="15">
        <f t="shared" si="0"/>
        <v>8.4421161080767762E-2</v>
      </c>
      <c r="E39" s="14">
        <v>42581328425</v>
      </c>
      <c r="F39" s="15">
        <f t="shared" si="1"/>
        <v>0.11431364411614758</v>
      </c>
      <c r="G39" s="16">
        <v>38213054870</v>
      </c>
      <c r="R39" s="17"/>
    </row>
    <row r="40" spans="1:18" x14ac:dyDescent="0.2">
      <c r="A40" s="12" t="s">
        <v>38</v>
      </c>
      <c r="B40" s="13" t="str">
        <f>'Taxable Value All Property'!B40</f>
        <v>R-Prelim</v>
      </c>
      <c r="C40" s="14">
        <v>149219122905</v>
      </c>
      <c r="D40" s="15">
        <f t="shared" si="0"/>
        <v>4.456536998155728E-2</v>
      </c>
      <c r="E40" s="14">
        <v>142852833526</v>
      </c>
      <c r="F40" s="15">
        <f t="shared" si="1"/>
        <v>8.325912717133381E-2</v>
      </c>
      <c r="G40" s="16">
        <v>131873187073</v>
      </c>
      <c r="R40" s="17"/>
    </row>
    <row r="41" spans="1:18" x14ac:dyDescent="0.2">
      <c r="A41" s="12" t="s">
        <v>39</v>
      </c>
      <c r="B41" s="13" t="str">
        <f>'Taxable Value All Property'!B41</f>
        <v>R-Prelim</v>
      </c>
      <c r="C41" s="14">
        <v>27214712780</v>
      </c>
      <c r="D41" s="15">
        <f t="shared" si="0"/>
        <v>5.9993075954781164E-2</v>
      </c>
      <c r="E41" s="14">
        <v>25674425048</v>
      </c>
      <c r="F41" s="15">
        <f t="shared" si="1"/>
        <v>7.9993499226539644E-2</v>
      </c>
      <c r="G41" s="16">
        <v>23772758879</v>
      </c>
      <c r="R41" s="17"/>
    </row>
    <row r="42" spans="1:18" x14ac:dyDescent="0.2">
      <c r="A42" s="12" t="s">
        <v>40</v>
      </c>
      <c r="B42" s="13" t="str">
        <f>'Taxable Value All Property'!B42</f>
        <v>R-Prelim</v>
      </c>
      <c r="C42" s="14">
        <v>3118318252</v>
      </c>
      <c r="D42" s="15">
        <f t="shared" si="0"/>
        <v>8.1267864981453442E-2</v>
      </c>
      <c r="E42" s="14">
        <v>2883946109</v>
      </c>
      <c r="F42" s="15">
        <f t="shared" si="1"/>
        <v>7.5553883837773478E-2</v>
      </c>
      <c r="G42" s="16">
        <v>2681359021</v>
      </c>
      <c r="R42" s="17"/>
    </row>
    <row r="43" spans="1:18" x14ac:dyDescent="0.2">
      <c r="A43" s="12" t="s">
        <v>41</v>
      </c>
      <c r="B43" s="13" t="str">
        <f>'Taxable Value All Property'!B43</f>
        <v>R-Prelim</v>
      </c>
      <c r="C43" s="14">
        <v>232171583</v>
      </c>
      <c r="D43" s="15">
        <f t="shared" si="0"/>
        <v>6.5672779006786891E-2</v>
      </c>
      <c r="E43" s="14">
        <v>217863858</v>
      </c>
      <c r="F43" s="15">
        <f t="shared" si="1"/>
        <v>4.3249636434945546E-2</v>
      </c>
      <c r="G43" s="16">
        <v>208831952</v>
      </c>
      <c r="R43" s="17"/>
    </row>
    <row r="44" spans="1:18" x14ac:dyDescent="0.2">
      <c r="A44" s="12" t="s">
        <v>42</v>
      </c>
      <c r="B44" s="13" t="str">
        <f>'Taxable Value All Property'!B44</f>
        <v>R-Prelim</v>
      </c>
      <c r="C44" s="14">
        <v>984607021</v>
      </c>
      <c r="D44" s="15">
        <f t="shared" si="0"/>
        <v>8.2647601481715502E-2</v>
      </c>
      <c r="E44" s="14">
        <v>909443682</v>
      </c>
      <c r="F44" s="15">
        <f t="shared" si="1"/>
        <v>7.0184592279760746E-2</v>
      </c>
      <c r="G44" s="16">
        <v>849800762</v>
      </c>
      <c r="R44" s="17"/>
    </row>
    <row r="45" spans="1:18" x14ac:dyDescent="0.2">
      <c r="A45" s="12" t="s">
        <v>43</v>
      </c>
      <c r="B45" s="13" t="str">
        <f>'Taxable Value All Property'!B45</f>
        <v>R-Prelim</v>
      </c>
      <c r="C45" s="14">
        <v>75491450961</v>
      </c>
      <c r="D45" s="15">
        <f t="shared" si="0"/>
        <v>8.2729250041622501E-2</v>
      </c>
      <c r="E45" s="14">
        <v>69723295051</v>
      </c>
      <c r="F45" s="15">
        <f t="shared" si="1"/>
        <v>6.3059559442215252E-2</v>
      </c>
      <c r="G45" s="16">
        <v>65587383540</v>
      </c>
      <c r="R45" s="17"/>
    </row>
    <row r="46" spans="1:18" x14ac:dyDescent="0.2">
      <c r="A46" s="12" t="s">
        <v>44</v>
      </c>
      <c r="B46" s="13" t="str">
        <f>'Taxable Value All Property'!B46</f>
        <v>R-Prelim</v>
      </c>
      <c r="C46" s="14">
        <v>38761170005</v>
      </c>
      <c r="D46" s="15">
        <f t="shared" si="0"/>
        <v>0.10394860139589045</v>
      </c>
      <c r="E46" s="14">
        <v>35111390110</v>
      </c>
      <c r="F46" s="15">
        <f t="shared" si="1"/>
        <v>0.12206739233659465</v>
      </c>
      <c r="G46" s="16">
        <v>31291694554</v>
      </c>
      <c r="R46" s="17"/>
    </row>
    <row r="47" spans="1:18" x14ac:dyDescent="0.2">
      <c r="A47" s="12" t="s">
        <v>45</v>
      </c>
      <c r="B47" s="13" t="str">
        <f>'Taxable Value All Property'!B47</f>
        <v>R-Prelim</v>
      </c>
      <c r="C47" s="14">
        <v>38083174155</v>
      </c>
      <c r="D47" s="15">
        <f t="shared" si="0"/>
        <v>7.1137019001829366E-2</v>
      </c>
      <c r="E47" s="14">
        <v>35553970668</v>
      </c>
      <c r="F47" s="15">
        <f t="shared" si="1"/>
        <v>0.13938593930507534</v>
      </c>
      <c r="G47" s="16">
        <v>31204501865</v>
      </c>
      <c r="R47" s="17"/>
    </row>
    <row r="48" spans="1:18" x14ac:dyDescent="0.2">
      <c r="A48" s="12" t="s">
        <v>46</v>
      </c>
      <c r="B48" s="13" t="str">
        <f>'Taxable Value All Property'!B48</f>
        <v>R-Prelim</v>
      </c>
      <c r="C48" s="14">
        <v>52309415553</v>
      </c>
      <c r="D48" s="15">
        <f t="shared" si="0"/>
        <v>6.6439152624438294E-2</v>
      </c>
      <c r="E48" s="14">
        <v>49050539287</v>
      </c>
      <c r="F48" s="15">
        <f t="shared" si="1"/>
        <v>8.558146791310893E-2</v>
      </c>
      <c r="G48" s="16">
        <v>45183655706</v>
      </c>
      <c r="R48" s="17"/>
    </row>
    <row r="49" spans="1:18" x14ac:dyDescent="0.2">
      <c r="A49" s="12" t="s">
        <v>47</v>
      </c>
      <c r="B49" s="13" t="str">
        <f>'Taxable Value All Property'!B49</f>
        <v>R-Prelim</v>
      </c>
      <c r="C49" s="14">
        <v>18488825165</v>
      </c>
      <c r="D49" s="15">
        <f t="shared" si="0"/>
        <v>9.0829609485251761E-2</v>
      </c>
      <c r="E49" s="14">
        <v>16949324628</v>
      </c>
      <c r="F49" s="15">
        <f t="shared" si="1"/>
        <v>0.11054931429450642</v>
      </c>
      <c r="G49" s="16">
        <v>15262108949</v>
      </c>
      <c r="R49" s="17"/>
    </row>
    <row r="50" spans="1:18" x14ac:dyDescent="0.2">
      <c r="A50" s="12" t="s">
        <v>48</v>
      </c>
      <c r="B50" s="13" t="str">
        <f>'Taxable Value All Property'!B50</f>
        <v>R-Prelim</v>
      </c>
      <c r="C50" s="14">
        <v>30130577329</v>
      </c>
      <c r="D50" s="15">
        <f t="shared" si="0"/>
        <v>2.223019741991486E-2</v>
      </c>
      <c r="E50" s="14">
        <v>29475334817</v>
      </c>
      <c r="F50" s="15">
        <f t="shared" si="1"/>
        <v>5.7474866000543162E-2</v>
      </c>
      <c r="G50" s="16">
        <v>27873319513</v>
      </c>
      <c r="R50" s="17"/>
    </row>
    <row r="51" spans="1:18" x14ac:dyDescent="0.2">
      <c r="A51" s="12" t="s">
        <v>49</v>
      </c>
      <c r="B51" s="13" t="str">
        <f>'Taxable Value All Property'!B51</f>
        <v>R-Prelim</v>
      </c>
      <c r="C51" s="14">
        <v>3398268417</v>
      </c>
      <c r="D51" s="15">
        <f t="shared" si="0"/>
        <v>8.9325063881111888E-2</v>
      </c>
      <c r="E51" s="14">
        <v>3119609132</v>
      </c>
      <c r="F51" s="15">
        <f t="shared" si="1"/>
        <v>0.10556918430672782</v>
      </c>
      <c r="G51" s="16">
        <v>2821722219</v>
      </c>
      <c r="R51" s="17"/>
    </row>
    <row r="52" spans="1:18" x14ac:dyDescent="0.2">
      <c r="A52" s="12" t="s">
        <v>50</v>
      </c>
      <c r="B52" s="13" t="str">
        <f>'Taxable Value All Property'!B52</f>
        <v>R-Prelim</v>
      </c>
      <c r="C52" s="14">
        <v>235391094071</v>
      </c>
      <c r="D52" s="15">
        <f t="shared" si="0"/>
        <v>7.0519736654921242E-2</v>
      </c>
      <c r="E52" s="14">
        <v>219884870882</v>
      </c>
      <c r="F52" s="15">
        <f t="shared" si="1"/>
        <v>7.5047401498732222E-2</v>
      </c>
      <c r="G52" s="16">
        <v>204535047083</v>
      </c>
      <c r="R52" s="17"/>
    </row>
    <row r="53" spans="1:18" x14ac:dyDescent="0.2">
      <c r="A53" s="12" t="s">
        <v>51</v>
      </c>
      <c r="B53" s="13" t="str">
        <f>'Taxable Value All Property'!B53</f>
        <v>R-Prelim</v>
      </c>
      <c r="C53" s="14">
        <v>58798267635</v>
      </c>
      <c r="D53" s="15">
        <f t="shared" si="0"/>
        <v>6.2937010610991939E-2</v>
      </c>
      <c r="E53" s="14">
        <v>55316793985</v>
      </c>
      <c r="F53" s="15">
        <f t="shared" si="1"/>
        <v>9.5710387533187266E-2</v>
      </c>
      <c r="G53" s="16">
        <v>50484867730</v>
      </c>
      <c r="R53" s="17"/>
    </row>
    <row r="54" spans="1:18" x14ac:dyDescent="0.2">
      <c r="A54" s="12" t="s">
        <v>52</v>
      </c>
      <c r="B54" s="13" t="str">
        <f>'Taxable Value All Property'!B54</f>
        <v>R-Prelim</v>
      </c>
      <c r="C54" s="14">
        <v>352429685645</v>
      </c>
      <c r="D54" s="15">
        <f t="shared" si="0"/>
        <v>7.4223632731371961E-2</v>
      </c>
      <c r="E54" s="14">
        <v>328078507032</v>
      </c>
      <c r="F54" s="15">
        <f t="shared" si="1"/>
        <v>8.1390327726047831E-2</v>
      </c>
      <c r="G54" s="16">
        <v>303385834532</v>
      </c>
      <c r="R54" s="17"/>
    </row>
    <row r="55" spans="1:18" x14ac:dyDescent="0.2">
      <c r="A55" s="12" t="s">
        <v>53</v>
      </c>
      <c r="B55" s="13" t="str">
        <f>'Taxable Value All Property'!B55</f>
        <v>R-Prelim</v>
      </c>
      <c r="C55" s="14">
        <v>61533065931</v>
      </c>
      <c r="D55" s="15">
        <f t="shared" si="0"/>
        <v>6.8775611534665798E-2</v>
      </c>
      <c r="E55" s="14">
        <v>57573418842</v>
      </c>
      <c r="F55" s="15">
        <f t="shared" si="1"/>
        <v>0.11454080903670394</v>
      </c>
      <c r="G55" s="16">
        <v>51656626994</v>
      </c>
      <c r="R55" s="17"/>
    </row>
    <row r="56" spans="1:18" x14ac:dyDescent="0.2">
      <c r="A56" s="12" t="s">
        <v>54</v>
      </c>
      <c r="B56" s="13" t="str">
        <f>'Taxable Value All Property'!B56</f>
        <v>R-Prelim</v>
      </c>
      <c r="C56" s="14">
        <v>139785905074</v>
      </c>
      <c r="D56" s="15">
        <f t="shared" si="0"/>
        <v>4.2060118054235422E-2</v>
      </c>
      <c r="E56" s="14">
        <v>134143800969</v>
      </c>
      <c r="F56" s="15">
        <f t="shared" si="1"/>
        <v>3.7028913476927841E-2</v>
      </c>
      <c r="G56" s="16">
        <v>129353964220</v>
      </c>
      <c r="R56" s="17"/>
    </row>
    <row r="57" spans="1:18" x14ac:dyDescent="0.2">
      <c r="A57" s="12" t="s">
        <v>55</v>
      </c>
      <c r="B57" s="13" t="str">
        <f>'Taxable Value All Property'!B57</f>
        <v>R-Prelim</v>
      </c>
      <c r="C57" s="14">
        <v>67996141081</v>
      </c>
      <c r="D57" s="15">
        <f t="shared" si="0"/>
        <v>5.5030341449297443E-2</v>
      </c>
      <c r="E57" s="14">
        <v>64449465015</v>
      </c>
      <c r="F57" s="15">
        <f t="shared" si="1"/>
        <v>0.10037859789546973</v>
      </c>
      <c r="G57" s="16">
        <v>58570264033</v>
      </c>
      <c r="R57" s="17"/>
    </row>
    <row r="58" spans="1:18" x14ac:dyDescent="0.2">
      <c r="A58" s="12" t="s">
        <v>56</v>
      </c>
      <c r="B58" s="13" t="str">
        <f>'Taxable Value All Property'!B58</f>
        <v>R-Prelim</v>
      </c>
      <c r="C58" s="14">
        <v>5540489573</v>
      </c>
      <c r="D58" s="15">
        <f t="shared" si="0"/>
        <v>6.9080157712769166E-2</v>
      </c>
      <c r="E58" s="14">
        <v>5182482841</v>
      </c>
      <c r="F58" s="15">
        <f t="shared" si="1"/>
        <v>5.6061763844607655E-2</v>
      </c>
      <c r="G58" s="16">
        <v>4907367181</v>
      </c>
      <c r="R58" s="17"/>
    </row>
    <row r="59" spans="1:18" x14ac:dyDescent="0.2">
      <c r="A59" s="12" t="s">
        <v>2</v>
      </c>
      <c r="B59" s="13" t="str">
        <f>'Taxable Value All Property'!B59</f>
        <v>R-Prelim</v>
      </c>
      <c r="C59" s="14">
        <v>60861880962</v>
      </c>
      <c r="D59" s="15">
        <f t="shared" si="0"/>
        <v>6.5327924280175712E-2</v>
      </c>
      <c r="E59" s="14">
        <v>57129715250</v>
      </c>
      <c r="F59" s="15">
        <f t="shared" si="1"/>
        <v>9.9829747726153606E-2</v>
      </c>
      <c r="G59" s="16">
        <v>51944144417</v>
      </c>
      <c r="R59" s="17"/>
    </row>
    <row r="60" spans="1:18" x14ac:dyDescent="0.2">
      <c r="A60" s="12" t="s">
        <v>3</v>
      </c>
      <c r="B60" s="13" t="str">
        <f>'Taxable Value All Property'!B60</f>
        <v>R-Prelim</v>
      </c>
      <c r="C60" s="14">
        <v>42296175684</v>
      </c>
      <c r="D60" s="15">
        <f t="shared" si="0"/>
        <v>7.624140654755629E-2</v>
      </c>
      <c r="E60" s="14">
        <v>39299896312</v>
      </c>
      <c r="F60" s="15">
        <f t="shared" si="1"/>
        <v>0.11111907389455331</v>
      </c>
      <c r="G60" s="16">
        <v>35369653204</v>
      </c>
      <c r="R60" s="17"/>
    </row>
    <row r="61" spans="1:18" x14ac:dyDescent="0.2">
      <c r="A61" s="12" t="s">
        <v>57</v>
      </c>
      <c r="B61" s="13" t="str">
        <f>'Taxable Value All Property'!B61</f>
        <v>R-Prelim</v>
      </c>
      <c r="C61" s="14">
        <v>19224172264</v>
      </c>
      <c r="D61" s="15">
        <f t="shared" si="0"/>
        <v>5.9632090598228431E-2</v>
      </c>
      <c r="E61" s="14">
        <v>18142308481</v>
      </c>
      <c r="F61" s="15">
        <f t="shared" si="1"/>
        <v>9.1669981712930046E-2</v>
      </c>
      <c r="G61" s="16">
        <v>16618858066</v>
      </c>
      <c r="R61" s="17"/>
    </row>
    <row r="62" spans="1:18" x14ac:dyDescent="0.2">
      <c r="A62" s="12" t="s">
        <v>58</v>
      </c>
      <c r="B62" s="13" t="str">
        <f>'Taxable Value All Property'!B62</f>
        <v>R-Prelim</v>
      </c>
      <c r="C62" s="14">
        <v>109199656806</v>
      </c>
      <c r="D62" s="15">
        <f t="shared" si="0"/>
        <v>2.3541778959831894E-2</v>
      </c>
      <c r="E62" s="14">
        <v>106688030768</v>
      </c>
      <c r="F62" s="15">
        <f t="shared" si="1"/>
        <v>5.9099808126992948E-2</v>
      </c>
      <c r="G62" s="16">
        <v>100734633270</v>
      </c>
      <c r="R62" s="17"/>
    </row>
    <row r="63" spans="1:18" x14ac:dyDescent="0.2">
      <c r="A63" s="12" t="s">
        <v>59</v>
      </c>
      <c r="B63" s="13" t="str">
        <f>'Taxable Value All Property'!B63</f>
        <v>R-Prelim</v>
      </c>
      <c r="C63" s="14">
        <v>57229384370</v>
      </c>
      <c r="D63" s="15">
        <f t="shared" si="0"/>
        <v>5.2578809901413941E-2</v>
      </c>
      <c r="E63" s="14">
        <v>54370640784</v>
      </c>
      <c r="F63" s="15">
        <f t="shared" si="1"/>
        <v>6.9194330442967661E-2</v>
      </c>
      <c r="G63" s="16">
        <v>50851972589</v>
      </c>
      <c r="R63" s="17"/>
    </row>
    <row r="64" spans="1:18" x14ac:dyDescent="0.2">
      <c r="A64" s="12" t="s">
        <v>60</v>
      </c>
      <c r="B64" s="13" t="str">
        <f>'Taxable Value All Property'!B64</f>
        <v>R-Prelim</v>
      </c>
      <c r="C64" s="14">
        <v>24834173859</v>
      </c>
      <c r="D64" s="15">
        <f t="shared" si="0"/>
        <v>9.4354071089291586E-2</v>
      </c>
      <c r="E64" s="14">
        <v>22692997189</v>
      </c>
      <c r="F64" s="15">
        <f t="shared" si="1"/>
        <v>9.3348704577228173E-2</v>
      </c>
      <c r="G64" s="16">
        <v>20755498309</v>
      </c>
      <c r="R64" s="17"/>
    </row>
    <row r="65" spans="1:18" x14ac:dyDescent="0.2">
      <c r="A65" s="12" t="s">
        <v>61</v>
      </c>
      <c r="B65" s="13" t="str">
        <f>'Taxable Value All Property'!B65</f>
        <v>R-Prelim</v>
      </c>
      <c r="C65" s="14">
        <v>2244836463</v>
      </c>
      <c r="D65" s="15">
        <f t="shared" si="0"/>
        <v>0.10130681530464243</v>
      </c>
      <c r="E65" s="14">
        <v>2038338846</v>
      </c>
      <c r="F65" s="15">
        <f t="shared" si="1"/>
        <v>9.5329505016783819E-2</v>
      </c>
      <c r="G65" s="16">
        <v>1860936674</v>
      </c>
      <c r="R65" s="17"/>
    </row>
    <row r="66" spans="1:18" x14ac:dyDescent="0.2">
      <c r="A66" s="12" t="s">
        <v>62</v>
      </c>
      <c r="B66" s="13" t="str">
        <f>'Taxable Value All Property'!B66</f>
        <v>R-Prelim</v>
      </c>
      <c r="C66" s="14">
        <v>1355422781</v>
      </c>
      <c r="D66" s="15">
        <f t="shared" si="0"/>
        <v>4.9312371744107977E-2</v>
      </c>
      <c r="E66" s="14">
        <v>1291724769</v>
      </c>
      <c r="F66" s="15">
        <f t="shared" si="1"/>
        <v>6.6543613436454624E-2</v>
      </c>
      <c r="G66" s="16">
        <v>1211131690</v>
      </c>
      <c r="R66" s="17"/>
    </row>
    <row r="67" spans="1:18" x14ac:dyDescent="0.2">
      <c r="A67" s="12" t="s">
        <v>63</v>
      </c>
      <c r="B67" s="13" t="str">
        <f>'Taxable Value All Property'!B67</f>
        <v>R-Prelim</v>
      </c>
      <c r="C67" s="14">
        <v>327680617</v>
      </c>
      <c r="D67" s="15">
        <f t="shared" si="0"/>
        <v>7.2024596558265749E-2</v>
      </c>
      <c r="E67" s="14">
        <v>305665204</v>
      </c>
      <c r="F67" s="15">
        <f t="shared" si="1"/>
        <v>6.0884254774662298E-2</v>
      </c>
      <c r="G67" s="16">
        <v>288123047</v>
      </c>
      <c r="R67" s="17"/>
    </row>
    <row r="68" spans="1:18" x14ac:dyDescent="0.2">
      <c r="A68" s="12" t="s">
        <v>64</v>
      </c>
      <c r="B68" s="13" t="str">
        <f>'Taxable Value All Property'!B68</f>
        <v>R-Prelim</v>
      </c>
      <c r="C68" s="14">
        <v>64550966099</v>
      </c>
      <c r="D68" s="15">
        <f t="shared" si="0"/>
        <v>5.4091358403040295E-2</v>
      </c>
      <c r="E68" s="14">
        <v>61238492835</v>
      </c>
      <c r="F68" s="15">
        <f t="shared" si="1"/>
        <v>8.2051363350208961E-2</v>
      </c>
      <c r="G68" s="16">
        <v>56594811401</v>
      </c>
      <c r="R68" s="17"/>
    </row>
    <row r="69" spans="1:18" x14ac:dyDescent="0.2">
      <c r="A69" s="12" t="s">
        <v>65</v>
      </c>
      <c r="B69" s="13" t="str">
        <f>'Taxable Value All Property'!B69</f>
        <v>R-Prelim</v>
      </c>
      <c r="C69" s="14">
        <v>2433935820</v>
      </c>
      <c r="D69" s="15">
        <f t="shared" si="0"/>
        <v>6.6390460457307496E-2</v>
      </c>
      <c r="E69" s="14">
        <v>2282405845</v>
      </c>
      <c r="F69" s="15">
        <f t="shared" si="1"/>
        <v>0.11838035163007331</v>
      </c>
      <c r="G69" s="16">
        <v>2040813612</v>
      </c>
      <c r="R69" s="17"/>
    </row>
    <row r="70" spans="1:18" x14ac:dyDescent="0.2">
      <c r="A70" s="12" t="s">
        <v>66</v>
      </c>
      <c r="B70" s="13" t="str">
        <f>'Taxable Value All Property'!B70</f>
        <v>R-Prelim</v>
      </c>
      <c r="C70" s="14">
        <v>48049105706</v>
      </c>
      <c r="D70" s="15">
        <f>((C70-E70)/E70)</f>
        <v>5.3643489559610326E-2</v>
      </c>
      <c r="E70" s="14">
        <v>45602811750</v>
      </c>
      <c r="F70" s="15">
        <f>((E70-G70)/G70)</f>
        <v>9.5259678927205174E-2</v>
      </c>
      <c r="G70" s="16">
        <v>41636529334</v>
      </c>
      <c r="R70" s="17"/>
    </row>
    <row r="71" spans="1:18" x14ac:dyDescent="0.2">
      <c r="A71" s="12" t="s">
        <v>67</v>
      </c>
      <c r="B71" s="13" t="str">
        <f>'Taxable Value All Property'!B71</f>
        <v>R-Prelim</v>
      </c>
      <c r="C71" s="14">
        <v>1268672607</v>
      </c>
      <c r="D71" s="15">
        <f>((C71-E71)/E71)</f>
        <v>8.8997966717840035E-2</v>
      </c>
      <c r="E71" s="14">
        <v>1164990795</v>
      </c>
      <c r="F71" s="15">
        <f>((E71-G71)/G71)</f>
        <v>0.12175362381544012</v>
      </c>
      <c r="G71" s="16">
        <v>1038544267</v>
      </c>
      <c r="R71" s="17"/>
    </row>
    <row r="72" spans="1:18" x14ac:dyDescent="0.2">
      <c r="A72" s="18"/>
      <c r="B72" s="19"/>
      <c r="C72" s="14"/>
      <c r="D72" s="20"/>
      <c r="E72" s="14"/>
      <c r="F72" s="20"/>
      <c r="G72" s="16"/>
      <c r="R72" s="17"/>
    </row>
    <row r="73" spans="1:18" ht="15.75" thickBot="1" x14ac:dyDescent="0.3">
      <c r="A73" s="21" t="s">
        <v>68</v>
      </c>
      <c r="B73" s="22"/>
      <c r="C73" s="23">
        <f>SUM(C5:C71)</f>
        <v>3470967695716</v>
      </c>
      <c r="D73" s="24">
        <f>((C73-E73)/E73)</f>
        <v>6.0808017135562407E-2</v>
      </c>
      <c r="E73" s="23">
        <f>SUM(E5:E71)</f>
        <v>3272003642175</v>
      </c>
      <c r="F73" s="24">
        <f>((E73-G73)/G73)</f>
        <v>8.0633652087491223E-2</v>
      </c>
      <c r="G73" s="25">
        <f>SUM(G5:G71)</f>
        <v>3027856513495</v>
      </c>
      <c r="R73" s="17"/>
    </row>
    <row r="74" spans="1:18" x14ac:dyDescent="0.2">
      <c r="R74" s="17"/>
    </row>
    <row r="75" spans="1:18" x14ac:dyDescent="0.2">
      <c r="A75" s="26" t="s">
        <v>90</v>
      </c>
      <c r="R75" s="17"/>
    </row>
    <row r="76" spans="1:18" x14ac:dyDescent="0.2">
      <c r="C76" s="17"/>
      <c r="E76" s="17"/>
      <c r="G76" s="17"/>
    </row>
  </sheetData>
  <phoneticPr fontId="1" type="noConversion"/>
  <conditionalFormatting sqref="A75">
    <cfRule type="expression" dxfId="6" priority="2" stopIfTrue="1">
      <formula>MOD(ROW(),5)=1</formula>
    </cfRule>
  </conditionalFormatting>
  <conditionalFormatting sqref="A4:G73">
    <cfRule type="expression" dxfId="5" priority="1" stopIfTrue="1">
      <formula>MOD(ROW(),3)=1</formula>
    </cfRule>
  </conditionalFormatting>
  <pageMargins left="0.7" right="0.7" top="0.5" bottom="0.5" header="0.05" footer="0.05"/>
  <pageSetup scale="77" orientation="portrait" r:id="rId1"/>
  <rowBreaks count="1" manualBreakCount="1">
    <brk id="37" max="8" man="1"/>
  </rowBreaks>
  <ignoredErrors>
    <ignoredError sqref="D73 F73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76"/>
  <sheetViews>
    <sheetView zoomScaleNormal="100" zoomScaleSheetLayoutView="100" workbookViewId="0">
      <pane ySplit="4" topLeftCell="A5" activePane="bottomLeft" state="frozen"/>
      <selection sqref="A1:XFD1048576"/>
      <selection pane="bottomLeft" activeCell="M16" sqref="M16"/>
    </sheetView>
  </sheetViews>
  <sheetFormatPr defaultRowHeight="14.25" x14ac:dyDescent="0.2"/>
  <cols>
    <col min="1" max="1" width="17.7109375" style="2" customWidth="1"/>
    <col min="2" max="2" width="9.28515625" style="11" bestFit="1" customWidth="1"/>
    <col min="3" max="3" width="18.7109375" style="2" customWidth="1"/>
    <col min="4" max="4" width="16.42578125" style="11" bestFit="1" customWidth="1"/>
    <col min="5" max="5" width="18.7109375" style="2" customWidth="1"/>
    <col min="6" max="6" width="16.42578125" style="11" bestFit="1" customWidth="1"/>
    <col min="7" max="7" width="18.7109375" style="2" customWidth="1"/>
    <col min="8" max="16384" width="9.140625" style="2"/>
  </cols>
  <sheetData>
    <row r="1" spans="1:18" ht="23.25" x14ac:dyDescent="0.35">
      <c r="A1" s="7" t="s">
        <v>72</v>
      </c>
      <c r="B1" s="8"/>
      <c r="C1" s="9"/>
      <c r="D1" s="8"/>
      <c r="E1" s="9"/>
      <c r="F1" s="8"/>
      <c r="G1" s="9"/>
    </row>
    <row r="2" spans="1:18" ht="15" x14ac:dyDescent="0.25">
      <c r="A2" s="10" t="s">
        <v>91</v>
      </c>
      <c r="B2" s="10"/>
      <c r="C2" s="10"/>
      <c r="D2" s="10"/>
      <c r="E2" s="10"/>
      <c r="F2" s="10"/>
      <c r="G2" s="10"/>
    </row>
    <row r="3" spans="1:18" s="39" customFormat="1" ht="15" thickBot="1" x14ac:dyDescent="0.25">
      <c r="B3" s="40"/>
      <c r="D3" s="40"/>
      <c r="F3" s="40"/>
    </row>
    <row r="4" spans="1:18" s="36" customFormat="1" ht="25.5" x14ac:dyDescent="0.2">
      <c r="A4" s="33" t="s">
        <v>0</v>
      </c>
      <c r="B4" s="34" t="s">
        <v>1</v>
      </c>
      <c r="C4" s="37" t="s">
        <v>92</v>
      </c>
      <c r="D4" s="37" t="s">
        <v>93</v>
      </c>
      <c r="E4" s="37" t="s">
        <v>83</v>
      </c>
      <c r="F4" s="37" t="s">
        <v>84</v>
      </c>
      <c r="G4" s="38" t="s">
        <v>82</v>
      </c>
    </row>
    <row r="5" spans="1:18" x14ac:dyDescent="0.2">
      <c r="A5" s="12" t="s">
        <v>4</v>
      </c>
      <c r="B5" s="13" t="str">
        <f>'Taxable Value All Property'!B5</f>
        <v>R-Prelim</v>
      </c>
      <c r="C5" s="14">
        <v>1834912685</v>
      </c>
      <c r="D5" s="15">
        <f>((C5-E5)/E5)</f>
        <v>7.9497206352140762E-2</v>
      </c>
      <c r="E5" s="14">
        <v>1699784561</v>
      </c>
      <c r="F5" s="15">
        <f>((E5-G5)/G5)</f>
        <v>1.9017332817360649E-2</v>
      </c>
      <c r="G5" s="16">
        <v>1668062462</v>
      </c>
    </row>
    <row r="6" spans="1:18" x14ac:dyDescent="0.2">
      <c r="A6" s="12" t="s">
        <v>5</v>
      </c>
      <c r="B6" s="13" t="str">
        <f>'Taxable Value All Property'!B6</f>
        <v>R-Prelim</v>
      </c>
      <c r="C6" s="14">
        <v>261288818</v>
      </c>
      <c r="D6" s="15">
        <f t="shared" ref="D6:D69" si="0">((C6-E6)/E6)</f>
        <v>-9.5333967429915831E-2</v>
      </c>
      <c r="E6" s="14">
        <v>288823509</v>
      </c>
      <c r="F6" s="15">
        <f t="shared" ref="F6:F69" si="1">((E6-G6)/G6)</f>
        <v>0.21893115512197325</v>
      </c>
      <c r="G6" s="16">
        <v>236948172</v>
      </c>
    </row>
    <row r="7" spans="1:18" x14ac:dyDescent="0.2">
      <c r="A7" s="12" t="s">
        <v>6</v>
      </c>
      <c r="B7" s="13" t="str">
        <f>'Taxable Value All Property'!B7</f>
        <v>R-Prelim</v>
      </c>
      <c r="C7" s="14">
        <v>2021274008</v>
      </c>
      <c r="D7" s="15">
        <f t="shared" si="0"/>
        <v>-1.4206955270648258E-2</v>
      </c>
      <c r="E7" s="14">
        <v>2050404006</v>
      </c>
      <c r="F7" s="15">
        <f t="shared" si="1"/>
        <v>1.5482795835915738E-2</v>
      </c>
      <c r="G7" s="16">
        <v>2019142042</v>
      </c>
      <c r="R7" s="17"/>
    </row>
    <row r="8" spans="1:18" x14ac:dyDescent="0.2">
      <c r="A8" s="12" t="s">
        <v>7</v>
      </c>
      <c r="B8" s="13" t="str">
        <f>'Taxable Value All Property'!B8</f>
        <v>R-Prelim</v>
      </c>
      <c r="C8" s="14">
        <v>338821578</v>
      </c>
      <c r="D8" s="15">
        <f t="shared" si="0"/>
        <v>-3.2332181079433649E-2</v>
      </c>
      <c r="E8" s="14">
        <v>350142447</v>
      </c>
      <c r="F8" s="15">
        <f t="shared" si="1"/>
        <v>5.3944064616896943E-2</v>
      </c>
      <c r="G8" s="16">
        <v>332221091</v>
      </c>
      <c r="R8" s="17"/>
    </row>
    <row r="9" spans="1:18" x14ac:dyDescent="0.2">
      <c r="A9" s="12" t="s">
        <v>8</v>
      </c>
      <c r="B9" s="13" t="str">
        <f>'Taxable Value All Property'!B9</f>
        <v>R-Prelim</v>
      </c>
      <c r="C9" s="14">
        <v>5472928883</v>
      </c>
      <c r="D9" s="15">
        <f t="shared" si="0"/>
        <v>-2.1081247415848072E-2</v>
      </c>
      <c r="E9" s="14">
        <v>5590789704</v>
      </c>
      <c r="F9" s="15">
        <f t="shared" si="1"/>
        <v>7.5547893643764727E-2</v>
      </c>
      <c r="G9" s="16">
        <v>5198085308</v>
      </c>
      <c r="R9" s="17"/>
    </row>
    <row r="10" spans="1:18" x14ac:dyDescent="0.2">
      <c r="A10" s="12" t="s">
        <v>9</v>
      </c>
      <c r="B10" s="13" t="str">
        <f>'Taxable Value All Property'!B10</f>
        <v>R-Prelim</v>
      </c>
      <c r="C10" s="14">
        <v>12334321522</v>
      </c>
      <c r="D10" s="15">
        <f t="shared" si="0"/>
        <v>4.8761267958729641E-2</v>
      </c>
      <c r="E10" s="14">
        <v>11760847677</v>
      </c>
      <c r="F10" s="15">
        <f t="shared" si="1"/>
        <v>5.9435909828985958E-2</v>
      </c>
      <c r="G10" s="16">
        <v>11101046857</v>
      </c>
      <c r="R10" s="17"/>
    </row>
    <row r="11" spans="1:18" x14ac:dyDescent="0.2">
      <c r="A11" s="12" t="s">
        <v>10</v>
      </c>
      <c r="B11" s="13" t="str">
        <f>'Taxable Value All Property'!B11</f>
        <v>R-Prelim</v>
      </c>
      <c r="C11" s="14">
        <v>330947244</v>
      </c>
      <c r="D11" s="15">
        <f t="shared" si="0"/>
        <v>0.34711232924674784</v>
      </c>
      <c r="E11" s="14">
        <v>245671602</v>
      </c>
      <c r="F11" s="15">
        <f t="shared" si="1"/>
        <v>0.18459199136556831</v>
      </c>
      <c r="G11" s="16">
        <v>207389214</v>
      </c>
      <c r="R11" s="17"/>
    </row>
    <row r="12" spans="1:18" x14ac:dyDescent="0.2">
      <c r="A12" s="12" t="s">
        <v>11</v>
      </c>
      <c r="B12" s="13" t="str">
        <f>'Taxable Value All Property'!B12</f>
        <v>R-Prelim</v>
      </c>
      <c r="C12" s="14">
        <v>1687398858</v>
      </c>
      <c r="D12" s="15">
        <f t="shared" si="0"/>
        <v>3.8624643624986375E-2</v>
      </c>
      <c r="E12" s="14">
        <v>1624647430</v>
      </c>
      <c r="F12" s="15">
        <f t="shared" si="1"/>
        <v>0.1104987908373931</v>
      </c>
      <c r="G12" s="16">
        <v>1462988923</v>
      </c>
      <c r="R12" s="17"/>
    </row>
    <row r="13" spans="1:18" x14ac:dyDescent="0.2">
      <c r="A13" s="12" t="s">
        <v>12</v>
      </c>
      <c r="B13" s="13" t="str">
        <f>'Taxable Value All Property'!B13</f>
        <v>R-Prelim</v>
      </c>
      <c r="C13" s="14">
        <v>2209781933</v>
      </c>
      <c r="D13" s="15">
        <f t="shared" si="0"/>
        <v>4.4676280146535553E-2</v>
      </c>
      <c r="E13" s="14">
        <v>2115279130</v>
      </c>
      <c r="F13" s="15">
        <f t="shared" si="1"/>
        <v>7.1450892185618398E-2</v>
      </c>
      <c r="G13" s="16">
        <v>1974219393</v>
      </c>
      <c r="R13" s="17"/>
    </row>
    <row r="14" spans="1:18" x14ac:dyDescent="0.2">
      <c r="A14" s="12" t="s">
        <v>13</v>
      </c>
      <c r="B14" s="13" t="str">
        <f>'Taxable Value All Property'!B14</f>
        <v>R-Prelim</v>
      </c>
      <c r="C14" s="14">
        <v>1610660395</v>
      </c>
      <c r="D14" s="15">
        <f t="shared" si="0"/>
        <v>3.7228225813943042E-2</v>
      </c>
      <c r="E14" s="14">
        <v>1552850525</v>
      </c>
      <c r="F14" s="15">
        <f t="shared" si="1"/>
        <v>6.8267317625170756E-2</v>
      </c>
      <c r="G14" s="16">
        <v>1453616056</v>
      </c>
      <c r="R14" s="17"/>
    </row>
    <row r="15" spans="1:18" x14ac:dyDescent="0.2">
      <c r="A15" s="12" t="s">
        <v>14</v>
      </c>
      <c r="B15" s="13" t="str">
        <f>'Taxable Value All Property'!B15</f>
        <v>R-Prelim</v>
      </c>
      <c r="C15" s="14">
        <v>3428109701</v>
      </c>
      <c r="D15" s="15">
        <f t="shared" si="0"/>
        <v>0.11067392446818244</v>
      </c>
      <c r="E15" s="14">
        <v>3086513175</v>
      </c>
      <c r="F15" s="15">
        <f t="shared" si="1"/>
        <v>4.984597156952645E-2</v>
      </c>
      <c r="G15" s="16">
        <v>2939967632</v>
      </c>
      <c r="R15" s="17"/>
    </row>
    <row r="16" spans="1:18" x14ac:dyDescent="0.2">
      <c r="A16" s="12" t="s">
        <v>15</v>
      </c>
      <c r="B16" s="13" t="str">
        <f>'Taxable Value All Property'!B16</f>
        <v>R-Prelim</v>
      </c>
      <c r="C16" s="14">
        <v>860736555</v>
      </c>
      <c r="D16" s="15">
        <f t="shared" si="0"/>
        <v>-1.2149927393119273E-2</v>
      </c>
      <c r="E16" s="14">
        <v>871323067</v>
      </c>
      <c r="F16" s="15">
        <f t="shared" si="1"/>
        <v>0.12986184507701215</v>
      </c>
      <c r="G16" s="16">
        <v>771176645</v>
      </c>
      <c r="R16" s="17"/>
    </row>
    <row r="17" spans="1:18" x14ac:dyDescent="0.2">
      <c r="A17" s="12" t="s">
        <v>78</v>
      </c>
      <c r="B17" s="13" t="str">
        <f>'Taxable Value All Property'!B17</f>
        <v>R-Prelim</v>
      </c>
      <c r="C17" s="14">
        <v>22627690074</v>
      </c>
      <c r="D17" s="15">
        <f t="shared" si="0"/>
        <v>6.605217190223299E-2</v>
      </c>
      <c r="E17" s="14">
        <v>21225687326</v>
      </c>
      <c r="F17" s="15">
        <f t="shared" si="1"/>
        <v>5.1229233636549069E-2</v>
      </c>
      <c r="G17" s="16">
        <v>20191302379</v>
      </c>
      <c r="R17" s="17"/>
    </row>
    <row r="18" spans="1:18" x14ac:dyDescent="0.2">
      <c r="A18" s="12" t="s">
        <v>16</v>
      </c>
      <c r="B18" s="13" t="str">
        <f>'Taxable Value All Property'!B18</f>
        <v>R-Prelim</v>
      </c>
      <c r="C18" s="14">
        <v>717284372</v>
      </c>
      <c r="D18" s="15">
        <f t="shared" si="0"/>
        <v>-7.2216753597116851E-2</v>
      </c>
      <c r="E18" s="14">
        <v>773116323</v>
      </c>
      <c r="F18" s="15">
        <f t="shared" si="1"/>
        <v>0.14966052628857651</v>
      </c>
      <c r="G18" s="16">
        <v>672473574</v>
      </c>
      <c r="R18" s="17"/>
    </row>
    <row r="19" spans="1:18" x14ac:dyDescent="0.2">
      <c r="A19" s="12" t="s">
        <v>17</v>
      </c>
      <c r="B19" s="13" t="str">
        <f>'Taxable Value All Property'!B19</f>
        <v>R-Prelim</v>
      </c>
      <c r="C19" s="14">
        <v>135001266</v>
      </c>
      <c r="D19" s="15">
        <f t="shared" si="0"/>
        <v>0.11394905445507865</v>
      </c>
      <c r="E19" s="14">
        <v>121191598</v>
      </c>
      <c r="F19" s="15">
        <f t="shared" si="1"/>
        <v>1.8580019503965886E-2</v>
      </c>
      <c r="G19" s="16">
        <v>118980930</v>
      </c>
      <c r="R19" s="17"/>
    </row>
    <row r="20" spans="1:18" x14ac:dyDescent="0.2">
      <c r="A20" s="12" t="s">
        <v>18</v>
      </c>
      <c r="B20" s="13" t="str">
        <f>'Taxable Value All Property'!B20</f>
        <v>R-Prelim</v>
      </c>
      <c r="C20" s="14">
        <v>9484213268</v>
      </c>
      <c r="D20" s="15">
        <f t="shared" si="0"/>
        <v>4.5771589693785551E-2</v>
      </c>
      <c r="E20" s="14">
        <v>9069105875</v>
      </c>
      <c r="F20" s="15">
        <f t="shared" si="1"/>
        <v>4.346217371479108E-2</v>
      </c>
      <c r="G20" s="16">
        <v>8691360457</v>
      </c>
      <c r="R20" s="17"/>
    </row>
    <row r="21" spans="1:18" x14ac:dyDescent="0.2">
      <c r="A21" s="12" t="s">
        <v>19</v>
      </c>
      <c r="B21" s="13" t="str">
        <f>'Taxable Value All Property'!B21</f>
        <v>R-Prelim</v>
      </c>
      <c r="C21" s="14">
        <v>4163342388</v>
      </c>
      <c r="D21" s="15">
        <f t="shared" si="0"/>
        <v>1.2917571257568851E-2</v>
      </c>
      <c r="E21" s="14">
        <v>4110247967</v>
      </c>
      <c r="F21" s="15">
        <f t="shared" si="1"/>
        <v>4.7551529526138135E-2</v>
      </c>
      <c r="G21" s="16">
        <v>3923671391</v>
      </c>
      <c r="R21" s="17"/>
    </row>
    <row r="22" spans="1:18" x14ac:dyDescent="0.2">
      <c r="A22" s="12" t="s">
        <v>20</v>
      </c>
      <c r="B22" s="13" t="str">
        <f>'Taxable Value All Property'!B22</f>
        <v>R-Prelim</v>
      </c>
      <c r="C22" s="14">
        <v>708458209</v>
      </c>
      <c r="D22" s="15">
        <f t="shared" si="0"/>
        <v>4.4859362490145167E-2</v>
      </c>
      <c r="E22" s="14">
        <v>678041691</v>
      </c>
      <c r="F22" s="15">
        <f t="shared" si="1"/>
        <v>7.8819111482060639E-2</v>
      </c>
      <c r="G22" s="16">
        <v>628503596</v>
      </c>
      <c r="R22" s="17"/>
    </row>
    <row r="23" spans="1:18" x14ac:dyDescent="0.2">
      <c r="A23" s="12" t="s">
        <v>21</v>
      </c>
      <c r="B23" s="13" t="str">
        <f>'Taxable Value All Property'!B23</f>
        <v>R-Prelim</v>
      </c>
      <c r="C23" s="14">
        <v>100512891</v>
      </c>
      <c r="D23" s="15">
        <f t="shared" si="0"/>
        <v>-6.5314642718034083E-2</v>
      </c>
      <c r="E23" s="14">
        <v>107536606</v>
      </c>
      <c r="F23" s="15">
        <f t="shared" si="1"/>
        <v>0.11607921224198818</v>
      </c>
      <c r="G23" s="16">
        <v>96352127</v>
      </c>
      <c r="R23" s="17"/>
    </row>
    <row r="24" spans="1:18" x14ac:dyDescent="0.2">
      <c r="A24" s="12" t="s">
        <v>22</v>
      </c>
      <c r="B24" s="13" t="str">
        <f>'Taxable Value All Property'!B24</f>
        <v>R-Prelim</v>
      </c>
      <c r="C24" s="14">
        <v>629141090</v>
      </c>
      <c r="D24" s="15">
        <f t="shared" si="0"/>
        <v>7.895679988724566E-2</v>
      </c>
      <c r="E24" s="14">
        <v>583101279</v>
      </c>
      <c r="F24" s="15">
        <f t="shared" si="1"/>
        <v>5.2155039488504584E-2</v>
      </c>
      <c r="G24" s="16">
        <v>554197107</v>
      </c>
      <c r="R24" s="17"/>
    </row>
    <row r="25" spans="1:18" x14ac:dyDescent="0.2">
      <c r="A25" s="12" t="s">
        <v>23</v>
      </c>
      <c r="B25" s="13" t="str">
        <f>'Taxable Value All Property'!B25</f>
        <v>R-Prelim</v>
      </c>
      <c r="C25" s="14">
        <v>484184898</v>
      </c>
      <c r="D25" s="15">
        <f t="shared" si="0"/>
        <v>1.2067269899590723E-2</v>
      </c>
      <c r="E25" s="14">
        <v>478411774</v>
      </c>
      <c r="F25" s="15">
        <f t="shared" si="1"/>
        <v>0.1825284018089906</v>
      </c>
      <c r="G25" s="16">
        <v>404566836</v>
      </c>
      <c r="R25" s="17"/>
    </row>
    <row r="26" spans="1:18" x14ac:dyDescent="0.2">
      <c r="A26" s="12" t="s">
        <v>24</v>
      </c>
      <c r="B26" s="13" t="str">
        <f>'Taxable Value All Property'!B26</f>
        <v>R-Prelim</v>
      </c>
      <c r="C26" s="14">
        <v>196604914</v>
      </c>
      <c r="D26" s="15">
        <f t="shared" si="0"/>
        <v>0.10280326986795574</v>
      </c>
      <c r="E26" s="14">
        <v>178277413</v>
      </c>
      <c r="F26" s="15">
        <f t="shared" si="1"/>
        <v>1.102011470379057E-2</v>
      </c>
      <c r="G26" s="16">
        <v>176334190</v>
      </c>
      <c r="R26" s="17"/>
    </row>
    <row r="27" spans="1:18" x14ac:dyDescent="0.2">
      <c r="A27" s="12" t="s">
        <v>25</v>
      </c>
      <c r="B27" s="13" t="str">
        <f>'Taxable Value All Property'!B27</f>
        <v>R-Prelim</v>
      </c>
      <c r="C27" s="14">
        <v>169303286</v>
      </c>
      <c r="D27" s="15">
        <f t="shared" si="0"/>
        <v>7.7525198596036737E-2</v>
      </c>
      <c r="E27" s="14">
        <v>157122345</v>
      </c>
      <c r="F27" s="15">
        <f t="shared" si="1"/>
        <v>7.5652719666732815E-2</v>
      </c>
      <c r="G27" s="16">
        <v>146071629</v>
      </c>
      <c r="R27" s="17"/>
    </row>
    <row r="28" spans="1:18" x14ac:dyDescent="0.2">
      <c r="A28" s="12" t="s">
        <v>26</v>
      </c>
      <c r="B28" s="13" t="str">
        <f>'Taxable Value All Property'!B28</f>
        <v>R-Prelim</v>
      </c>
      <c r="C28" s="14">
        <v>696399584</v>
      </c>
      <c r="D28" s="15">
        <f t="shared" si="0"/>
        <v>3.6941347943168654E-2</v>
      </c>
      <c r="E28" s="14">
        <v>671590139</v>
      </c>
      <c r="F28" s="15">
        <f t="shared" si="1"/>
        <v>3.4052323375469054E-2</v>
      </c>
      <c r="G28" s="16">
        <v>649474039</v>
      </c>
      <c r="R28" s="17"/>
    </row>
    <row r="29" spans="1:18" x14ac:dyDescent="0.2">
      <c r="A29" s="12" t="s">
        <v>27</v>
      </c>
      <c r="B29" s="13" t="str">
        <f>'Taxable Value All Property'!B29</f>
        <v>R-Prelim</v>
      </c>
      <c r="C29" s="14">
        <v>1220217202</v>
      </c>
      <c r="D29" s="15">
        <f t="shared" si="0"/>
        <v>2.2846207023334907E-2</v>
      </c>
      <c r="E29" s="14">
        <v>1192962533</v>
      </c>
      <c r="F29" s="15">
        <f t="shared" si="1"/>
        <v>6.3233248796000258E-2</v>
      </c>
      <c r="G29" s="16">
        <v>1122013946</v>
      </c>
      <c r="R29" s="17"/>
    </row>
    <row r="30" spans="1:18" x14ac:dyDescent="0.2">
      <c r="A30" s="12" t="s">
        <v>28</v>
      </c>
      <c r="B30" s="13" t="str">
        <f>'Taxable Value All Property'!B30</f>
        <v>R-Prelim</v>
      </c>
      <c r="C30" s="14">
        <v>1634757746</v>
      </c>
      <c r="D30" s="15">
        <f t="shared" si="0"/>
        <v>8.7994323744041605E-2</v>
      </c>
      <c r="E30" s="14">
        <v>1502542532</v>
      </c>
      <c r="F30" s="15">
        <f t="shared" si="1"/>
        <v>8.3595930235050811E-2</v>
      </c>
      <c r="G30" s="16">
        <v>1386626223</v>
      </c>
      <c r="R30" s="17"/>
    </row>
    <row r="31" spans="1:18" x14ac:dyDescent="0.2">
      <c r="A31" s="12" t="s">
        <v>29</v>
      </c>
      <c r="B31" s="13" t="str">
        <f>'Taxable Value All Property'!B31</f>
        <v>R-Prelim</v>
      </c>
      <c r="C31" s="14">
        <v>1863524652</v>
      </c>
      <c r="D31" s="15">
        <f t="shared" si="0"/>
        <v>0.14387849792603977</v>
      </c>
      <c r="E31" s="14">
        <v>1629128142</v>
      </c>
      <c r="F31" s="15">
        <f t="shared" si="1"/>
        <v>0.12427414015056772</v>
      </c>
      <c r="G31" s="16">
        <v>1449048843</v>
      </c>
      <c r="R31" s="17"/>
    </row>
    <row r="32" spans="1:18" x14ac:dyDescent="0.2">
      <c r="A32" s="12" t="s">
        <v>30</v>
      </c>
      <c r="B32" s="13" t="str">
        <f>'Taxable Value All Property'!B32</f>
        <v>R-Prelim</v>
      </c>
      <c r="C32" s="14">
        <v>654007301</v>
      </c>
      <c r="D32" s="15">
        <f t="shared" si="0"/>
        <v>-0.14859915942497909</v>
      </c>
      <c r="E32" s="14">
        <v>768154399</v>
      </c>
      <c r="F32" s="15">
        <f t="shared" si="1"/>
        <v>5.1955604191784417E-2</v>
      </c>
      <c r="G32" s="16">
        <v>730215606</v>
      </c>
      <c r="R32" s="17"/>
    </row>
    <row r="33" spans="1:18" x14ac:dyDescent="0.2">
      <c r="A33" s="12" t="s">
        <v>31</v>
      </c>
      <c r="B33" s="13" t="str">
        <f>'Taxable Value All Property'!B33</f>
        <v>R-Prelim</v>
      </c>
      <c r="C33" s="14">
        <v>11484448635</v>
      </c>
      <c r="D33" s="15">
        <f t="shared" si="0"/>
        <v>-3.4342502464414865E-2</v>
      </c>
      <c r="E33" s="14">
        <v>11892879892</v>
      </c>
      <c r="F33" s="15">
        <f t="shared" si="1"/>
        <v>6.6173309871696215E-3</v>
      </c>
      <c r="G33" s="16">
        <v>11814698124</v>
      </c>
      <c r="R33" s="17"/>
    </row>
    <row r="34" spans="1:18" x14ac:dyDescent="0.2">
      <c r="A34" s="12" t="s">
        <v>32</v>
      </c>
      <c r="B34" s="13" t="str">
        <f>'Taxable Value All Property'!B34</f>
        <v>R-Prelim</v>
      </c>
      <c r="C34" s="14">
        <v>125936600</v>
      </c>
      <c r="D34" s="15">
        <f t="shared" si="0"/>
        <v>-0.15278175783990838</v>
      </c>
      <c r="E34" s="14">
        <v>148647177</v>
      </c>
      <c r="F34" s="15">
        <f t="shared" si="1"/>
        <v>0.23728165996293929</v>
      </c>
      <c r="G34" s="16">
        <v>120140128</v>
      </c>
      <c r="R34" s="17"/>
    </row>
    <row r="35" spans="1:18" x14ac:dyDescent="0.2">
      <c r="A35" s="12" t="s">
        <v>33</v>
      </c>
      <c r="B35" s="13" t="str">
        <f>'Taxable Value All Property'!B35</f>
        <v>R-Prelim</v>
      </c>
      <c r="C35" s="14">
        <v>1473431737</v>
      </c>
      <c r="D35" s="15">
        <f t="shared" si="0"/>
        <v>0.12090387135684515</v>
      </c>
      <c r="E35" s="14">
        <v>1314503210</v>
      </c>
      <c r="F35" s="15">
        <f t="shared" si="1"/>
        <v>0.1059639410428444</v>
      </c>
      <c r="G35" s="16">
        <v>1188558832</v>
      </c>
      <c r="R35" s="17"/>
    </row>
    <row r="36" spans="1:18" x14ac:dyDescent="0.2">
      <c r="A36" s="12" t="s">
        <v>34</v>
      </c>
      <c r="B36" s="13" t="str">
        <f>'Taxable Value All Property'!B36</f>
        <v>R-Prelim</v>
      </c>
      <c r="C36" s="14">
        <v>552170555</v>
      </c>
      <c r="D36" s="15">
        <f t="shared" si="0"/>
        <v>0.10685888855494928</v>
      </c>
      <c r="E36" s="14">
        <v>498862647</v>
      </c>
      <c r="F36" s="15">
        <f t="shared" si="1"/>
        <v>3.7045149127729313E-2</v>
      </c>
      <c r="G36" s="16">
        <v>481042361</v>
      </c>
      <c r="R36" s="17"/>
    </row>
    <row r="37" spans="1:18" x14ac:dyDescent="0.2">
      <c r="A37" s="12" t="s">
        <v>35</v>
      </c>
      <c r="B37" s="13" t="str">
        <f>'Taxable Value All Property'!B37</f>
        <v>R-Prelim</v>
      </c>
      <c r="C37" s="14">
        <v>256013579</v>
      </c>
      <c r="D37" s="15">
        <f t="shared" si="0"/>
        <v>-4.6801968507180908E-2</v>
      </c>
      <c r="E37" s="14">
        <v>268583831</v>
      </c>
      <c r="F37" s="15">
        <f t="shared" si="1"/>
        <v>3.266150480411633E-2</v>
      </c>
      <c r="G37" s="16">
        <v>260088935</v>
      </c>
      <c r="R37" s="17"/>
    </row>
    <row r="38" spans="1:18" x14ac:dyDescent="0.2">
      <c r="A38" s="12" t="s">
        <v>36</v>
      </c>
      <c r="B38" s="13" t="str">
        <f>'Taxable Value All Property'!B38</f>
        <v>R-Prelim</v>
      </c>
      <c r="C38" s="14">
        <v>77306861</v>
      </c>
      <c r="D38" s="15">
        <f t="shared" si="0"/>
        <v>7.7354069281097212E-2</v>
      </c>
      <c r="E38" s="14">
        <v>71756225</v>
      </c>
      <c r="F38" s="15">
        <f t="shared" si="1"/>
        <v>5.7990716852074943E-2</v>
      </c>
      <c r="G38" s="16">
        <v>67823114</v>
      </c>
      <c r="R38" s="17"/>
    </row>
    <row r="39" spans="1:18" x14ac:dyDescent="0.2">
      <c r="A39" s="12" t="s">
        <v>37</v>
      </c>
      <c r="B39" s="13" t="str">
        <f>'Taxable Value All Property'!B39</f>
        <v>R-Prelim</v>
      </c>
      <c r="C39" s="14">
        <v>2533013751</v>
      </c>
      <c r="D39" s="15">
        <f t="shared" si="0"/>
        <v>0.15230142038075195</v>
      </c>
      <c r="E39" s="14">
        <v>2198221495</v>
      </c>
      <c r="F39" s="15">
        <f t="shared" si="1"/>
        <v>0.10438484445000089</v>
      </c>
      <c r="G39" s="16">
        <v>1990448806</v>
      </c>
      <c r="R39" s="17"/>
    </row>
    <row r="40" spans="1:18" x14ac:dyDescent="0.2">
      <c r="A40" s="12" t="s">
        <v>38</v>
      </c>
      <c r="B40" s="13" t="str">
        <f>'Taxable Value All Property'!B40</f>
        <v>R-Prelim</v>
      </c>
      <c r="C40" s="14">
        <v>7120179880</v>
      </c>
      <c r="D40" s="15">
        <f t="shared" si="0"/>
        <v>6.8318579075415276E-2</v>
      </c>
      <c r="E40" s="14">
        <v>6664847003</v>
      </c>
      <c r="F40" s="15">
        <f t="shared" si="1"/>
        <v>6.6370992924693076E-2</v>
      </c>
      <c r="G40" s="16">
        <v>6250026536</v>
      </c>
      <c r="R40" s="17"/>
    </row>
    <row r="41" spans="1:18" x14ac:dyDescent="0.2">
      <c r="A41" s="12" t="s">
        <v>39</v>
      </c>
      <c r="B41" s="13" t="str">
        <f>'Taxable Value All Property'!B41</f>
        <v>R-Prelim</v>
      </c>
      <c r="C41" s="14">
        <v>1514537009</v>
      </c>
      <c r="D41" s="15">
        <f t="shared" si="0"/>
        <v>-4.3912652007063922E-2</v>
      </c>
      <c r="E41" s="14">
        <v>1584098997</v>
      </c>
      <c r="F41" s="15">
        <f t="shared" si="1"/>
        <v>3.5116604959613704E-2</v>
      </c>
      <c r="G41" s="16">
        <v>1530358019</v>
      </c>
      <c r="R41" s="17"/>
    </row>
    <row r="42" spans="1:18" x14ac:dyDescent="0.2">
      <c r="A42" s="12" t="s">
        <v>40</v>
      </c>
      <c r="B42" s="13" t="str">
        <f>'Taxable Value All Property'!B42</f>
        <v>R-Prelim</v>
      </c>
      <c r="C42" s="14">
        <v>626699696</v>
      </c>
      <c r="D42" s="15">
        <f t="shared" si="0"/>
        <v>0.21293483783415276</v>
      </c>
      <c r="E42" s="14">
        <v>516680432</v>
      </c>
      <c r="F42" s="15">
        <f t="shared" si="1"/>
        <v>0.11745897360665891</v>
      </c>
      <c r="G42" s="16">
        <v>462370829</v>
      </c>
      <c r="R42" s="17"/>
    </row>
    <row r="43" spans="1:18" x14ac:dyDescent="0.2">
      <c r="A43" s="12" t="s">
        <v>41</v>
      </c>
      <c r="B43" s="13" t="str">
        <f>'Taxable Value All Property'!B43</f>
        <v>R-Prelim</v>
      </c>
      <c r="C43" s="14">
        <v>169784585</v>
      </c>
      <c r="D43" s="15">
        <f t="shared" si="0"/>
        <v>-3.2655655833806002E-2</v>
      </c>
      <c r="E43" s="14">
        <v>175516181</v>
      </c>
      <c r="F43" s="15">
        <f t="shared" si="1"/>
        <v>0.10817823404218296</v>
      </c>
      <c r="G43" s="16">
        <v>158382628</v>
      </c>
      <c r="R43" s="17"/>
    </row>
    <row r="44" spans="1:18" x14ac:dyDescent="0.2">
      <c r="A44" s="12" t="s">
        <v>42</v>
      </c>
      <c r="B44" s="13" t="str">
        <f>'Taxable Value All Property'!B44</f>
        <v>R-Prelim</v>
      </c>
      <c r="C44" s="14">
        <v>449326050</v>
      </c>
      <c r="D44" s="15">
        <f t="shared" si="0"/>
        <v>7.9344751528608745E-2</v>
      </c>
      <c r="E44" s="14">
        <v>416295210</v>
      </c>
      <c r="F44" s="15">
        <f t="shared" si="1"/>
        <v>0.16565514048953525</v>
      </c>
      <c r="G44" s="16">
        <v>357134109</v>
      </c>
      <c r="R44" s="17"/>
    </row>
    <row r="45" spans="1:18" x14ac:dyDescent="0.2">
      <c r="A45" s="12" t="s">
        <v>43</v>
      </c>
      <c r="B45" s="13" t="str">
        <f>'Taxable Value All Property'!B45</f>
        <v>R-Prelim</v>
      </c>
      <c r="C45" s="14">
        <v>5070705048</v>
      </c>
      <c r="D45" s="15">
        <f t="shared" si="0"/>
        <v>4.0647836629325251E-2</v>
      </c>
      <c r="E45" s="14">
        <v>4872642665</v>
      </c>
      <c r="F45" s="15">
        <f t="shared" si="1"/>
        <v>9.6097412066215609E-2</v>
      </c>
      <c r="G45" s="16">
        <v>4445446738</v>
      </c>
      <c r="R45" s="17"/>
    </row>
    <row r="46" spans="1:18" x14ac:dyDescent="0.2">
      <c r="A46" s="12" t="s">
        <v>44</v>
      </c>
      <c r="B46" s="13" t="str">
        <f>'Taxable Value All Property'!B46</f>
        <v>R-Prelim</v>
      </c>
      <c r="C46" s="14">
        <v>3086315485</v>
      </c>
      <c r="D46" s="15">
        <f t="shared" si="0"/>
        <v>0.12350648580644188</v>
      </c>
      <c r="E46" s="14">
        <v>2747038423</v>
      </c>
      <c r="F46" s="15">
        <f t="shared" si="1"/>
        <v>6.5903613408029055E-2</v>
      </c>
      <c r="G46" s="16">
        <v>2577192148</v>
      </c>
      <c r="R46" s="17"/>
    </row>
    <row r="47" spans="1:18" x14ac:dyDescent="0.2">
      <c r="A47" s="12" t="s">
        <v>45</v>
      </c>
      <c r="B47" s="13" t="str">
        <f>'Taxable Value All Property'!B47</f>
        <v>R-Prelim</v>
      </c>
      <c r="C47" s="14">
        <v>3643082270</v>
      </c>
      <c r="D47" s="15">
        <f t="shared" si="0"/>
        <v>2.3701561106141706E-2</v>
      </c>
      <c r="E47" s="14">
        <v>3558734702</v>
      </c>
      <c r="F47" s="15">
        <f t="shared" si="1"/>
        <v>1.7989475304906872E-2</v>
      </c>
      <c r="G47" s="16">
        <v>3495846262</v>
      </c>
      <c r="R47" s="17"/>
    </row>
    <row r="48" spans="1:18" x14ac:dyDescent="0.2">
      <c r="A48" s="12" t="s">
        <v>46</v>
      </c>
      <c r="B48" s="13" t="str">
        <f>'Taxable Value All Property'!B48</f>
        <v>R-Prelim</v>
      </c>
      <c r="C48" s="14">
        <v>870513524</v>
      </c>
      <c r="D48" s="15">
        <f t="shared" si="0"/>
        <v>3.2136369162989089E-3</v>
      </c>
      <c r="E48" s="14">
        <v>867724971</v>
      </c>
      <c r="F48" s="15">
        <f t="shared" si="1"/>
        <v>5.6795342190373688E-2</v>
      </c>
      <c r="G48" s="16">
        <v>821090836</v>
      </c>
      <c r="R48" s="17"/>
    </row>
    <row r="49" spans="1:18" x14ac:dyDescent="0.2">
      <c r="A49" s="12" t="s">
        <v>47</v>
      </c>
      <c r="B49" s="13" t="str">
        <f>'Taxable Value All Property'!B49</f>
        <v>R-Prelim</v>
      </c>
      <c r="C49" s="14">
        <v>1204233616</v>
      </c>
      <c r="D49" s="15">
        <f t="shared" si="0"/>
        <v>-1.172223104268655E-2</v>
      </c>
      <c r="E49" s="14">
        <v>1218517358</v>
      </c>
      <c r="F49" s="15">
        <f t="shared" si="1"/>
        <v>4.2562683909266444E-2</v>
      </c>
      <c r="G49" s="16">
        <v>1168771314</v>
      </c>
      <c r="R49" s="17"/>
    </row>
    <row r="50" spans="1:18" x14ac:dyDescent="0.2">
      <c r="A50" s="12" t="s">
        <v>48</v>
      </c>
      <c r="B50" s="13" t="str">
        <f>'Taxable Value All Property'!B50</f>
        <v>R-Prelim</v>
      </c>
      <c r="C50" s="14">
        <v>1404995014</v>
      </c>
      <c r="D50" s="15">
        <f t="shared" si="0"/>
        <v>6.6810076112962538E-2</v>
      </c>
      <c r="E50" s="14">
        <v>1317005759</v>
      </c>
      <c r="F50" s="15">
        <f t="shared" si="1"/>
        <v>0.17409912724030585</v>
      </c>
      <c r="G50" s="16">
        <v>1121715985</v>
      </c>
      <c r="R50" s="17"/>
    </row>
    <row r="51" spans="1:18" x14ac:dyDescent="0.2">
      <c r="A51" s="12" t="s">
        <v>49</v>
      </c>
      <c r="B51" s="13" t="str">
        <f>'Taxable Value All Property'!B51</f>
        <v>R-Prelim</v>
      </c>
      <c r="C51" s="14">
        <v>1691896015</v>
      </c>
      <c r="D51" s="15">
        <f t="shared" si="0"/>
        <v>0.1528489707094981</v>
      </c>
      <c r="E51" s="14">
        <v>1467578198</v>
      </c>
      <c r="F51" s="15">
        <f t="shared" si="1"/>
        <v>9.5790266665164978E-2</v>
      </c>
      <c r="G51" s="16">
        <v>1339287492</v>
      </c>
      <c r="R51" s="17"/>
    </row>
    <row r="52" spans="1:18" x14ac:dyDescent="0.2">
      <c r="A52" s="12" t="s">
        <v>50</v>
      </c>
      <c r="B52" s="13" t="str">
        <f>'Taxable Value All Property'!B52</f>
        <v>R-Prelim</v>
      </c>
      <c r="C52" s="14">
        <v>16025078321</v>
      </c>
      <c r="D52" s="15">
        <f t="shared" si="0"/>
        <v>0.12187061579940986</v>
      </c>
      <c r="E52" s="14">
        <v>14284248197</v>
      </c>
      <c r="F52" s="15">
        <f t="shared" si="1"/>
        <v>3.2832753298444629E-2</v>
      </c>
      <c r="G52" s="16">
        <v>13830165776</v>
      </c>
      <c r="R52" s="17"/>
    </row>
    <row r="53" spans="1:18" x14ac:dyDescent="0.2">
      <c r="A53" s="12" t="s">
        <v>51</v>
      </c>
      <c r="B53" s="13" t="str">
        <f>'Taxable Value All Property'!B53</f>
        <v>R-Prelim</v>
      </c>
      <c r="C53" s="14">
        <v>2436128493</v>
      </c>
      <c r="D53" s="15">
        <f t="shared" si="0"/>
        <v>0.12649961322108277</v>
      </c>
      <c r="E53" s="14">
        <v>2162564873</v>
      </c>
      <c r="F53" s="15">
        <f t="shared" si="1"/>
        <v>0.11874586762223414</v>
      </c>
      <c r="G53" s="16">
        <v>1933026021</v>
      </c>
      <c r="R53" s="17"/>
    </row>
    <row r="54" spans="1:18" x14ac:dyDescent="0.2">
      <c r="A54" s="12" t="s">
        <v>52</v>
      </c>
      <c r="B54" s="13" t="str">
        <f>'Taxable Value All Property'!B54</f>
        <v>R-Prelim</v>
      </c>
      <c r="C54" s="14">
        <v>14711013533</v>
      </c>
      <c r="D54" s="15">
        <f t="shared" si="0"/>
        <v>5.8230889418071433E-2</v>
      </c>
      <c r="E54" s="14">
        <v>13901515898</v>
      </c>
      <c r="F54" s="15">
        <f t="shared" si="1"/>
        <v>3.8757137212622632E-2</v>
      </c>
      <c r="G54" s="16">
        <v>13382835506</v>
      </c>
      <c r="R54" s="17"/>
    </row>
    <row r="55" spans="1:18" x14ac:dyDescent="0.2">
      <c r="A55" s="12" t="s">
        <v>53</v>
      </c>
      <c r="B55" s="13" t="str">
        <f>'Taxable Value All Property'!B55</f>
        <v>R-Prelim</v>
      </c>
      <c r="C55" s="14">
        <v>3092034691</v>
      </c>
      <c r="D55" s="15">
        <f t="shared" si="0"/>
        <v>4.9414444340149022E-2</v>
      </c>
      <c r="E55" s="14">
        <v>2946438090</v>
      </c>
      <c r="F55" s="15">
        <f t="shared" si="1"/>
        <v>8.0609960407188819E-2</v>
      </c>
      <c r="G55" s="16">
        <v>2726643468</v>
      </c>
      <c r="R55" s="17"/>
    </row>
    <row r="56" spans="1:18" x14ac:dyDescent="0.2">
      <c r="A56" s="12" t="s">
        <v>54</v>
      </c>
      <c r="B56" s="13" t="str">
        <f>'Taxable Value All Property'!B56</f>
        <v>R-Prelim</v>
      </c>
      <c r="C56" s="14">
        <v>6626147345</v>
      </c>
      <c r="D56" s="15">
        <f t="shared" si="0"/>
        <v>8.3361764925108148E-2</v>
      </c>
      <c r="E56" s="14">
        <v>6116283184</v>
      </c>
      <c r="F56" s="15">
        <f t="shared" si="1"/>
        <v>4.2810130051757295E-2</v>
      </c>
      <c r="G56" s="16">
        <v>5865193488</v>
      </c>
      <c r="R56" s="17"/>
    </row>
    <row r="57" spans="1:18" x14ac:dyDescent="0.2">
      <c r="A57" s="12" t="s">
        <v>55</v>
      </c>
      <c r="B57" s="13" t="str">
        <f>'Taxable Value All Property'!B57</f>
        <v>R-Prelim</v>
      </c>
      <c r="C57" s="14">
        <v>7533185487</v>
      </c>
      <c r="D57" s="15">
        <f t="shared" si="0"/>
        <v>-5.0966536701423865E-3</v>
      </c>
      <c r="E57" s="14">
        <v>7571776208</v>
      </c>
      <c r="F57" s="15">
        <f t="shared" si="1"/>
        <v>-2.7562112159035079E-3</v>
      </c>
      <c r="G57" s="16">
        <v>7592703302</v>
      </c>
      <c r="R57" s="17"/>
    </row>
    <row r="58" spans="1:18" x14ac:dyDescent="0.2">
      <c r="A58" s="12" t="s">
        <v>56</v>
      </c>
      <c r="B58" s="13" t="str">
        <f>'Taxable Value All Property'!B58</f>
        <v>R-Prelim</v>
      </c>
      <c r="C58" s="14">
        <v>2608340246</v>
      </c>
      <c r="D58" s="15">
        <f t="shared" si="0"/>
        <v>5.0188546318923749E-2</v>
      </c>
      <c r="E58" s="14">
        <v>2483687577</v>
      </c>
      <c r="F58" s="15">
        <f t="shared" si="1"/>
        <v>-3.4177786971387646E-2</v>
      </c>
      <c r="G58" s="16">
        <v>2571578437</v>
      </c>
      <c r="R58" s="17"/>
    </row>
    <row r="59" spans="1:18" x14ac:dyDescent="0.2">
      <c r="A59" s="12" t="s">
        <v>2</v>
      </c>
      <c r="B59" s="13" t="str">
        <f>'Taxable Value All Property'!B59</f>
        <v>R-Prelim</v>
      </c>
      <c r="C59" s="14">
        <v>2159376362</v>
      </c>
      <c r="D59" s="15">
        <f t="shared" si="0"/>
        <v>8.5499902975032308E-2</v>
      </c>
      <c r="E59" s="14">
        <v>1989292082</v>
      </c>
      <c r="F59" s="15">
        <f t="shared" si="1"/>
        <v>9.3385203151949731E-2</v>
      </c>
      <c r="G59" s="16">
        <v>1819388150</v>
      </c>
      <c r="R59" s="17"/>
    </row>
    <row r="60" spans="1:18" x14ac:dyDescent="0.2">
      <c r="A60" s="12" t="s">
        <v>3</v>
      </c>
      <c r="B60" s="13" t="str">
        <f>'Taxable Value All Property'!B60</f>
        <v>R-Prelim</v>
      </c>
      <c r="C60" s="14">
        <v>5272249040</v>
      </c>
      <c r="D60" s="15">
        <f t="shared" si="0"/>
        <v>8.7844327632424765E-2</v>
      </c>
      <c r="E60" s="14">
        <v>4846510577</v>
      </c>
      <c r="F60" s="15">
        <f t="shared" si="1"/>
        <v>0.10709189274847004</v>
      </c>
      <c r="G60" s="16">
        <v>4377694940</v>
      </c>
      <c r="R60" s="17"/>
    </row>
    <row r="61" spans="1:18" x14ac:dyDescent="0.2">
      <c r="A61" s="12" t="s">
        <v>57</v>
      </c>
      <c r="B61" s="13" t="str">
        <f>'Taxable Value All Property'!B61</f>
        <v>R-Prelim</v>
      </c>
      <c r="C61" s="14">
        <v>1186037956</v>
      </c>
      <c r="D61" s="15">
        <f t="shared" si="0"/>
        <v>0.14468674376334276</v>
      </c>
      <c r="E61" s="14">
        <v>1036124479</v>
      </c>
      <c r="F61" s="15">
        <f t="shared" si="1"/>
        <v>1.2117800816626821E-2</v>
      </c>
      <c r="G61" s="16">
        <v>1023719253</v>
      </c>
      <c r="R61" s="17"/>
    </row>
    <row r="62" spans="1:18" x14ac:dyDescent="0.2">
      <c r="A62" s="12" t="s">
        <v>58</v>
      </c>
      <c r="B62" s="13" t="str">
        <f>'Taxable Value All Property'!B62</f>
        <v>R-Prelim</v>
      </c>
      <c r="C62" s="14">
        <v>3489892185</v>
      </c>
      <c r="D62" s="15">
        <f t="shared" si="0"/>
        <v>0.11589647937268124</v>
      </c>
      <c r="E62" s="14">
        <v>3127433637</v>
      </c>
      <c r="F62" s="15">
        <f t="shared" si="1"/>
        <v>4.7438032276224382E-2</v>
      </c>
      <c r="G62" s="16">
        <v>2985793470</v>
      </c>
      <c r="R62" s="17"/>
    </row>
    <row r="63" spans="1:18" x14ac:dyDescent="0.2">
      <c r="A63" s="12" t="s">
        <v>59</v>
      </c>
      <c r="B63" s="13" t="str">
        <f>'Taxable Value All Property'!B63</f>
        <v>R-Prelim</v>
      </c>
      <c r="C63" s="14">
        <v>3069803784</v>
      </c>
      <c r="D63" s="15">
        <f t="shared" si="0"/>
        <v>7.7521289424086259E-2</v>
      </c>
      <c r="E63" s="14">
        <v>2848949542</v>
      </c>
      <c r="F63" s="15">
        <f t="shared" si="1"/>
        <v>2.6171986650717582E-2</v>
      </c>
      <c r="G63" s="16">
        <v>2776288555</v>
      </c>
      <c r="R63" s="17"/>
    </row>
    <row r="64" spans="1:18" x14ac:dyDescent="0.2">
      <c r="A64" s="12" t="s">
        <v>60</v>
      </c>
      <c r="B64" s="13" t="str">
        <f>'Taxable Value All Property'!B64</f>
        <v>R-Prelim</v>
      </c>
      <c r="C64" s="14">
        <v>1809034855</v>
      </c>
      <c r="D64" s="15">
        <f t="shared" si="0"/>
        <v>0.11086080790118097</v>
      </c>
      <c r="E64" s="14">
        <v>1628498226</v>
      </c>
      <c r="F64" s="15">
        <f t="shared" si="1"/>
        <v>9.4094513588859466E-2</v>
      </c>
      <c r="G64" s="16">
        <v>1488443828</v>
      </c>
      <c r="R64" s="17"/>
    </row>
    <row r="65" spans="1:18" x14ac:dyDescent="0.2">
      <c r="A65" s="12" t="s">
        <v>61</v>
      </c>
      <c r="B65" s="13" t="str">
        <f>'Taxable Value All Property'!B65</f>
        <v>R-Prelim</v>
      </c>
      <c r="C65" s="14">
        <v>1111977613</v>
      </c>
      <c r="D65" s="15">
        <f t="shared" si="0"/>
        <v>6.2695756968596467E-3</v>
      </c>
      <c r="E65" s="14">
        <v>1105049422</v>
      </c>
      <c r="F65" s="15">
        <f t="shared" si="1"/>
        <v>0.13692819974228462</v>
      </c>
      <c r="G65" s="16">
        <v>971960606</v>
      </c>
      <c r="R65" s="17"/>
    </row>
    <row r="66" spans="1:18" x14ac:dyDescent="0.2">
      <c r="A66" s="12" t="s">
        <v>62</v>
      </c>
      <c r="B66" s="13" t="str">
        <f>'Taxable Value All Property'!B66</f>
        <v>R-Prelim</v>
      </c>
      <c r="C66" s="14">
        <v>394583532</v>
      </c>
      <c r="D66" s="15">
        <f t="shared" si="0"/>
        <v>-9.7924156611959107E-2</v>
      </c>
      <c r="E66" s="14">
        <v>437417247</v>
      </c>
      <c r="F66" s="15">
        <f t="shared" si="1"/>
        <v>-0.41671009364826256</v>
      </c>
      <c r="G66" s="16">
        <v>749913966</v>
      </c>
      <c r="R66" s="17"/>
    </row>
    <row r="67" spans="1:18" x14ac:dyDescent="0.2">
      <c r="A67" s="12" t="s">
        <v>63</v>
      </c>
      <c r="B67" s="13" t="str">
        <f>'Taxable Value All Property'!B67</f>
        <v>R-Prelim</v>
      </c>
      <c r="C67" s="14">
        <v>86356099</v>
      </c>
      <c r="D67" s="15">
        <f t="shared" si="0"/>
        <v>-5.0603325635243064E-2</v>
      </c>
      <c r="E67" s="14">
        <v>90958923</v>
      </c>
      <c r="F67" s="15">
        <f t="shared" si="1"/>
        <v>-4.838712681027766E-2</v>
      </c>
      <c r="G67" s="16">
        <v>95583956</v>
      </c>
      <c r="R67" s="17"/>
    </row>
    <row r="68" spans="1:18" x14ac:dyDescent="0.2">
      <c r="A68" s="12" t="s">
        <v>64</v>
      </c>
      <c r="B68" s="13" t="str">
        <f>'Taxable Value All Property'!B68</f>
        <v>R-Prelim</v>
      </c>
      <c r="C68" s="14">
        <v>4969052786</v>
      </c>
      <c r="D68" s="15">
        <f t="shared" si="0"/>
        <v>0.10775940166361402</v>
      </c>
      <c r="E68" s="14">
        <v>4485678730</v>
      </c>
      <c r="F68" s="15">
        <f t="shared" si="1"/>
        <v>5.7129023577469892E-2</v>
      </c>
      <c r="G68" s="16">
        <v>4243265136</v>
      </c>
      <c r="R68" s="17"/>
    </row>
    <row r="69" spans="1:18" x14ac:dyDescent="0.2">
      <c r="A69" s="12" t="s">
        <v>65</v>
      </c>
      <c r="B69" s="13" t="str">
        <f>'Taxable Value All Property'!B69</f>
        <v>R-Prelim</v>
      </c>
      <c r="C69" s="14">
        <v>217852102</v>
      </c>
      <c r="D69" s="15">
        <f t="shared" si="0"/>
        <v>-0.10916640239744255</v>
      </c>
      <c r="E69" s="14">
        <v>244548592</v>
      </c>
      <c r="F69" s="15">
        <f t="shared" si="1"/>
        <v>7.9132926726531827E-2</v>
      </c>
      <c r="G69" s="16">
        <v>226615819</v>
      </c>
      <c r="R69" s="17"/>
    </row>
    <row r="70" spans="1:18" x14ac:dyDescent="0.2">
      <c r="A70" s="12" t="s">
        <v>66</v>
      </c>
      <c r="B70" s="13" t="str">
        <f>'Taxable Value All Property'!B70</f>
        <v>R-Prelim</v>
      </c>
      <c r="C70" s="14">
        <v>1045968042</v>
      </c>
      <c r="D70" s="15">
        <f>((C70-E70)/E70)</f>
        <v>9.9216569144279163E-2</v>
      </c>
      <c r="E70" s="14">
        <v>951557747</v>
      </c>
      <c r="F70" s="15">
        <f>((E70-G70)/G70)</f>
        <v>0.15457876785456351</v>
      </c>
      <c r="G70" s="16">
        <v>824160095</v>
      </c>
      <c r="R70" s="17"/>
    </row>
    <row r="71" spans="1:18" x14ac:dyDescent="0.2">
      <c r="A71" s="12" t="s">
        <v>67</v>
      </c>
      <c r="B71" s="13" t="str">
        <f>'Taxable Value All Property'!B71</f>
        <v>R-Prelim</v>
      </c>
      <c r="C71" s="14">
        <v>368293543</v>
      </c>
      <c r="D71" s="15">
        <f>((C71-E71)/E71)</f>
        <v>0.14518948844881713</v>
      </c>
      <c r="E71" s="14">
        <v>321600527</v>
      </c>
      <c r="F71" s="15">
        <f>((E71-G71)/G71)</f>
        <v>6.3146610097133751E-2</v>
      </c>
      <c r="G71" s="16">
        <v>302498756</v>
      </c>
      <c r="R71" s="17"/>
    </row>
    <row r="72" spans="1:18" x14ac:dyDescent="0.2">
      <c r="A72" s="18"/>
      <c r="B72" s="19"/>
      <c r="C72" s="14"/>
      <c r="D72" s="20"/>
      <c r="E72" s="14"/>
      <c r="F72" s="20"/>
      <c r="G72" s="16"/>
      <c r="R72" s="17"/>
    </row>
    <row r="73" spans="1:18" ht="15.75" thickBot="1" x14ac:dyDescent="0.3">
      <c r="A73" s="21" t="s">
        <v>68</v>
      </c>
      <c r="B73" s="22"/>
      <c r="C73" s="23">
        <f>SUM(C5:C71)</f>
        <v>199442821246</v>
      </c>
      <c r="D73" s="24">
        <f>((C73-E73)/E73)</f>
        <v>5.6015348720797969E-2</v>
      </c>
      <c r="E73" s="23">
        <f>SUM(E5:E71)</f>
        <v>188863562909</v>
      </c>
      <c r="F73" s="24">
        <f>((E73-G73)/G73)</f>
        <v>5.0736675118344031E-2</v>
      </c>
      <c r="G73" s="25">
        <f>SUM(G5:G71)</f>
        <v>179743952392</v>
      </c>
      <c r="R73" s="17"/>
    </row>
    <row r="74" spans="1:18" x14ac:dyDescent="0.2">
      <c r="R74" s="17"/>
    </row>
    <row r="75" spans="1:18" x14ac:dyDescent="0.2">
      <c r="A75" s="26" t="s">
        <v>90</v>
      </c>
      <c r="R75" s="17"/>
    </row>
    <row r="76" spans="1:18" x14ac:dyDescent="0.2">
      <c r="C76" s="17"/>
      <c r="E76" s="17"/>
      <c r="G76" s="17"/>
    </row>
  </sheetData>
  <phoneticPr fontId="1" type="noConversion"/>
  <conditionalFormatting sqref="A75">
    <cfRule type="expression" dxfId="4" priority="2" stopIfTrue="1">
      <formula>MOD(ROW(),5)=1</formula>
    </cfRule>
  </conditionalFormatting>
  <conditionalFormatting sqref="A4:G73">
    <cfRule type="expression" dxfId="3" priority="1" stopIfTrue="1">
      <formula>MOD(ROW(),3)=1</formula>
    </cfRule>
  </conditionalFormatting>
  <pageMargins left="0.7" right="0.7" top="0.5" bottom="0.5" header="0.05" footer="0.05"/>
  <pageSetup scale="77" orientation="portrait" r:id="rId1"/>
  <rowBreaks count="1" manualBreakCount="1">
    <brk id="37" max="8" man="1"/>
  </rowBreaks>
  <ignoredErrors>
    <ignoredError sqref="D73:F7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76"/>
  <sheetViews>
    <sheetView zoomScaleNormal="100" zoomScaleSheetLayoutView="100" workbookViewId="0">
      <pane ySplit="4" topLeftCell="A5" activePane="bottomLeft" state="frozen"/>
      <selection sqref="A1:XFD1048576"/>
      <selection pane="bottomLeft" activeCell="N42" sqref="N42"/>
    </sheetView>
  </sheetViews>
  <sheetFormatPr defaultRowHeight="14.25" x14ac:dyDescent="0.2"/>
  <cols>
    <col min="1" max="1" width="17.7109375" style="2" customWidth="1"/>
    <col min="2" max="2" width="9.28515625" style="11" bestFit="1" customWidth="1"/>
    <col min="3" max="3" width="18.7109375" style="2" customWidth="1"/>
    <col min="4" max="4" width="16.42578125" style="11" bestFit="1" customWidth="1"/>
    <col min="5" max="5" width="18.7109375" style="2" customWidth="1"/>
    <col min="6" max="6" width="16.42578125" style="11" bestFit="1" customWidth="1"/>
    <col min="7" max="7" width="18.7109375" style="2" customWidth="1"/>
    <col min="8" max="9" width="9.140625" style="2"/>
    <col min="10" max="16" width="9.140625" style="39"/>
    <col min="17" max="16384" width="9.140625" style="2"/>
  </cols>
  <sheetData>
    <row r="1" spans="1:18" ht="23.25" x14ac:dyDescent="0.35">
      <c r="A1" s="7" t="s">
        <v>73</v>
      </c>
      <c r="B1" s="8"/>
      <c r="C1" s="9"/>
      <c r="D1" s="8"/>
      <c r="E1" s="9"/>
      <c r="F1" s="8"/>
      <c r="G1" s="9"/>
    </row>
    <row r="2" spans="1:18" ht="15" x14ac:dyDescent="0.25">
      <c r="A2" s="10" t="s">
        <v>91</v>
      </c>
      <c r="B2" s="10"/>
      <c r="C2" s="10"/>
      <c r="D2" s="10"/>
      <c r="E2" s="10"/>
      <c r="F2" s="10"/>
      <c r="G2" s="10"/>
      <c r="J2" s="41"/>
    </row>
    <row r="3" spans="1:18" s="39" customFormat="1" ht="15" thickBot="1" x14ac:dyDescent="0.25">
      <c r="B3" s="40"/>
      <c r="D3" s="40"/>
      <c r="F3" s="40"/>
      <c r="J3" s="41"/>
    </row>
    <row r="4" spans="1:18" s="36" customFormat="1" ht="25.5" x14ac:dyDescent="0.2">
      <c r="A4" s="33" t="s">
        <v>0</v>
      </c>
      <c r="B4" s="34" t="s">
        <v>1</v>
      </c>
      <c r="C4" s="37" t="s">
        <v>92</v>
      </c>
      <c r="D4" s="37" t="s">
        <v>93</v>
      </c>
      <c r="E4" s="37" t="s">
        <v>83</v>
      </c>
      <c r="F4" s="37" t="s">
        <v>84</v>
      </c>
      <c r="G4" s="38" t="s">
        <v>82</v>
      </c>
      <c r="J4" s="41"/>
      <c r="K4" s="42"/>
      <c r="L4" s="42"/>
      <c r="M4" s="42"/>
      <c r="N4" s="42"/>
      <c r="O4" s="42"/>
      <c r="P4" s="42"/>
    </row>
    <row r="5" spans="1:18" x14ac:dyDescent="0.2">
      <c r="A5" s="12" t="s">
        <v>4</v>
      </c>
      <c r="B5" s="13" t="str">
        <f>'Taxable Value All Property'!B5</f>
        <v>R-Prelim</v>
      </c>
      <c r="C5" s="14">
        <v>34303595</v>
      </c>
      <c r="D5" s="15">
        <f>((C5-E5)/E5)</f>
        <v>4.9190760201371711E-3</v>
      </c>
      <c r="E5" s="14">
        <v>34135679</v>
      </c>
      <c r="F5" s="15">
        <f>((E5-G5)/G5)</f>
        <v>5.1015528364723797E-2</v>
      </c>
      <c r="G5" s="16">
        <v>32478758</v>
      </c>
    </row>
    <row r="6" spans="1:18" x14ac:dyDescent="0.2">
      <c r="A6" s="12" t="s">
        <v>5</v>
      </c>
      <c r="B6" s="13" t="str">
        <f>'Taxable Value All Property'!B6</f>
        <v>R-Prelim</v>
      </c>
      <c r="C6" s="14">
        <v>12935918</v>
      </c>
      <c r="D6" s="15">
        <f t="shared" ref="D6:D68" si="0">((C6-E6)/E6)</f>
        <v>8.2764549113091695E-2</v>
      </c>
      <c r="E6" s="14">
        <v>11947120</v>
      </c>
      <c r="F6" s="15">
        <f t="shared" ref="F6:F68" si="1">((E6-G6)/G6)</f>
        <v>-0.17677020019366757</v>
      </c>
      <c r="G6" s="16">
        <v>14512497</v>
      </c>
    </row>
    <row r="7" spans="1:18" x14ac:dyDescent="0.2">
      <c r="A7" s="12" t="s">
        <v>6</v>
      </c>
      <c r="B7" s="13" t="str">
        <f>'Taxable Value All Property'!B7</f>
        <v>R-Prelim</v>
      </c>
      <c r="C7" s="14">
        <v>30048586</v>
      </c>
      <c r="D7" s="15">
        <f t="shared" si="0"/>
        <v>9.0446387340791412E-2</v>
      </c>
      <c r="E7" s="14">
        <v>27556225</v>
      </c>
      <c r="F7" s="15">
        <f t="shared" si="1"/>
        <v>-0.19350797955526056</v>
      </c>
      <c r="G7" s="16">
        <v>34168007</v>
      </c>
      <c r="R7" s="17"/>
    </row>
    <row r="8" spans="1:18" x14ac:dyDescent="0.2">
      <c r="A8" s="12" t="s">
        <v>7</v>
      </c>
      <c r="B8" s="13" t="str">
        <f>'Taxable Value All Property'!B8</f>
        <v>R-Prelim</v>
      </c>
      <c r="C8" s="14">
        <v>19011301</v>
      </c>
      <c r="D8" s="15">
        <f t="shared" si="0"/>
        <v>1.5043560595341841E-2</v>
      </c>
      <c r="E8" s="14">
        <v>18729542</v>
      </c>
      <c r="F8" s="15">
        <f t="shared" si="1"/>
        <v>5.3355534014261199E-2</v>
      </c>
      <c r="G8" s="16">
        <v>17780836</v>
      </c>
      <c r="R8" s="17"/>
    </row>
    <row r="9" spans="1:18" x14ac:dyDescent="0.2">
      <c r="A9" s="12" t="s">
        <v>8</v>
      </c>
      <c r="B9" s="13" t="str">
        <f>'Taxable Value All Property'!B9</f>
        <v>R-Prelim</v>
      </c>
      <c r="C9" s="14">
        <v>133170242</v>
      </c>
      <c r="D9" s="15">
        <f t="shared" si="0"/>
        <v>-7.7180697842906695E-2</v>
      </c>
      <c r="E9" s="14">
        <v>144308037</v>
      </c>
      <c r="F9" s="15">
        <f t="shared" si="1"/>
        <v>-5.3087088230303909E-3</v>
      </c>
      <c r="G9" s="16">
        <v>145078215</v>
      </c>
      <c r="R9" s="17"/>
    </row>
    <row r="10" spans="1:18" x14ac:dyDescent="0.2">
      <c r="A10" s="12" t="s">
        <v>9</v>
      </c>
      <c r="B10" s="13" t="str">
        <f>'Taxable Value All Property'!B10</f>
        <v>R-Prelim</v>
      </c>
      <c r="C10" s="14">
        <v>102997418</v>
      </c>
      <c r="D10" s="15">
        <f t="shared" si="0"/>
        <v>-8.0979529064260231E-2</v>
      </c>
      <c r="E10" s="14">
        <v>112073040</v>
      </c>
      <c r="F10" s="15">
        <f t="shared" si="1"/>
        <v>1.5108254187697075E-2</v>
      </c>
      <c r="G10" s="16">
        <v>110405013</v>
      </c>
      <c r="R10" s="17"/>
    </row>
    <row r="11" spans="1:18" x14ac:dyDescent="0.2">
      <c r="A11" s="12" t="s">
        <v>10</v>
      </c>
      <c r="B11" s="13" t="str">
        <f>'Taxable Value All Property'!B11</f>
        <v>R-Prelim</v>
      </c>
      <c r="C11" s="14"/>
      <c r="D11" s="15" t="s">
        <v>79</v>
      </c>
      <c r="E11" s="14"/>
      <c r="F11" s="15" t="s">
        <v>79</v>
      </c>
      <c r="G11" s="16"/>
      <c r="R11" s="17"/>
    </row>
    <row r="12" spans="1:18" x14ac:dyDescent="0.2">
      <c r="A12" s="12" t="s">
        <v>11</v>
      </c>
      <c r="B12" s="13" t="str">
        <f>'Taxable Value All Property'!B12</f>
        <v>R-Prelim</v>
      </c>
      <c r="C12" s="14">
        <v>2569215</v>
      </c>
      <c r="D12" s="15">
        <f t="shared" si="0"/>
        <v>-5.4644969597733399E-2</v>
      </c>
      <c r="E12" s="14">
        <v>2717725</v>
      </c>
      <c r="F12" s="15">
        <f t="shared" si="1"/>
        <v>-2.2522384811956789E-2</v>
      </c>
      <c r="G12" s="16">
        <v>2780345</v>
      </c>
      <c r="R12" s="17"/>
    </row>
    <row r="13" spans="1:18" x14ac:dyDescent="0.2">
      <c r="A13" s="12" t="s">
        <v>12</v>
      </c>
      <c r="B13" s="13" t="str">
        <f>'Taxable Value All Property'!B13</f>
        <v>R-Prelim</v>
      </c>
      <c r="C13" s="14">
        <v>952202</v>
      </c>
      <c r="D13" s="15">
        <f t="shared" si="0"/>
        <v>-0.17038881517099694</v>
      </c>
      <c r="E13" s="14">
        <v>1147769</v>
      </c>
      <c r="F13" s="15">
        <f t="shared" si="1"/>
        <v>0.11990683778280167</v>
      </c>
      <c r="G13" s="16">
        <v>1024879</v>
      </c>
      <c r="R13" s="17"/>
    </row>
    <row r="14" spans="1:18" x14ac:dyDescent="0.2">
      <c r="A14" s="12" t="s">
        <v>13</v>
      </c>
      <c r="B14" s="13" t="str">
        <f>'Taxable Value All Property'!B14</f>
        <v>R-Prelim</v>
      </c>
      <c r="C14" s="14">
        <v>34476820</v>
      </c>
      <c r="D14" s="15">
        <f t="shared" si="0"/>
        <v>4.8399120516353783E-2</v>
      </c>
      <c r="E14" s="14">
        <v>32885205</v>
      </c>
      <c r="F14" s="15">
        <f t="shared" si="1"/>
        <v>1.0397182805936451</v>
      </c>
      <c r="G14" s="16">
        <v>16122425</v>
      </c>
      <c r="R14" s="17"/>
    </row>
    <row r="15" spans="1:18" x14ac:dyDescent="0.2">
      <c r="A15" s="12" t="s">
        <v>14</v>
      </c>
      <c r="B15" s="13" t="str">
        <f>'Taxable Value All Property'!B15</f>
        <v>R-Prelim</v>
      </c>
      <c r="C15" s="14">
        <v>89915</v>
      </c>
      <c r="D15" s="15">
        <f t="shared" si="0"/>
        <v>0.10493265827762485</v>
      </c>
      <c r="E15" s="14">
        <v>81376</v>
      </c>
      <c r="F15" s="15">
        <f t="shared" si="1"/>
        <v>2.945635160284457E-3</v>
      </c>
      <c r="G15" s="16">
        <v>81137</v>
      </c>
      <c r="R15" s="17"/>
    </row>
    <row r="16" spans="1:18" x14ac:dyDescent="0.2">
      <c r="A16" s="12" t="s">
        <v>15</v>
      </c>
      <c r="B16" s="13" t="str">
        <f>'Taxable Value All Property'!B16</f>
        <v>R-Prelim</v>
      </c>
      <c r="C16" s="14">
        <v>12811609</v>
      </c>
      <c r="D16" s="15">
        <f t="shared" si="0"/>
        <v>8.3918605482450295E-2</v>
      </c>
      <c r="E16" s="14">
        <v>11819715</v>
      </c>
      <c r="F16" s="15">
        <f t="shared" si="1"/>
        <v>-0.19290538533551568</v>
      </c>
      <c r="G16" s="16">
        <v>14644770</v>
      </c>
      <c r="R16" s="17"/>
    </row>
    <row r="17" spans="1:18" x14ac:dyDescent="0.2">
      <c r="A17" s="12" t="s">
        <v>78</v>
      </c>
      <c r="B17" s="13" t="str">
        <f>'Taxable Value All Property'!B17</f>
        <v>R-Prelim</v>
      </c>
      <c r="C17" s="14">
        <v>193946998</v>
      </c>
      <c r="D17" s="15">
        <f t="shared" si="0"/>
        <v>-9.0104590941191609E-2</v>
      </c>
      <c r="E17" s="14">
        <v>213153068</v>
      </c>
      <c r="F17" s="15">
        <f t="shared" si="1"/>
        <v>3.6791527610173331E-3</v>
      </c>
      <c r="G17" s="16">
        <v>212371720</v>
      </c>
      <c r="R17" s="17"/>
    </row>
    <row r="18" spans="1:18" x14ac:dyDescent="0.2">
      <c r="A18" s="12" t="s">
        <v>16</v>
      </c>
      <c r="B18" s="13" t="str">
        <f>'Taxable Value All Property'!B18</f>
        <v>R-Prelim</v>
      </c>
      <c r="C18" s="14">
        <v>4188494</v>
      </c>
      <c r="D18" s="15">
        <f t="shared" si="0"/>
        <v>-1.5055550617304854E-2</v>
      </c>
      <c r="E18" s="14">
        <v>4252518</v>
      </c>
      <c r="F18" s="15">
        <f t="shared" si="1"/>
        <v>1.5742327147184203E-2</v>
      </c>
      <c r="G18" s="16">
        <v>4186611</v>
      </c>
      <c r="R18" s="17"/>
    </row>
    <row r="19" spans="1:18" x14ac:dyDescent="0.2">
      <c r="A19" s="12" t="s">
        <v>17</v>
      </c>
      <c r="B19" s="13" t="str">
        <f>'Taxable Value All Property'!B19</f>
        <v>R-Prelim</v>
      </c>
      <c r="C19" s="14"/>
      <c r="D19" s="15" t="s">
        <v>79</v>
      </c>
      <c r="E19" s="14"/>
      <c r="F19" s="15" t="s">
        <v>79</v>
      </c>
      <c r="G19" s="16"/>
      <c r="R19" s="17"/>
    </row>
    <row r="20" spans="1:18" x14ac:dyDescent="0.2">
      <c r="A20" s="12" t="s">
        <v>18</v>
      </c>
      <c r="B20" s="13" t="str">
        <f>'Taxable Value All Property'!B20</f>
        <v>R-Prelim</v>
      </c>
      <c r="C20" s="14">
        <v>224878009</v>
      </c>
      <c r="D20" s="15">
        <f t="shared" si="0"/>
        <v>1.9980241835338072E-2</v>
      </c>
      <c r="E20" s="14">
        <v>220472907</v>
      </c>
      <c r="F20" s="15">
        <f t="shared" si="1"/>
        <v>1.4809599175930419E-2</v>
      </c>
      <c r="G20" s="16">
        <v>217255441</v>
      </c>
      <c r="R20" s="17"/>
    </row>
    <row r="21" spans="1:18" x14ac:dyDescent="0.2">
      <c r="A21" s="12" t="s">
        <v>19</v>
      </c>
      <c r="B21" s="13" t="str">
        <f>'Taxable Value All Property'!B21</f>
        <v>R-Prelim</v>
      </c>
      <c r="C21" s="14">
        <v>32777979</v>
      </c>
      <c r="D21" s="15">
        <f t="shared" si="0"/>
        <v>2.5282213190280026E-3</v>
      </c>
      <c r="E21" s="14">
        <v>32695318</v>
      </c>
      <c r="F21" s="15">
        <f t="shared" si="1"/>
        <v>4.7156393520203531E-2</v>
      </c>
      <c r="G21" s="16">
        <v>31222956</v>
      </c>
      <c r="R21" s="17"/>
    </row>
    <row r="22" spans="1:18" x14ac:dyDescent="0.2">
      <c r="A22" s="12" t="s">
        <v>20</v>
      </c>
      <c r="B22" s="13" t="str">
        <f>'Taxable Value All Property'!B22</f>
        <v>R-Prelim</v>
      </c>
      <c r="C22" s="14">
        <v>22985158</v>
      </c>
      <c r="D22" s="15">
        <f t="shared" si="0"/>
        <v>-1.1844330331914414E-2</v>
      </c>
      <c r="E22" s="14">
        <v>23260665</v>
      </c>
      <c r="F22" s="15">
        <f t="shared" si="1"/>
        <v>-1.8212606270909606E-2</v>
      </c>
      <c r="G22" s="16">
        <v>23692161</v>
      </c>
      <c r="R22" s="17"/>
    </row>
    <row r="23" spans="1:18" x14ac:dyDescent="0.2">
      <c r="A23" s="12" t="s">
        <v>21</v>
      </c>
      <c r="B23" s="13" t="str">
        <f>'Taxable Value All Property'!B23</f>
        <v>R-Prelim</v>
      </c>
      <c r="C23" s="14"/>
      <c r="D23" s="15" t="s">
        <v>79</v>
      </c>
      <c r="E23" s="14"/>
      <c r="F23" s="15">
        <f t="shared" si="1"/>
        <v>-1</v>
      </c>
      <c r="G23" s="16">
        <v>606482</v>
      </c>
      <c r="R23" s="17"/>
    </row>
    <row r="24" spans="1:18" x14ac:dyDescent="0.2">
      <c r="A24" s="12" t="s">
        <v>22</v>
      </c>
      <c r="B24" s="13" t="str">
        <f>'Taxable Value All Property'!B24</f>
        <v>R-Prelim</v>
      </c>
      <c r="C24" s="14">
        <v>9718016</v>
      </c>
      <c r="D24" s="15">
        <f t="shared" si="0"/>
        <v>7.9223635469551468E-2</v>
      </c>
      <c r="E24" s="14">
        <v>9004636</v>
      </c>
      <c r="F24" s="15">
        <f t="shared" si="1"/>
        <v>0.16513842546364485</v>
      </c>
      <c r="G24" s="16">
        <v>7728383</v>
      </c>
      <c r="R24" s="17"/>
    </row>
    <row r="25" spans="1:18" x14ac:dyDescent="0.2">
      <c r="A25" s="12" t="s">
        <v>23</v>
      </c>
      <c r="B25" s="13" t="str">
        <f>'Taxable Value All Property'!B25</f>
        <v>R-Prelim</v>
      </c>
      <c r="C25" s="14"/>
      <c r="D25" s="15" t="s">
        <v>79</v>
      </c>
      <c r="E25" s="14"/>
      <c r="F25" s="15" t="s">
        <v>79</v>
      </c>
      <c r="G25" s="16"/>
      <c r="R25" s="17"/>
    </row>
    <row r="26" spans="1:18" x14ac:dyDescent="0.2">
      <c r="A26" s="12" t="s">
        <v>24</v>
      </c>
      <c r="B26" s="13" t="str">
        <f>'Taxable Value All Property'!B26</f>
        <v>R-Prelim</v>
      </c>
      <c r="C26" s="14">
        <v>14004551</v>
      </c>
      <c r="D26" s="15">
        <f t="shared" si="0"/>
        <v>5.2818686330336755E-2</v>
      </c>
      <c r="E26" s="14">
        <v>13301959</v>
      </c>
      <c r="F26" s="15">
        <f t="shared" si="1"/>
        <v>-0.11779818141977232</v>
      </c>
      <c r="G26" s="16">
        <v>15078136</v>
      </c>
      <c r="R26" s="17"/>
    </row>
    <row r="27" spans="1:18" x14ac:dyDescent="0.2">
      <c r="A27" s="12" t="s">
        <v>25</v>
      </c>
      <c r="B27" s="13" t="str">
        <f>'Taxable Value All Property'!B27</f>
        <v>R-Prelim</v>
      </c>
      <c r="C27" s="14"/>
      <c r="D27" s="15" t="s">
        <v>79</v>
      </c>
      <c r="E27" s="14"/>
      <c r="F27" s="15">
        <f t="shared" si="1"/>
        <v>-1</v>
      </c>
      <c r="G27" s="16">
        <v>514934</v>
      </c>
      <c r="R27" s="17"/>
    </row>
    <row r="28" spans="1:18" x14ac:dyDescent="0.2">
      <c r="A28" s="12" t="s">
        <v>26</v>
      </c>
      <c r="B28" s="13" t="str">
        <f>'Taxable Value All Property'!B28</f>
        <v>R-Prelim</v>
      </c>
      <c r="C28" s="14">
        <v>21586919</v>
      </c>
      <c r="D28" s="15">
        <f t="shared" si="0"/>
        <v>8.7249273695419377E-2</v>
      </c>
      <c r="E28" s="14">
        <v>19854618</v>
      </c>
      <c r="F28" s="15">
        <f t="shared" si="1"/>
        <v>-0.26154527645814607</v>
      </c>
      <c r="G28" s="16">
        <v>26886710</v>
      </c>
      <c r="R28" s="17"/>
    </row>
    <row r="29" spans="1:18" x14ac:dyDescent="0.2">
      <c r="A29" s="12" t="s">
        <v>27</v>
      </c>
      <c r="B29" s="13" t="str">
        <f>'Taxable Value All Property'!B29</f>
        <v>R-Prelim</v>
      </c>
      <c r="C29" s="14">
        <v>9231645</v>
      </c>
      <c r="D29" s="15">
        <f t="shared" si="0"/>
        <v>2.0003082666849342E-2</v>
      </c>
      <c r="E29" s="14">
        <v>9050605</v>
      </c>
      <c r="F29" s="15">
        <f t="shared" si="1"/>
        <v>5.7947818955497742E-2</v>
      </c>
      <c r="G29" s="16">
        <v>8554869</v>
      </c>
      <c r="R29" s="17"/>
    </row>
    <row r="30" spans="1:18" x14ac:dyDescent="0.2">
      <c r="A30" s="12" t="s">
        <v>28</v>
      </c>
      <c r="B30" s="13" t="str">
        <f>'Taxable Value All Property'!B30</f>
        <v>R-Prelim</v>
      </c>
      <c r="C30" s="14">
        <v>4718991</v>
      </c>
      <c r="D30" s="15">
        <f t="shared" si="0"/>
        <v>5.9441065756190695E-2</v>
      </c>
      <c r="E30" s="14">
        <v>4454227</v>
      </c>
      <c r="F30" s="15">
        <f t="shared" si="1"/>
        <v>-0.10528226162832741</v>
      </c>
      <c r="G30" s="16">
        <v>4978360</v>
      </c>
      <c r="R30" s="17"/>
    </row>
    <row r="31" spans="1:18" x14ac:dyDescent="0.2">
      <c r="A31" s="12" t="s">
        <v>29</v>
      </c>
      <c r="B31" s="13" t="str">
        <f>'Taxable Value All Property'!B31</f>
        <v>R-Prelim</v>
      </c>
      <c r="C31" s="14">
        <v>11972769</v>
      </c>
      <c r="D31" s="15">
        <f t="shared" si="0"/>
        <v>1.92677935384854E-2</v>
      </c>
      <c r="E31" s="14">
        <v>11746441</v>
      </c>
      <c r="F31" s="15">
        <f t="shared" si="1"/>
        <v>5.6685076849228411E-2</v>
      </c>
      <c r="G31" s="16">
        <v>11116312</v>
      </c>
      <c r="R31" s="17"/>
    </row>
    <row r="32" spans="1:18" x14ac:dyDescent="0.2">
      <c r="A32" s="12" t="s">
        <v>30</v>
      </c>
      <c r="B32" s="13" t="str">
        <f>'Taxable Value All Property'!B32</f>
        <v>R-Prelim</v>
      </c>
      <c r="C32" s="14">
        <v>34524211</v>
      </c>
      <c r="D32" s="15">
        <f t="shared" si="0"/>
        <v>3.2200271939039925E-2</v>
      </c>
      <c r="E32" s="14">
        <v>33447202</v>
      </c>
      <c r="F32" s="15">
        <f t="shared" si="1"/>
        <v>-2.9343668829510512E-2</v>
      </c>
      <c r="G32" s="16">
        <v>34458336</v>
      </c>
      <c r="R32" s="17"/>
    </row>
    <row r="33" spans="1:18" x14ac:dyDescent="0.2">
      <c r="A33" s="12" t="s">
        <v>31</v>
      </c>
      <c r="B33" s="13" t="str">
        <f>'Taxable Value All Property'!B33</f>
        <v>R-Prelim</v>
      </c>
      <c r="C33" s="14">
        <v>135439671</v>
      </c>
      <c r="D33" s="15">
        <f t="shared" si="0"/>
        <v>1.6665029895046271E-2</v>
      </c>
      <c r="E33" s="14">
        <v>133219563</v>
      </c>
      <c r="F33" s="15">
        <f t="shared" si="1"/>
        <v>3.3774305764965852E-2</v>
      </c>
      <c r="G33" s="16">
        <v>128867164</v>
      </c>
      <c r="R33" s="17"/>
    </row>
    <row r="34" spans="1:18" x14ac:dyDescent="0.2">
      <c r="A34" s="12" t="s">
        <v>32</v>
      </c>
      <c r="B34" s="13" t="str">
        <f>'Taxable Value All Property'!B34</f>
        <v>R-Prelim</v>
      </c>
      <c r="C34" s="14">
        <v>3923159</v>
      </c>
      <c r="D34" s="15">
        <f t="shared" si="0"/>
        <v>0.20564679576163028</v>
      </c>
      <c r="E34" s="14">
        <v>3253987</v>
      </c>
      <c r="F34" s="15">
        <f t="shared" si="1"/>
        <v>-4.0331880160743579E-2</v>
      </c>
      <c r="G34" s="16">
        <v>3390742</v>
      </c>
      <c r="R34" s="17"/>
    </row>
    <row r="35" spans="1:18" x14ac:dyDescent="0.2">
      <c r="A35" s="12" t="s">
        <v>33</v>
      </c>
      <c r="B35" s="13" t="str">
        <f>'Taxable Value All Property'!B35</f>
        <v>R-Prelim</v>
      </c>
      <c r="C35" s="14">
        <v>44944531</v>
      </c>
      <c r="D35" s="15">
        <f t="shared" si="0"/>
        <v>-9.8805006377407162E-2</v>
      </c>
      <c r="E35" s="14">
        <v>49872149</v>
      </c>
      <c r="F35" s="15">
        <f t="shared" si="1"/>
        <v>2.2071294633753288E-4</v>
      </c>
      <c r="G35" s="16">
        <v>49861144</v>
      </c>
      <c r="R35" s="17"/>
    </row>
    <row r="36" spans="1:18" x14ac:dyDescent="0.2">
      <c r="A36" s="12" t="s">
        <v>34</v>
      </c>
      <c r="B36" s="13" t="str">
        <f>'Taxable Value All Property'!B36</f>
        <v>R-Prelim</v>
      </c>
      <c r="C36" s="14">
        <v>26561482</v>
      </c>
      <c r="D36" s="15">
        <f t="shared" si="0"/>
        <v>8.6446186569869271E-2</v>
      </c>
      <c r="E36" s="14">
        <v>24448042</v>
      </c>
      <c r="F36" s="15">
        <f t="shared" si="1"/>
        <v>-0.11388134671246485</v>
      </c>
      <c r="G36" s="16">
        <v>27590032</v>
      </c>
      <c r="R36" s="17"/>
    </row>
    <row r="37" spans="1:18" x14ac:dyDescent="0.2">
      <c r="A37" s="12" t="s">
        <v>35</v>
      </c>
      <c r="B37" s="13" t="str">
        <f>'Taxable Value All Property'!B37</f>
        <v>R-Prelim</v>
      </c>
      <c r="C37" s="14">
        <v>3137317</v>
      </c>
      <c r="D37" s="15">
        <f t="shared" si="0"/>
        <v>8.9463827517485398E-2</v>
      </c>
      <c r="E37" s="14">
        <v>2879689</v>
      </c>
      <c r="F37" s="15">
        <f t="shared" si="1"/>
        <v>8.7319690276764075E-2</v>
      </c>
      <c r="G37" s="16">
        <v>2648429</v>
      </c>
      <c r="R37" s="17"/>
    </row>
    <row r="38" spans="1:18" x14ac:dyDescent="0.2">
      <c r="A38" s="12" t="s">
        <v>36</v>
      </c>
      <c r="B38" s="13" t="str">
        <f>'Taxable Value All Property'!B38</f>
        <v>R-Prelim</v>
      </c>
      <c r="C38" s="14"/>
      <c r="D38" s="15" t="s">
        <v>79</v>
      </c>
      <c r="E38" s="14">
        <v>0</v>
      </c>
      <c r="F38" s="15" t="s">
        <v>79</v>
      </c>
      <c r="G38" s="16"/>
      <c r="R38" s="17"/>
    </row>
    <row r="39" spans="1:18" x14ac:dyDescent="0.2">
      <c r="A39" s="12" t="s">
        <v>37</v>
      </c>
      <c r="B39" s="13" t="str">
        <f>'Taxable Value All Property'!B39</f>
        <v>R-Prelim</v>
      </c>
      <c r="C39" s="14">
        <v>4940180</v>
      </c>
      <c r="D39" s="15">
        <f t="shared" si="0"/>
        <v>0.10323342809480315</v>
      </c>
      <c r="E39" s="14">
        <v>4477910</v>
      </c>
      <c r="F39" s="15">
        <f t="shared" si="1"/>
        <v>7.129894253733911E-3</v>
      </c>
      <c r="G39" s="16">
        <v>4446209</v>
      </c>
      <c r="R39" s="17"/>
    </row>
    <row r="40" spans="1:18" x14ac:dyDescent="0.2">
      <c r="A40" s="12" t="s">
        <v>38</v>
      </c>
      <c r="B40" s="13" t="str">
        <f>'Taxable Value All Property'!B40</f>
        <v>R-Prelim</v>
      </c>
      <c r="C40" s="14">
        <v>4542884</v>
      </c>
      <c r="D40" s="15">
        <f t="shared" si="0"/>
        <v>-4.8114504083908868E-2</v>
      </c>
      <c r="E40" s="14">
        <v>4772511</v>
      </c>
      <c r="F40" s="15">
        <f t="shared" si="1"/>
        <v>-5.4636627719832381E-2</v>
      </c>
      <c r="G40" s="16">
        <v>5048335</v>
      </c>
      <c r="R40" s="17"/>
    </row>
    <row r="41" spans="1:18" x14ac:dyDescent="0.2">
      <c r="A41" s="12" t="s">
        <v>39</v>
      </c>
      <c r="B41" s="13" t="str">
        <f>'Taxable Value All Property'!B41</f>
        <v>R-Prelim</v>
      </c>
      <c r="C41" s="14">
        <v>6172685</v>
      </c>
      <c r="D41" s="15">
        <f t="shared" si="0"/>
        <v>7.5619584489586097E-2</v>
      </c>
      <c r="E41" s="14">
        <v>5738725</v>
      </c>
      <c r="F41" s="15">
        <f t="shared" si="1"/>
        <v>7.7212972525717141E-2</v>
      </c>
      <c r="G41" s="16">
        <v>5327382</v>
      </c>
      <c r="R41" s="17"/>
    </row>
    <row r="42" spans="1:18" x14ac:dyDescent="0.2">
      <c r="A42" s="12" t="s">
        <v>40</v>
      </c>
      <c r="B42" s="13" t="str">
        <f>'Taxable Value All Property'!B42</f>
        <v>R-Prelim</v>
      </c>
      <c r="C42" s="14">
        <v>2424023</v>
      </c>
      <c r="D42" s="15">
        <f t="shared" si="0"/>
        <v>-0.16217903276146142</v>
      </c>
      <c r="E42" s="14">
        <v>2893247</v>
      </c>
      <c r="F42" s="15">
        <f t="shared" si="1"/>
        <v>9.5936857001730325E-2</v>
      </c>
      <c r="G42" s="16">
        <v>2639976</v>
      </c>
      <c r="R42" s="17"/>
    </row>
    <row r="43" spans="1:18" x14ac:dyDescent="0.2">
      <c r="A43" s="12" t="s">
        <v>41</v>
      </c>
      <c r="B43" s="13" t="str">
        <f>'Taxable Value All Property'!B43</f>
        <v>R-Prelim</v>
      </c>
      <c r="C43" s="29"/>
      <c r="D43" s="15" t="s">
        <v>79</v>
      </c>
      <c r="E43" s="14"/>
      <c r="F43" s="15">
        <f t="shared" si="1"/>
        <v>-1</v>
      </c>
      <c r="G43" s="16">
        <v>807753</v>
      </c>
      <c r="R43" s="17"/>
    </row>
    <row r="44" spans="1:18" x14ac:dyDescent="0.2">
      <c r="A44" s="12" t="s">
        <v>42</v>
      </c>
      <c r="B44" s="13" t="str">
        <f>'Taxable Value All Property'!B44</f>
        <v>R-Prelim</v>
      </c>
      <c r="C44" s="14">
        <v>7728453</v>
      </c>
      <c r="D44" s="15">
        <f t="shared" si="0"/>
        <v>4.0741538747439708E-2</v>
      </c>
      <c r="E44" s="14">
        <v>7425910</v>
      </c>
      <c r="F44" s="15">
        <f t="shared" si="1"/>
        <v>-6.4451458413884583E-2</v>
      </c>
      <c r="G44" s="16">
        <v>7937493</v>
      </c>
      <c r="R44" s="17"/>
    </row>
    <row r="45" spans="1:18" x14ac:dyDescent="0.2">
      <c r="A45" s="12" t="s">
        <v>43</v>
      </c>
      <c r="B45" s="13" t="str">
        <f>'Taxable Value All Property'!B45</f>
        <v>R-Prelim</v>
      </c>
      <c r="C45" s="14">
        <v>8403344</v>
      </c>
      <c r="D45" s="15">
        <f t="shared" si="0"/>
        <v>1.7799929533290675E-2</v>
      </c>
      <c r="E45" s="14">
        <v>8256381</v>
      </c>
      <c r="F45" s="15">
        <f t="shared" si="1"/>
        <v>5.0855441623384734E-2</v>
      </c>
      <c r="G45" s="16">
        <v>7856819</v>
      </c>
      <c r="R45" s="17"/>
    </row>
    <row r="46" spans="1:18" x14ac:dyDescent="0.2">
      <c r="A46" s="12" t="s">
        <v>44</v>
      </c>
      <c r="B46" s="13" t="str">
        <f>'Taxable Value All Property'!B46</f>
        <v>R-Prelim</v>
      </c>
      <c r="C46" s="14">
        <v>28129232</v>
      </c>
      <c r="D46" s="15">
        <f t="shared" si="0"/>
        <v>-1.9734506329279786E-2</v>
      </c>
      <c r="E46" s="14">
        <v>28695524</v>
      </c>
      <c r="F46" s="15">
        <f t="shared" si="1"/>
        <v>5.4920678545529351E-2</v>
      </c>
      <c r="G46" s="16">
        <v>27201594</v>
      </c>
      <c r="R46" s="17"/>
    </row>
    <row r="47" spans="1:18" x14ac:dyDescent="0.2">
      <c r="A47" s="12" t="s">
        <v>45</v>
      </c>
      <c r="B47" s="13" t="str">
        <f>'Taxable Value All Property'!B47</f>
        <v>R-Prelim</v>
      </c>
      <c r="C47" s="14">
        <v>95908563</v>
      </c>
      <c r="D47" s="15">
        <f t="shared" si="0"/>
        <v>-5.4108394450737389E-2</v>
      </c>
      <c r="E47" s="14">
        <v>101394877</v>
      </c>
      <c r="F47" s="15">
        <f t="shared" si="1"/>
        <v>-9.8750327873403602E-3</v>
      </c>
      <c r="G47" s="16">
        <v>102406141</v>
      </c>
      <c r="R47" s="17"/>
    </row>
    <row r="48" spans="1:18" x14ac:dyDescent="0.2">
      <c r="A48" s="12" t="s">
        <v>46</v>
      </c>
      <c r="B48" s="13" t="str">
        <f>'Taxable Value All Property'!B48</f>
        <v>R-Prelim</v>
      </c>
      <c r="C48" s="14"/>
      <c r="D48" s="15" t="s">
        <v>79</v>
      </c>
      <c r="E48" s="14"/>
      <c r="F48" s="15" t="s">
        <v>79</v>
      </c>
      <c r="G48" s="16"/>
      <c r="R48" s="17"/>
    </row>
    <row r="49" spans="1:18" x14ac:dyDescent="0.2">
      <c r="A49" s="12" t="s">
        <v>47</v>
      </c>
      <c r="B49" s="13" t="str">
        <f>'Taxable Value All Property'!B49</f>
        <v>R-Prelim</v>
      </c>
      <c r="C49" s="14">
        <v>51201078</v>
      </c>
      <c r="D49" s="15">
        <f t="shared" si="0"/>
        <v>2.6470451615236534E-2</v>
      </c>
      <c r="E49" s="14">
        <v>49880713</v>
      </c>
      <c r="F49" s="15">
        <f t="shared" si="1"/>
        <v>4.2461812715757332E-3</v>
      </c>
      <c r="G49" s="16">
        <v>49669806</v>
      </c>
      <c r="R49" s="17"/>
    </row>
    <row r="50" spans="1:18" x14ac:dyDescent="0.2">
      <c r="A50" s="12" t="s">
        <v>48</v>
      </c>
      <c r="B50" s="13" t="str">
        <f>'Taxable Value All Property'!B50</f>
        <v>R-Prelim</v>
      </c>
      <c r="C50" s="14">
        <v>4454199</v>
      </c>
      <c r="D50" s="15">
        <f t="shared" si="0"/>
        <v>8.2941491679179663E-2</v>
      </c>
      <c r="E50" s="14">
        <v>4113056</v>
      </c>
      <c r="F50" s="15">
        <f t="shared" si="1"/>
        <v>6.5577321051251677E-2</v>
      </c>
      <c r="G50" s="16">
        <v>3859932</v>
      </c>
      <c r="R50" s="17"/>
    </row>
    <row r="51" spans="1:18" x14ac:dyDescent="0.2">
      <c r="A51" s="12" t="s">
        <v>49</v>
      </c>
      <c r="B51" s="13" t="str">
        <f>'Taxable Value All Property'!B51</f>
        <v>R-Prelim</v>
      </c>
      <c r="C51" s="14">
        <v>12205305</v>
      </c>
      <c r="D51" s="15">
        <f t="shared" si="0"/>
        <v>2.1005502584405266E-2</v>
      </c>
      <c r="E51" s="14">
        <v>11954201</v>
      </c>
      <c r="F51" s="15">
        <f t="shared" si="1"/>
        <v>5.6799031304470671E-2</v>
      </c>
      <c r="G51" s="16">
        <v>11311707</v>
      </c>
      <c r="R51" s="17"/>
    </row>
    <row r="52" spans="1:18" x14ac:dyDescent="0.2">
      <c r="A52" s="12" t="s">
        <v>50</v>
      </c>
      <c r="B52" s="13" t="str">
        <f>'Taxable Value All Property'!B52</f>
        <v>R-Prelim</v>
      </c>
      <c r="C52" s="14">
        <v>109452952</v>
      </c>
      <c r="D52" s="15">
        <f t="shared" si="0"/>
        <v>-0.12678080353609372</v>
      </c>
      <c r="E52" s="14">
        <v>125344189</v>
      </c>
      <c r="F52" s="15">
        <f t="shared" si="1"/>
        <v>7.0141162207134709E-3</v>
      </c>
      <c r="G52" s="16">
        <v>124471134</v>
      </c>
      <c r="R52" s="17"/>
    </row>
    <row r="53" spans="1:18" x14ac:dyDescent="0.2">
      <c r="A53" s="12" t="s">
        <v>51</v>
      </c>
      <c r="B53" s="13" t="str">
        <f>'Taxable Value All Property'!B53</f>
        <v>R-Prelim</v>
      </c>
      <c r="C53" s="14">
        <v>6692232</v>
      </c>
      <c r="D53" s="15">
        <f t="shared" si="0"/>
        <v>2.2371936771573789E-2</v>
      </c>
      <c r="E53" s="14">
        <v>6545790</v>
      </c>
      <c r="F53" s="15">
        <f t="shared" si="1"/>
        <v>6.172922408557948E-2</v>
      </c>
      <c r="G53" s="16">
        <v>6165216</v>
      </c>
      <c r="R53" s="17"/>
    </row>
    <row r="54" spans="1:18" x14ac:dyDescent="0.2">
      <c r="A54" s="12" t="s">
        <v>52</v>
      </c>
      <c r="B54" s="13" t="str">
        <f>'Taxable Value All Property'!B54</f>
        <v>R-Prelim</v>
      </c>
      <c r="C54" s="14">
        <v>227461496</v>
      </c>
      <c r="D54" s="15">
        <f t="shared" si="0"/>
        <v>-7.2054297741483711E-2</v>
      </c>
      <c r="E54" s="14">
        <v>245123713</v>
      </c>
      <c r="F54" s="15">
        <f t="shared" si="1"/>
        <v>-7.0701794775289879E-3</v>
      </c>
      <c r="G54" s="16">
        <v>246869122</v>
      </c>
      <c r="R54" s="17"/>
    </row>
    <row r="55" spans="1:18" x14ac:dyDescent="0.2">
      <c r="A55" s="12" t="s">
        <v>53</v>
      </c>
      <c r="B55" s="13" t="str">
        <f>'Taxable Value All Property'!B55</f>
        <v>R-Prelim</v>
      </c>
      <c r="C55" s="14">
        <v>23418857</v>
      </c>
      <c r="D55" s="15">
        <f t="shared" si="0"/>
        <v>1.9013624990253195E-2</v>
      </c>
      <c r="E55" s="14">
        <v>22981888</v>
      </c>
      <c r="F55" s="15">
        <f t="shared" si="1"/>
        <v>5.2478070824214969E-2</v>
      </c>
      <c r="G55" s="16">
        <v>21835978</v>
      </c>
      <c r="R55" s="17"/>
    </row>
    <row r="56" spans="1:18" x14ac:dyDescent="0.2">
      <c r="A56" s="12" t="s">
        <v>54</v>
      </c>
      <c r="B56" s="13" t="str">
        <f>'Taxable Value All Property'!B56</f>
        <v>R-Prelim</v>
      </c>
      <c r="C56" s="14">
        <v>13430831</v>
      </c>
      <c r="D56" s="15">
        <f t="shared" si="0"/>
        <v>2.0732507718479481E-2</v>
      </c>
      <c r="E56" s="14">
        <v>13158032</v>
      </c>
      <c r="F56" s="15">
        <f t="shared" si="1"/>
        <v>5.4247293059603609E-2</v>
      </c>
      <c r="G56" s="16">
        <v>12480973</v>
      </c>
      <c r="R56" s="17"/>
    </row>
    <row r="57" spans="1:18" x14ac:dyDescent="0.2">
      <c r="A57" s="12" t="s">
        <v>55</v>
      </c>
      <c r="B57" s="13" t="str">
        <f>'Taxable Value All Property'!B57</f>
        <v>R-Prelim</v>
      </c>
      <c r="C57" s="14">
        <v>135258317</v>
      </c>
      <c r="D57" s="15">
        <f t="shared" si="0"/>
        <v>1.3478502685343086E-2</v>
      </c>
      <c r="E57" s="14">
        <v>133459483</v>
      </c>
      <c r="F57" s="15">
        <f t="shared" si="1"/>
        <v>5.011540573816093E-2</v>
      </c>
      <c r="G57" s="16">
        <v>127090301</v>
      </c>
      <c r="R57" s="17"/>
    </row>
    <row r="58" spans="1:18" x14ac:dyDescent="0.2">
      <c r="A58" s="12" t="s">
        <v>56</v>
      </c>
      <c r="B58" s="13" t="str">
        <f>'Taxable Value All Property'!B58</f>
        <v>R-Prelim</v>
      </c>
      <c r="C58" s="14">
        <v>26683933</v>
      </c>
      <c r="D58" s="15">
        <f t="shared" si="0"/>
        <v>3.6742359590972953E-2</v>
      </c>
      <c r="E58" s="14">
        <v>25738249</v>
      </c>
      <c r="F58" s="15">
        <f t="shared" si="1"/>
        <v>0.47804307795214973</v>
      </c>
      <c r="G58" s="16">
        <v>17413734</v>
      </c>
      <c r="R58" s="17"/>
    </row>
    <row r="59" spans="1:18" x14ac:dyDescent="0.2">
      <c r="A59" s="12" t="s">
        <v>2</v>
      </c>
      <c r="B59" s="13" t="str">
        <f>'Taxable Value All Property'!B59</f>
        <v>R-Prelim</v>
      </c>
      <c r="C59" s="14">
        <v>35440918</v>
      </c>
      <c r="D59" s="15">
        <f t="shared" si="0"/>
        <v>-1.080257113217077E-2</v>
      </c>
      <c r="E59" s="14">
        <v>35827952</v>
      </c>
      <c r="F59" s="15">
        <f t="shared" si="1"/>
        <v>-1.7995096766313931E-2</v>
      </c>
      <c r="G59" s="16">
        <v>36484494</v>
      </c>
      <c r="R59" s="17"/>
    </row>
    <row r="60" spans="1:18" x14ac:dyDescent="0.2">
      <c r="A60" s="12" t="s">
        <v>3</v>
      </c>
      <c r="B60" s="13" t="str">
        <f>'Taxable Value All Property'!B60</f>
        <v>R-Prelim</v>
      </c>
      <c r="C60" s="14">
        <v>69596889</v>
      </c>
      <c r="D60" s="15">
        <f t="shared" si="0"/>
        <v>-6.6920015463006272E-2</v>
      </c>
      <c r="E60" s="14">
        <v>74588342</v>
      </c>
      <c r="F60" s="15">
        <f t="shared" si="1"/>
        <v>-7.1169973160461919E-2</v>
      </c>
      <c r="G60" s="16">
        <v>80303543</v>
      </c>
      <c r="R60" s="17"/>
    </row>
    <row r="61" spans="1:18" x14ac:dyDescent="0.2">
      <c r="A61" s="12" t="s">
        <v>57</v>
      </c>
      <c r="B61" s="13" t="str">
        <f>'Taxable Value All Property'!B61</f>
        <v>R-Prelim</v>
      </c>
      <c r="C61" s="14">
        <v>4199852</v>
      </c>
      <c r="D61" s="15">
        <f t="shared" si="0"/>
        <v>8.3636181616599622E-2</v>
      </c>
      <c r="E61" s="14">
        <v>3875703</v>
      </c>
      <c r="F61" s="15">
        <f t="shared" si="1"/>
        <v>7.9016149176226638E-2</v>
      </c>
      <c r="G61" s="16">
        <v>3591886</v>
      </c>
      <c r="R61" s="17"/>
    </row>
    <row r="62" spans="1:18" x14ac:dyDescent="0.2">
      <c r="A62" s="12" t="s">
        <v>58</v>
      </c>
      <c r="B62" s="13" t="str">
        <f>'Taxable Value All Property'!B62</f>
        <v>R-Prelim</v>
      </c>
      <c r="C62" s="14">
        <v>600927</v>
      </c>
      <c r="D62" s="15">
        <f t="shared" si="0"/>
        <v>-1.8736089588357954E-2</v>
      </c>
      <c r="E62" s="14">
        <v>612401</v>
      </c>
      <c r="F62" s="15">
        <f t="shared" si="1"/>
        <v>-3.1052470859630997E-2</v>
      </c>
      <c r="G62" s="16">
        <v>632027</v>
      </c>
      <c r="R62" s="17"/>
    </row>
    <row r="63" spans="1:18" x14ac:dyDescent="0.2">
      <c r="A63" s="12" t="s">
        <v>59</v>
      </c>
      <c r="B63" s="13" t="str">
        <f>'Taxable Value All Property'!B63</f>
        <v>R-Prelim</v>
      </c>
      <c r="C63" s="14">
        <v>12523853</v>
      </c>
      <c r="D63" s="15">
        <f t="shared" si="0"/>
        <v>2.2990352542100419E-2</v>
      </c>
      <c r="E63" s="14">
        <v>12242396</v>
      </c>
      <c r="F63" s="15">
        <f t="shared" si="1"/>
        <v>6.0197012561568591E-2</v>
      </c>
      <c r="G63" s="16">
        <v>11547284</v>
      </c>
      <c r="R63" s="17"/>
    </row>
    <row r="64" spans="1:18" x14ac:dyDescent="0.2">
      <c r="A64" s="12" t="s">
        <v>60</v>
      </c>
      <c r="B64" s="13" t="str">
        <f>'Taxable Value All Property'!B64</f>
        <v>R-Prelim</v>
      </c>
      <c r="C64" s="14">
        <v>17417242</v>
      </c>
      <c r="D64" s="15">
        <f t="shared" si="0"/>
        <v>1.6419821947803771E-2</v>
      </c>
      <c r="E64" s="14">
        <v>17135874</v>
      </c>
      <c r="F64" s="15">
        <f t="shared" si="1"/>
        <v>5.5742062869606396E-2</v>
      </c>
      <c r="G64" s="16">
        <v>16231118</v>
      </c>
      <c r="R64" s="17"/>
    </row>
    <row r="65" spans="1:18" x14ac:dyDescent="0.2">
      <c r="A65" s="12" t="s">
        <v>61</v>
      </c>
      <c r="B65" s="13" t="str">
        <f>'Taxable Value All Property'!B65</f>
        <v>R-Prelim</v>
      </c>
      <c r="C65" s="14">
        <v>4286679</v>
      </c>
      <c r="D65" s="15">
        <f t="shared" si="0"/>
        <v>8.1858695191311781E-2</v>
      </c>
      <c r="E65" s="14">
        <v>3962328</v>
      </c>
      <c r="F65" s="15">
        <f t="shared" si="1"/>
        <v>8.3576128731970831E-2</v>
      </c>
      <c r="G65" s="16">
        <v>3656714</v>
      </c>
      <c r="R65" s="17"/>
    </row>
    <row r="66" spans="1:18" x14ac:dyDescent="0.2">
      <c r="A66" s="12" t="s">
        <v>62</v>
      </c>
      <c r="B66" s="13" t="str">
        <f>'Taxable Value All Property'!B66</f>
        <v>R-Prelim</v>
      </c>
      <c r="C66" s="14">
        <v>1651298</v>
      </c>
      <c r="D66" s="15">
        <f t="shared" si="0"/>
        <v>7.9662207134815075E-2</v>
      </c>
      <c r="E66" s="14">
        <v>1529458</v>
      </c>
      <c r="F66" s="15">
        <f t="shared" si="1"/>
        <v>-0.29105372843205241</v>
      </c>
      <c r="G66" s="16">
        <v>2157368</v>
      </c>
      <c r="R66" s="17"/>
    </row>
    <row r="67" spans="1:18" x14ac:dyDescent="0.2">
      <c r="A67" s="12" t="s">
        <v>63</v>
      </c>
      <c r="B67" s="13" t="str">
        <f>'Taxable Value All Property'!B67</f>
        <v>R-Prelim</v>
      </c>
      <c r="C67" s="14"/>
      <c r="D67" s="15" t="s">
        <v>79</v>
      </c>
      <c r="E67" s="14"/>
      <c r="F67" s="15" t="s">
        <v>79</v>
      </c>
      <c r="G67" s="16"/>
      <c r="R67" s="17"/>
    </row>
    <row r="68" spans="1:18" x14ac:dyDescent="0.2">
      <c r="A68" s="12" t="s">
        <v>64</v>
      </c>
      <c r="B68" s="13" t="str">
        <f>'Taxable Value All Property'!B68</f>
        <v>R-Prelim</v>
      </c>
      <c r="C68" s="14">
        <v>68400892</v>
      </c>
      <c r="D68" s="15">
        <f t="shared" si="0"/>
        <v>3.9265049667441942E-3</v>
      </c>
      <c r="E68" s="14">
        <v>68133366</v>
      </c>
      <c r="F68" s="15">
        <f t="shared" si="1"/>
        <v>1.5814444013709096E-3</v>
      </c>
      <c r="G68" s="16">
        <v>68025787</v>
      </c>
      <c r="R68" s="17"/>
    </row>
    <row r="69" spans="1:18" x14ac:dyDescent="0.2">
      <c r="A69" s="12" t="s">
        <v>65</v>
      </c>
      <c r="B69" s="13" t="str">
        <f>'Taxable Value All Property'!B69</f>
        <v>R-Prelim</v>
      </c>
      <c r="C69" s="14"/>
      <c r="D69" s="15" t="s">
        <v>79</v>
      </c>
      <c r="E69" s="14"/>
      <c r="F69" s="15" t="s">
        <v>79</v>
      </c>
      <c r="G69" s="16"/>
      <c r="R69" s="17"/>
    </row>
    <row r="70" spans="1:18" x14ac:dyDescent="0.2">
      <c r="A70" s="12" t="s">
        <v>66</v>
      </c>
      <c r="B70" s="13" t="str">
        <f>'Taxable Value All Property'!B70</f>
        <v>R-Prelim</v>
      </c>
      <c r="C70" s="14">
        <v>3590100</v>
      </c>
      <c r="D70" s="15">
        <f>((C70-E70)/E70)</f>
        <v>8.7479042378695693E-2</v>
      </c>
      <c r="E70" s="14">
        <v>3301305</v>
      </c>
      <c r="F70" s="15">
        <f>((E70-G70)/G70)</f>
        <v>7.999819417168913E-2</v>
      </c>
      <c r="G70" s="16">
        <v>3056769</v>
      </c>
      <c r="R70" s="17"/>
    </row>
    <row r="71" spans="1:18" x14ac:dyDescent="0.2">
      <c r="A71" s="12" t="s">
        <v>67</v>
      </c>
      <c r="B71" s="13" t="str">
        <f>'Taxable Value All Property'!B71</f>
        <v>R-Prelim</v>
      </c>
      <c r="C71" s="14">
        <v>2029716</v>
      </c>
      <c r="D71" s="15">
        <f>((C71-E71)/E71)</f>
        <v>9.915017846089863E-2</v>
      </c>
      <c r="E71" s="14">
        <v>1846623</v>
      </c>
      <c r="F71" s="15">
        <f>((E71-G71)/G71)</f>
        <v>0.10409555395717005</v>
      </c>
      <c r="G71" s="16">
        <v>1672521</v>
      </c>
      <c r="R71" s="17"/>
    </row>
    <row r="72" spans="1:18" x14ac:dyDescent="0.2">
      <c r="A72" s="18"/>
      <c r="B72" s="19"/>
      <c r="C72" s="14"/>
      <c r="D72" s="20"/>
      <c r="E72" s="14"/>
      <c r="F72" s="20"/>
      <c r="G72" s="16"/>
      <c r="R72" s="17"/>
    </row>
    <row r="73" spans="1:18" ht="15.75" thickBot="1" x14ac:dyDescent="0.3">
      <c r="A73" s="21" t="s">
        <v>68</v>
      </c>
      <c r="B73" s="22"/>
      <c r="C73" s="23">
        <f>SUM(C5:C71)</f>
        <v>2170153651</v>
      </c>
      <c r="D73" s="24">
        <f>((C73-E73)/E73)</f>
        <v>-2.7176837450608188E-2</v>
      </c>
      <c r="E73" s="23">
        <f>SUM(E5:E71)</f>
        <v>2230779174</v>
      </c>
      <c r="F73" s="24">
        <f>((E73-G73)/G73)</f>
        <v>8.359797525537534E-3</v>
      </c>
      <c r="G73" s="25">
        <f>SUM(G5:G71)</f>
        <v>2212284920</v>
      </c>
      <c r="R73" s="17"/>
    </row>
    <row r="74" spans="1:18" x14ac:dyDescent="0.2">
      <c r="R74" s="17"/>
    </row>
    <row r="75" spans="1:18" x14ac:dyDescent="0.2">
      <c r="A75" s="26" t="s">
        <v>90</v>
      </c>
      <c r="R75" s="17"/>
    </row>
    <row r="76" spans="1:18" x14ac:dyDescent="0.2">
      <c r="C76" s="17"/>
      <c r="E76" s="17"/>
      <c r="G76" s="17"/>
    </row>
  </sheetData>
  <phoneticPr fontId="1" type="noConversion"/>
  <conditionalFormatting sqref="A75">
    <cfRule type="expression" dxfId="2" priority="4" stopIfTrue="1">
      <formula>MOD(ROW(),5)=1</formula>
    </cfRule>
  </conditionalFormatting>
  <conditionalFormatting sqref="A4:G42 A44:G73 A43:B43 D43:G43">
    <cfRule type="expression" dxfId="1" priority="2" stopIfTrue="1">
      <formula>MOD(ROW(),3)=1</formula>
    </cfRule>
  </conditionalFormatting>
  <conditionalFormatting sqref="C43">
    <cfRule type="expression" dxfId="0" priority="1" stopIfTrue="1">
      <formula>MOD(ROW(),3)=1</formula>
    </cfRule>
  </conditionalFormatting>
  <pageMargins left="0.7" right="0.7" top="0.5" bottom="0.5" header="0.05" footer="0.05"/>
  <pageSetup scale="77" orientation="portrait" r:id="rId1"/>
  <rowBreaks count="1" manualBreakCount="1">
    <brk id="37" max="8" man="1"/>
  </rowBreaks>
  <ignoredErrors>
    <ignoredError sqref="D73:F73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8CCF48F7F21843AAD247617866AB0F" ma:contentTypeVersion="26" ma:contentTypeDescription="Create a new document." ma:contentTypeScope="" ma:versionID="035bff02668bf00af84ba8f60763016b">
  <xsd:schema xmlns:xsd="http://www.w3.org/2001/XMLSchema" xmlns:xs="http://www.w3.org/2001/XMLSchema" xmlns:p="http://schemas.microsoft.com/office/2006/metadata/properties" xmlns:ns1="http://schemas.microsoft.com/sharepoint/v3" xmlns:ns2="971ecb86-dbcb-4cad-aa0a-8e3edd121c88" targetNamespace="http://schemas.microsoft.com/office/2006/metadata/properties" ma:root="true" ma:fieldsID="4eb80cc09e6d4e7765fe98acf63822e8" ns1:_="" ns2:_="">
    <xsd:import namespace="http://schemas.microsoft.com/sharepoint/v3"/>
    <xsd:import namespace="971ecb86-dbcb-4cad-aa0a-8e3edd121c88"/>
    <xsd:element name="properties">
      <xsd:complexType>
        <xsd:sequence>
          <xsd:element name="documentManagement">
            <xsd:complexType>
              <xsd:all>
                <xsd:element ref="ns2:DocumentName" minOccurs="0"/>
                <xsd:element ref="ns2:Web_x0020_Category" minOccurs="0"/>
                <xsd:element ref="ns2:DocumentDescription" minOccurs="0"/>
                <xsd:element ref="ns2:Forms_Description" minOccurs="0"/>
                <xsd:element ref="ns2:Review_x0020_Frequency_x0020_Period" minOccurs="0"/>
                <xsd:element ref="ns2:Review_x0020_Frequency_x0020_by_x0020_Month" minOccurs="0"/>
                <xsd:element ref="ns2:Legal_x0020_Review_x0020_Date" minOccurs="0"/>
                <xsd:element ref="ns2:Language_x0020_Review_x0020_Date" minOccurs="0"/>
                <xsd:element ref="ns2:Date_x0020_last_x0020_reviewed" minOccurs="0"/>
                <xsd:element ref="ns2:Is_x0020_this_x0020_Legally_x0020_required_x003f_" minOccurs="0"/>
                <xsd:element ref="ns2:Notes0" minOccurs="0"/>
                <xsd:element ref="ns2:Automated_x0020_Content" minOccurs="0"/>
                <xsd:element ref="ns2:statutesRulesPolicies" minOccurs="0"/>
                <xsd:element ref="ns2:Historical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6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 ma:readOnly="false">
      <xsd:simpleType>
        <xsd:restriction base="dms:Unknown"/>
      </xsd:simpleType>
    </xsd:element>
    <xsd:element name="PublishingExpirationDate" ma:index="17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 ma:readOnly="fals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1ecb86-dbcb-4cad-aa0a-8e3edd121c88" elementFormDefault="qualified">
    <xsd:import namespace="http://schemas.microsoft.com/office/2006/documentManagement/types"/>
    <xsd:import namespace="http://schemas.microsoft.com/office/infopath/2007/PartnerControls"/>
    <xsd:element name="DocumentName" ma:index="2" nillable="true" ma:displayName="Document" ma:description="This is the formatted name of the document and MUST be filled out for all documents." ma:internalName="DocumentName" ma:readOnly="false">
      <xsd:simpleType>
        <xsd:restriction base="dms:Text">
          <xsd:maxLength value="255"/>
        </xsd:restriction>
      </xsd:simpleType>
    </xsd:element>
    <xsd:element name="Web_x0020_Category" ma:index="3" nillable="true" ma:displayName="Web Category" ma:list="{68a30688-8426-42e5-bc98-ed9a40a81362}" ma:internalName="Web_x0020_Category" ma:readOnly="false" ma:showField="Title">
      <xsd:simpleType>
        <xsd:restriction base="dms:Lookup"/>
      </xsd:simpleType>
    </xsd:element>
    <xsd:element name="DocumentDescription" ma:index="4" nillable="true" ma:displayName="Description" ma:description="If this document is meant to appear on the forms page you MUST fill in the &quot;Forms Description&quot; field as well as this one." ma:internalName="DocumentDescription" ma:readOnly="false">
      <xsd:simpleType>
        <xsd:restriction base="dms:Text">
          <xsd:maxLength value="255"/>
        </xsd:restriction>
      </xsd:simpleType>
    </xsd:element>
    <xsd:element name="Forms_Description" ma:index="5" nillable="true" ma:displayName="Forms_Description" ma:internalName="Forms_Description" ma:readOnly="false">
      <xsd:simpleType>
        <xsd:restriction base="dms:Text">
          <xsd:maxLength value="255"/>
        </xsd:restriction>
      </xsd:simpleType>
    </xsd:element>
    <xsd:element name="Review_x0020_Frequency_x0020_Period" ma:index="6" nillable="true" ma:displayName="Review Frequency Period" ma:default="Annually" ma:description="How often should this content be reviewed by the Content Owner?" ma:format="Dropdown" ma:internalName="Review_x0020_Frequency_x0020_Period" ma:readOnly="false">
      <xsd:simpleType>
        <xsd:restriction base="dms:Choice">
          <xsd:enumeration value="Monthly"/>
          <xsd:enumeration value="Quarterly"/>
          <xsd:enumeration value="Semi-Annually"/>
          <xsd:enumeration value="Annually"/>
          <xsd:enumeration value="None"/>
        </xsd:restriction>
      </xsd:simpleType>
    </xsd:element>
    <xsd:element name="Review_x0020_Frequency_x0020_by_x0020_Month" ma:index="7" nillable="true" ma:displayName="Review Frequency by Month" ma:internalName="Review_x0020_Frequency_x0020_by_x0020_Month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January"/>
                    <xsd:enumeration value="February"/>
                    <xsd:enumeration value="March"/>
                    <xsd:enumeration value="April"/>
                    <xsd:enumeration value="May"/>
                    <xsd:enumeration value="June"/>
                    <xsd:enumeration value="July"/>
                    <xsd:enumeration value="August"/>
                    <xsd:enumeration value="September"/>
                    <xsd:enumeration value="October"/>
                    <xsd:enumeration value="November"/>
                    <xsd:enumeration value="December"/>
                  </xsd:restriction>
                </xsd:simpleType>
              </xsd:element>
            </xsd:sequence>
          </xsd:extension>
        </xsd:complexContent>
      </xsd:complexType>
    </xsd:element>
    <xsd:element name="Legal_x0020_Review_x0020_Date" ma:index="8" nillable="true" ma:displayName="Legal Review Date" ma:format="DateOnly" ma:internalName="Legal_x0020_Review_x0020_Date" ma:readOnly="false">
      <xsd:simpleType>
        <xsd:restriction base="dms:DateTime"/>
      </xsd:simpleType>
    </xsd:element>
    <xsd:element name="Language_x0020_Review_x0020_Date" ma:index="9" nillable="true" ma:displayName="Language Review Date" ma:description="Date of last Language Review" ma:format="DateOnly" ma:internalName="Language_x0020_Review_x0020_Date" ma:readOnly="false">
      <xsd:simpleType>
        <xsd:restriction base="dms:DateTime"/>
      </xsd:simpleType>
    </xsd:element>
    <xsd:element name="Date_x0020_last_x0020_reviewed" ma:index="10" nillable="true" ma:displayName="Date last reviewed" ma:description="The date the document was last reviewed by content owner." ma:format="DateOnly" ma:internalName="Date_x0020_last_x0020_reviewed" ma:readOnly="false">
      <xsd:simpleType>
        <xsd:restriction base="dms:DateTime"/>
      </xsd:simpleType>
    </xsd:element>
    <xsd:element name="Is_x0020_this_x0020_Legally_x0020_required_x003f_" ma:index="11" nillable="true" ma:displayName="Is this Legally required?" ma:default="No" ma:format="Dropdown" ma:internalName="Is_x0020_this_x0020_Legally_x0020_required_x003f_" ma:readOnly="false">
      <xsd:simpleType>
        <xsd:restriction base="dms:Choice">
          <xsd:enumeration value="Yes"/>
          <xsd:enumeration value="No"/>
        </xsd:restriction>
      </xsd:simpleType>
    </xsd:element>
    <xsd:element name="Notes0" ma:index="12" nillable="true" ma:displayName="Notes" ma:internalName="Notes0" ma:readOnly="false">
      <xsd:simpleType>
        <xsd:restriction base="dms:Note">
          <xsd:maxLength value="255"/>
        </xsd:restriction>
      </xsd:simpleType>
    </xsd:element>
    <xsd:element name="Automated_x0020_Content" ma:index="13" nillable="true" ma:displayName="Automated Content" ma:default="No" ma:format="Dropdown" ma:internalName="Automated_x0020_Content" ma:readOnly="false">
      <xsd:simpleType>
        <xsd:restriction base="dms:Choice">
          <xsd:enumeration value="Yes"/>
          <xsd:enumeration value="No"/>
        </xsd:restriction>
      </xsd:simpleType>
    </xsd:element>
    <xsd:element name="statutesRulesPolicies" ma:index="14" nillable="true" ma:displayName="statutesRulesPolicies" ma:description="This column contains the statutes, rules, or policy that governs" ma:list="{17a373b7-8334-4f0f-90d4-3ea48205243f}" ma:internalName="statutesRulesPolicies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istorical" ma:index="15" nillable="true" ma:displayName="Historical" ma:default="No" ma:description="If this is checked as yes, it doesn't need to be reviewed annually." ma:format="Dropdown" ma:internalName="Historical" ma:readOnly="false">
      <xsd:simpleType>
        <xsd:restriction base="dms:Choice">
          <xsd:enumeration value="Yes"/>
          <xsd:enumeration value="No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istorical xmlns="971ecb86-dbcb-4cad-aa0a-8e3edd121c88">No</Historical>
    <Forms_Description xmlns="971ecb86-dbcb-4cad-aa0a-8e3edd121c88" xsi:nil="true"/>
    <Review_x0020_Frequency_x0020_Period xmlns="971ecb86-dbcb-4cad-aa0a-8e3edd121c88">Annually</Review_x0020_Frequency_x0020_Period>
    <Language_x0020_Review_x0020_Date xmlns="971ecb86-dbcb-4cad-aa0a-8e3edd121c88" xsi:nil="true"/>
    <statutesRulesPolicies xmlns="971ecb86-dbcb-4cad-aa0a-8e3edd121c88"/>
    <Is_x0020_this_x0020_Legally_x0020_required_x003f_ xmlns="971ecb86-dbcb-4cad-aa0a-8e3edd121c88">No</Is_x0020_this_x0020_Legally_x0020_required_x003f_>
    <DocumentName xmlns="971ecb86-dbcb-4cad-aa0a-8e3edd121c88" xsi:nil="true"/>
    <Web_x0020_Category xmlns="971ecb86-dbcb-4cad-aa0a-8e3edd121c88" xsi:nil="true"/>
    <PublishingExpirationDate xmlns="http://schemas.microsoft.com/sharepoint/v3" xsi:nil="true"/>
    <Notes0 xmlns="971ecb86-dbcb-4cad-aa0a-8e3edd121c88" xsi:nil="true"/>
    <PublishingStartDate xmlns="http://schemas.microsoft.com/sharepoint/v3" xsi:nil="true"/>
    <DocumentDescription xmlns="971ecb86-dbcb-4cad-aa0a-8e3edd121c88" xsi:nil="true"/>
    <Review_x0020_Frequency_x0020_by_x0020_Month xmlns="971ecb86-dbcb-4cad-aa0a-8e3edd121c88"/>
    <Date_x0020_last_x0020_reviewed xmlns="971ecb86-dbcb-4cad-aa0a-8e3edd121c88" xsi:nil="true"/>
    <Legal_x0020_Review_x0020_Date xmlns="971ecb86-dbcb-4cad-aa0a-8e3edd121c88" xsi:nil="true"/>
    <Automated_x0020_Content xmlns="971ecb86-dbcb-4cad-aa0a-8e3edd121c88">No</Automated_x0020_Content>
  </documentManagement>
</p:properties>
</file>

<file path=customXml/itemProps1.xml><?xml version="1.0" encoding="utf-8"?>
<ds:datastoreItem xmlns:ds="http://schemas.openxmlformats.org/officeDocument/2006/customXml" ds:itemID="{B9F273E6-FACA-456B-9E0D-53BB2696887C}"/>
</file>

<file path=customXml/itemProps2.xml><?xml version="1.0" encoding="utf-8"?>
<ds:datastoreItem xmlns:ds="http://schemas.openxmlformats.org/officeDocument/2006/customXml" ds:itemID="{410765C8-94FA-4570-A9FB-23B38CC1F481}"/>
</file>

<file path=customXml/itemProps3.xml><?xml version="1.0" encoding="utf-8"?>
<ds:datastoreItem xmlns:ds="http://schemas.openxmlformats.org/officeDocument/2006/customXml" ds:itemID="{07289C8C-DB59-42FD-80D6-4B5900D085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Report Index</vt:lpstr>
      <vt:lpstr>Taxable Value All Property</vt:lpstr>
      <vt:lpstr>All Property Taxable Value</vt:lpstr>
      <vt:lpstr>Real Property Taxable Value</vt:lpstr>
      <vt:lpstr>Personal Property Taxable Value</vt:lpstr>
      <vt:lpstr>Central Assessed Taxable Value </vt:lpstr>
      <vt:lpstr>'All Property Taxable Value'!Print_Area</vt:lpstr>
      <vt:lpstr>'Central Assessed Taxable Value '!Print_Area</vt:lpstr>
      <vt:lpstr>'Personal Property Taxable Value'!Print_Area</vt:lpstr>
      <vt:lpstr>'Real Property Taxable Value'!Print_Area</vt:lpstr>
    </vt:vector>
  </TitlesOfParts>
  <Company>Florida Dept. of Revenue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Florida Dept. of Revenue</dc:creator>
  <cp:lastModifiedBy>Katylin Tucker</cp:lastModifiedBy>
  <cp:lastPrinted>2011-02-11T15:35:26Z</cp:lastPrinted>
  <dcterms:created xsi:type="dcterms:W3CDTF">2010-08-10T15:50:22Z</dcterms:created>
  <dcterms:modified xsi:type="dcterms:W3CDTF">2026-07-27T17:52:34Z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0x010100FE8CCF48F7F21843AAD247617866AB0F</vt:lpwstr>
  </property>
</Properties>
</file>